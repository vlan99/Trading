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120" windowWidth="12396" windowHeight="5868" tabRatio="863" activeTab="2"/>
  </bookViews>
  <sheets>
    <sheet name="Welcome" sheetId="16" r:id="rId1"/>
    <sheet name="Account Log" sheetId="13" r:id="rId2"/>
    <sheet name="Milestone" sheetId="17" r:id="rId3"/>
    <sheet name="Recap" sheetId="20" r:id="rId4"/>
    <sheet name="Trade Log" sheetId="1"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Data!$A$2:$A$10</definedName>
    <definedName name="Trend">Data!$B$2:$B$4</definedName>
  </definedNames>
  <calcPr calcId="145621"/>
  <pivotCaches>
    <pivotCache cacheId="39" r:id="rId11"/>
    <pivotCache cacheId="43" r:id="rId12"/>
    <pivotCache cacheId="47" r:id="rId13"/>
    <pivotCache cacheId="51" r:id="rId14"/>
    <pivotCache cacheId="55" r:id="rId15"/>
    <pivotCache cacheId="59" r:id="rId16"/>
  </pivotCaches>
</workbook>
</file>

<file path=xl/calcChain.xml><?xml version="1.0" encoding="utf-8"?>
<calcChain xmlns="http://schemas.openxmlformats.org/spreadsheetml/2006/main">
  <c r="B2" i="17" l="1"/>
  <c r="I12" i="1" l="1"/>
  <c r="L12" i="1" s="1"/>
  <c r="O24" i="1"/>
  <c r="I24" i="1"/>
  <c r="J24" i="1" s="1"/>
  <c r="O23" i="1"/>
  <c r="I23" i="1"/>
  <c r="J23" i="1" s="1"/>
  <c r="O22" i="1"/>
  <c r="L22" i="1"/>
  <c r="I22" i="1"/>
  <c r="J22" i="1" s="1"/>
  <c r="K22" i="1" s="1"/>
  <c r="O21" i="1"/>
  <c r="I21" i="1"/>
  <c r="L21" i="1" s="1"/>
  <c r="O20" i="1"/>
  <c r="I20" i="1"/>
  <c r="L20" i="1" s="1"/>
  <c r="O19" i="1"/>
  <c r="L19" i="1"/>
  <c r="J19" i="1"/>
  <c r="K19" i="1" s="1"/>
  <c r="I19" i="1"/>
  <c r="O18" i="1"/>
  <c r="I18" i="1"/>
  <c r="J18" i="1" s="1"/>
  <c r="O17" i="1"/>
  <c r="L17" i="1"/>
  <c r="I17" i="1"/>
  <c r="O16" i="1"/>
  <c r="I16" i="1"/>
  <c r="L16" i="1" s="1"/>
  <c r="O15" i="1"/>
  <c r="I15" i="1"/>
  <c r="J15" i="1" s="1"/>
  <c r="O14" i="1"/>
  <c r="L14" i="1"/>
  <c r="I14" i="1"/>
  <c r="J14" i="1" s="1"/>
  <c r="K14" i="1" s="1"/>
  <c r="O13" i="1"/>
  <c r="I13" i="1"/>
  <c r="L13" i="1" s="1"/>
  <c r="J12" i="1" l="1"/>
  <c r="K12" i="1"/>
  <c r="K17" i="1"/>
  <c r="J16" i="1"/>
  <c r="J13" i="1"/>
  <c r="K16" i="1"/>
  <c r="K13" i="1"/>
  <c r="L24" i="1"/>
  <c r="K18" i="1"/>
  <c r="K15" i="1"/>
  <c r="L18" i="1"/>
  <c r="J20" i="1"/>
  <c r="K20" i="1" s="1"/>
  <c r="K23" i="1"/>
  <c r="L15" i="1"/>
  <c r="J17" i="1"/>
  <c r="L23" i="1"/>
  <c r="K24" i="1"/>
  <c r="J21" i="1"/>
  <c r="K21" i="1" s="1"/>
  <c r="A3" i="17"/>
  <c r="H4" i="17" l="1"/>
  <c r="A4" i="17"/>
  <c r="B3" i="17"/>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F23" i="1" s="1"/>
  <c r="A22" i="1"/>
  <c r="F22" i="1" s="1"/>
  <c r="A21" i="1"/>
  <c r="F21" i="1" s="1"/>
  <c r="A20" i="1"/>
  <c r="F20" i="1" s="1"/>
  <c r="A19" i="1"/>
  <c r="F19" i="1" s="1"/>
  <c r="H5" i="17" l="1"/>
  <c r="I4" i="17"/>
  <c r="B4" i="17"/>
  <c r="A5" i="17"/>
  <c r="O12" i="1"/>
  <c r="H6" i="17" l="1"/>
  <c r="D4" i="17"/>
  <c r="E4" i="17" s="1"/>
  <c r="F4" i="17" s="1"/>
  <c r="A6" i="17"/>
  <c r="I5" i="17"/>
  <c r="B5" i="17"/>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D2" i="17"/>
  <c r="D5" i="17" l="1"/>
  <c r="E5" i="17" s="1"/>
  <c r="F5" i="17" s="1"/>
  <c r="H7" i="17"/>
  <c r="I6" i="17"/>
  <c r="B6" i="17"/>
  <c r="A7" i="17"/>
  <c r="G3" i="17"/>
  <c r="G4" i="17" s="1"/>
  <c r="G5" i="17" s="1"/>
  <c r="G6" i="17" s="1"/>
  <c r="G7" i="17" s="1"/>
  <c r="G8" i="17" s="1"/>
  <c r="G9" i="17" s="1"/>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60" i="17" s="1"/>
  <c r="G61" i="17" s="1"/>
  <c r="G62" i="17" s="1"/>
  <c r="G63" i="17" s="1"/>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101" i="17" s="1"/>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H3" i="17"/>
  <c r="D3" i="17"/>
  <c r="H8" i="17" l="1"/>
  <c r="B7" i="17"/>
  <c r="A8" i="17"/>
  <c r="D6" i="17"/>
  <c r="E6" i="17" s="1"/>
  <c r="F6" i="17" s="1"/>
  <c r="I7" i="17"/>
  <c r="I994" i="1"/>
  <c r="J994" i="1" s="1"/>
  <c r="X994" i="1" s="1"/>
  <c r="T994" i="1" s="1"/>
  <c r="U994" i="1" s="1"/>
  <c r="I993" i="1"/>
  <c r="J993" i="1" s="1"/>
  <c r="X993" i="1" s="1"/>
  <c r="T993" i="1" s="1"/>
  <c r="U993" i="1" s="1"/>
  <c r="I992" i="1"/>
  <c r="J992" i="1" s="1"/>
  <c r="I991" i="1"/>
  <c r="J991" i="1" s="1"/>
  <c r="X991" i="1" s="1"/>
  <c r="T991" i="1" s="1"/>
  <c r="U991" i="1" s="1"/>
  <c r="I990" i="1"/>
  <c r="J990" i="1" s="1"/>
  <c r="X990" i="1" s="1"/>
  <c r="T990" i="1" s="1"/>
  <c r="U990" i="1" s="1"/>
  <c r="I989" i="1"/>
  <c r="J989" i="1" s="1"/>
  <c r="X989" i="1" s="1"/>
  <c r="T989" i="1" s="1"/>
  <c r="U989" i="1" s="1"/>
  <c r="I988" i="1"/>
  <c r="J988" i="1" s="1"/>
  <c r="X988" i="1" s="1"/>
  <c r="T988" i="1" s="1"/>
  <c r="U988" i="1" s="1"/>
  <c r="I987" i="1"/>
  <c r="J987" i="1" s="1"/>
  <c r="X987" i="1" s="1"/>
  <c r="T987" i="1" s="1"/>
  <c r="U987" i="1" s="1"/>
  <c r="I986" i="1"/>
  <c r="J986" i="1" s="1"/>
  <c r="X986" i="1" s="1"/>
  <c r="T986" i="1" s="1"/>
  <c r="U986" i="1" s="1"/>
  <c r="I985" i="1"/>
  <c r="J985" i="1" s="1"/>
  <c r="X985" i="1" s="1"/>
  <c r="T985" i="1" s="1"/>
  <c r="U985" i="1" s="1"/>
  <c r="I984" i="1"/>
  <c r="J984" i="1" s="1"/>
  <c r="I983" i="1"/>
  <c r="J983" i="1" s="1"/>
  <c r="X983" i="1" s="1"/>
  <c r="T983" i="1" s="1"/>
  <c r="U983" i="1" s="1"/>
  <c r="I982" i="1"/>
  <c r="J982" i="1" s="1"/>
  <c r="X982" i="1" s="1"/>
  <c r="T982" i="1" s="1"/>
  <c r="U982" i="1" s="1"/>
  <c r="I981" i="1"/>
  <c r="J981" i="1" s="1"/>
  <c r="X981" i="1" s="1"/>
  <c r="T981" i="1" s="1"/>
  <c r="U981" i="1" s="1"/>
  <c r="I980" i="1"/>
  <c r="J980" i="1" s="1"/>
  <c r="X980" i="1" s="1"/>
  <c r="T980" i="1" s="1"/>
  <c r="U980" i="1" s="1"/>
  <c r="I979" i="1"/>
  <c r="J979" i="1" s="1"/>
  <c r="X979" i="1" s="1"/>
  <c r="T979" i="1" s="1"/>
  <c r="U979" i="1" s="1"/>
  <c r="I978" i="1"/>
  <c r="J978" i="1" s="1"/>
  <c r="X978" i="1" s="1"/>
  <c r="T978" i="1" s="1"/>
  <c r="U978" i="1" s="1"/>
  <c r="I977" i="1"/>
  <c r="J977" i="1" s="1"/>
  <c r="X977" i="1" s="1"/>
  <c r="T977" i="1" s="1"/>
  <c r="U977" i="1" s="1"/>
  <c r="I976" i="1"/>
  <c r="J976" i="1" s="1"/>
  <c r="I975" i="1"/>
  <c r="J975" i="1" s="1"/>
  <c r="X975" i="1" s="1"/>
  <c r="T975" i="1" s="1"/>
  <c r="U975" i="1" s="1"/>
  <c r="I974" i="1"/>
  <c r="J974" i="1" s="1"/>
  <c r="X974" i="1" s="1"/>
  <c r="T974" i="1" s="1"/>
  <c r="U974" i="1" s="1"/>
  <c r="I973" i="1"/>
  <c r="J973" i="1" s="1"/>
  <c r="X973" i="1" s="1"/>
  <c r="T973" i="1" s="1"/>
  <c r="U973" i="1" s="1"/>
  <c r="I972" i="1"/>
  <c r="J972" i="1" s="1"/>
  <c r="X972" i="1" s="1"/>
  <c r="T972" i="1" s="1"/>
  <c r="U972" i="1" s="1"/>
  <c r="I971" i="1"/>
  <c r="J971" i="1" s="1"/>
  <c r="X971" i="1" s="1"/>
  <c r="T971" i="1" s="1"/>
  <c r="U971" i="1" s="1"/>
  <c r="I970" i="1"/>
  <c r="J970" i="1" s="1"/>
  <c r="X970" i="1" s="1"/>
  <c r="T970" i="1" s="1"/>
  <c r="U970" i="1" s="1"/>
  <c r="I969" i="1"/>
  <c r="J969" i="1" s="1"/>
  <c r="X969" i="1" s="1"/>
  <c r="T969" i="1" s="1"/>
  <c r="U969" i="1" s="1"/>
  <c r="I968" i="1"/>
  <c r="J968" i="1" s="1"/>
  <c r="I967" i="1"/>
  <c r="J967" i="1" s="1"/>
  <c r="X967" i="1" s="1"/>
  <c r="T967" i="1" s="1"/>
  <c r="U967" i="1" s="1"/>
  <c r="I966" i="1"/>
  <c r="J966" i="1" s="1"/>
  <c r="X966" i="1" s="1"/>
  <c r="T966" i="1" s="1"/>
  <c r="U966" i="1" s="1"/>
  <c r="I965" i="1"/>
  <c r="J965" i="1" s="1"/>
  <c r="X965" i="1" s="1"/>
  <c r="T965" i="1" s="1"/>
  <c r="U965" i="1" s="1"/>
  <c r="I964" i="1"/>
  <c r="J964" i="1" s="1"/>
  <c r="X964" i="1" s="1"/>
  <c r="T964" i="1" s="1"/>
  <c r="U964" i="1" s="1"/>
  <c r="I963" i="1"/>
  <c r="J963" i="1" s="1"/>
  <c r="X963" i="1" s="1"/>
  <c r="T963" i="1" s="1"/>
  <c r="U963" i="1" s="1"/>
  <c r="I962" i="1"/>
  <c r="J962" i="1" s="1"/>
  <c r="X962" i="1" s="1"/>
  <c r="T962" i="1" s="1"/>
  <c r="U962" i="1" s="1"/>
  <c r="I961" i="1"/>
  <c r="J961" i="1" s="1"/>
  <c r="X961" i="1" s="1"/>
  <c r="T961" i="1" s="1"/>
  <c r="U961" i="1" s="1"/>
  <c r="I960" i="1"/>
  <c r="J960" i="1" s="1"/>
  <c r="I959" i="1"/>
  <c r="J959" i="1" s="1"/>
  <c r="X959" i="1" s="1"/>
  <c r="T959" i="1" s="1"/>
  <c r="U959" i="1" s="1"/>
  <c r="I958" i="1"/>
  <c r="J958" i="1" s="1"/>
  <c r="X958" i="1" s="1"/>
  <c r="T958" i="1" s="1"/>
  <c r="U958" i="1" s="1"/>
  <c r="I957" i="1"/>
  <c r="J957" i="1" s="1"/>
  <c r="X957" i="1" s="1"/>
  <c r="T957" i="1" s="1"/>
  <c r="U957" i="1" s="1"/>
  <c r="I956" i="1"/>
  <c r="J956" i="1" s="1"/>
  <c r="X956" i="1" s="1"/>
  <c r="T956" i="1" s="1"/>
  <c r="U956" i="1" s="1"/>
  <c r="I955" i="1"/>
  <c r="J955" i="1" s="1"/>
  <c r="X955" i="1" s="1"/>
  <c r="T955" i="1" s="1"/>
  <c r="U955" i="1" s="1"/>
  <c r="I954" i="1"/>
  <c r="J954" i="1" s="1"/>
  <c r="I953" i="1"/>
  <c r="J953" i="1" s="1"/>
  <c r="X953" i="1" s="1"/>
  <c r="T953" i="1" s="1"/>
  <c r="U953" i="1" s="1"/>
  <c r="I952" i="1"/>
  <c r="J952" i="1" s="1"/>
  <c r="I951" i="1"/>
  <c r="J951" i="1" s="1"/>
  <c r="I950" i="1"/>
  <c r="J950" i="1" s="1"/>
  <c r="X950" i="1" s="1"/>
  <c r="T950" i="1" s="1"/>
  <c r="U950" i="1" s="1"/>
  <c r="I949" i="1"/>
  <c r="J949" i="1" s="1"/>
  <c r="X949" i="1" s="1"/>
  <c r="T949" i="1" s="1"/>
  <c r="U949" i="1" s="1"/>
  <c r="I948" i="1"/>
  <c r="J948" i="1" s="1"/>
  <c r="X948" i="1" s="1"/>
  <c r="T948" i="1" s="1"/>
  <c r="U948" i="1" s="1"/>
  <c r="I947" i="1"/>
  <c r="J947" i="1" s="1"/>
  <c r="X947" i="1" s="1"/>
  <c r="T947" i="1" s="1"/>
  <c r="U947" i="1" s="1"/>
  <c r="I946" i="1"/>
  <c r="J946" i="1" s="1"/>
  <c r="X946" i="1" s="1"/>
  <c r="T946" i="1" s="1"/>
  <c r="U946" i="1" s="1"/>
  <c r="I945" i="1"/>
  <c r="J945" i="1" s="1"/>
  <c r="X945" i="1" s="1"/>
  <c r="T945" i="1" s="1"/>
  <c r="U945" i="1" s="1"/>
  <c r="I944" i="1"/>
  <c r="J944" i="1" s="1"/>
  <c r="V944" i="1" s="1"/>
  <c r="I943" i="1"/>
  <c r="J943" i="1" s="1"/>
  <c r="X943" i="1" s="1"/>
  <c r="T943" i="1" s="1"/>
  <c r="U943" i="1" s="1"/>
  <c r="I942" i="1"/>
  <c r="J942" i="1" s="1"/>
  <c r="X942" i="1" s="1"/>
  <c r="T942" i="1" s="1"/>
  <c r="U942" i="1" s="1"/>
  <c r="I941" i="1"/>
  <c r="J941" i="1" s="1"/>
  <c r="X941" i="1" s="1"/>
  <c r="T941" i="1" s="1"/>
  <c r="U941" i="1" s="1"/>
  <c r="I940" i="1"/>
  <c r="J940" i="1" s="1"/>
  <c r="X940" i="1" s="1"/>
  <c r="T940" i="1" s="1"/>
  <c r="U940" i="1" s="1"/>
  <c r="I939" i="1"/>
  <c r="J939" i="1" s="1"/>
  <c r="X939" i="1" s="1"/>
  <c r="T939" i="1" s="1"/>
  <c r="U939" i="1" s="1"/>
  <c r="I938" i="1"/>
  <c r="J938" i="1" s="1"/>
  <c r="V938" i="1" s="1"/>
  <c r="I937" i="1"/>
  <c r="J937" i="1" s="1"/>
  <c r="X937" i="1" s="1"/>
  <c r="T937" i="1" s="1"/>
  <c r="U937" i="1" s="1"/>
  <c r="I936" i="1"/>
  <c r="J936" i="1" s="1"/>
  <c r="I935" i="1"/>
  <c r="J935" i="1" s="1"/>
  <c r="X935" i="1" s="1"/>
  <c r="T935" i="1" s="1"/>
  <c r="U935" i="1" s="1"/>
  <c r="I934" i="1"/>
  <c r="J934" i="1" s="1"/>
  <c r="I933" i="1"/>
  <c r="J933" i="1" s="1"/>
  <c r="X933" i="1" s="1"/>
  <c r="T933" i="1" s="1"/>
  <c r="U933" i="1" s="1"/>
  <c r="I932" i="1"/>
  <c r="J932" i="1" s="1"/>
  <c r="X932" i="1" s="1"/>
  <c r="T932" i="1" s="1"/>
  <c r="U932" i="1" s="1"/>
  <c r="I931" i="1"/>
  <c r="J931" i="1" s="1"/>
  <c r="X931" i="1" s="1"/>
  <c r="T931" i="1" s="1"/>
  <c r="U931" i="1" s="1"/>
  <c r="I930" i="1"/>
  <c r="J930" i="1" s="1"/>
  <c r="W930" i="1" s="1"/>
  <c r="I929" i="1"/>
  <c r="J929" i="1" s="1"/>
  <c r="X929" i="1" s="1"/>
  <c r="T929" i="1" s="1"/>
  <c r="U929" i="1" s="1"/>
  <c r="I928" i="1"/>
  <c r="J928" i="1" s="1"/>
  <c r="I927" i="1"/>
  <c r="J927" i="1" s="1"/>
  <c r="X927" i="1" s="1"/>
  <c r="T927" i="1" s="1"/>
  <c r="U927" i="1" s="1"/>
  <c r="I926" i="1"/>
  <c r="J926" i="1" s="1"/>
  <c r="I925" i="1"/>
  <c r="J925" i="1" s="1"/>
  <c r="X925" i="1" s="1"/>
  <c r="T925" i="1" s="1"/>
  <c r="U925" i="1" s="1"/>
  <c r="I924" i="1"/>
  <c r="J924" i="1" s="1"/>
  <c r="I923" i="1"/>
  <c r="J923" i="1" s="1"/>
  <c r="I922" i="1"/>
  <c r="J922" i="1" s="1"/>
  <c r="I921" i="1"/>
  <c r="J921" i="1" s="1"/>
  <c r="X921" i="1" s="1"/>
  <c r="T921" i="1" s="1"/>
  <c r="U921" i="1" s="1"/>
  <c r="I920" i="1"/>
  <c r="J920" i="1" s="1"/>
  <c r="I919" i="1"/>
  <c r="J919" i="1" s="1"/>
  <c r="W919" i="1" s="1"/>
  <c r="I918" i="1"/>
  <c r="J918" i="1" s="1"/>
  <c r="I917" i="1"/>
  <c r="J917" i="1" s="1"/>
  <c r="X917" i="1" s="1"/>
  <c r="T917" i="1" s="1"/>
  <c r="U917" i="1" s="1"/>
  <c r="I916" i="1"/>
  <c r="J916" i="1" s="1"/>
  <c r="V916" i="1" s="1"/>
  <c r="I915" i="1"/>
  <c r="J915" i="1" s="1"/>
  <c r="I914" i="1"/>
  <c r="J914" i="1" s="1"/>
  <c r="I913" i="1"/>
  <c r="J913" i="1" s="1"/>
  <c r="X913" i="1" s="1"/>
  <c r="T913" i="1" s="1"/>
  <c r="U913" i="1" s="1"/>
  <c r="I912" i="1"/>
  <c r="J912" i="1" s="1"/>
  <c r="I911" i="1"/>
  <c r="J911" i="1" s="1"/>
  <c r="I910" i="1"/>
  <c r="J910" i="1" s="1"/>
  <c r="I909" i="1"/>
  <c r="J909" i="1" s="1"/>
  <c r="X909" i="1" s="1"/>
  <c r="T909" i="1" s="1"/>
  <c r="U909" i="1" s="1"/>
  <c r="I908" i="1"/>
  <c r="J908" i="1" s="1"/>
  <c r="W908" i="1" s="1"/>
  <c r="I907" i="1"/>
  <c r="J907" i="1" s="1"/>
  <c r="I906" i="1"/>
  <c r="J906" i="1" s="1"/>
  <c r="V906" i="1" s="1"/>
  <c r="I905" i="1"/>
  <c r="J905" i="1" s="1"/>
  <c r="X905" i="1" s="1"/>
  <c r="T905" i="1" s="1"/>
  <c r="U905" i="1" s="1"/>
  <c r="I904" i="1"/>
  <c r="J904" i="1" s="1"/>
  <c r="I903" i="1"/>
  <c r="J903" i="1" s="1"/>
  <c r="X903" i="1" s="1"/>
  <c r="T903" i="1" s="1"/>
  <c r="U903" i="1" s="1"/>
  <c r="I902" i="1"/>
  <c r="J902" i="1" s="1"/>
  <c r="I901" i="1"/>
  <c r="J901" i="1" s="1"/>
  <c r="X901" i="1" s="1"/>
  <c r="T901" i="1" s="1"/>
  <c r="U901" i="1" s="1"/>
  <c r="I900" i="1"/>
  <c r="J900" i="1" s="1"/>
  <c r="I899" i="1"/>
  <c r="J899" i="1" s="1"/>
  <c r="I898" i="1"/>
  <c r="J898" i="1" s="1"/>
  <c r="W898" i="1" s="1"/>
  <c r="I897" i="1"/>
  <c r="J897" i="1" s="1"/>
  <c r="X897" i="1" s="1"/>
  <c r="T897" i="1" s="1"/>
  <c r="U897" i="1" s="1"/>
  <c r="I896" i="1"/>
  <c r="J896" i="1" s="1"/>
  <c r="I895" i="1"/>
  <c r="J895" i="1" s="1"/>
  <c r="I894" i="1"/>
  <c r="J894" i="1" s="1"/>
  <c r="I893" i="1"/>
  <c r="J893" i="1" s="1"/>
  <c r="X893" i="1" s="1"/>
  <c r="T893" i="1" s="1"/>
  <c r="U893" i="1" s="1"/>
  <c r="I892" i="1"/>
  <c r="J892" i="1" s="1"/>
  <c r="I891" i="1"/>
  <c r="J891" i="1" s="1"/>
  <c r="I890" i="1"/>
  <c r="J890" i="1" s="1"/>
  <c r="V890" i="1" s="1"/>
  <c r="I889" i="1"/>
  <c r="J889" i="1" s="1"/>
  <c r="I888" i="1"/>
  <c r="J888" i="1" s="1"/>
  <c r="V888" i="1" s="1"/>
  <c r="I887" i="1"/>
  <c r="J887" i="1" s="1"/>
  <c r="I886" i="1"/>
  <c r="J886" i="1" s="1"/>
  <c r="I885" i="1"/>
  <c r="J885" i="1" s="1"/>
  <c r="X885" i="1" s="1"/>
  <c r="T885" i="1" s="1"/>
  <c r="U885" i="1" s="1"/>
  <c r="I884" i="1"/>
  <c r="J884" i="1" s="1"/>
  <c r="I883" i="1"/>
  <c r="J883" i="1" s="1"/>
  <c r="I882" i="1"/>
  <c r="J882" i="1" s="1"/>
  <c r="W882" i="1" s="1"/>
  <c r="I881" i="1"/>
  <c r="J881" i="1" s="1"/>
  <c r="I880" i="1"/>
  <c r="J880" i="1" s="1"/>
  <c r="I879" i="1"/>
  <c r="J879" i="1" s="1"/>
  <c r="I878" i="1"/>
  <c r="J878" i="1" s="1"/>
  <c r="I877" i="1"/>
  <c r="J877" i="1" s="1"/>
  <c r="X877" i="1" s="1"/>
  <c r="T877" i="1" s="1"/>
  <c r="U877" i="1" s="1"/>
  <c r="I876" i="1"/>
  <c r="J876" i="1" s="1"/>
  <c r="I875" i="1"/>
  <c r="J875" i="1" s="1"/>
  <c r="I874" i="1"/>
  <c r="J874" i="1" s="1"/>
  <c r="I873" i="1"/>
  <c r="J873" i="1" s="1"/>
  <c r="W873" i="1" s="1"/>
  <c r="I872" i="1"/>
  <c r="J872" i="1" s="1"/>
  <c r="I871" i="1"/>
  <c r="J871" i="1" s="1"/>
  <c r="I870" i="1"/>
  <c r="J870" i="1" s="1"/>
  <c r="I869" i="1"/>
  <c r="J869" i="1" s="1"/>
  <c r="X869" i="1" s="1"/>
  <c r="T869" i="1" s="1"/>
  <c r="U869" i="1" s="1"/>
  <c r="I868" i="1"/>
  <c r="J868" i="1" s="1"/>
  <c r="P868" i="1" s="1"/>
  <c r="I867" i="1"/>
  <c r="J867" i="1" s="1"/>
  <c r="I866" i="1"/>
  <c r="J866" i="1" s="1"/>
  <c r="I865" i="1"/>
  <c r="J865" i="1" s="1"/>
  <c r="I864" i="1"/>
  <c r="J864" i="1" s="1"/>
  <c r="I863" i="1"/>
  <c r="J863" i="1" s="1"/>
  <c r="I862" i="1"/>
  <c r="J862" i="1" s="1"/>
  <c r="I861" i="1"/>
  <c r="J861" i="1" s="1"/>
  <c r="X861" i="1" s="1"/>
  <c r="T861" i="1" s="1"/>
  <c r="U861" i="1" s="1"/>
  <c r="I860" i="1"/>
  <c r="J860" i="1" s="1"/>
  <c r="V860" i="1" s="1"/>
  <c r="I859" i="1"/>
  <c r="J859" i="1" s="1"/>
  <c r="I858" i="1"/>
  <c r="J858" i="1" s="1"/>
  <c r="I857" i="1"/>
  <c r="J857" i="1" s="1"/>
  <c r="I856" i="1"/>
  <c r="J856" i="1" s="1"/>
  <c r="I855" i="1"/>
  <c r="J855" i="1" s="1"/>
  <c r="I854" i="1"/>
  <c r="J854" i="1" s="1"/>
  <c r="I853" i="1"/>
  <c r="J853" i="1" s="1"/>
  <c r="X853" i="1" s="1"/>
  <c r="T853" i="1" s="1"/>
  <c r="U853" i="1" s="1"/>
  <c r="I852" i="1"/>
  <c r="J852" i="1" s="1"/>
  <c r="I851" i="1"/>
  <c r="J851" i="1" s="1"/>
  <c r="I850" i="1"/>
  <c r="J850" i="1" s="1"/>
  <c r="V850" i="1" s="1"/>
  <c r="I849" i="1"/>
  <c r="J849" i="1" s="1"/>
  <c r="W849" i="1" s="1"/>
  <c r="I848" i="1"/>
  <c r="J848" i="1" s="1"/>
  <c r="I847" i="1"/>
  <c r="J847" i="1" s="1"/>
  <c r="I846" i="1"/>
  <c r="J846" i="1" s="1"/>
  <c r="I845" i="1"/>
  <c r="J845" i="1" s="1"/>
  <c r="X845" i="1" s="1"/>
  <c r="T845" i="1" s="1"/>
  <c r="U845" i="1" s="1"/>
  <c r="I844" i="1"/>
  <c r="J844" i="1" s="1"/>
  <c r="I843" i="1"/>
  <c r="J843" i="1" s="1"/>
  <c r="I842" i="1"/>
  <c r="J842" i="1" s="1"/>
  <c r="I841" i="1"/>
  <c r="J841" i="1" s="1"/>
  <c r="I840" i="1"/>
  <c r="J840" i="1" s="1"/>
  <c r="I839" i="1"/>
  <c r="J839" i="1" s="1"/>
  <c r="I838" i="1"/>
  <c r="J838" i="1" s="1"/>
  <c r="I837" i="1"/>
  <c r="J837" i="1" s="1"/>
  <c r="X837" i="1" s="1"/>
  <c r="T837" i="1" s="1"/>
  <c r="U837" i="1" s="1"/>
  <c r="I836" i="1"/>
  <c r="J836" i="1" s="1"/>
  <c r="I835" i="1"/>
  <c r="J835" i="1" s="1"/>
  <c r="I834" i="1"/>
  <c r="J834" i="1" s="1"/>
  <c r="I833" i="1"/>
  <c r="J833" i="1" s="1"/>
  <c r="I832" i="1"/>
  <c r="J832" i="1" s="1"/>
  <c r="I831" i="1"/>
  <c r="J831" i="1" s="1"/>
  <c r="I830" i="1"/>
  <c r="J830" i="1" s="1"/>
  <c r="I829" i="1"/>
  <c r="J829" i="1" s="1"/>
  <c r="X829" i="1" s="1"/>
  <c r="T829" i="1" s="1"/>
  <c r="U829" i="1" s="1"/>
  <c r="I828" i="1"/>
  <c r="J828" i="1" s="1"/>
  <c r="I827" i="1"/>
  <c r="J827" i="1" s="1"/>
  <c r="I826" i="1"/>
  <c r="J826" i="1" s="1"/>
  <c r="V826" i="1" s="1"/>
  <c r="I825" i="1"/>
  <c r="J825" i="1" s="1"/>
  <c r="I824" i="1"/>
  <c r="J824" i="1" s="1"/>
  <c r="I823" i="1"/>
  <c r="J823" i="1" s="1"/>
  <c r="I822" i="1"/>
  <c r="J822" i="1" s="1"/>
  <c r="I821" i="1"/>
  <c r="J821" i="1" s="1"/>
  <c r="X821" i="1" s="1"/>
  <c r="T821" i="1" s="1"/>
  <c r="U821" i="1" s="1"/>
  <c r="I820" i="1"/>
  <c r="J820" i="1" s="1"/>
  <c r="I819" i="1"/>
  <c r="J819" i="1" s="1"/>
  <c r="I818" i="1"/>
  <c r="J818" i="1" s="1"/>
  <c r="W818" i="1" s="1"/>
  <c r="I817" i="1"/>
  <c r="J817" i="1" s="1"/>
  <c r="I816" i="1"/>
  <c r="J816" i="1" s="1"/>
  <c r="I815" i="1"/>
  <c r="J815" i="1" s="1"/>
  <c r="I814" i="1"/>
  <c r="J814" i="1" s="1"/>
  <c r="I813" i="1"/>
  <c r="J813" i="1" s="1"/>
  <c r="X813" i="1" s="1"/>
  <c r="T813" i="1" s="1"/>
  <c r="U813" i="1" s="1"/>
  <c r="I812" i="1"/>
  <c r="J812" i="1" s="1"/>
  <c r="V812" i="1" s="1"/>
  <c r="I811" i="1"/>
  <c r="J811" i="1" s="1"/>
  <c r="I810" i="1"/>
  <c r="J810" i="1" s="1"/>
  <c r="I809" i="1"/>
  <c r="J809" i="1" s="1"/>
  <c r="I808" i="1"/>
  <c r="J808" i="1" s="1"/>
  <c r="I807" i="1"/>
  <c r="J807" i="1" s="1"/>
  <c r="P807" i="1" s="1"/>
  <c r="I806" i="1"/>
  <c r="J806" i="1" s="1"/>
  <c r="I805" i="1"/>
  <c r="J805" i="1" s="1"/>
  <c r="X805" i="1" s="1"/>
  <c r="T805" i="1" s="1"/>
  <c r="U805" i="1" s="1"/>
  <c r="I804" i="1"/>
  <c r="J804" i="1" s="1"/>
  <c r="I803" i="1"/>
  <c r="J803" i="1" s="1"/>
  <c r="I802" i="1"/>
  <c r="J802" i="1" s="1"/>
  <c r="W802" i="1" s="1"/>
  <c r="I801" i="1"/>
  <c r="J801" i="1" s="1"/>
  <c r="I800" i="1"/>
  <c r="J800" i="1" s="1"/>
  <c r="I799" i="1"/>
  <c r="J799" i="1" s="1"/>
  <c r="I798" i="1"/>
  <c r="J798" i="1" s="1"/>
  <c r="I797" i="1"/>
  <c r="J797" i="1" s="1"/>
  <c r="X797" i="1" s="1"/>
  <c r="T797" i="1" s="1"/>
  <c r="U797" i="1" s="1"/>
  <c r="I796" i="1"/>
  <c r="J796" i="1" s="1"/>
  <c r="I795" i="1"/>
  <c r="J795" i="1" s="1"/>
  <c r="I794" i="1"/>
  <c r="J794" i="1" s="1"/>
  <c r="W794" i="1" s="1"/>
  <c r="I793" i="1"/>
  <c r="J793" i="1" s="1"/>
  <c r="I792" i="1"/>
  <c r="J792" i="1" s="1"/>
  <c r="I791" i="1"/>
  <c r="J791" i="1" s="1"/>
  <c r="I790" i="1"/>
  <c r="J790" i="1" s="1"/>
  <c r="I789" i="1"/>
  <c r="J789" i="1" s="1"/>
  <c r="X789" i="1" s="1"/>
  <c r="T789" i="1" s="1"/>
  <c r="U789" i="1" s="1"/>
  <c r="I788" i="1"/>
  <c r="J788" i="1" s="1"/>
  <c r="I787" i="1"/>
  <c r="J787" i="1" s="1"/>
  <c r="I786" i="1"/>
  <c r="J786" i="1" s="1"/>
  <c r="I785" i="1"/>
  <c r="J785" i="1" s="1"/>
  <c r="W785" i="1" s="1"/>
  <c r="I784" i="1"/>
  <c r="J784" i="1" s="1"/>
  <c r="I783" i="1"/>
  <c r="J783" i="1" s="1"/>
  <c r="I782" i="1"/>
  <c r="J782" i="1" s="1"/>
  <c r="I781" i="1"/>
  <c r="J781" i="1" s="1"/>
  <c r="X781" i="1" s="1"/>
  <c r="T781" i="1" s="1"/>
  <c r="U781" i="1" s="1"/>
  <c r="I780" i="1"/>
  <c r="J780" i="1" s="1"/>
  <c r="V780" i="1" s="1"/>
  <c r="I779" i="1"/>
  <c r="J779" i="1" s="1"/>
  <c r="I778" i="1"/>
  <c r="J778" i="1" s="1"/>
  <c r="I777" i="1"/>
  <c r="J777" i="1" s="1"/>
  <c r="I776" i="1"/>
  <c r="J776" i="1" s="1"/>
  <c r="I775" i="1"/>
  <c r="J775" i="1" s="1"/>
  <c r="I774" i="1"/>
  <c r="J774" i="1" s="1"/>
  <c r="I773" i="1"/>
  <c r="J773" i="1" s="1"/>
  <c r="X773" i="1" s="1"/>
  <c r="T773" i="1" s="1"/>
  <c r="U773" i="1" s="1"/>
  <c r="I772" i="1"/>
  <c r="J772" i="1" s="1"/>
  <c r="V772" i="1" s="1"/>
  <c r="I771" i="1"/>
  <c r="J771" i="1" s="1"/>
  <c r="I770" i="1"/>
  <c r="J770" i="1" s="1"/>
  <c r="I769" i="1"/>
  <c r="J769" i="1" s="1"/>
  <c r="I768" i="1"/>
  <c r="J768" i="1" s="1"/>
  <c r="I767" i="1"/>
  <c r="J767" i="1" s="1"/>
  <c r="V767" i="1" s="1"/>
  <c r="I766" i="1"/>
  <c r="J766" i="1" s="1"/>
  <c r="I765" i="1"/>
  <c r="J765" i="1" s="1"/>
  <c r="X765" i="1" s="1"/>
  <c r="T765" i="1" s="1"/>
  <c r="U765" i="1" s="1"/>
  <c r="I764" i="1"/>
  <c r="J764" i="1" s="1"/>
  <c r="V764" i="1" s="1"/>
  <c r="I763" i="1"/>
  <c r="J763" i="1" s="1"/>
  <c r="I762" i="1"/>
  <c r="J762" i="1" s="1"/>
  <c r="I761" i="1"/>
  <c r="J761" i="1" s="1"/>
  <c r="I760" i="1"/>
  <c r="J760" i="1" s="1"/>
  <c r="I759" i="1"/>
  <c r="J759" i="1" s="1"/>
  <c r="I758" i="1"/>
  <c r="J758" i="1" s="1"/>
  <c r="I757" i="1"/>
  <c r="J757" i="1" s="1"/>
  <c r="X757" i="1" s="1"/>
  <c r="T757" i="1" s="1"/>
  <c r="U757" i="1" s="1"/>
  <c r="I756" i="1"/>
  <c r="J756" i="1" s="1"/>
  <c r="W756" i="1" s="1"/>
  <c r="I755" i="1"/>
  <c r="J755" i="1" s="1"/>
  <c r="I754" i="1"/>
  <c r="J754" i="1" s="1"/>
  <c r="W754" i="1" s="1"/>
  <c r="I753" i="1"/>
  <c r="J753" i="1" s="1"/>
  <c r="W753" i="1" s="1"/>
  <c r="I752" i="1"/>
  <c r="J752" i="1" s="1"/>
  <c r="I751" i="1"/>
  <c r="J751" i="1" s="1"/>
  <c r="I750" i="1"/>
  <c r="J750" i="1" s="1"/>
  <c r="I749" i="1"/>
  <c r="J749" i="1" s="1"/>
  <c r="X749" i="1" s="1"/>
  <c r="T749" i="1" s="1"/>
  <c r="U749" i="1" s="1"/>
  <c r="I748" i="1"/>
  <c r="J748" i="1" s="1"/>
  <c r="I747" i="1"/>
  <c r="J747" i="1" s="1"/>
  <c r="I746" i="1"/>
  <c r="J746" i="1" s="1"/>
  <c r="I745" i="1"/>
  <c r="J745" i="1" s="1"/>
  <c r="I744" i="1"/>
  <c r="J744" i="1" s="1"/>
  <c r="I743" i="1"/>
  <c r="J743" i="1" s="1"/>
  <c r="I742" i="1"/>
  <c r="J742" i="1" s="1"/>
  <c r="I741" i="1"/>
  <c r="J741" i="1" s="1"/>
  <c r="X741" i="1" s="1"/>
  <c r="T741" i="1" s="1"/>
  <c r="U741" i="1" s="1"/>
  <c r="I740" i="1"/>
  <c r="J740" i="1" s="1"/>
  <c r="V740" i="1" s="1"/>
  <c r="I739" i="1"/>
  <c r="J739" i="1" s="1"/>
  <c r="I738" i="1"/>
  <c r="J738" i="1" s="1"/>
  <c r="I737" i="1"/>
  <c r="J737" i="1" s="1"/>
  <c r="I736" i="1"/>
  <c r="J736" i="1" s="1"/>
  <c r="I735" i="1"/>
  <c r="J735" i="1" s="1"/>
  <c r="I734" i="1"/>
  <c r="J734" i="1" s="1"/>
  <c r="I733" i="1"/>
  <c r="J733" i="1" s="1"/>
  <c r="X733" i="1" s="1"/>
  <c r="T733" i="1" s="1"/>
  <c r="U733" i="1" s="1"/>
  <c r="I732" i="1"/>
  <c r="J732" i="1" s="1"/>
  <c r="I731" i="1"/>
  <c r="J731" i="1" s="1"/>
  <c r="I730" i="1"/>
  <c r="J730" i="1" s="1"/>
  <c r="I729" i="1"/>
  <c r="J729" i="1" s="1"/>
  <c r="I728" i="1"/>
  <c r="J728" i="1" s="1"/>
  <c r="I727" i="1"/>
  <c r="J727" i="1" s="1"/>
  <c r="I726" i="1"/>
  <c r="J726" i="1" s="1"/>
  <c r="I725" i="1"/>
  <c r="J725" i="1" s="1"/>
  <c r="X725" i="1" s="1"/>
  <c r="T725" i="1" s="1"/>
  <c r="U725" i="1" s="1"/>
  <c r="I724" i="1"/>
  <c r="J724" i="1" s="1"/>
  <c r="V724" i="1" s="1"/>
  <c r="I723" i="1"/>
  <c r="J723" i="1" s="1"/>
  <c r="I722" i="1"/>
  <c r="J722" i="1" s="1"/>
  <c r="V722" i="1" s="1"/>
  <c r="I721" i="1"/>
  <c r="J721" i="1" s="1"/>
  <c r="I720" i="1"/>
  <c r="J720" i="1" s="1"/>
  <c r="I719" i="1"/>
  <c r="J719" i="1" s="1"/>
  <c r="I718" i="1"/>
  <c r="J718" i="1" s="1"/>
  <c r="I717" i="1"/>
  <c r="J717" i="1" s="1"/>
  <c r="X717" i="1" s="1"/>
  <c r="T717" i="1" s="1"/>
  <c r="U717" i="1" s="1"/>
  <c r="I716" i="1"/>
  <c r="J716" i="1" s="1"/>
  <c r="I715" i="1"/>
  <c r="J715" i="1" s="1"/>
  <c r="I714" i="1"/>
  <c r="J714" i="1" s="1"/>
  <c r="I713" i="1"/>
  <c r="J713" i="1" s="1"/>
  <c r="I712" i="1"/>
  <c r="J712" i="1" s="1"/>
  <c r="I711" i="1"/>
  <c r="J711" i="1" s="1"/>
  <c r="I710" i="1"/>
  <c r="J710" i="1" s="1"/>
  <c r="I709" i="1"/>
  <c r="J709" i="1" s="1"/>
  <c r="X709" i="1" s="1"/>
  <c r="T709" i="1" s="1"/>
  <c r="U709" i="1" s="1"/>
  <c r="I708" i="1"/>
  <c r="J708" i="1" s="1"/>
  <c r="I707" i="1"/>
  <c r="J707" i="1" s="1"/>
  <c r="I706" i="1"/>
  <c r="J706" i="1" s="1"/>
  <c r="V706" i="1" s="1"/>
  <c r="I705" i="1"/>
  <c r="J705" i="1" s="1"/>
  <c r="I704" i="1"/>
  <c r="J704" i="1" s="1"/>
  <c r="I703" i="1"/>
  <c r="J703" i="1" s="1"/>
  <c r="I702" i="1"/>
  <c r="J702" i="1" s="1"/>
  <c r="I701" i="1"/>
  <c r="J701" i="1" s="1"/>
  <c r="X701" i="1" s="1"/>
  <c r="T701" i="1" s="1"/>
  <c r="U701" i="1" s="1"/>
  <c r="I700" i="1"/>
  <c r="J700" i="1" s="1"/>
  <c r="I699" i="1"/>
  <c r="J699" i="1" s="1"/>
  <c r="I698" i="1"/>
  <c r="J698" i="1" s="1"/>
  <c r="I697" i="1"/>
  <c r="J697" i="1" s="1"/>
  <c r="I696" i="1"/>
  <c r="J696" i="1" s="1"/>
  <c r="I695" i="1"/>
  <c r="J695" i="1" s="1"/>
  <c r="I694" i="1"/>
  <c r="J694" i="1" s="1"/>
  <c r="I693" i="1"/>
  <c r="J693" i="1" s="1"/>
  <c r="X693" i="1" s="1"/>
  <c r="T693" i="1" s="1"/>
  <c r="U693" i="1" s="1"/>
  <c r="I692" i="1"/>
  <c r="J692" i="1" s="1"/>
  <c r="I691" i="1"/>
  <c r="J691" i="1" s="1"/>
  <c r="I690" i="1"/>
  <c r="J690" i="1" s="1"/>
  <c r="V690" i="1" s="1"/>
  <c r="I689" i="1"/>
  <c r="J689" i="1" s="1"/>
  <c r="I688" i="1"/>
  <c r="J688" i="1" s="1"/>
  <c r="I687" i="1"/>
  <c r="J687" i="1" s="1"/>
  <c r="V687" i="1" s="1"/>
  <c r="I686" i="1"/>
  <c r="J686" i="1" s="1"/>
  <c r="I685" i="1"/>
  <c r="J685" i="1" s="1"/>
  <c r="X685" i="1" s="1"/>
  <c r="T685" i="1" s="1"/>
  <c r="U685" i="1" s="1"/>
  <c r="I684" i="1"/>
  <c r="J684" i="1" s="1"/>
  <c r="W684" i="1" s="1"/>
  <c r="I683" i="1"/>
  <c r="J683" i="1" s="1"/>
  <c r="I682" i="1"/>
  <c r="J682" i="1" s="1"/>
  <c r="I681" i="1"/>
  <c r="J681" i="1" s="1"/>
  <c r="I680" i="1"/>
  <c r="J680" i="1" s="1"/>
  <c r="I679" i="1"/>
  <c r="J679" i="1" s="1"/>
  <c r="I678" i="1"/>
  <c r="J678" i="1" s="1"/>
  <c r="I677" i="1"/>
  <c r="J677" i="1" s="1"/>
  <c r="X677" i="1" s="1"/>
  <c r="T677" i="1" s="1"/>
  <c r="U677" i="1" s="1"/>
  <c r="I676" i="1"/>
  <c r="J676" i="1" s="1"/>
  <c r="I675" i="1"/>
  <c r="J675" i="1" s="1"/>
  <c r="I674" i="1"/>
  <c r="J674" i="1" s="1"/>
  <c r="V674" i="1" s="1"/>
  <c r="I673" i="1"/>
  <c r="J673" i="1" s="1"/>
  <c r="I672" i="1"/>
  <c r="J672" i="1" s="1"/>
  <c r="I671" i="1"/>
  <c r="J671" i="1" s="1"/>
  <c r="I670" i="1"/>
  <c r="J670" i="1" s="1"/>
  <c r="I669" i="1"/>
  <c r="J669" i="1" s="1"/>
  <c r="X669" i="1" s="1"/>
  <c r="T669" i="1" s="1"/>
  <c r="U669" i="1" s="1"/>
  <c r="I668" i="1"/>
  <c r="J668" i="1" s="1"/>
  <c r="I667" i="1"/>
  <c r="J667" i="1" s="1"/>
  <c r="I666" i="1"/>
  <c r="J666" i="1" s="1"/>
  <c r="I665" i="1"/>
  <c r="J665" i="1" s="1"/>
  <c r="I664" i="1"/>
  <c r="J664" i="1" s="1"/>
  <c r="R664" i="1" s="1"/>
  <c r="I663" i="1"/>
  <c r="J663" i="1" s="1"/>
  <c r="I662" i="1"/>
  <c r="J662" i="1" s="1"/>
  <c r="I661" i="1"/>
  <c r="J661" i="1" s="1"/>
  <c r="X661" i="1" s="1"/>
  <c r="T661" i="1" s="1"/>
  <c r="U661" i="1" s="1"/>
  <c r="I660" i="1"/>
  <c r="J660" i="1" s="1"/>
  <c r="I659" i="1"/>
  <c r="J659" i="1" s="1"/>
  <c r="I658" i="1"/>
  <c r="J658" i="1" s="1"/>
  <c r="V658" i="1" s="1"/>
  <c r="I657" i="1"/>
  <c r="J657" i="1" s="1"/>
  <c r="I656" i="1"/>
  <c r="J656" i="1" s="1"/>
  <c r="I655" i="1"/>
  <c r="J655" i="1" s="1"/>
  <c r="I654" i="1"/>
  <c r="J654" i="1" s="1"/>
  <c r="I653" i="1"/>
  <c r="J653" i="1" s="1"/>
  <c r="X653" i="1" s="1"/>
  <c r="T653" i="1" s="1"/>
  <c r="U653" i="1" s="1"/>
  <c r="I652" i="1"/>
  <c r="J652" i="1" s="1"/>
  <c r="I651" i="1"/>
  <c r="J651" i="1" s="1"/>
  <c r="I650" i="1"/>
  <c r="J650" i="1" s="1"/>
  <c r="I649" i="1"/>
  <c r="J649" i="1" s="1"/>
  <c r="I648" i="1"/>
  <c r="J648" i="1" s="1"/>
  <c r="I647" i="1"/>
  <c r="J647" i="1" s="1"/>
  <c r="I646" i="1"/>
  <c r="J646" i="1" s="1"/>
  <c r="I645" i="1"/>
  <c r="J645" i="1" s="1"/>
  <c r="X645" i="1" s="1"/>
  <c r="T645" i="1" s="1"/>
  <c r="U645" i="1" s="1"/>
  <c r="I644" i="1"/>
  <c r="J644" i="1" s="1"/>
  <c r="I643" i="1"/>
  <c r="J643" i="1" s="1"/>
  <c r="I642" i="1"/>
  <c r="J642" i="1" s="1"/>
  <c r="I641" i="1"/>
  <c r="J641" i="1" s="1"/>
  <c r="I640" i="1"/>
  <c r="J640" i="1" s="1"/>
  <c r="I639" i="1"/>
  <c r="J639" i="1" s="1"/>
  <c r="I638" i="1"/>
  <c r="J638" i="1" s="1"/>
  <c r="I637" i="1"/>
  <c r="J637" i="1" s="1"/>
  <c r="X637" i="1" s="1"/>
  <c r="T637" i="1" s="1"/>
  <c r="U637" i="1" s="1"/>
  <c r="I636" i="1"/>
  <c r="J636" i="1" s="1"/>
  <c r="I635" i="1"/>
  <c r="J635" i="1" s="1"/>
  <c r="I634" i="1"/>
  <c r="J634" i="1" s="1"/>
  <c r="I633" i="1"/>
  <c r="J633" i="1" s="1"/>
  <c r="I632" i="1"/>
  <c r="J632" i="1" s="1"/>
  <c r="I631" i="1"/>
  <c r="J631" i="1" s="1"/>
  <c r="I630" i="1"/>
  <c r="J630" i="1" s="1"/>
  <c r="I629" i="1"/>
  <c r="J629" i="1" s="1"/>
  <c r="X629" i="1" s="1"/>
  <c r="T629" i="1" s="1"/>
  <c r="U629" i="1" s="1"/>
  <c r="I628" i="1"/>
  <c r="J628" i="1" s="1"/>
  <c r="I627" i="1"/>
  <c r="J627" i="1" s="1"/>
  <c r="I626" i="1"/>
  <c r="J626" i="1" s="1"/>
  <c r="I625" i="1"/>
  <c r="J625" i="1" s="1"/>
  <c r="I624" i="1"/>
  <c r="J624" i="1" s="1"/>
  <c r="I623" i="1"/>
  <c r="J623" i="1" s="1"/>
  <c r="I622" i="1"/>
  <c r="J622" i="1" s="1"/>
  <c r="V622" i="1" s="1"/>
  <c r="I621" i="1"/>
  <c r="J621" i="1" s="1"/>
  <c r="X621" i="1" s="1"/>
  <c r="T621" i="1" s="1"/>
  <c r="U621" i="1" s="1"/>
  <c r="I620" i="1"/>
  <c r="J620" i="1" s="1"/>
  <c r="I619" i="1"/>
  <c r="J619" i="1" s="1"/>
  <c r="I618" i="1"/>
  <c r="J618" i="1" s="1"/>
  <c r="I617" i="1"/>
  <c r="J617" i="1" s="1"/>
  <c r="I616" i="1"/>
  <c r="J616" i="1" s="1"/>
  <c r="I615" i="1"/>
  <c r="J615" i="1" s="1"/>
  <c r="P615" i="1" s="1"/>
  <c r="I614" i="1"/>
  <c r="J614" i="1" s="1"/>
  <c r="I613" i="1"/>
  <c r="J613" i="1" s="1"/>
  <c r="X613" i="1" s="1"/>
  <c r="T613" i="1" s="1"/>
  <c r="U613" i="1" s="1"/>
  <c r="I612" i="1"/>
  <c r="J612" i="1" s="1"/>
  <c r="V612" i="1" s="1"/>
  <c r="I611" i="1"/>
  <c r="J611" i="1" s="1"/>
  <c r="I610" i="1"/>
  <c r="J610" i="1" s="1"/>
  <c r="I609" i="1"/>
  <c r="J609" i="1" s="1"/>
  <c r="I608" i="1"/>
  <c r="J608" i="1" s="1"/>
  <c r="R608" i="1" s="1"/>
  <c r="I607" i="1"/>
  <c r="J607" i="1" s="1"/>
  <c r="I606" i="1"/>
  <c r="J606" i="1" s="1"/>
  <c r="I605" i="1"/>
  <c r="J605" i="1" s="1"/>
  <c r="X605" i="1" s="1"/>
  <c r="T605" i="1" s="1"/>
  <c r="U605" i="1" s="1"/>
  <c r="I604" i="1"/>
  <c r="J604" i="1" s="1"/>
  <c r="I603" i="1"/>
  <c r="J603" i="1" s="1"/>
  <c r="I602" i="1"/>
  <c r="J602" i="1" s="1"/>
  <c r="I601" i="1"/>
  <c r="J601" i="1" s="1"/>
  <c r="I600" i="1"/>
  <c r="J600" i="1" s="1"/>
  <c r="I599" i="1"/>
  <c r="J599" i="1" s="1"/>
  <c r="I598" i="1"/>
  <c r="J598" i="1" s="1"/>
  <c r="I597" i="1"/>
  <c r="J597" i="1" s="1"/>
  <c r="X597" i="1" s="1"/>
  <c r="T597" i="1" s="1"/>
  <c r="U597" i="1" s="1"/>
  <c r="I596" i="1"/>
  <c r="J596" i="1" s="1"/>
  <c r="W596" i="1" s="1"/>
  <c r="I595" i="1"/>
  <c r="J595" i="1" s="1"/>
  <c r="I594" i="1"/>
  <c r="J594" i="1" s="1"/>
  <c r="I593" i="1"/>
  <c r="J593" i="1" s="1"/>
  <c r="I592" i="1"/>
  <c r="J592" i="1" s="1"/>
  <c r="I591" i="1"/>
  <c r="J591" i="1" s="1"/>
  <c r="I590" i="1"/>
  <c r="J590" i="1" s="1"/>
  <c r="V590" i="1" s="1"/>
  <c r="I589" i="1"/>
  <c r="J589" i="1" s="1"/>
  <c r="X589" i="1" s="1"/>
  <c r="T589" i="1" s="1"/>
  <c r="U589" i="1" s="1"/>
  <c r="I588" i="1"/>
  <c r="J588" i="1" s="1"/>
  <c r="I587" i="1"/>
  <c r="J587" i="1" s="1"/>
  <c r="I586" i="1"/>
  <c r="J586" i="1" s="1"/>
  <c r="I585" i="1"/>
  <c r="J585" i="1" s="1"/>
  <c r="I584" i="1"/>
  <c r="J584" i="1" s="1"/>
  <c r="I583" i="1"/>
  <c r="J583" i="1" s="1"/>
  <c r="I582" i="1"/>
  <c r="J582" i="1" s="1"/>
  <c r="I581" i="1"/>
  <c r="J581" i="1" s="1"/>
  <c r="X581" i="1" s="1"/>
  <c r="T581" i="1" s="1"/>
  <c r="U581" i="1" s="1"/>
  <c r="I580" i="1"/>
  <c r="J580" i="1" s="1"/>
  <c r="I579" i="1"/>
  <c r="J579" i="1" s="1"/>
  <c r="I578" i="1"/>
  <c r="J578" i="1" s="1"/>
  <c r="I577" i="1"/>
  <c r="J577" i="1" s="1"/>
  <c r="I576" i="1"/>
  <c r="J576" i="1" s="1"/>
  <c r="I575" i="1"/>
  <c r="J575" i="1" s="1"/>
  <c r="I574" i="1"/>
  <c r="J574" i="1" s="1"/>
  <c r="I573" i="1"/>
  <c r="J573" i="1" s="1"/>
  <c r="X573" i="1" s="1"/>
  <c r="T573" i="1" s="1"/>
  <c r="U573" i="1" s="1"/>
  <c r="I572" i="1"/>
  <c r="J572" i="1" s="1"/>
  <c r="R572" i="1" s="1"/>
  <c r="I571" i="1"/>
  <c r="J571" i="1" s="1"/>
  <c r="I570" i="1"/>
  <c r="J570" i="1" s="1"/>
  <c r="I569" i="1"/>
  <c r="J569" i="1" s="1"/>
  <c r="I568" i="1"/>
  <c r="J568" i="1" s="1"/>
  <c r="I567" i="1"/>
  <c r="J567" i="1" s="1"/>
  <c r="I566" i="1"/>
  <c r="J566" i="1" s="1"/>
  <c r="I565" i="1"/>
  <c r="J565" i="1" s="1"/>
  <c r="X565" i="1" s="1"/>
  <c r="T565" i="1" s="1"/>
  <c r="U565" i="1" s="1"/>
  <c r="I564" i="1"/>
  <c r="J564" i="1" s="1"/>
  <c r="V564" i="1" s="1"/>
  <c r="I563" i="1"/>
  <c r="J563" i="1" s="1"/>
  <c r="I562" i="1"/>
  <c r="J562" i="1" s="1"/>
  <c r="I561" i="1"/>
  <c r="J561" i="1" s="1"/>
  <c r="I560" i="1"/>
  <c r="J560" i="1" s="1"/>
  <c r="I559" i="1"/>
  <c r="J559" i="1" s="1"/>
  <c r="I558" i="1"/>
  <c r="J558" i="1" s="1"/>
  <c r="I557" i="1"/>
  <c r="J557" i="1" s="1"/>
  <c r="X557" i="1" s="1"/>
  <c r="T557" i="1" s="1"/>
  <c r="U557" i="1" s="1"/>
  <c r="I556" i="1"/>
  <c r="J556" i="1" s="1"/>
  <c r="I555" i="1"/>
  <c r="J555" i="1" s="1"/>
  <c r="I554" i="1"/>
  <c r="J554" i="1" s="1"/>
  <c r="I553" i="1"/>
  <c r="J553" i="1" s="1"/>
  <c r="I552" i="1"/>
  <c r="J552" i="1" s="1"/>
  <c r="I551" i="1"/>
  <c r="J551" i="1" s="1"/>
  <c r="V551" i="1" s="1"/>
  <c r="I550" i="1"/>
  <c r="J550" i="1" s="1"/>
  <c r="I549" i="1"/>
  <c r="J549" i="1" s="1"/>
  <c r="X549" i="1" s="1"/>
  <c r="T549" i="1" s="1"/>
  <c r="U549" i="1" s="1"/>
  <c r="I548" i="1"/>
  <c r="J548" i="1" s="1"/>
  <c r="I547" i="1"/>
  <c r="J547" i="1" s="1"/>
  <c r="I546" i="1"/>
  <c r="J546" i="1" s="1"/>
  <c r="I545" i="1"/>
  <c r="J545" i="1" s="1"/>
  <c r="I544" i="1"/>
  <c r="J544" i="1" s="1"/>
  <c r="I543" i="1"/>
  <c r="J543" i="1" s="1"/>
  <c r="I542" i="1"/>
  <c r="J542" i="1" s="1"/>
  <c r="I541" i="1"/>
  <c r="J541" i="1" s="1"/>
  <c r="X541" i="1" s="1"/>
  <c r="T541" i="1" s="1"/>
  <c r="U541" i="1" s="1"/>
  <c r="I540" i="1"/>
  <c r="J540" i="1" s="1"/>
  <c r="I539" i="1"/>
  <c r="J539" i="1" s="1"/>
  <c r="I538" i="1"/>
  <c r="J538" i="1" s="1"/>
  <c r="I537" i="1"/>
  <c r="J537" i="1" s="1"/>
  <c r="I536" i="1"/>
  <c r="J536" i="1" s="1"/>
  <c r="W536" i="1" s="1"/>
  <c r="I535" i="1"/>
  <c r="J535" i="1" s="1"/>
  <c r="I534" i="1"/>
  <c r="J534" i="1" s="1"/>
  <c r="I533" i="1"/>
  <c r="J533" i="1" s="1"/>
  <c r="X533" i="1" s="1"/>
  <c r="T533" i="1" s="1"/>
  <c r="U533" i="1" s="1"/>
  <c r="I532" i="1"/>
  <c r="J532" i="1" s="1"/>
  <c r="P532" i="1" s="1"/>
  <c r="I531" i="1"/>
  <c r="J531" i="1" s="1"/>
  <c r="I530" i="1"/>
  <c r="J530" i="1" s="1"/>
  <c r="I529" i="1"/>
  <c r="J529" i="1" s="1"/>
  <c r="I528" i="1"/>
  <c r="J528" i="1" s="1"/>
  <c r="I527" i="1"/>
  <c r="J527" i="1" s="1"/>
  <c r="I526" i="1"/>
  <c r="J526" i="1" s="1"/>
  <c r="I525" i="1"/>
  <c r="J525" i="1" s="1"/>
  <c r="X525" i="1" s="1"/>
  <c r="T525" i="1" s="1"/>
  <c r="U525" i="1" s="1"/>
  <c r="I524" i="1"/>
  <c r="J524" i="1" s="1"/>
  <c r="I523" i="1"/>
  <c r="J523" i="1" s="1"/>
  <c r="I522" i="1"/>
  <c r="J522" i="1" s="1"/>
  <c r="I521" i="1"/>
  <c r="J521" i="1" s="1"/>
  <c r="I520" i="1"/>
  <c r="J520" i="1" s="1"/>
  <c r="I519" i="1"/>
  <c r="J519" i="1" s="1"/>
  <c r="I518" i="1"/>
  <c r="J518" i="1" s="1"/>
  <c r="I517" i="1"/>
  <c r="J517" i="1" s="1"/>
  <c r="X517" i="1" s="1"/>
  <c r="T517" i="1" s="1"/>
  <c r="U517" i="1" s="1"/>
  <c r="I516" i="1"/>
  <c r="J516" i="1" s="1"/>
  <c r="I515" i="1"/>
  <c r="J515" i="1" s="1"/>
  <c r="I514" i="1"/>
  <c r="J514" i="1" s="1"/>
  <c r="I513" i="1"/>
  <c r="J513" i="1" s="1"/>
  <c r="W513" i="1" s="1"/>
  <c r="I512" i="1"/>
  <c r="J512" i="1" s="1"/>
  <c r="I511" i="1"/>
  <c r="J511" i="1" s="1"/>
  <c r="I510" i="1"/>
  <c r="J510" i="1" s="1"/>
  <c r="I509" i="1"/>
  <c r="J509" i="1" s="1"/>
  <c r="X509" i="1" s="1"/>
  <c r="T509" i="1" s="1"/>
  <c r="U509" i="1" s="1"/>
  <c r="I508" i="1"/>
  <c r="J508" i="1" s="1"/>
  <c r="R508" i="1" s="1"/>
  <c r="I507" i="1"/>
  <c r="J507" i="1" s="1"/>
  <c r="I506" i="1"/>
  <c r="J506" i="1" s="1"/>
  <c r="I505" i="1"/>
  <c r="J505" i="1" s="1"/>
  <c r="I504" i="1"/>
  <c r="J504" i="1" s="1"/>
  <c r="I503" i="1"/>
  <c r="J503" i="1" s="1"/>
  <c r="I502" i="1"/>
  <c r="J502" i="1" s="1"/>
  <c r="I501" i="1"/>
  <c r="J501" i="1" s="1"/>
  <c r="X501" i="1" s="1"/>
  <c r="T501" i="1" s="1"/>
  <c r="U501" i="1" s="1"/>
  <c r="I500" i="1"/>
  <c r="J500" i="1" s="1"/>
  <c r="W500" i="1" s="1"/>
  <c r="I499" i="1"/>
  <c r="J499" i="1" s="1"/>
  <c r="I498" i="1"/>
  <c r="J498" i="1" s="1"/>
  <c r="I497" i="1"/>
  <c r="J497" i="1" s="1"/>
  <c r="V497" i="1" s="1"/>
  <c r="I496" i="1"/>
  <c r="J496" i="1" s="1"/>
  <c r="I495" i="1"/>
  <c r="J495" i="1" s="1"/>
  <c r="I494" i="1"/>
  <c r="J494" i="1" s="1"/>
  <c r="I493" i="1"/>
  <c r="J493" i="1" s="1"/>
  <c r="X493" i="1" s="1"/>
  <c r="T493" i="1" s="1"/>
  <c r="U493" i="1" s="1"/>
  <c r="I492" i="1"/>
  <c r="J492" i="1" s="1"/>
  <c r="R492" i="1" s="1"/>
  <c r="I491" i="1"/>
  <c r="J491" i="1" s="1"/>
  <c r="V491" i="1" s="1"/>
  <c r="I490" i="1"/>
  <c r="J490" i="1" s="1"/>
  <c r="I489" i="1"/>
  <c r="J489" i="1" s="1"/>
  <c r="I488" i="1"/>
  <c r="J488" i="1" s="1"/>
  <c r="I487" i="1"/>
  <c r="J487" i="1" s="1"/>
  <c r="I486" i="1"/>
  <c r="J486" i="1" s="1"/>
  <c r="I485" i="1"/>
  <c r="J485" i="1" s="1"/>
  <c r="X485" i="1" s="1"/>
  <c r="T485" i="1" s="1"/>
  <c r="U485" i="1" s="1"/>
  <c r="I484" i="1"/>
  <c r="J484" i="1" s="1"/>
  <c r="I483" i="1"/>
  <c r="J483" i="1" s="1"/>
  <c r="I482" i="1"/>
  <c r="J482" i="1" s="1"/>
  <c r="I481" i="1"/>
  <c r="J481" i="1" s="1"/>
  <c r="W481" i="1" s="1"/>
  <c r="I480" i="1"/>
  <c r="J480" i="1" s="1"/>
  <c r="I479" i="1"/>
  <c r="J479" i="1" s="1"/>
  <c r="V479" i="1" s="1"/>
  <c r="I478" i="1"/>
  <c r="J478" i="1" s="1"/>
  <c r="V478" i="1" s="1"/>
  <c r="I477" i="1"/>
  <c r="J477" i="1" s="1"/>
  <c r="X477" i="1" s="1"/>
  <c r="T477" i="1" s="1"/>
  <c r="U477" i="1" s="1"/>
  <c r="I476" i="1"/>
  <c r="J476" i="1" s="1"/>
  <c r="V476" i="1" s="1"/>
  <c r="I475" i="1"/>
  <c r="J475" i="1" s="1"/>
  <c r="I474" i="1"/>
  <c r="J474" i="1" s="1"/>
  <c r="I473" i="1"/>
  <c r="J473" i="1" s="1"/>
  <c r="I472" i="1"/>
  <c r="J472" i="1" s="1"/>
  <c r="I471" i="1"/>
  <c r="J471" i="1" s="1"/>
  <c r="I470" i="1"/>
  <c r="J470" i="1" s="1"/>
  <c r="I469" i="1"/>
  <c r="J469" i="1" s="1"/>
  <c r="X469" i="1" s="1"/>
  <c r="T469" i="1" s="1"/>
  <c r="U469" i="1" s="1"/>
  <c r="I468" i="1"/>
  <c r="J468" i="1" s="1"/>
  <c r="V468" i="1" s="1"/>
  <c r="I467" i="1"/>
  <c r="J467" i="1" s="1"/>
  <c r="I466" i="1"/>
  <c r="J466" i="1" s="1"/>
  <c r="I465" i="1"/>
  <c r="J465" i="1" s="1"/>
  <c r="I464" i="1"/>
  <c r="J464" i="1" s="1"/>
  <c r="I463" i="1"/>
  <c r="J463" i="1" s="1"/>
  <c r="I462" i="1"/>
  <c r="J462" i="1" s="1"/>
  <c r="I461" i="1"/>
  <c r="J461" i="1" s="1"/>
  <c r="X461" i="1" s="1"/>
  <c r="T461" i="1" s="1"/>
  <c r="U461" i="1" s="1"/>
  <c r="I460" i="1"/>
  <c r="J460" i="1" s="1"/>
  <c r="V460" i="1" s="1"/>
  <c r="I459" i="1"/>
  <c r="J459" i="1" s="1"/>
  <c r="I458" i="1"/>
  <c r="J458" i="1" s="1"/>
  <c r="I457" i="1"/>
  <c r="J457" i="1" s="1"/>
  <c r="I456" i="1"/>
  <c r="J456" i="1" s="1"/>
  <c r="I455" i="1"/>
  <c r="J455" i="1" s="1"/>
  <c r="I454" i="1"/>
  <c r="J454" i="1" s="1"/>
  <c r="I453" i="1"/>
  <c r="J453" i="1" s="1"/>
  <c r="X453" i="1" s="1"/>
  <c r="T453" i="1" s="1"/>
  <c r="U453" i="1" s="1"/>
  <c r="I452" i="1"/>
  <c r="J452" i="1" s="1"/>
  <c r="I451" i="1"/>
  <c r="J451" i="1" s="1"/>
  <c r="W451" i="1" s="1"/>
  <c r="I450" i="1"/>
  <c r="J450" i="1" s="1"/>
  <c r="V450" i="1" s="1"/>
  <c r="I449" i="1"/>
  <c r="J449" i="1" s="1"/>
  <c r="I448" i="1"/>
  <c r="J448" i="1" s="1"/>
  <c r="I447" i="1"/>
  <c r="J447" i="1" s="1"/>
  <c r="V447" i="1" s="1"/>
  <c r="I446" i="1"/>
  <c r="J446" i="1" s="1"/>
  <c r="V446" i="1" s="1"/>
  <c r="I445" i="1"/>
  <c r="J445" i="1" s="1"/>
  <c r="X445" i="1" s="1"/>
  <c r="T445" i="1" s="1"/>
  <c r="U445" i="1" s="1"/>
  <c r="I444" i="1"/>
  <c r="J444" i="1" s="1"/>
  <c r="V444" i="1" s="1"/>
  <c r="I443" i="1"/>
  <c r="J443" i="1" s="1"/>
  <c r="I442" i="1"/>
  <c r="J442" i="1" s="1"/>
  <c r="I441" i="1"/>
  <c r="J441" i="1" s="1"/>
  <c r="I440" i="1"/>
  <c r="J440" i="1" s="1"/>
  <c r="P440" i="1" s="1"/>
  <c r="Q440" i="1" s="1"/>
  <c r="I439" i="1"/>
  <c r="J439" i="1" s="1"/>
  <c r="I438" i="1"/>
  <c r="J438" i="1" s="1"/>
  <c r="I437" i="1"/>
  <c r="J437" i="1" s="1"/>
  <c r="X437" i="1" s="1"/>
  <c r="T437" i="1" s="1"/>
  <c r="U437" i="1" s="1"/>
  <c r="I436" i="1"/>
  <c r="J436" i="1" s="1"/>
  <c r="I435" i="1"/>
  <c r="J435" i="1" s="1"/>
  <c r="I434" i="1"/>
  <c r="J434" i="1" s="1"/>
  <c r="I433" i="1"/>
  <c r="J433" i="1" s="1"/>
  <c r="V433" i="1" s="1"/>
  <c r="I432" i="1"/>
  <c r="J432" i="1" s="1"/>
  <c r="I431" i="1"/>
  <c r="J431" i="1" s="1"/>
  <c r="I430" i="1"/>
  <c r="J430" i="1" s="1"/>
  <c r="I429" i="1"/>
  <c r="J429" i="1" s="1"/>
  <c r="X429" i="1" s="1"/>
  <c r="T429" i="1" s="1"/>
  <c r="U429" i="1" s="1"/>
  <c r="I428" i="1"/>
  <c r="J428" i="1" s="1"/>
  <c r="I427" i="1"/>
  <c r="J427" i="1" s="1"/>
  <c r="I426" i="1"/>
  <c r="J426" i="1" s="1"/>
  <c r="I425" i="1"/>
  <c r="J425" i="1" s="1"/>
  <c r="I424" i="1"/>
  <c r="J424" i="1" s="1"/>
  <c r="I423" i="1"/>
  <c r="J423" i="1" s="1"/>
  <c r="I422" i="1"/>
  <c r="J422" i="1" s="1"/>
  <c r="I421" i="1"/>
  <c r="J421" i="1" s="1"/>
  <c r="X421" i="1" s="1"/>
  <c r="T421" i="1" s="1"/>
  <c r="U421" i="1" s="1"/>
  <c r="I420" i="1"/>
  <c r="J420" i="1" s="1"/>
  <c r="I419" i="1"/>
  <c r="J419" i="1" s="1"/>
  <c r="I418" i="1"/>
  <c r="J418" i="1" s="1"/>
  <c r="I417" i="1"/>
  <c r="J417" i="1" s="1"/>
  <c r="I416" i="1"/>
  <c r="J416" i="1" s="1"/>
  <c r="I415" i="1"/>
  <c r="J415" i="1" s="1"/>
  <c r="I414" i="1"/>
  <c r="J414" i="1" s="1"/>
  <c r="I413" i="1"/>
  <c r="J413" i="1" s="1"/>
  <c r="X413" i="1" s="1"/>
  <c r="T413" i="1" s="1"/>
  <c r="U413" i="1" s="1"/>
  <c r="I412" i="1"/>
  <c r="J412" i="1" s="1"/>
  <c r="W412" i="1" s="1"/>
  <c r="I411" i="1"/>
  <c r="J411" i="1" s="1"/>
  <c r="I410" i="1"/>
  <c r="J410" i="1" s="1"/>
  <c r="I409" i="1"/>
  <c r="J409" i="1" s="1"/>
  <c r="I408" i="1"/>
  <c r="J408" i="1" s="1"/>
  <c r="I407" i="1"/>
  <c r="J407" i="1" s="1"/>
  <c r="I406" i="1"/>
  <c r="J406" i="1" s="1"/>
  <c r="I405" i="1"/>
  <c r="J405" i="1" s="1"/>
  <c r="X405" i="1" s="1"/>
  <c r="T405" i="1" s="1"/>
  <c r="U405" i="1" s="1"/>
  <c r="I404" i="1"/>
  <c r="J404" i="1" s="1"/>
  <c r="W404" i="1" s="1"/>
  <c r="I403" i="1"/>
  <c r="J403" i="1" s="1"/>
  <c r="I402" i="1"/>
  <c r="J402" i="1" s="1"/>
  <c r="I401" i="1"/>
  <c r="J401" i="1" s="1"/>
  <c r="I400" i="1"/>
  <c r="J400" i="1" s="1"/>
  <c r="I399" i="1"/>
  <c r="J399" i="1" s="1"/>
  <c r="I398" i="1"/>
  <c r="J398" i="1" s="1"/>
  <c r="I397" i="1"/>
  <c r="J397" i="1" s="1"/>
  <c r="X397" i="1" s="1"/>
  <c r="T397" i="1" s="1"/>
  <c r="U397" i="1" s="1"/>
  <c r="I396" i="1"/>
  <c r="J396" i="1" s="1"/>
  <c r="I395" i="1"/>
  <c r="J395" i="1" s="1"/>
  <c r="I394" i="1"/>
  <c r="J394" i="1" s="1"/>
  <c r="I393" i="1"/>
  <c r="J393" i="1" s="1"/>
  <c r="I392" i="1"/>
  <c r="J392" i="1" s="1"/>
  <c r="I391" i="1"/>
  <c r="J391" i="1" s="1"/>
  <c r="I390" i="1"/>
  <c r="J390" i="1" s="1"/>
  <c r="I389" i="1"/>
  <c r="J389" i="1" s="1"/>
  <c r="X389" i="1" s="1"/>
  <c r="T389" i="1" s="1"/>
  <c r="U389" i="1" s="1"/>
  <c r="I388" i="1"/>
  <c r="J388" i="1" s="1"/>
  <c r="W388" i="1" s="1"/>
  <c r="I387" i="1"/>
  <c r="J387" i="1" s="1"/>
  <c r="I386" i="1"/>
  <c r="J386" i="1" s="1"/>
  <c r="I385" i="1"/>
  <c r="J385" i="1" s="1"/>
  <c r="I384" i="1"/>
  <c r="J384" i="1" s="1"/>
  <c r="I383" i="1"/>
  <c r="J383" i="1" s="1"/>
  <c r="R383" i="1" s="1"/>
  <c r="I382" i="1"/>
  <c r="J382" i="1" s="1"/>
  <c r="I381" i="1"/>
  <c r="J381" i="1" s="1"/>
  <c r="X381" i="1" s="1"/>
  <c r="T381" i="1" s="1"/>
  <c r="U381" i="1" s="1"/>
  <c r="I380" i="1"/>
  <c r="J380" i="1" s="1"/>
  <c r="I379" i="1"/>
  <c r="J379" i="1" s="1"/>
  <c r="I378" i="1"/>
  <c r="J378" i="1" s="1"/>
  <c r="I377" i="1"/>
  <c r="J377" i="1" s="1"/>
  <c r="I376" i="1"/>
  <c r="J376" i="1" s="1"/>
  <c r="I375" i="1"/>
  <c r="J375" i="1" s="1"/>
  <c r="I374" i="1"/>
  <c r="J374" i="1" s="1"/>
  <c r="I373" i="1"/>
  <c r="J373" i="1" s="1"/>
  <c r="X373" i="1" s="1"/>
  <c r="T373" i="1" s="1"/>
  <c r="U373" i="1" s="1"/>
  <c r="I372" i="1"/>
  <c r="J372" i="1" s="1"/>
  <c r="I371" i="1"/>
  <c r="J371" i="1" s="1"/>
  <c r="I370" i="1"/>
  <c r="J370" i="1" s="1"/>
  <c r="I369" i="1"/>
  <c r="J369" i="1" s="1"/>
  <c r="I368" i="1"/>
  <c r="J368" i="1" s="1"/>
  <c r="I367" i="1"/>
  <c r="J367" i="1" s="1"/>
  <c r="I366" i="1"/>
  <c r="J366" i="1" s="1"/>
  <c r="V366" i="1" s="1"/>
  <c r="I365" i="1"/>
  <c r="J365" i="1" s="1"/>
  <c r="X365" i="1" s="1"/>
  <c r="T365" i="1" s="1"/>
  <c r="U365" i="1" s="1"/>
  <c r="I364" i="1"/>
  <c r="J364" i="1" s="1"/>
  <c r="I363" i="1"/>
  <c r="J363" i="1" s="1"/>
  <c r="I362" i="1"/>
  <c r="J362" i="1" s="1"/>
  <c r="I361" i="1"/>
  <c r="J361" i="1" s="1"/>
  <c r="V361" i="1" s="1"/>
  <c r="I360" i="1"/>
  <c r="J360" i="1" s="1"/>
  <c r="I359" i="1"/>
  <c r="J359" i="1" s="1"/>
  <c r="W359" i="1" s="1"/>
  <c r="I358" i="1"/>
  <c r="J358" i="1" s="1"/>
  <c r="I357" i="1"/>
  <c r="J357" i="1" s="1"/>
  <c r="X357" i="1" s="1"/>
  <c r="T357" i="1" s="1"/>
  <c r="U357" i="1" s="1"/>
  <c r="I356" i="1"/>
  <c r="J356" i="1" s="1"/>
  <c r="I355" i="1"/>
  <c r="J355" i="1" s="1"/>
  <c r="I354" i="1"/>
  <c r="J354" i="1" s="1"/>
  <c r="I353" i="1"/>
  <c r="J353" i="1" s="1"/>
  <c r="I352" i="1"/>
  <c r="J352" i="1" s="1"/>
  <c r="I351" i="1"/>
  <c r="J351" i="1" s="1"/>
  <c r="I350" i="1"/>
  <c r="J350" i="1" s="1"/>
  <c r="I349" i="1"/>
  <c r="J349" i="1" s="1"/>
  <c r="X349" i="1" s="1"/>
  <c r="T349" i="1" s="1"/>
  <c r="U349" i="1" s="1"/>
  <c r="I348" i="1"/>
  <c r="J348" i="1" s="1"/>
  <c r="I347" i="1"/>
  <c r="J347" i="1" s="1"/>
  <c r="I346" i="1"/>
  <c r="J346" i="1" s="1"/>
  <c r="I345" i="1"/>
  <c r="J345" i="1" s="1"/>
  <c r="I344" i="1"/>
  <c r="J344" i="1" s="1"/>
  <c r="I343" i="1"/>
  <c r="J343" i="1" s="1"/>
  <c r="W343" i="1" s="1"/>
  <c r="I342" i="1"/>
  <c r="J342" i="1" s="1"/>
  <c r="I341" i="1"/>
  <c r="J341" i="1" s="1"/>
  <c r="I340" i="1"/>
  <c r="J340" i="1" s="1"/>
  <c r="I339" i="1"/>
  <c r="J339" i="1" s="1"/>
  <c r="I338" i="1"/>
  <c r="J338" i="1" s="1"/>
  <c r="I337" i="1"/>
  <c r="J337" i="1" s="1"/>
  <c r="I336" i="1"/>
  <c r="J336" i="1" s="1"/>
  <c r="I335" i="1"/>
  <c r="J335" i="1" s="1"/>
  <c r="I334" i="1"/>
  <c r="J334" i="1" s="1"/>
  <c r="I333" i="1"/>
  <c r="J333" i="1" s="1"/>
  <c r="I332" i="1"/>
  <c r="J332" i="1" s="1"/>
  <c r="W332" i="1" s="1"/>
  <c r="I331" i="1"/>
  <c r="J331" i="1" s="1"/>
  <c r="I330" i="1"/>
  <c r="J330" i="1" s="1"/>
  <c r="I329" i="1"/>
  <c r="J329" i="1" s="1"/>
  <c r="V329" i="1" s="1"/>
  <c r="I328" i="1"/>
  <c r="J328" i="1" s="1"/>
  <c r="I327" i="1"/>
  <c r="J327" i="1" s="1"/>
  <c r="I326" i="1"/>
  <c r="J326" i="1" s="1"/>
  <c r="I325" i="1"/>
  <c r="J325" i="1" s="1"/>
  <c r="I324" i="1"/>
  <c r="J324" i="1" s="1"/>
  <c r="W324" i="1" s="1"/>
  <c r="I323" i="1"/>
  <c r="J323" i="1" s="1"/>
  <c r="I322" i="1"/>
  <c r="J322" i="1" s="1"/>
  <c r="I321" i="1"/>
  <c r="J321" i="1" s="1"/>
  <c r="I320" i="1"/>
  <c r="J320" i="1" s="1"/>
  <c r="I319" i="1"/>
  <c r="J319" i="1" s="1"/>
  <c r="I318" i="1"/>
  <c r="J318" i="1" s="1"/>
  <c r="I317" i="1"/>
  <c r="J317" i="1" s="1"/>
  <c r="W317" i="1" s="1"/>
  <c r="I316" i="1"/>
  <c r="J316" i="1" s="1"/>
  <c r="I315" i="1"/>
  <c r="J315" i="1" s="1"/>
  <c r="I314" i="1"/>
  <c r="J314" i="1" s="1"/>
  <c r="I313" i="1"/>
  <c r="J313" i="1" s="1"/>
  <c r="I312" i="1"/>
  <c r="J312" i="1" s="1"/>
  <c r="I311" i="1"/>
  <c r="J311" i="1" s="1"/>
  <c r="I310" i="1"/>
  <c r="J310" i="1" s="1"/>
  <c r="I309" i="1"/>
  <c r="J309" i="1" s="1"/>
  <c r="I308" i="1"/>
  <c r="J308" i="1" s="1"/>
  <c r="I307" i="1"/>
  <c r="J307" i="1" s="1"/>
  <c r="I306" i="1"/>
  <c r="J306" i="1" s="1"/>
  <c r="I305" i="1"/>
  <c r="J305" i="1" s="1"/>
  <c r="I304" i="1"/>
  <c r="J304" i="1" s="1"/>
  <c r="I303" i="1"/>
  <c r="J303" i="1" s="1"/>
  <c r="W303" i="1" s="1"/>
  <c r="I302" i="1"/>
  <c r="J302" i="1" s="1"/>
  <c r="I301" i="1"/>
  <c r="J301" i="1" s="1"/>
  <c r="I300" i="1"/>
  <c r="J300" i="1" s="1"/>
  <c r="I299" i="1"/>
  <c r="J299" i="1" s="1"/>
  <c r="I298" i="1"/>
  <c r="J298" i="1" s="1"/>
  <c r="I297" i="1"/>
  <c r="J297" i="1" s="1"/>
  <c r="I296" i="1"/>
  <c r="J296" i="1" s="1"/>
  <c r="I295" i="1"/>
  <c r="J295" i="1" s="1"/>
  <c r="I294" i="1"/>
  <c r="J294" i="1" s="1"/>
  <c r="I293" i="1"/>
  <c r="J293" i="1" s="1"/>
  <c r="I292" i="1"/>
  <c r="J292" i="1" s="1"/>
  <c r="W292" i="1" s="1"/>
  <c r="I291" i="1"/>
  <c r="J291" i="1" s="1"/>
  <c r="I290" i="1"/>
  <c r="J290" i="1" s="1"/>
  <c r="I289" i="1"/>
  <c r="J289" i="1" s="1"/>
  <c r="I288" i="1"/>
  <c r="J288" i="1" s="1"/>
  <c r="I287" i="1"/>
  <c r="J287" i="1" s="1"/>
  <c r="I286" i="1"/>
  <c r="J286" i="1" s="1"/>
  <c r="I285" i="1"/>
  <c r="J285" i="1" s="1"/>
  <c r="I284" i="1"/>
  <c r="J284" i="1" s="1"/>
  <c r="W284" i="1" s="1"/>
  <c r="I283" i="1"/>
  <c r="J283" i="1" s="1"/>
  <c r="I282" i="1"/>
  <c r="J282" i="1" s="1"/>
  <c r="I281" i="1"/>
  <c r="J281" i="1" s="1"/>
  <c r="I280" i="1"/>
  <c r="J280" i="1" s="1"/>
  <c r="I279" i="1"/>
  <c r="J279" i="1" s="1"/>
  <c r="I278" i="1"/>
  <c r="J278" i="1" s="1"/>
  <c r="I277" i="1"/>
  <c r="J277" i="1" s="1"/>
  <c r="I276" i="1"/>
  <c r="J276" i="1" s="1"/>
  <c r="V276" i="1" s="1"/>
  <c r="I275" i="1"/>
  <c r="J275" i="1" s="1"/>
  <c r="I274" i="1"/>
  <c r="J274" i="1" s="1"/>
  <c r="I273" i="1"/>
  <c r="J273" i="1" s="1"/>
  <c r="I272" i="1"/>
  <c r="J272" i="1" s="1"/>
  <c r="I271" i="1"/>
  <c r="J271" i="1" s="1"/>
  <c r="I270" i="1"/>
  <c r="J270" i="1" s="1"/>
  <c r="I269" i="1"/>
  <c r="J269" i="1" s="1"/>
  <c r="I268" i="1"/>
  <c r="J268" i="1" s="1"/>
  <c r="I267" i="1"/>
  <c r="J267" i="1" s="1"/>
  <c r="I266" i="1"/>
  <c r="J266" i="1" s="1"/>
  <c r="I265" i="1"/>
  <c r="J265" i="1" s="1"/>
  <c r="I264" i="1"/>
  <c r="J264" i="1" s="1"/>
  <c r="I263" i="1"/>
  <c r="J263" i="1" s="1"/>
  <c r="I262" i="1"/>
  <c r="J262" i="1" s="1"/>
  <c r="I261" i="1"/>
  <c r="J261" i="1" s="1"/>
  <c r="I260" i="1"/>
  <c r="J260" i="1" s="1"/>
  <c r="I259" i="1"/>
  <c r="J259" i="1" s="1"/>
  <c r="I258" i="1"/>
  <c r="J258" i="1" s="1"/>
  <c r="I257" i="1"/>
  <c r="J257" i="1" s="1"/>
  <c r="I256" i="1"/>
  <c r="J256" i="1" s="1"/>
  <c r="I255" i="1"/>
  <c r="J255" i="1" s="1"/>
  <c r="I254" i="1"/>
  <c r="J254" i="1" s="1"/>
  <c r="I253" i="1"/>
  <c r="J253" i="1" s="1"/>
  <c r="I252" i="1"/>
  <c r="J252" i="1" s="1"/>
  <c r="I251" i="1"/>
  <c r="J251" i="1" s="1"/>
  <c r="I250" i="1"/>
  <c r="J250" i="1" s="1"/>
  <c r="I249" i="1"/>
  <c r="J249" i="1" s="1"/>
  <c r="I248" i="1"/>
  <c r="J248" i="1" s="1"/>
  <c r="I247" i="1"/>
  <c r="J247" i="1" s="1"/>
  <c r="I246" i="1"/>
  <c r="J246" i="1" s="1"/>
  <c r="I245" i="1"/>
  <c r="J245" i="1" s="1"/>
  <c r="I244" i="1"/>
  <c r="J244" i="1" s="1"/>
  <c r="I243" i="1"/>
  <c r="J243" i="1" s="1"/>
  <c r="I242" i="1"/>
  <c r="J242" i="1" s="1"/>
  <c r="I241" i="1"/>
  <c r="J241" i="1" s="1"/>
  <c r="I240" i="1"/>
  <c r="J240" i="1" s="1"/>
  <c r="I239" i="1"/>
  <c r="J239" i="1" s="1"/>
  <c r="I238" i="1"/>
  <c r="J238" i="1" s="1"/>
  <c r="I237" i="1"/>
  <c r="J237" i="1" s="1"/>
  <c r="I236" i="1"/>
  <c r="J236" i="1" s="1"/>
  <c r="W236" i="1" s="1"/>
  <c r="I235" i="1"/>
  <c r="J235" i="1" s="1"/>
  <c r="I234" i="1"/>
  <c r="J234" i="1" s="1"/>
  <c r="I233" i="1"/>
  <c r="J233" i="1" s="1"/>
  <c r="I232" i="1"/>
  <c r="J232" i="1" s="1"/>
  <c r="I231" i="1"/>
  <c r="J231" i="1" s="1"/>
  <c r="V231" i="1" s="1"/>
  <c r="I230" i="1"/>
  <c r="J230" i="1" s="1"/>
  <c r="I229" i="1"/>
  <c r="J229" i="1" s="1"/>
  <c r="I228" i="1"/>
  <c r="J228" i="1" s="1"/>
  <c r="V228" i="1" s="1"/>
  <c r="I227" i="1"/>
  <c r="J227" i="1" s="1"/>
  <c r="I226" i="1"/>
  <c r="J226" i="1" s="1"/>
  <c r="I225" i="1"/>
  <c r="J225" i="1" s="1"/>
  <c r="I224" i="1"/>
  <c r="J224" i="1" s="1"/>
  <c r="I223" i="1"/>
  <c r="J223" i="1" s="1"/>
  <c r="W223" i="1" s="1"/>
  <c r="I222" i="1"/>
  <c r="J222" i="1" s="1"/>
  <c r="I221" i="1"/>
  <c r="J221" i="1" s="1"/>
  <c r="I220" i="1"/>
  <c r="J220" i="1" s="1"/>
  <c r="V220" i="1" s="1"/>
  <c r="I219" i="1"/>
  <c r="J219" i="1" s="1"/>
  <c r="I218" i="1"/>
  <c r="J218" i="1" s="1"/>
  <c r="I217" i="1"/>
  <c r="J217" i="1" s="1"/>
  <c r="I216" i="1"/>
  <c r="J216" i="1" s="1"/>
  <c r="I215" i="1"/>
  <c r="J215" i="1" s="1"/>
  <c r="I214" i="1"/>
  <c r="J214" i="1" s="1"/>
  <c r="I213" i="1"/>
  <c r="J213" i="1" s="1"/>
  <c r="I212" i="1"/>
  <c r="J212" i="1" s="1"/>
  <c r="I211" i="1"/>
  <c r="J211" i="1" s="1"/>
  <c r="I210" i="1"/>
  <c r="J210" i="1" s="1"/>
  <c r="I209" i="1"/>
  <c r="J209" i="1" s="1"/>
  <c r="I208" i="1"/>
  <c r="J208" i="1" s="1"/>
  <c r="I207" i="1"/>
  <c r="J207" i="1" s="1"/>
  <c r="I206" i="1"/>
  <c r="J206" i="1" s="1"/>
  <c r="I205" i="1"/>
  <c r="J205" i="1" s="1"/>
  <c r="I204" i="1"/>
  <c r="J204" i="1" s="1"/>
  <c r="I203" i="1"/>
  <c r="J203" i="1" s="1"/>
  <c r="I202" i="1"/>
  <c r="J202" i="1" s="1"/>
  <c r="W202" i="1" s="1"/>
  <c r="I201" i="1"/>
  <c r="J201" i="1" s="1"/>
  <c r="I200" i="1"/>
  <c r="J200" i="1" s="1"/>
  <c r="I199" i="1"/>
  <c r="J199" i="1" s="1"/>
  <c r="I198" i="1"/>
  <c r="J198" i="1" s="1"/>
  <c r="I197" i="1"/>
  <c r="J197" i="1" s="1"/>
  <c r="I196" i="1"/>
  <c r="J196" i="1" s="1"/>
  <c r="V196" i="1" s="1"/>
  <c r="I195" i="1"/>
  <c r="J195" i="1" s="1"/>
  <c r="I194" i="1"/>
  <c r="J194" i="1" s="1"/>
  <c r="I193" i="1"/>
  <c r="J193" i="1" s="1"/>
  <c r="I192" i="1"/>
  <c r="J192" i="1" s="1"/>
  <c r="I191" i="1"/>
  <c r="J191" i="1" s="1"/>
  <c r="I190" i="1"/>
  <c r="J190" i="1" s="1"/>
  <c r="I189" i="1"/>
  <c r="J189" i="1" s="1"/>
  <c r="I188" i="1"/>
  <c r="J188" i="1" s="1"/>
  <c r="I187" i="1"/>
  <c r="J187" i="1" s="1"/>
  <c r="I186" i="1"/>
  <c r="J186" i="1" s="1"/>
  <c r="I185" i="1"/>
  <c r="J185" i="1" s="1"/>
  <c r="I184" i="1"/>
  <c r="J184" i="1" s="1"/>
  <c r="I183" i="1"/>
  <c r="J183" i="1" s="1"/>
  <c r="I182" i="1"/>
  <c r="J182" i="1" s="1"/>
  <c r="I181" i="1"/>
  <c r="J181" i="1" s="1"/>
  <c r="I180" i="1"/>
  <c r="J180" i="1" s="1"/>
  <c r="I179" i="1"/>
  <c r="J179" i="1" s="1"/>
  <c r="V179" i="1" s="1"/>
  <c r="I178" i="1"/>
  <c r="J178" i="1" s="1"/>
  <c r="I177" i="1"/>
  <c r="J177" i="1" s="1"/>
  <c r="I176" i="1"/>
  <c r="J176" i="1" s="1"/>
  <c r="I175" i="1"/>
  <c r="J175" i="1" s="1"/>
  <c r="I174" i="1"/>
  <c r="J174" i="1" s="1"/>
  <c r="I173" i="1"/>
  <c r="J173" i="1" s="1"/>
  <c r="I172" i="1"/>
  <c r="J172" i="1" s="1"/>
  <c r="I171" i="1"/>
  <c r="J171" i="1" s="1"/>
  <c r="I170" i="1"/>
  <c r="J170" i="1" s="1"/>
  <c r="W170" i="1" s="1"/>
  <c r="I169" i="1"/>
  <c r="J169" i="1" s="1"/>
  <c r="I168" i="1"/>
  <c r="J168" i="1" s="1"/>
  <c r="I167" i="1"/>
  <c r="J167" i="1" s="1"/>
  <c r="I166" i="1"/>
  <c r="J166" i="1" s="1"/>
  <c r="I165" i="1"/>
  <c r="J165" i="1" s="1"/>
  <c r="I164" i="1"/>
  <c r="J164" i="1" s="1"/>
  <c r="I163" i="1"/>
  <c r="J163" i="1" s="1"/>
  <c r="I162" i="1"/>
  <c r="J162" i="1" s="1"/>
  <c r="I161" i="1"/>
  <c r="J161" i="1" s="1"/>
  <c r="I160" i="1"/>
  <c r="J160" i="1" s="1"/>
  <c r="V160" i="1" s="1"/>
  <c r="I159" i="1"/>
  <c r="J159" i="1" s="1"/>
  <c r="I158" i="1"/>
  <c r="J158" i="1" s="1"/>
  <c r="W158" i="1" s="1"/>
  <c r="I157" i="1"/>
  <c r="J157" i="1" s="1"/>
  <c r="I156" i="1"/>
  <c r="J156" i="1" s="1"/>
  <c r="I155" i="1"/>
  <c r="J155" i="1" s="1"/>
  <c r="I154" i="1"/>
  <c r="J154" i="1" s="1"/>
  <c r="I153" i="1"/>
  <c r="J153" i="1" s="1"/>
  <c r="I152" i="1"/>
  <c r="J152" i="1" s="1"/>
  <c r="I151" i="1"/>
  <c r="J151" i="1" s="1"/>
  <c r="W151" i="1" s="1"/>
  <c r="I150" i="1"/>
  <c r="J150" i="1" s="1"/>
  <c r="I149" i="1"/>
  <c r="J149" i="1" s="1"/>
  <c r="I148" i="1"/>
  <c r="J148" i="1" s="1"/>
  <c r="I147" i="1"/>
  <c r="J147" i="1" s="1"/>
  <c r="I146" i="1"/>
  <c r="J146" i="1" s="1"/>
  <c r="I145" i="1"/>
  <c r="J145" i="1" s="1"/>
  <c r="I144" i="1"/>
  <c r="J144" i="1" s="1"/>
  <c r="I143" i="1"/>
  <c r="J143" i="1" s="1"/>
  <c r="I142" i="1"/>
  <c r="J142" i="1" s="1"/>
  <c r="I141" i="1"/>
  <c r="J141" i="1" s="1"/>
  <c r="I140" i="1"/>
  <c r="J140" i="1" s="1"/>
  <c r="I139" i="1"/>
  <c r="J139" i="1" s="1"/>
  <c r="I138" i="1"/>
  <c r="J138" i="1" s="1"/>
  <c r="W138" i="1" s="1"/>
  <c r="I137" i="1"/>
  <c r="J137" i="1" s="1"/>
  <c r="I136" i="1"/>
  <c r="J136" i="1" s="1"/>
  <c r="I135" i="1"/>
  <c r="J135" i="1" s="1"/>
  <c r="I134" i="1"/>
  <c r="J134" i="1" s="1"/>
  <c r="I133" i="1"/>
  <c r="J133" i="1" s="1"/>
  <c r="I132" i="1"/>
  <c r="J132" i="1" s="1"/>
  <c r="I131" i="1"/>
  <c r="J131" i="1" s="1"/>
  <c r="I130" i="1"/>
  <c r="J130" i="1" s="1"/>
  <c r="I129" i="1"/>
  <c r="J129" i="1" s="1"/>
  <c r="I128" i="1"/>
  <c r="J128" i="1" s="1"/>
  <c r="I127" i="1"/>
  <c r="J127" i="1" s="1"/>
  <c r="I126" i="1"/>
  <c r="J126" i="1" s="1"/>
  <c r="I125" i="1"/>
  <c r="J125" i="1" s="1"/>
  <c r="I124" i="1"/>
  <c r="J124" i="1" s="1"/>
  <c r="I123" i="1"/>
  <c r="J123" i="1" s="1"/>
  <c r="I122" i="1"/>
  <c r="J122" i="1" s="1"/>
  <c r="I121" i="1"/>
  <c r="J121" i="1" s="1"/>
  <c r="I120" i="1"/>
  <c r="J120" i="1" s="1"/>
  <c r="I119" i="1"/>
  <c r="J119" i="1" s="1"/>
  <c r="I118" i="1"/>
  <c r="J118" i="1" s="1"/>
  <c r="I117" i="1"/>
  <c r="J117" i="1" s="1"/>
  <c r="I116" i="1"/>
  <c r="J116" i="1" s="1"/>
  <c r="I115" i="1"/>
  <c r="J115" i="1" s="1"/>
  <c r="W115" i="1" s="1"/>
  <c r="I114" i="1"/>
  <c r="J114" i="1" s="1"/>
  <c r="I113" i="1"/>
  <c r="J113" i="1" s="1"/>
  <c r="I112" i="1"/>
  <c r="J112" i="1" s="1"/>
  <c r="I111" i="1"/>
  <c r="J111" i="1" s="1"/>
  <c r="I110" i="1"/>
  <c r="J110" i="1" s="1"/>
  <c r="V110" i="1" s="1"/>
  <c r="I109" i="1"/>
  <c r="J109" i="1" s="1"/>
  <c r="I108" i="1"/>
  <c r="J108" i="1" s="1"/>
  <c r="I107" i="1"/>
  <c r="J107" i="1" s="1"/>
  <c r="I106" i="1"/>
  <c r="J106" i="1" s="1"/>
  <c r="W106" i="1" s="1"/>
  <c r="I105" i="1"/>
  <c r="J105" i="1" s="1"/>
  <c r="I104" i="1"/>
  <c r="J104" i="1" s="1"/>
  <c r="I103" i="1"/>
  <c r="J103" i="1" s="1"/>
  <c r="I102" i="1"/>
  <c r="J102" i="1" s="1"/>
  <c r="I101" i="1"/>
  <c r="J101" i="1" s="1"/>
  <c r="I100" i="1"/>
  <c r="J100" i="1" s="1"/>
  <c r="I99" i="1"/>
  <c r="J99" i="1" s="1"/>
  <c r="I98" i="1"/>
  <c r="J98" i="1" s="1"/>
  <c r="I97" i="1"/>
  <c r="J97" i="1" s="1"/>
  <c r="I96" i="1"/>
  <c r="J96" i="1" s="1"/>
  <c r="V96" i="1" s="1"/>
  <c r="I95" i="1"/>
  <c r="J95" i="1" s="1"/>
  <c r="V95" i="1" s="1"/>
  <c r="I94" i="1"/>
  <c r="J94" i="1" s="1"/>
  <c r="I93" i="1"/>
  <c r="J93" i="1" s="1"/>
  <c r="I92" i="1"/>
  <c r="J92" i="1" s="1"/>
  <c r="I91" i="1"/>
  <c r="J91" i="1" s="1"/>
  <c r="I90" i="1"/>
  <c r="J90" i="1" s="1"/>
  <c r="I89" i="1"/>
  <c r="J89" i="1" s="1"/>
  <c r="I88" i="1"/>
  <c r="J88" i="1" s="1"/>
  <c r="I87" i="1"/>
  <c r="J87" i="1" s="1"/>
  <c r="W87" i="1" s="1"/>
  <c r="I86" i="1"/>
  <c r="J86" i="1" s="1"/>
  <c r="I85" i="1"/>
  <c r="J85" i="1" s="1"/>
  <c r="I84" i="1"/>
  <c r="J84" i="1" s="1"/>
  <c r="I83" i="1"/>
  <c r="J83" i="1" s="1"/>
  <c r="I82" i="1"/>
  <c r="J82" i="1" s="1"/>
  <c r="I81" i="1"/>
  <c r="J81" i="1" s="1"/>
  <c r="I80" i="1"/>
  <c r="J80" i="1" s="1"/>
  <c r="I79" i="1"/>
  <c r="J79" i="1" s="1"/>
  <c r="I78" i="1"/>
  <c r="J78" i="1" s="1"/>
  <c r="I77" i="1"/>
  <c r="J77" i="1" s="1"/>
  <c r="I76" i="1"/>
  <c r="J76" i="1" s="1"/>
  <c r="V76" i="1" s="1"/>
  <c r="I75" i="1"/>
  <c r="J75" i="1" s="1"/>
  <c r="I74" i="1"/>
  <c r="J74" i="1" s="1"/>
  <c r="W74" i="1" s="1"/>
  <c r="I73" i="1"/>
  <c r="J73" i="1" s="1"/>
  <c r="I72" i="1"/>
  <c r="J72" i="1" s="1"/>
  <c r="I71" i="1"/>
  <c r="J71" i="1" s="1"/>
  <c r="I70" i="1"/>
  <c r="J70" i="1" s="1"/>
  <c r="I69" i="1"/>
  <c r="J69" i="1" s="1"/>
  <c r="I68" i="1"/>
  <c r="J68" i="1" s="1"/>
  <c r="I67" i="1"/>
  <c r="J67" i="1" s="1"/>
  <c r="I66" i="1"/>
  <c r="J66" i="1" s="1"/>
  <c r="I65" i="1"/>
  <c r="J65" i="1" s="1"/>
  <c r="I64" i="1"/>
  <c r="J64" i="1" s="1"/>
  <c r="I63" i="1"/>
  <c r="J63" i="1" s="1"/>
  <c r="I62" i="1"/>
  <c r="J62" i="1" s="1"/>
  <c r="I61" i="1"/>
  <c r="J61" i="1" s="1"/>
  <c r="I60" i="1"/>
  <c r="J60" i="1" s="1"/>
  <c r="I59" i="1"/>
  <c r="J59" i="1" s="1"/>
  <c r="I58" i="1"/>
  <c r="J58" i="1" s="1"/>
  <c r="I57" i="1"/>
  <c r="J57" i="1" s="1"/>
  <c r="I56" i="1"/>
  <c r="J56" i="1" s="1"/>
  <c r="I55" i="1"/>
  <c r="J55" i="1" s="1"/>
  <c r="I54" i="1"/>
  <c r="J54" i="1" s="1"/>
  <c r="I53" i="1"/>
  <c r="J53" i="1" s="1"/>
  <c r="I52" i="1"/>
  <c r="J52" i="1" s="1"/>
  <c r="I51" i="1"/>
  <c r="J51" i="1" s="1"/>
  <c r="I50" i="1"/>
  <c r="J50" i="1" s="1"/>
  <c r="I49" i="1"/>
  <c r="J49" i="1" s="1"/>
  <c r="I48" i="1"/>
  <c r="J48" i="1" s="1"/>
  <c r="I47" i="1"/>
  <c r="J47" i="1" s="1"/>
  <c r="W47" i="1" s="1"/>
  <c r="I46" i="1"/>
  <c r="J46" i="1" s="1"/>
  <c r="I45" i="1"/>
  <c r="J45" i="1" s="1"/>
  <c r="I44" i="1"/>
  <c r="J44" i="1" s="1"/>
  <c r="I43" i="1"/>
  <c r="J43" i="1" s="1"/>
  <c r="V43" i="1" s="1"/>
  <c r="I42" i="1"/>
  <c r="J42" i="1" s="1"/>
  <c r="W42" i="1" s="1"/>
  <c r="I41" i="1"/>
  <c r="J41" i="1" s="1"/>
  <c r="I40" i="1"/>
  <c r="J40" i="1" s="1"/>
  <c r="I39" i="1"/>
  <c r="J39" i="1" s="1"/>
  <c r="I38" i="1"/>
  <c r="J38" i="1" s="1"/>
  <c r="I37" i="1"/>
  <c r="J37" i="1" s="1"/>
  <c r="I36" i="1"/>
  <c r="J36" i="1" s="1"/>
  <c r="I35" i="1"/>
  <c r="J35" i="1" s="1"/>
  <c r="I34" i="1"/>
  <c r="J34" i="1" s="1"/>
  <c r="I33" i="1"/>
  <c r="J33" i="1" s="1"/>
  <c r="I32" i="1"/>
  <c r="J32" i="1" s="1"/>
  <c r="I31" i="1"/>
  <c r="J31" i="1" s="1"/>
  <c r="X31" i="1" s="1"/>
  <c r="T31" i="1" s="1"/>
  <c r="U31" i="1" s="1"/>
  <c r="I30" i="1"/>
  <c r="J30" i="1" s="1"/>
  <c r="I29" i="1"/>
  <c r="J29" i="1" s="1"/>
  <c r="I28" i="1"/>
  <c r="J28" i="1" s="1"/>
  <c r="I27" i="1"/>
  <c r="J27" i="1" s="1"/>
  <c r="V27" i="1" s="1"/>
  <c r="I26" i="1"/>
  <c r="J26" i="1" s="1"/>
  <c r="X26" i="1" s="1"/>
  <c r="T26" i="1" s="1"/>
  <c r="U26" i="1" s="1"/>
  <c r="I25" i="1"/>
  <c r="J25" i="1" s="1"/>
  <c r="X22" i="1"/>
  <c r="T22" i="1" s="1"/>
  <c r="U22" i="1" s="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A12" i="1"/>
  <c r="F991" i="1"/>
  <c r="F990" i="1"/>
  <c r="R990" i="1" s="1"/>
  <c r="F988" i="1"/>
  <c r="F987" i="1"/>
  <c r="F983" i="1"/>
  <c r="F978" i="1"/>
  <c r="F971" i="1"/>
  <c r="F969" i="1"/>
  <c r="P969" i="1" s="1"/>
  <c r="Q969" i="1" s="1"/>
  <c r="F968" i="1"/>
  <c r="F965" i="1"/>
  <c r="R965" i="1" s="1"/>
  <c r="F964" i="1"/>
  <c r="F962" i="1"/>
  <c r="F958" i="1"/>
  <c r="F957" i="1"/>
  <c r="R957" i="1" s="1"/>
  <c r="F955" i="1"/>
  <c r="F944" i="1"/>
  <c r="F943" i="1"/>
  <c r="F931" i="1"/>
  <c r="R931" i="1" s="1"/>
  <c r="F923" i="1"/>
  <c r="F921" i="1"/>
  <c r="F914" i="1"/>
  <c r="F913" i="1"/>
  <c r="R913" i="1" s="1"/>
  <c r="F910" i="1"/>
  <c r="F906" i="1"/>
  <c r="F903" i="1"/>
  <c r="F901" i="1"/>
  <c r="P901" i="1" s="1"/>
  <c r="S901" i="1" s="1"/>
  <c r="F894" i="1"/>
  <c r="F889" i="1"/>
  <c r="F886" i="1"/>
  <c r="F884" i="1"/>
  <c r="R884" i="1" s="1"/>
  <c r="F882" i="1"/>
  <c r="F879" i="1"/>
  <c r="F878" i="1"/>
  <c r="F875" i="1"/>
  <c r="P875" i="1" s="1"/>
  <c r="S875" i="1" s="1"/>
  <c r="F874" i="1"/>
  <c r="F869" i="1"/>
  <c r="F868" i="1"/>
  <c r="F863" i="1"/>
  <c r="F860" i="1"/>
  <c r="F859" i="1"/>
  <c r="P859" i="1" s="1"/>
  <c r="S859" i="1" s="1"/>
  <c r="F854" i="1"/>
  <c r="F850" i="1"/>
  <c r="F848" i="1"/>
  <c r="F845" i="1"/>
  <c r="F840" i="1"/>
  <c r="F835" i="1"/>
  <c r="F833" i="1"/>
  <c r="F831" i="1"/>
  <c r="F829" i="1"/>
  <c r="F828" i="1"/>
  <c r="F827" i="1"/>
  <c r="F826" i="1"/>
  <c r="F822" i="1"/>
  <c r="F821" i="1"/>
  <c r="R821" i="1" s="1"/>
  <c r="F819" i="1"/>
  <c r="F814" i="1"/>
  <c r="R814" i="1" s="1"/>
  <c r="F812" i="1"/>
  <c r="F811" i="1"/>
  <c r="F810" i="1"/>
  <c r="F807" i="1"/>
  <c r="F802" i="1"/>
  <c r="F800" i="1"/>
  <c r="F793" i="1"/>
  <c r="F791" i="1"/>
  <c r="F787" i="1"/>
  <c r="F786" i="1"/>
  <c r="F782" i="1"/>
  <c r="F780" i="1"/>
  <c r="F778" i="1"/>
  <c r="F777" i="1"/>
  <c r="R777" i="1" s="1"/>
  <c r="F772" i="1"/>
  <c r="F766" i="1"/>
  <c r="R766" i="1" s="1"/>
  <c r="F763" i="1"/>
  <c r="F762" i="1"/>
  <c r="F758" i="1"/>
  <c r="R758" i="1" s="1"/>
  <c r="F756" i="1"/>
  <c r="F755" i="1"/>
  <c r="F750" i="1"/>
  <c r="R750" i="1" s="1"/>
  <c r="F746" i="1"/>
  <c r="F744" i="1"/>
  <c r="F736" i="1"/>
  <c r="F734" i="1"/>
  <c r="R734" i="1" s="1"/>
  <c r="F731" i="1"/>
  <c r="F714" i="1"/>
  <c r="F710" i="1"/>
  <c r="F708" i="1"/>
  <c r="F701" i="1"/>
  <c r="F699" i="1"/>
  <c r="F690" i="1"/>
  <c r="F687" i="1"/>
  <c r="F683" i="1"/>
  <c r="F680" i="1"/>
  <c r="F678" i="1"/>
  <c r="F675" i="1"/>
  <c r="R675" i="1" s="1"/>
  <c r="F673" i="1"/>
  <c r="F672" i="1"/>
  <c r="F664" i="1"/>
  <c r="F660" i="1"/>
  <c r="F656" i="1"/>
  <c r="F651" i="1"/>
  <c r="F650" i="1"/>
  <c r="F649" i="1"/>
  <c r="P649" i="1" s="1"/>
  <c r="F645" i="1"/>
  <c r="F644" i="1"/>
  <c r="F641" i="1"/>
  <c r="F628" i="1"/>
  <c r="F625" i="1"/>
  <c r="F621" i="1"/>
  <c r="F615" i="1"/>
  <c r="F613" i="1"/>
  <c r="R613" i="1" s="1"/>
  <c r="F608" i="1"/>
  <c r="F597" i="1"/>
  <c r="P597" i="1" s="1"/>
  <c r="F591" i="1"/>
  <c r="F586" i="1"/>
  <c r="F581" i="1"/>
  <c r="R581" i="1" s="1"/>
  <c r="F577" i="1"/>
  <c r="F576" i="1"/>
  <c r="F574" i="1"/>
  <c r="F572" i="1"/>
  <c r="F569" i="1"/>
  <c r="F565" i="1"/>
  <c r="F564" i="1"/>
  <c r="F563" i="1"/>
  <c r="R563" i="1" s="1"/>
  <c r="F560" i="1"/>
  <c r="F556" i="1"/>
  <c r="F551" i="1"/>
  <c r="F550" i="1"/>
  <c r="F547" i="1"/>
  <c r="P547" i="1" s="1"/>
  <c r="F545" i="1"/>
  <c r="F544" i="1"/>
  <c r="F540" i="1"/>
  <c r="F535" i="1"/>
  <c r="F532" i="1"/>
  <c r="F528" i="1"/>
  <c r="F527" i="1"/>
  <c r="F525" i="1"/>
  <c r="R525" i="1" s="1"/>
  <c r="F523" i="1"/>
  <c r="F520" i="1"/>
  <c r="F513" i="1"/>
  <c r="F509" i="1"/>
  <c r="F508" i="1"/>
  <c r="F504" i="1"/>
  <c r="F498" i="1"/>
  <c r="F495" i="1"/>
  <c r="F492" i="1"/>
  <c r="F489" i="1"/>
  <c r="F481" i="1"/>
  <c r="F479" i="1"/>
  <c r="F473" i="1"/>
  <c r="F471" i="1"/>
  <c r="F469" i="1"/>
  <c r="F465" i="1"/>
  <c r="G459" i="1"/>
  <c r="F456" i="1"/>
  <c r="F453" i="1"/>
  <c r="F451" i="1"/>
  <c r="F445" i="1"/>
  <c r="F443" i="1"/>
  <c r="R443" i="1" s="1"/>
  <c r="F440" i="1"/>
  <c r="F438" i="1"/>
  <c r="R438" i="1" s="1"/>
  <c r="F433" i="1"/>
  <c r="F431" i="1"/>
  <c r="F427" i="1"/>
  <c r="R427" i="1" s="1"/>
  <c r="F421" i="1"/>
  <c r="F419" i="1"/>
  <c r="F414" i="1"/>
  <c r="R414" i="1" s="1"/>
  <c r="F413" i="1"/>
  <c r="R413" i="1" s="1"/>
  <c r="F410" i="1"/>
  <c r="F405" i="1"/>
  <c r="F397" i="1"/>
  <c r="P397" i="1" s="1"/>
  <c r="Q397" i="1" s="1"/>
  <c r="F389" i="1"/>
  <c r="R389" i="1" s="1"/>
  <c r="F383" i="1"/>
  <c r="F381" i="1"/>
  <c r="F380" i="1"/>
  <c r="F375" i="1"/>
  <c r="F373" i="1"/>
  <c r="P373" i="1" s="1"/>
  <c r="S373" i="1" s="1"/>
  <c r="F372" i="1"/>
  <c r="F371" i="1"/>
  <c r="F368" i="1"/>
  <c r="F364" i="1"/>
  <c r="F361" i="1"/>
  <c r="F360" i="1"/>
  <c r="F352" i="1"/>
  <c r="F351" i="1"/>
  <c r="F347" i="1"/>
  <c r="F344" i="1"/>
  <c r="F339" i="1"/>
  <c r="F337" i="1"/>
  <c r="F336" i="1"/>
  <c r="F333" i="1"/>
  <c r="R333" i="1" s="1"/>
  <c r="F329" i="1"/>
  <c r="F327" i="1"/>
  <c r="F324" i="1"/>
  <c r="F323" i="1"/>
  <c r="P323" i="1" s="1"/>
  <c r="F319" i="1"/>
  <c r="F317" i="1"/>
  <c r="F315" i="1"/>
  <c r="F314" i="1"/>
  <c r="F311" i="1"/>
  <c r="F310" i="1"/>
  <c r="F309" i="1"/>
  <c r="F305" i="1"/>
  <c r="F303" i="1"/>
  <c r="F298" i="1"/>
  <c r="F296" i="1"/>
  <c r="F295" i="1"/>
  <c r="F290" i="1"/>
  <c r="F289" i="1"/>
  <c r="F287" i="1"/>
  <c r="F285" i="1"/>
  <c r="P285" i="1" s="1"/>
  <c r="Q285" i="1" s="1"/>
  <c r="F283" i="1"/>
  <c r="P283" i="1" s="1"/>
  <c r="S283" i="1" s="1"/>
  <c r="F277" i="1"/>
  <c r="F276" i="1"/>
  <c r="F275" i="1"/>
  <c r="F271" i="1"/>
  <c r="F270" i="1"/>
  <c r="F268" i="1"/>
  <c r="F264" i="1"/>
  <c r="F262" i="1"/>
  <c r="F259" i="1"/>
  <c r="F256" i="1"/>
  <c r="F248" i="1"/>
  <c r="F247" i="1"/>
  <c r="F245" i="1"/>
  <c r="P245" i="1" s="1"/>
  <c r="Q245" i="1" s="1"/>
  <c r="F243" i="1"/>
  <c r="F242" i="1"/>
  <c r="F232" i="1"/>
  <c r="F225" i="1"/>
  <c r="F222" i="1"/>
  <c r="F221" i="1"/>
  <c r="F220" i="1"/>
  <c r="F219" i="1"/>
  <c r="F216" i="1"/>
  <c r="F215" i="1"/>
  <c r="F209" i="1"/>
  <c r="F208" i="1"/>
  <c r="F202" i="1"/>
  <c r="F200" i="1"/>
  <c r="F196" i="1"/>
  <c r="F184" i="1"/>
  <c r="F183" i="1"/>
  <c r="F178" i="1"/>
  <c r="F177" i="1"/>
  <c r="F174" i="1"/>
  <c r="F170" i="1"/>
  <c r="F168" i="1"/>
  <c r="F166" i="1"/>
  <c r="F161" i="1"/>
  <c r="F151" i="1"/>
  <c r="F145" i="1"/>
  <c r="F142" i="1"/>
  <c r="F140" i="1"/>
  <c r="F137" i="1"/>
  <c r="P137" i="1" s="1"/>
  <c r="S137" i="1" s="1"/>
  <c r="F134" i="1"/>
  <c r="F124" i="1"/>
  <c r="F122" i="1"/>
  <c r="F113" i="1"/>
  <c r="F110" i="1"/>
  <c r="F109" i="1"/>
  <c r="P109" i="1" s="1"/>
  <c r="F103" i="1"/>
  <c r="F102" i="1"/>
  <c r="F101" i="1"/>
  <c r="R101" i="1" s="1"/>
  <c r="F97" i="1"/>
  <c r="F91" i="1"/>
  <c r="F82" i="1"/>
  <c r="F76" i="1"/>
  <c r="F65" i="1"/>
  <c r="F62" i="1"/>
  <c r="F61" i="1"/>
  <c r="F56" i="1"/>
  <c r="F54" i="1"/>
  <c r="F48" i="1"/>
  <c r="F43" i="1"/>
  <c r="F41" i="1"/>
  <c r="P41" i="1" s="1"/>
  <c r="F38" i="1"/>
  <c r="P38" i="1" s="1"/>
  <c r="S38" i="1" s="1"/>
  <c r="F34" i="1"/>
  <c r="F30" i="1"/>
  <c r="F24" i="1"/>
  <c r="F3" i="13"/>
  <c r="I4" i="1" s="1"/>
  <c r="D3" i="19"/>
  <c r="D4" i="19" s="1"/>
  <c r="D5" i="19" s="1"/>
  <c r="D6" i="19" s="1"/>
  <c r="D7" i="19" s="1"/>
  <c r="D8" i="19" s="1"/>
  <c r="D9" i="19" s="1"/>
  <c r="D10" i="19" s="1"/>
  <c r="D11" i="19" s="1"/>
  <c r="D12" i="19" s="1"/>
  <c r="D13" i="19" s="1"/>
  <c r="D14" i="19" s="1"/>
  <c r="D15" i="19" s="1"/>
  <c r="D16" i="19" s="1"/>
  <c r="D17" i="19" s="1"/>
  <c r="D18" i="19" s="1"/>
  <c r="D19" i="19" s="1"/>
  <c r="D20" i="19" s="1"/>
  <c r="D2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V35" i="1"/>
  <c r="Z35" i="1"/>
  <c r="AA35" i="1"/>
  <c r="Z36" i="1"/>
  <c r="AA36" i="1"/>
  <c r="Z37" i="1"/>
  <c r="AA37" i="1"/>
  <c r="Z38" i="1"/>
  <c r="AA38" i="1"/>
  <c r="Z39" i="1"/>
  <c r="AA39" i="1"/>
  <c r="Z40" i="1"/>
  <c r="AA40" i="1"/>
  <c r="Z41" i="1"/>
  <c r="AA41" i="1"/>
  <c r="Z42" i="1"/>
  <c r="AA42" i="1"/>
  <c r="W43" i="1"/>
  <c r="Z43" i="1"/>
  <c r="AA43" i="1"/>
  <c r="Z44" i="1"/>
  <c r="AA44" i="1"/>
  <c r="W45" i="1"/>
  <c r="Z45" i="1"/>
  <c r="AA45" i="1"/>
  <c r="V46" i="1"/>
  <c r="Z46" i="1"/>
  <c r="AA46" i="1"/>
  <c r="Z47" i="1"/>
  <c r="AA47" i="1"/>
  <c r="Z48" i="1"/>
  <c r="AA48" i="1"/>
  <c r="Z49" i="1"/>
  <c r="AA49" i="1"/>
  <c r="Z50" i="1"/>
  <c r="AA50" i="1"/>
  <c r="W51" i="1"/>
  <c r="Z51" i="1"/>
  <c r="AA51" i="1"/>
  <c r="Z52" i="1"/>
  <c r="AA52" i="1"/>
  <c r="Z53" i="1"/>
  <c r="AA53" i="1"/>
  <c r="Z54" i="1"/>
  <c r="AA54" i="1"/>
  <c r="Z55" i="1"/>
  <c r="AA55" i="1"/>
  <c r="Z56" i="1"/>
  <c r="AA56" i="1"/>
  <c r="Z57" i="1"/>
  <c r="AA57" i="1"/>
  <c r="Z58" i="1"/>
  <c r="AA58" i="1"/>
  <c r="W59" i="1"/>
  <c r="Z59" i="1"/>
  <c r="AA59" i="1"/>
  <c r="Z60" i="1"/>
  <c r="AA60" i="1"/>
  <c r="P61" i="1"/>
  <c r="Q61" i="1" s="1"/>
  <c r="Z61" i="1"/>
  <c r="AA61" i="1"/>
  <c r="W62" i="1"/>
  <c r="Z62" i="1"/>
  <c r="AA62" i="1"/>
  <c r="Z63" i="1"/>
  <c r="AA63" i="1"/>
  <c r="Z64" i="1"/>
  <c r="AA64" i="1"/>
  <c r="Z65" i="1"/>
  <c r="AA65" i="1"/>
  <c r="Z66" i="1"/>
  <c r="AA66" i="1"/>
  <c r="W67" i="1"/>
  <c r="Z67" i="1"/>
  <c r="AA67" i="1"/>
  <c r="Z68" i="1"/>
  <c r="AA68" i="1"/>
  <c r="Z69" i="1"/>
  <c r="AA69" i="1"/>
  <c r="V70"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W83" i="1"/>
  <c r="Z83" i="1"/>
  <c r="AA83" i="1"/>
  <c r="Z84" i="1"/>
  <c r="AA84" i="1"/>
  <c r="Z85" i="1"/>
  <c r="AA85" i="1"/>
  <c r="Z86" i="1"/>
  <c r="AA86" i="1"/>
  <c r="Z87" i="1"/>
  <c r="AA87" i="1"/>
  <c r="Z88" i="1"/>
  <c r="AA88" i="1"/>
  <c r="Z89" i="1"/>
  <c r="AA89" i="1"/>
  <c r="Z90" i="1"/>
  <c r="AA90" i="1"/>
  <c r="W91" i="1"/>
  <c r="Z91" i="1"/>
  <c r="AA91" i="1"/>
  <c r="Z92" i="1"/>
  <c r="AA92" i="1"/>
  <c r="Z93" i="1"/>
  <c r="AA93" i="1"/>
  <c r="W94"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W107" i="1"/>
  <c r="Z107" i="1"/>
  <c r="AA107" i="1"/>
  <c r="Z108" i="1"/>
  <c r="AA108" i="1"/>
  <c r="Z109" i="1"/>
  <c r="AA109" i="1"/>
  <c r="W110" i="1"/>
  <c r="Z110" i="1"/>
  <c r="AA110" i="1"/>
  <c r="Z111" i="1"/>
  <c r="AA111" i="1"/>
  <c r="Z112" i="1"/>
  <c r="AA112" i="1"/>
  <c r="Z113" i="1"/>
  <c r="AA113" i="1"/>
  <c r="Z114" i="1"/>
  <c r="AA114" i="1"/>
  <c r="V115" i="1"/>
  <c r="Z115" i="1"/>
  <c r="AA115" i="1"/>
  <c r="Z116" i="1"/>
  <c r="AA116" i="1"/>
  <c r="Z117" i="1"/>
  <c r="AA117" i="1"/>
  <c r="Z118" i="1"/>
  <c r="AA118" i="1"/>
  <c r="Z119" i="1"/>
  <c r="AA119" i="1"/>
  <c r="Z120" i="1"/>
  <c r="AA120" i="1"/>
  <c r="Z121" i="1"/>
  <c r="AA121" i="1"/>
  <c r="Z122" i="1"/>
  <c r="AA122" i="1"/>
  <c r="Z123" i="1"/>
  <c r="AA123" i="1"/>
  <c r="Z124" i="1"/>
  <c r="AA124" i="1"/>
  <c r="V125" i="1"/>
  <c r="Z125" i="1"/>
  <c r="AA125" i="1"/>
  <c r="Z126" i="1"/>
  <c r="AA126" i="1"/>
  <c r="Z127" i="1"/>
  <c r="AA127" i="1"/>
  <c r="Z128" i="1"/>
  <c r="AA128" i="1"/>
  <c r="Z129" i="1"/>
  <c r="AA129" i="1"/>
  <c r="Z130" i="1"/>
  <c r="AA130" i="1"/>
  <c r="Z131" i="1"/>
  <c r="AA131" i="1"/>
  <c r="Z132" i="1"/>
  <c r="AA132" i="1"/>
  <c r="W133" i="1"/>
  <c r="Z133" i="1"/>
  <c r="AA133" i="1"/>
  <c r="Z134" i="1"/>
  <c r="AA134" i="1"/>
  <c r="Z135" i="1"/>
  <c r="AA135" i="1"/>
  <c r="Z136" i="1"/>
  <c r="AA136" i="1"/>
  <c r="Z137" i="1"/>
  <c r="AA137" i="1"/>
  <c r="Z138" i="1"/>
  <c r="AA138" i="1"/>
  <c r="V139" i="1"/>
  <c r="Z139" i="1"/>
  <c r="AA139" i="1"/>
  <c r="Z140" i="1"/>
  <c r="AA140" i="1"/>
  <c r="Z141" i="1"/>
  <c r="AA141" i="1"/>
  <c r="Z142" i="1"/>
  <c r="AA142" i="1"/>
  <c r="Z143" i="1"/>
  <c r="AA143" i="1"/>
  <c r="Z144" i="1"/>
  <c r="AA144" i="1"/>
  <c r="Z145" i="1"/>
  <c r="AA145" i="1"/>
  <c r="Z146" i="1"/>
  <c r="AA146" i="1"/>
  <c r="Z147" i="1"/>
  <c r="AA147" i="1"/>
  <c r="Z148" i="1"/>
  <c r="AA148" i="1"/>
  <c r="W149" i="1"/>
  <c r="Z149" i="1"/>
  <c r="AA149" i="1"/>
  <c r="Z150" i="1"/>
  <c r="AA150" i="1"/>
  <c r="Z151" i="1"/>
  <c r="AA151" i="1"/>
  <c r="Z152" i="1"/>
  <c r="AA152" i="1"/>
  <c r="Z153" i="1"/>
  <c r="AA153" i="1"/>
  <c r="Z154" i="1"/>
  <c r="AA154" i="1"/>
  <c r="V155" i="1"/>
  <c r="Z155" i="1"/>
  <c r="AA155" i="1"/>
  <c r="Z156" i="1"/>
  <c r="AA156" i="1"/>
  <c r="V157" i="1"/>
  <c r="Z157" i="1"/>
  <c r="AA157" i="1"/>
  <c r="Z158" i="1"/>
  <c r="AA158" i="1"/>
  <c r="Z159" i="1"/>
  <c r="AA159" i="1"/>
  <c r="Z160" i="1"/>
  <c r="AA160" i="1"/>
  <c r="Z161" i="1"/>
  <c r="AA161" i="1"/>
  <c r="Z162" i="1"/>
  <c r="AA162" i="1"/>
  <c r="W163" i="1"/>
  <c r="Z163" i="1"/>
  <c r="AA163" i="1"/>
  <c r="Z164" i="1"/>
  <c r="AA164" i="1"/>
  <c r="Z165" i="1"/>
  <c r="AA165" i="1"/>
  <c r="P166" i="1"/>
  <c r="Q166" i="1" s="1"/>
  <c r="Z166" i="1"/>
  <c r="AA166" i="1"/>
  <c r="Z167" i="1"/>
  <c r="AA167" i="1"/>
  <c r="Z168" i="1"/>
  <c r="AA168" i="1"/>
  <c r="Z169" i="1"/>
  <c r="AA169" i="1"/>
  <c r="Z170" i="1"/>
  <c r="AA170" i="1"/>
  <c r="Z171" i="1"/>
  <c r="AA171" i="1"/>
  <c r="Z172" i="1"/>
  <c r="AA172" i="1"/>
  <c r="V173" i="1"/>
  <c r="Z173" i="1"/>
  <c r="AA173" i="1"/>
  <c r="V174"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V189" i="1"/>
  <c r="Z189" i="1"/>
  <c r="AA189" i="1"/>
  <c r="W190" i="1"/>
  <c r="Z190" i="1"/>
  <c r="AA190" i="1"/>
  <c r="Z191" i="1"/>
  <c r="AA191" i="1"/>
  <c r="Z192" i="1"/>
  <c r="AA192" i="1"/>
  <c r="Z193" i="1"/>
  <c r="AA193" i="1"/>
  <c r="Z194" i="1"/>
  <c r="AA194" i="1"/>
  <c r="W195" i="1"/>
  <c r="Z195" i="1"/>
  <c r="AA195" i="1"/>
  <c r="Z196" i="1"/>
  <c r="AA196" i="1"/>
  <c r="W197" i="1"/>
  <c r="Z197" i="1"/>
  <c r="AA197" i="1"/>
  <c r="V198" i="1"/>
  <c r="Z198" i="1"/>
  <c r="AA198" i="1"/>
  <c r="Z199" i="1"/>
  <c r="AA199" i="1"/>
  <c r="Z200" i="1"/>
  <c r="AA200" i="1"/>
  <c r="Z201" i="1"/>
  <c r="AA201" i="1"/>
  <c r="Z202" i="1"/>
  <c r="AA202" i="1"/>
  <c r="Z203" i="1"/>
  <c r="AA203" i="1"/>
  <c r="Z204" i="1"/>
  <c r="AA204" i="1"/>
  <c r="W205" i="1"/>
  <c r="Z205" i="1"/>
  <c r="AA205" i="1"/>
  <c r="Z206" i="1"/>
  <c r="AA206" i="1"/>
  <c r="Z207" i="1"/>
  <c r="AA207" i="1"/>
  <c r="Z208" i="1"/>
  <c r="AA208" i="1"/>
  <c r="Z209" i="1"/>
  <c r="AA209" i="1"/>
  <c r="Z210" i="1"/>
  <c r="AA210" i="1"/>
  <c r="W211" i="1"/>
  <c r="Z211" i="1"/>
  <c r="AA211" i="1"/>
  <c r="Z212" i="1"/>
  <c r="AA212" i="1"/>
  <c r="W213" i="1"/>
  <c r="Z213" i="1"/>
  <c r="AA213" i="1"/>
  <c r="Z214" i="1"/>
  <c r="AA214" i="1"/>
  <c r="Z215" i="1"/>
  <c r="AA215" i="1"/>
  <c r="Z216" i="1"/>
  <c r="AA216" i="1"/>
  <c r="Z217" i="1"/>
  <c r="AA217" i="1"/>
  <c r="Z218" i="1"/>
  <c r="AA218" i="1"/>
  <c r="V219" i="1"/>
  <c r="Z219" i="1"/>
  <c r="AA219" i="1"/>
  <c r="Z220" i="1"/>
  <c r="AA220" i="1"/>
  <c r="V221" i="1"/>
  <c r="W221" i="1"/>
  <c r="Z221" i="1"/>
  <c r="AA221" i="1"/>
  <c r="W222" i="1"/>
  <c r="Z222" i="1"/>
  <c r="AA222" i="1"/>
  <c r="Z223" i="1"/>
  <c r="AA223" i="1"/>
  <c r="Z224" i="1"/>
  <c r="AA224" i="1"/>
  <c r="Z225" i="1"/>
  <c r="AA225" i="1"/>
  <c r="Z226" i="1"/>
  <c r="AA226" i="1"/>
  <c r="W227" i="1"/>
  <c r="Z227" i="1"/>
  <c r="AA227" i="1"/>
  <c r="Z228" i="1"/>
  <c r="AA228" i="1"/>
  <c r="V229" i="1"/>
  <c r="Z229" i="1"/>
  <c r="AA229" i="1"/>
  <c r="Z230" i="1"/>
  <c r="AA230" i="1"/>
  <c r="Z231" i="1"/>
  <c r="AA231" i="1"/>
  <c r="Z232" i="1"/>
  <c r="AA232" i="1"/>
  <c r="Z233" i="1"/>
  <c r="AA233" i="1"/>
  <c r="Z234" i="1"/>
  <c r="AA234" i="1"/>
  <c r="V235" i="1"/>
  <c r="W235" i="1"/>
  <c r="Z235" i="1"/>
  <c r="AA235" i="1"/>
  <c r="Z236" i="1"/>
  <c r="AA236" i="1"/>
  <c r="V237" i="1"/>
  <c r="Z237" i="1"/>
  <c r="AA237" i="1"/>
  <c r="Z238" i="1"/>
  <c r="AA238" i="1"/>
  <c r="Z239" i="1"/>
  <c r="AA239" i="1"/>
  <c r="Z240" i="1"/>
  <c r="AA240" i="1"/>
  <c r="Z241" i="1"/>
  <c r="AA241" i="1"/>
  <c r="Z242" i="1"/>
  <c r="AA242" i="1"/>
  <c r="V243" i="1"/>
  <c r="Z243" i="1"/>
  <c r="AA243" i="1"/>
  <c r="Z244" i="1"/>
  <c r="AA244" i="1"/>
  <c r="W245" i="1"/>
  <c r="Z245" i="1"/>
  <c r="AA245" i="1"/>
  <c r="Z246" i="1"/>
  <c r="AA246" i="1"/>
  <c r="Z247" i="1"/>
  <c r="AA247" i="1"/>
  <c r="Z248" i="1"/>
  <c r="AA248" i="1"/>
  <c r="Z249" i="1"/>
  <c r="AA249" i="1"/>
  <c r="Z250" i="1"/>
  <c r="AA250" i="1"/>
  <c r="Z251" i="1"/>
  <c r="AA251" i="1"/>
  <c r="Z252" i="1"/>
  <c r="AA252" i="1"/>
  <c r="V253" i="1"/>
  <c r="Z253" i="1"/>
  <c r="AA253" i="1"/>
  <c r="Z254" i="1"/>
  <c r="AA254" i="1"/>
  <c r="Z255" i="1"/>
  <c r="AA255" i="1"/>
  <c r="Z256" i="1"/>
  <c r="AA256" i="1"/>
  <c r="Z257" i="1"/>
  <c r="AA257" i="1"/>
  <c r="Z258" i="1"/>
  <c r="AA258" i="1"/>
  <c r="W259" i="1"/>
  <c r="Z259" i="1"/>
  <c r="AA259" i="1"/>
  <c r="Z260" i="1"/>
  <c r="AA260" i="1"/>
  <c r="Z261" i="1"/>
  <c r="AA261" i="1"/>
  <c r="Z262" i="1"/>
  <c r="AA262" i="1"/>
  <c r="Z263" i="1"/>
  <c r="AA263" i="1"/>
  <c r="Z264" i="1"/>
  <c r="AA264" i="1"/>
  <c r="Z265" i="1"/>
  <c r="AA265" i="1"/>
  <c r="Z266" i="1"/>
  <c r="AA266" i="1"/>
  <c r="W267" i="1"/>
  <c r="Z267" i="1"/>
  <c r="AA267" i="1"/>
  <c r="Z268" i="1"/>
  <c r="AA268" i="1"/>
  <c r="V269" i="1"/>
  <c r="Z269" i="1"/>
  <c r="AA269" i="1"/>
  <c r="V270" i="1"/>
  <c r="Z270" i="1"/>
  <c r="AA270" i="1"/>
  <c r="Z271" i="1"/>
  <c r="AA271" i="1"/>
  <c r="Z272" i="1"/>
  <c r="AA272" i="1"/>
  <c r="Z273" i="1"/>
  <c r="AA273" i="1"/>
  <c r="Z274" i="1"/>
  <c r="AA274" i="1"/>
  <c r="P275" i="1"/>
  <c r="S275" i="1" s="1"/>
  <c r="Z275" i="1"/>
  <c r="AA275" i="1"/>
  <c r="Z276" i="1"/>
  <c r="AA276" i="1"/>
  <c r="P277" i="1"/>
  <c r="W277" i="1"/>
  <c r="Z277" i="1"/>
  <c r="AA277" i="1"/>
  <c r="Z278" i="1"/>
  <c r="AA278" i="1"/>
  <c r="Z279" i="1"/>
  <c r="AA279" i="1"/>
  <c r="Z280" i="1"/>
  <c r="AA280" i="1"/>
  <c r="Z281" i="1"/>
  <c r="AA281" i="1"/>
  <c r="Z282" i="1"/>
  <c r="AA282" i="1"/>
  <c r="Z283" i="1"/>
  <c r="AA283" i="1"/>
  <c r="Z284" i="1"/>
  <c r="AA284" i="1"/>
  <c r="V285" i="1"/>
  <c r="W285" i="1"/>
  <c r="Z285" i="1"/>
  <c r="AA285" i="1"/>
  <c r="V286" i="1"/>
  <c r="Z286" i="1"/>
  <c r="AA286" i="1"/>
  <c r="Z287" i="1"/>
  <c r="AA287" i="1"/>
  <c r="Z288" i="1"/>
  <c r="AA288" i="1"/>
  <c r="Z289" i="1"/>
  <c r="AA289" i="1"/>
  <c r="Z290" i="1"/>
  <c r="AA290" i="1"/>
  <c r="V291" i="1"/>
  <c r="Z291" i="1"/>
  <c r="AA291" i="1"/>
  <c r="Z292" i="1"/>
  <c r="AA292" i="1"/>
  <c r="V293" i="1"/>
  <c r="W293" i="1"/>
  <c r="Z293" i="1"/>
  <c r="AA293" i="1"/>
  <c r="Z294" i="1"/>
  <c r="AA294" i="1"/>
  <c r="Z295" i="1"/>
  <c r="AA295" i="1"/>
  <c r="Z296" i="1"/>
  <c r="AA296" i="1"/>
  <c r="V297" i="1"/>
  <c r="Z297" i="1"/>
  <c r="AA297" i="1"/>
  <c r="Z298" i="1"/>
  <c r="AA298" i="1"/>
  <c r="W299" i="1"/>
  <c r="Z299" i="1"/>
  <c r="AA299" i="1"/>
  <c r="Z300" i="1"/>
  <c r="AA300" i="1"/>
  <c r="Z301" i="1"/>
  <c r="AA301" i="1"/>
  <c r="V302" i="1"/>
  <c r="Z302" i="1"/>
  <c r="AA302" i="1"/>
  <c r="Z303" i="1"/>
  <c r="AA303" i="1"/>
  <c r="Z304" i="1"/>
  <c r="AA304" i="1"/>
  <c r="Z305" i="1"/>
  <c r="AA305" i="1"/>
  <c r="Z306" i="1"/>
  <c r="AA306" i="1"/>
  <c r="Z307" i="1"/>
  <c r="AA307" i="1"/>
  <c r="Z308" i="1"/>
  <c r="AA308" i="1"/>
  <c r="P309" i="1"/>
  <c r="R309" i="1"/>
  <c r="W309" i="1"/>
  <c r="Z309" i="1"/>
  <c r="AA309" i="1"/>
  <c r="Z310" i="1"/>
  <c r="AA310" i="1"/>
  <c r="Z311" i="1"/>
  <c r="AA311" i="1"/>
  <c r="Z312" i="1"/>
  <c r="AA312" i="1"/>
  <c r="V313" i="1"/>
  <c r="Z313" i="1"/>
  <c r="AA313" i="1"/>
  <c r="Z314" i="1"/>
  <c r="AA314" i="1"/>
  <c r="V315" i="1"/>
  <c r="W315" i="1"/>
  <c r="Z315" i="1"/>
  <c r="AA315" i="1"/>
  <c r="Z316" i="1"/>
  <c r="AA316" i="1"/>
  <c r="P317" i="1"/>
  <c r="Q317" i="1" s="1"/>
  <c r="R317" i="1"/>
  <c r="Z317" i="1"/>
  <c r="AA317" i="1"/>
  <c r="Z318" i="1"/>
  <c r="AA318" i="1"/>
  <c r="Z319" i="1"/>
  <c r="AA319" i="1"/>
  <c r="Z320" i="1"/>
  <c r="AA320" i="1"/>
  <c r="Z321" i="1"/>
  <c r="AA321" i="1"/>
  <c r="Z322" i="1"/>
  <c r="AA322" i="1"/>
  <c r="Z323" i="1"/>
  <c r="AA323" i="1"/>
  <c r="Z324" i="1"/>
  <c r="AA324" i="1"/>
  <c r="V325" i="1"/>
  <c r="W325" i="1"/>
  <c r="Z325" i="1"/>
  <c r="AA325" i="1"/>
  <c r="Z326" i="1"/>
  <c r="AA326" i="1"/>
  <c r="Z327" i="1"/>
  <c r="AA327" i="1"/>
  <c r="Z328" i="1"/>
  <c r="AA328" i="1"/>
  <c r="Z329" i="1"/>
  <c r="AA329" i="1"/>
  <c r="Z330" i="1"/>
  <c r="AA330" i="1"/>
  <c r="V331" i="1"/>
  <c r="Z331" i="1"/>
  <c r="AA331" i="1"/>
  <c r="Z332" i="1"/>
  <c r="AA332" i="1"/>
  <c r="V333" i="1"/>
  <c r="Z333" i="1"/>
  <c r="AA333" i="1"/>
  <c r="V334" i="1"/>
  <c r="Z334" i="1"/>
  <c r="AA334" i="1"/>
  <c r="Z335" i="1"/>
  <c r="AA335" i="1"/>
  <c r="Z336" i="1"/>
  <c r="AA336" i="1"/>
  <c r="Z337" i="1"/>
  <c r="AA337" i="1"/>
  <c r="Z338" i="1"/>
  <c r="AA338" i="1"/>
  <c r="W339" i="1"/>
  <c r="Z339" i="1"/>
  <c r="AA339" i="1"/>
  <c r="Z340" i="1"/>
  <c r="AA340" i="1"/>
  <c r="V341" i="1"/>
  <c r="W341" i="1"/>
  <c r="Z341" i="1"/>
  <c r="AA341" i="1"/>
  <c r="V342" i="1"/>
  <c r="Z342" i="1"/>
  <c r="AA342" i="1"/>
  <c r="Z343" i="1"/>
  <c r="AA343" i="1"/>
  <c r="Z344" i="1"/>
  <c r="AA344" i="1"/>
  <c r="Z345" i="1"/>
  <c r="AA345" i="1"/>
  <c r="Z346" i="1"/>
  <c r="AA346" i="1"/>
  <c r="R347" i="1"/>
  <c r="Z347" i="1"/>
  <c r="AA347" i="1"/>
  <c r="Z348" i="1"/>
  <c r="AA348" i="1"/>
  <c r="V349" i="1"/>
  <c r="W349" i="1"/>
  <c r="Z349" i="1"/>
  <c r="AA349" i="1"/>
  <c r="V350" i="1"/>
  <c r="Z350" i="1"/>
  <c r="AA350" i="1"/>
  <c r="Z351" i="1"/>
  <c r="AA351" i="1"/>
  <c r="Z352" i="1"/>
  <c r="AA352" i="1"/>
  <c r="Z353" i="1"/>
  <c r="AA353" i="1"/>
  <c r="Z354" i="1"/>
  <c r="AA354" i="1"/>
  <c r="W355" i="1"/>
  <c r="Z355" i="1"/>
  <c r="AA355" i="1"/>
  <c r="Z356" i="1"/>
  <c r="AA356" i="1"/>
  <c r="V357" i="1"/>
  <c r="W357" i="1"/>
  <c r="Z357" i="1"/>
  <c r="AA357" i="1"/>
  <c r="Z358" i="1"/>
  <c r="AA358" i="1"/>
  <c r="Z359" i="1"/>
  <c r="AA359" i="1"/>
  <c r="Z360" i="1"/>
  <c r="AA360" i="1"/>
  <c r="Z361" i="1"/>
  <c r="AA361" i="1"/>
  <c r="Z362" i="1"/>
  <c r="AA362" i="1"/>
  <c r="Z363" i="1"/>
  <c r="AA363" i="1"/>
  <c r="R364" i="1"/>
  <c r="Z364" i="1"/>
  <c r="AA364" i="1"/>
  <c r="V365" i="1"/>
  <c r="W365" i="1"/>
  <c r="Z365" i="1"/>
  <c r="AA365" i="1"/>
  <c r="Z366" i="1"/>
  <c r="AA366" i="1"/>
  <c r="Z367" i="1"/>
  <c r="AA367" i="1"/>
  <c r="Z368" i="1"/>
  <c r="AA368" i="1"/>
  <c r="V369" i="1"/>
  <c r="Z369" i="1"/>
  <c r="AA369" i="1"/>
  <c r="Z370" i="1"/>
  <c r="AA370" i="1"/>
  <c r="W371" i="1"/>
  <c r="Z371" i="1"/>
  <c r="AA371" i="1"/>
  <c r="Z372" i="1"/>
  <c r="AA372" i="1"/>
  <c r="V373" i="1"/>
  <c r="W373" i="1"/>
  <c r="Z373" i="1"/>
  <c r="AA373" i="1"/>
  <c r="Z374" i="1"/>
  <c r="AA374" i="1"/>
  <c r="Z375" i="1"/>
  <c r="AA375" i="1"/>
  <c r="Z376" i="1"/>
  <c r="AA376" i="1"/>
  <c r="Z377" i="1"/>
  <c r="AA377" i="1"/>
  <c r="Z378" i="1"/>
  <c r="AA378" i="1"/>
  <c r="V379" i="1"/>
  <c r="Z379" i="1"/>
  <c r="AA379" i="1"/>
  <c r="Z380" i="1"/>
  <c r="AA380" i="1"/>
  <c r="P381" i="1"/>
  <c r="R381" i="1"/>
  <c r="V381" i="1"/>
  <c r="W381" i="1"/>
  <c r="Z381" i="1"/>
  <c r="AA381" i="1"/>
  <c r="Z382" i="1"/>
  <c r="AA382" i="1"/>
  <c r="Z383" i="1"/>
  <c r="AA383" i="1"/>
  <c r="Z384" i="1"/>
  <c r="AA384" i="1"/>
  <c r="Z385" i="1"/>
  <c r="AA385" i="1"/>
  <c r="Z386" i="1"/>
  <c r="AA386" i="1"/>
  <c r="V387" i="1"/>
  <c r="Z387" i="1"/>
  <c r="AA387" i="1"/>
  <c r="Z388" i="1"/>
  <c r="AA388" i="1"/>
  <c r="P389" i="1"/>
  <c r="V389" i="1"/>
  <c r="Z389" i="1"/>
  <c r="AA389" i="1"/>
  <c r="Z390" i="1"/>
  <c r="AA390" i="1"/>
  <c r="Z391" i="1"/>
  <c r="AA391" i="1"/>
  <c r="Z392" i="1"/>
  <c r="AA392" i="1"/>
  <c r="Z393" i="1"/>
  <c r="AA393" i="1"/>
  <c r="Z394" i="1"/>
  <c r="AA394" i="1"/>
  <c r="Z395" i="1"/>
  <c r="AA395" i="1"/>
  <c r="Z396" i="1"/>
  <c r="AA396" i="1"/>
  <c r="V397" i="1"/>
  <c r="W397" i="1"/>
  <c r="Z397" i="1"/>
  <c r="AA397" i="1"/>
  <c r="V398" i="1"/>
  <c r="Z398" i="1"/>
  <c r="AA398" i="1"/>
  <c r="Z399" i="1"/>
  <c r="AA399" i="1"/>
  <c r="Z400" i="1"/>
  <c r="AA400" i="1"/>
  <c r="Z401" i="1"/>
  <c r="AA401" i="1"/>
  <c r="Z402" i="1"/>
  <c r="AA402" i="1"/>
  <c r="Z403" i="1"/>
  <c r="AA403" i="1"/>
  <c r="Z404" i="1"/>
  <c r="AA404" i="1"/>
  <c r="P405" i="1"/>
  <c r="Q405" i="1" s="1"/>
  <c r="R405" i="1"/>
  <c r="V405" i="1"/>
  <c r="W405" i="1"/>
  <c r="Z405" i="1"/>
  <c r="AA405" i="1"/>
  <c r="Z406" i="1"/>
  <c r="AA406" i="1"/>
  <c r="Z407" i="1"/>
  <c r="AA407" i="1"/>
  <c r="Z408" i="1"/>
  <c r="AA408" i="1"/>
  <c r="Z409" i="1"/>
  <c r="AA409" i="1"/>
  <c r="Z410" i="1"/>
  <c r="AA410" i="1"/>
  <c r="V411" i="1"/>
  <c r="Z411" i="1"/>
  <c r="AA411" i="1"/>
  <c r="Z412" i="1"/>
  <c r="AA412" i="1"/>
  <c r="P413" i="1"/>
  <c r="V413" i="1"/>
  <c r="W413" i="1"/>
  <c r="Z413" i="1"/>
  <c r="AA413" i="1"/>
  <c r="V414" i="1"/>
  <c r="Z414" i="1"/>
  <c r="AA414" i="1"/>
  <c r="Z415" i="1"/>
  <c r="AA415" i="1"/>
  <c r="Z416" i="1"/>
  <c r="AA416" i="1"/>
  <c r="Z417" i="1"/>
  <c r="AA417" i="1"/>
  <c r="Z418" i="1"/>
  <c r="AA418" i="1"/>
  <c r="P419" i="1"/>
  <c r="S419" i="1" s="1"/>
  <c r="R419" i="1"/>
  <c r="Z419" i="1"/>
  <c r="AA419" i="1"/>
  <c r="Z420" i="1"/>
  <c r="AA420" i="1"/>
  <c r="P421" i="1"/>
  <c r="R421" i="1"/>
  <c r="V421" i="1"/>
  <c r="W421" i="1"/>
  <c r="Z421" i="1"/>
  <c r="AA421" i="1"/>
  <c r="Z422" i="1"/>
  <c r="AA422" i="1"/>
  <c r="Z423" i="1"/>
  <c r="AA423" i="1"/>
  <c r="Z424" i="1"/>
  <c r="AA424" i="1"/>
  <c r="V425" i="1"/>
  <c r="Z425" i="1"/>
  <c r="AA425" i="1"/>
  <c r="Z426" i="1"/>
  <c r="AA426" i="1"/>
  <c r="W427" i="1"/>
  <c r="Z427" i="1"/>
  <c r="AA427" i="1"/>
  <c r="Z428" i="1"/>
  <c r="AA428" i="1"/>
  <c r="V429" i="1"/>
  <c r="W429" i="1"/>
  <c r="Z429" i="1"/>
  <c r="AA429" i="1"/>
  <c r="Z430" i="1"/>
  <c r="AA430" i="1"/>
  <c r="Z431" i="1"/>
  <c r="AA431" i="1"/>
  <c r="Z432" i="1"/>
  <c r="AA432" i="1"/>
  <c r="Z433" i="1"/>
  <c r="AA433" i="1"/>
  <c r="Z434" i="1"/>
  <c r="AA434" i="1"/>
  <c r="Z435" i="1"/>
  <c r="AA435" i="1"/>
  <c r="Z436" i="1"/>
  <c r="AA436" i="1"/>
  <c r="V437" i="1"/>
  <c r="W437" i="1"/>
  <c r="Z437" i="1"/>
  <c r="AA437" i="1"/>
  <c r="V438" i="1"/>
  <c r="Z438" i="1"/>
  <c r="AA438" i="1"/>
  <c r="Z439" i="1"/>
  <c r="AA439" i="1"/>
  <c r="Z440" i="1"/>
  <c r="AA440" i="1"/>
  <c r="Z441" i="1"/>
  <c r="AA441" i="1"/>
  <c r="Z442" i="1"/>
  <c r="AA442" i="1"/>
  <c r="Z443" i="1"/>
  <c r="AA443" i="1"/>
  <c r="Z444" i="1"/>
  <c r="AA444" i="1"/>
  <c r="P445" i="1"/>
  <c r="R445" i="1"/>
  <c r="V445" i="1"/>
  <c r="W445" i="1"/>
  <c r="Z445" i="1"/>
  <c r="AA445" i="1"/>
  <c r="Z446" i="1"/>
  <c r="AA446" i="1"/>
  <c r="Z447" i="1"/>
  <c r="AA447" i="1"/>
  <c r="Z448" i="1"/>
  <c r="AA448" i="1"/>
  <c r="V449" i="1"/>
  <c r="Z449" i="1"/>
  <c r="AA449" i="1"/>
  <c r="Z450" i="1"/>
  <c r="AA450" i="1"/>
  <c r="V451" i="1"/>
  <c r="Z451" i="1"/>
  <c r="AA451" i="1"/>
  <c r="Z452" i="1"/>
  <c r="AA452" i="1"/>
  <c r="P453" i="1"/>
  <c r="S453" i="1" s="1"/>
  <c r="R453" i="1"/>
  <c r="V453" i="1"/>
  <c r="W453" i="1"/>
  <c r="Z453" i="1"/>
  <c r="AA453" i="1"/>
  <c r="Z454" i="1"/>
  <c r="AA454" i="1"/>
  <c r="Z455" i="1"/>
  <c r="AA455" i="1"/>
  <c r="Z456" i="1"/>
  <c r="AA456" i="1"/>
  <c r="Z457" i="1"/>
  <c r="AA457" i="1"/>
  <c r="Z458" i="1"/>
  <c r="AA458" i="1"/>
  <c r="Z459" i="1"/>
  <c r="AA459" i="1"/>
  <c r="Z460" i="1"/>
  <c r="AA460" i="1"/>
  <c r="V461" i="1"/>
  <c r="W461" i="1"/>
  <c r="Z461" i="1"/>
  <c r="AA461" i="1"/>
  <c r="V462" i="1"/>
  <c r="Z462" i="1"/>
  <c r="AA462" i="1"/>
  <c r="Z463" i="1"/>
  <c r="AA463" i="1"/>
  <c r="Z464" i="1"/>
  <c r="AA464" i="1"/>
  <c r="Z465" i="1"/>
  <c r="AA465" i="1"/>
  <c r="Z466" i="1"/>
  <c r="AA466" i="1"/>
  <c r="V467" i="1"/>
  <c r="Z467" i="1"/>
  <c r="AA467" i="1"/>
  <c r="Z468" i="1"/>
  <c r="AA468" i="1"/>
  <c r="P469" i="1"/>
  <c r="Q469" i="1" s="1"/>
  <c r="R469" i="1"/>
  <c r="V469" i="1"/>
  <c r="W469" i="1"/>
  <c r="Z469" i="1"/>
  <c r="AA469" i="1"/>
  <c r="Z470" i="1"/>
  <c r="AA470" i="1"/>
  <c r="Z471" i="1"/>
  <c r="AA471" i="1"/>
  <c r="Z472" i="1"/>
  <c r="AA472" i="1"/>
  <c r="Z473" i="1"/>
  <c r="AA473" i="1"/>
  <c r="Z474" i="1"/>
  <c r="AA474" i="1"/>
  <c r="W475" i="1"/>
  <c r="Z475" i="1"/>
  <c r="AA475" i="1"/>
  <c r="Z476" i="1"/>
  <c r="AA476" i="1"/>
  <c r="V477" i="1"/>
  <c r="W477" i="1"/>
  <c r="Z477" i="1"/>
  <c r="AA477" i="1"/>
  <c r="Z478" i="1"/>
  <c r="AA478" i="1"/>
  <c r="Z479" i="1"/>
  <c r="AA479" i="1"/>
  <c r="Z480" i="1"/>
  <c r="AA480" i="1"/>
  <c r="P481" i="1"/>
  <c r="Z481" i="1"/>
  <c r="AA481" i="1"/>
  <c r="Z482" i="1"/>
  <c r="AA482" i="1"/>
  <c r="W483" i="1"/>
  <c r="Z483" i="1"/>
  <c r="AA483" i="1"/>
  <c r="Z484" i="1"/>
  <c r="AA484" i="1"/>
  <c r="V485" i="1"/>
  <c r="W485" i="1"/>
  <c r="Z485" i="1"/>
  <c r="AA485" i="1"/>
  <c r="Z486" i="1"/>
  <c r="AA486" i="1"/>
  <c r="Z487" i="1"/>
  <c r="AA487" i="1"/>
  <c r="Z488" i="1"/>
  <c r="AA488" i="1"/>
  <c r="Z489" i="1"/>
  <c r="AA489" i="1"/>
  <c r="Z490" i="1"/>
  <c r="AA490" i="1"/>
  <c r="W491" i="1"/>
  <c r="Z491" i="1"/>
  <c r="AA491" i="1"/>
  <c r="Z492" i="1"/>
  <c r="AA492" i="1"/>
  <c r="V493" i="1"/>
  <c r="W493" i="1"/>
  <c r="Z493" i="1"/>
  <c r="AA493" i="1"/>
  <c r="V494" i="1"/>
  <c r="Z494" i="1"/>
  <c r="AA494" i="1"/>
  <c r="Z495" i="1"/>
  <c r="AA495" i="1"/>
  <c r="Z496" i="1"/>
  <c r="AA496" i="1"/>
  <c r="W497" i="1"/>
  <c r="Z497" i="1"/>
  <c r="AA497" i="1"/>
  <c r="Z498" i="1"/>
  <c r="AA498" i="1"/>
  <c r="W499" i="1"/>
  <c r="Z499" i="1"/>
  <c r="AA499" i="1"/>
  <c r="Z500" i="1"/>
  <c r="AA500" i="1"/>
  <c r="V501" i="1"/>
  <c r="W501" i="1"/>
  <c r="Z501" i="1"/>
  <c r="AA501" i="1"/>
  <c r="Z502" i="1"/>
  <c r="AA502" i="1"/>
  <c r="Z503" i="1"/>
  <c r="AA503" i="1"/>
  <c r="Z504" i="1"/>
  <c r="AA504" i="1"/>
  <c r="Z505" i="1"/>
  <c r="AA505" i="1"/>
  <c r="Z506" i="1"/>
  <c r="AA506" i="1"/>
  <c r="V507" i="1"/>
  <c r="W507" i="1"/>
  <c r="Z507" i="1"/>
  <c r="AA507" i="1"/>
  <c r="Z508" i="1"/>
  <c r="AA508" i="1"/>
  <c r="P509" i="1"/>
  <c r="R509" i="1"/>
  <c r="V509" i="1"/>
  <c r="W509" i="1"/>
  <c r="Z509" i="1"/>
  <c r="AA509" i="1"/>
  <c r="V510" i="1"/>
  <c r="Z510" i="1"/>
  <c r="AA510" i="1"/>
  <c r="Z511" i="1"/>
  <c r="AA511" i="1"/>
  <c r="Z512" i="1"/>
  <c r="AA512" i="1"/>
  <c r="Z513" i="1"/>
  <c r="AA513" i="1"/>
  <c r="Z514" i="1"/>
  <c r="AA514" i="1"/>
  <c r="V515" i="1"/>
  <c r="Z515" i="1"/>
  <c r="AA515" i="1"/>
  <c r="Z516" i="1"/>
  <c r="AA516" i="1"/>
  <c r="V517" i="1"/>
  <c r="W517" i="1"/>
  <c r="Z517" i="1"/>
  <c r="AA517" i="1"/>
  <c r="Z518" i="1"/>
  <c r="AA518" i="1"/>
  <c r="Z519" i="1"/>
  <c r="AA519" i="1"/>
  <c r="Z520" i="1"/>
  <c r="AA520" i="1"/>
  <c r="Z521" i="1"/>
  <c r="AA521" i="1"/>
  <c r="Z522" i="1"/>
  <c r="AA522" i="1"/>
  <c r="W523" i="1"/>
  <c r="Z523" i="1"/>
  <c r="AA523" i="1"/>
  <c r="Z524" i="1"/>
  <c r="AA524" i="1"/>
  <c r="V525" i="1"/>
  <c r="W525" i="1"/>
  <c r="Z525" i="1"/>
  <c r="AA525" i="1"/>
  <c r="V526" i="1"/>
  <c r="Z526" i="1"/>
  <c r="AA526" i="1"/>
  <c r="Z527" i="1"/>
  <c r="AA527" i="1"/>
  <c r="Z528" i="1"/>
  <c r="AA528" i="1"/>
  <c r="V529" i="1"/>
  <c r="Z529" i="1"/>
  <c r="AA529" i="1"/>
  <c r="Z530" i="1"/>
  <c r="AA530" i="1"/>
  <c r="Z531" i="1"/>
  <c r="AA531" i="1"/>
  <c r="Z532" i="1"/>
  <c r="AA532" i="1"/>
  <c r="V533" i="1"/>
  <c r="W533" i="1"/>
  <c r="Z533" i="1"/>
  <c r="AA533" i="1"/>
  <c r="Z534" i="1"/>
  <c r="AA534" i="1"/>
  <c r="Z535" i="1"/>
  <c r="AA535" i="1"/>
  <c r="Z536" i="1"/>
  <c r="AA536" i="1"/>
  <c r="Z537" i="1"/>
  <c r="AA537" i="1"/>
  <c r="Z538" i="1"/>
  <c r="AA538" i="1"/>
  <c r="W539" i="1"/>
  <c r="Z539" i="1"/>
  <c r="AA539" i="1"/>
  <c r="Z540" i="1"/>
  <c r="AA540" i="1"/>
  <c r="V541" i="1"/>
  <c r="W541" i="1"/>
  <c r="Z541" i="1"/>
  <c r="AA541" i="1"/>
  <c r="V542" i="1"/>
  <c r="Z542" i="1"/>
  <c r="AA542" i="1"/>
  <c r="Z543" i="1"/>
  <c r="AA543" i="1"/>
  <c r="Z544" i="1"/>
  <c r="AA544" i="1"/>
  <c r="Z545" i="1"/>
  <c r="AA545" i="1"/>
  <c r="Z546" i="1"/>
  <c r="AA546" i="1"/>
  <c r="V547" i="1"/>
  <c r="Z547" i="1"/>
  <c r="AA547" i="1"/>
  <c r="Z548" i="1"/>
  <c r="AA548" i="1"/>
  <c r="V549" i="1"/>
  <c r="W549" i="1"/>
  <c r="Z549" i="1"/>
  <c r="AA549" i="1"/>
  <c r="P550" i="1"/>
  <c r="Z550" i="1"/>
  <c r="AA550" i="1"/>
  <c r="Z551" i="1"/>
  <c r="AA551" i="1"/>
  <c r="Z552" i="1"/>
  <c r="AA552" i="1"/>
  <c r="Z553" i="1"/>
  <c r="AA553" i="1"/>
  <c r="Z554" i="1"/>
  <c r="AA554" i="1"/>
  <c r="Z555" i="1"/>
  <c r="AA555" i="1"/>
  <c r="Z556" i="1"/>
  <c r="AA556" i="1"/>
  <c r="V557" i="1"/>
  <c r="W557" i="1"/>
  <c r="Z557" i="1"/>
  <c r="AA557" i="1"/>
  <c r="V558" i="1"/>
  <c r="Z558" i="1"/>
  <c r="AA558" i="1"/>
  <c r="Z559" i="1"/>
  <c r="AA559" i="1"/>
  <c r="Z560" i="1"/>
  <c r="AA560" i="1"/>
  <c r="Z561" i="1"/>
  <c r="AA561" i="1"/>
  <c r="Z562" i="1"/>
  <c r="AA562" i="1"/>
  <c r="W563" i="1"/>
  <c r="Z563" i="1"/>
  <c r="AA563" i="1"/>
  <c r="Z564" i="1"/>
  <c r="AA564" i="1"/>
  <c r="P565" i="1"/>
  <c r="R565" i="1"/>
  <c r="V565" i="1"/>
  <c r="W565" i="1"/>
  <c r="Z565" i="1"/>
  <c r="AA565" i="1"/>
  <c r="V566" i="1"/>
  <c r="W566" i="1"/>
  <c r="Z566" i="1"/>
  <c r="AA566" i="1"/>
  <c r="Z567" i="1"/>
  <c r="AA567" i="1"/>
  <c r="Z568" i="1"/>
  <c r="AA568" i="1"/>
  <c r="Z569" i="1"/>
  <c r="AA569" i="1"/>
  <c r="Z570" i="1"/>
  <c r="AA570" i="1"/>
  <c r="Z571" i="1"/>
  <c r="AA571" i="1"/>
  <c r="V572" i="1"/>
  <c r="Z572" i="1"/>
  <c r="AA572" i="1"/>
  <c r="V573" i="1"/>
  <c r="W573" i="1"/>
  <c r="Z573" i="1"/>
  <c r="AA573" i="1"/>
  <c r="R574" i="1"/>
  <c r="V574" i="1"/>
  <c r="W574" i="1"/>
  <c r="Z574" i="1"/>
  <c r="AA574" i="1"/>
  <c r="Z575" i="1"/>
  <c r="AA575" i="1"/>
  <c r="Z576" i="1"/>
  <c r="AA576" i="1"/>
  <c r="W577" i="1"/>
  <c r="Z577" i="1"/>
  <c r="AA577" i="1"/>
  <c r="Z578" i="1"/>
  <c r="AA578" i="1"/>
  <c r="V579" i="1"/>
  <c r="Z579" i="1"/>
  <c r="AA579" i="1"/>
  <c r="Z580" i="1"/>
  <c r="AA580" i="1"/>
  <c r="V581" i="1"/>
  <c r="W581" i="1"/>
  <c r="Z581" i="1"/>
  <c r="AA581" i="1"/>
  <c r="V582" i="1"/>
  <c r="W582" i="1"/>
  <c r="Z582" i="1"/>
  <c r="AA582" i="1"/>
  <c r="Z583" i="1"/>
  <c r="AA583" i="1"/>
  <c r="Z584" i="1"/>
  <c r="AA584" i="1"/>
  <c r="Z585" i="1"/>
  <c r="AA585" i="1"/>
  <c r="Z586" i="1"/>
  <c r="AA586" i="1"/>
  <c r="Z587" i="1"/>
  <c r="AA587" i="1"/>
  <c r="Z588" i="1"/>
  <c r="AA588" i="1"/>
  <c r="V589" i="1"/>
  <c r="W589" i="1"/>
  <c r="Z589" i="1"/>
  <c r="AA589" i="1"/>
  <c r="W590" i="1"/>
  <c r="Z590" i="1"/>
  <c r="AA590" i="1"/>
  <c r="Z591" i="1"/>
  <c r="AA591" i="1"/>
  <c r="Z592" i="1"/>
  <c r="AA592" i="1"/>
  <c r="Z593" i="1"/>
  <c r="AA593" i="1"/>
  <c r="V594" i="1"/>
  <c r="Z594" i="1"/>
  <c r="AA594" i="1"/>
  <c r="V595" i="1"/>
  <c r="W595" i="1"/>
  <c r="Z595" i="1"/>
  <c r="AA595" i="1"/>
  <c r="Z596" i="1"/>
  <c r="AA596" i="1"/>
  <c r="V597" i="1"/>
  <c r="W597" i="1"/>
  <c r="Z597" i="1"/>
  <c r="AA597" i="1"/>
  <c r="V598" i="1"/>
  <c r="W598" i="1"/>
  <c r="Z598" i="1"/>
  <c r="AA598" i="1"/>
  <c r="Z599" i="1"/>
  <c r="AA599" i="1"/>
  <c r="Z600" i="1"/>
  <c r="AA600" i="1"/>
  <c r="Z601" i="1"/>
  <c r="AA601" i="1"/>
  <c r="Z602" i="1"/>
  <c r="AA602" i="1"/>
  <c r="Z603" i="1"/>
  <c r="AA603" i="1"/>
  <c r="Z604" i="1"/>
  <c r="AA604" i="1"/>
  <c r="V605" i="1"/>
  <c r="W605" i="1"/>
  <c r="Z605" i="1"/>
  <c r="AA605" i="1"/>
  <c r="V606" i="1"/>
  <c r="W606" i="1"/>
  <c r="Z606" i="1"/>
  <c r="AA606" i="1"/>
  <c r="Z607" i="1"/>
  <c r="AA607" i="1"/>
  <c r="Z608" i="1"/>
  <c r="AA608" i="1"/>
  <c r="W609" i="1"/>
  <c r="Z609" i="1"/>
  <c r="AA609" i="1"/>
  <c r="Z610" i="1"/>
  <c r="AA610" i="1"/>
  <c r="V611" i="1"/>
  <c r="W611" i="1"/>
  <c r="Z611" i="1"/>
  <c r="AA611" i="1"/>
  <c r="Z612" i="1"/>
  <c r="AA612" i="1"/>
  <c r="V613" i="1"/>
  <c r="W613" i="1"/>
  <c r="Z613" i="1"/>
  <c r="AA613" i="1"/>
  <c r="V614" i="1"/>
  <c r="W614" i="1"/>
  <c r="Z614" i="1"/>
  <c r="AA614" i="1"/>
  <c r="Z615" i="1"/>
  <c r="AA615" i="1"/>
  <c r="Z616" i="1"/>
  <c r="AA616" i="1"/>
  <c r="Z617" i="1"/>
  <c r="AA617" i="1"/>
  <c r="Z618" i="1"/>
  <c r="AA618" i="1"/>
  <c r="Z619" i="1"/>
  <c r="AA619" i="1"/>
  <c r="Z620" i="1"/>
  <c r="AA620" i="1"/>
  <c r="P621" i="1"/>
  <c r="R621" i="1"/>
  <c r="V621" i="1"/>
  <c r="W621" i="1"/>
  <c r="Z621" i="1"/>
  <c r="AA621" i="1"/>
  <c r="W622" i="1"/>
  <c r="Z622" i="1"/>
  <c r="AA622" i="1"/>
  <c r="Z623" i="1"/>
  <c r="AA623" i="1"/>
  <c r="Z624" i="1"/>
  <c r="AA624" i="1"/>
  <c r="Z625" i="1"/>
  <c r="AA625" i="1"/>
  <c r="Z626" i="1"/>
  <c r="AA626" i="1"/>
  <c r="Z627" i="1"/>
  <c r="AA627" i="1"/>
  <c r="Z628" i="1"/>
  <c r="AA628" i="1"/>
  <c r="V629" i="1"/>
  <c r="W629" i="1"/>
  <c r="Z629" i="1"/>
  <c r="AA629" i="1"/>
  <c r="V630" i="1"/>
  <c r="W630" i="1"/>
  <c r="Z630" i="1"/>
  <c r="AA630" i="1"/>
  <c r="Z631" i="1"/>
  <c r="AA631" i="1"/>
  <c r="Z632" i="1"/>
  <c r="AA632" i="1"/>
  <c r="Z633" i="1"/>
  <c r="AA633" i="1"/>
  <c r="Z634" i="1"/>
  <c r="AA634" i="1"/>
  <c r="V635" i="1"/>
  <c r="Z635" i="1"/>
  <c r="AA635" i="1"/>
  <c r="Z636" i="1"/>
  <c r="AA636" i="1"/>
  <c r="V637" i="1"/>
  <c r="W637" i="1"/>
  <c r="Z637" i="1"/>
  <c r="AA637" i="1"/>
  <c r="V638" i="1"/>
  <c r="W638" i="1"/>
  <c r="Z638" i="1"/>
  <c r="AA638" i="1"/>
  <c r="Z639" i="1"/>
  <c r="AA639" i="1"/>
  <c r="Z640" i="1"/>
  <c r="AA640" i="1"/>
  <c r="W641" i="1"/>
  <c r="Z641" i="1"/>
  <c r="AA641" i="1"/>
  <c r="Z642" i="1"/>
  <c r="AA642" i="1"/>
  <c r="V643" i="1"/>
  <c r="Z643" i="1"/>
  <c r="AA643" i="1"/>
  <c r="Z644" i="1"/>
  <c r="AA644" i="1"/>
  <c r="P645" i="1"/>
  <c r="R645" i="1"/>
  <c r="V645" i="1"/>
  <c r="W645" i="1"/>
  <c r="Z645" i="1"/>
  <c r="AA645" i="1"/>
  <c r="V646" i="1"/>
  <c r="W646" i="1"/>
  <c r="Z646" i="1"/>
  <c r="AA646" i="1"/>
  <c r="Z647" i="1"/>
  <c r="AA647" i="1"/>
  <c r="Z648" i="1"/>
  <c r="AA648" i="1"/>
  <c r="Z649" i="1"/>
  <c r="AA649" i="1"/>
  <c r="Z650" i="1"/>
  <c r="AA650" i="1"/>
  <c r="P651" i="1"/>
  <c r="R651" i="1"/>
  <c r="V651" i="1"/>
  <c r="Z651" i="1"/>
  <c r="AA651" i="1"/>
  <c r="Z652" i="1"/>
  <c r="AA652" i="1"/>
  <c r="V653" i="1"/>
  <c r="W653" i="1"/>
  <c r="Z653" i="1"/>
  <c r="AA653" i="1"/>
  <c r="V654" i="1"/>
  <c r="W654" i="1"/>
  <c r="Z654" i="1"/>
  <c r="AA654" i="1"/>
  <c r="Z655" i="1"/>
  <c r="AA655" i="1"/>
  <c r="Z656" i="1"/>
  <c r="AA656" i="1"/>
  <c r="Z657" i="1"/>
  <c r="AA657" i="1"/>
  <c r="Z658" i="1"/>
  <c r="AA658" i="1"/>
  <c r="W659" i="1"/>
  <c r="Z659" i="1"/>
  <c r="AA659" i="1"/>
  <c r="Z660" i="1"/>
  <c r="AA660" i="1"/>
  <c r="V661" i="1"/>
  <c r="W661" i="1"/>
  <c r="Z661" i="1"/>
  <c r="AA661" i="1"/>
  <c r="V662" i="1"/>
  <c r="W662" i="1"/>
  <c r="Z662" i="1"/>
  <c r="AA662" i="1"/>
  <c r="Z663" i="1"/>
  <c r="AA663" i="1"/>
  <c r="Z664" i="1"/>
  <c r="AA664" i="1"/>
  <c r="Z665" i="1"/>
  <c r="AA665" i="1"/>
  <c r="Z666" i="1"/>
  <c r="AA666" i="1"/>
  <c r="Z667" i="1"/>
  <c r="AA667" i="1"/>
  <c r="V668" i="1"/>
  <c r="Z668" i="1"/>
  <c r="AA668" i="1"/>
  <c r="V669" i="1"/>
  <c r="W669" i="1"/>
  <c r="Z669" i="1"/>
  <c r="AA669" i="1"/>
  <c r="V670" i="1"/>
  <c r="W670" i="1"/>
  <c r="Z670" i="1"/>
  <c r="AA670" i="1"/>
  <c r="Z671" i="1"/>
  <c r="AA671" i="1"/>
  <c r="Z672" i="1"/>
  <c r="AA672" i="1"/>
  <c r="W673" i="1"/>
  <c r="Z673" i="1"/>
  <c r="AA673" i="1"/>
  <c r="Z674" i="1"/>
  <c r="AA674" i="1"/>
  <c r="V675" i="1"/>
  <c r="Z675" i="1"/>
  <c r="AA675" i="1"/>
  <c r="Z676" i="1"/>
  <c r="AA676" i="1"/>
  <c r="V677" i="1"/>
  <c r="W677" i="1"/>
  <c r="Z677" i="1"/>
  <c r="AA677" i="1"/>
  <c r="R678" i="1"/>
  <c r="V678" i="1"/>
  <c r="W678" i="1"/>
  <c r="Z678" i="1"/>
  <c r="AA678" i="1"/>
  <c r="Z679" i="1"/>
  <c r="AA679" i="1"/>
  <c r="Z680" i="1"/>
  <c r="AA680" i="1"/>
  <c r="Z681" i="1"/>
  <c r="AA681" i="1"/>
  <c r="Z682" i="1"/>
  <c r="AA682" i="1"/>
  <c r="V683" i="1"/>
  <c r="Z683" i="1"/>
  <c r="AA683" i="1"/>
  <c r="Z684" i="1"/>
  <c r="AA684" i="1"/>
  <c r="V685" i="1"/>
  <c r="W685" i="1"/>
  <c r="Z685" i="1"/>
  <c r="AA685" i="1"/>
  <c r="V686" i="1"/>
  <c r="W686" i="1"/>
  <c r="Z686" i="1"/>
  <c r="AA686" i="1"/>
  <c r="Z687" i="1"/>
  <c r="AA687" i="1"/>
  <c r="Z688" i="1"/>
  <c r="AA688" i="1"/>
  <c r="Z689" i="1"/>
  <c r="AA689" i="1"/>
  <c r="Z690" i="1"/>
  <c r="AA690" i="1"/>
  <c r="W691" i="1"/>
  <c r="Z691" i="1"/>
  <c r="AA691" i="1"/>
  <c r="Z692" i="1"/>
  <c r="AA692" i="1"/>
  <c r="V693" i="1"/>
  <c r="W693" i="1"/>
  <c r="Z693" i="1"/>
  <c r="AA693" i="1"/>
  <c r="V694" i="1"/>
  <c r="W694" i="1"/>
  <c r="Z694" i="1"/>
  <c r="AA694" i="1"/>
  <c r="Z695" i="1"/>
  <c r="AA695" i="1"/>
  <c r="Z696" i="1"/>
  <c r="AA696" i="1"/>
  <c r="Z697" i="1"/>
  <c r="AA697" i="1"/>
  <c r="Z698" i="1"/>
  <c r="AA698" i="1"/>
  <c r="V699" i="1"/>
  <c r="W699" i="1"/>
  <c r="Z699" i="1"/>
  <c r="AA699" i="1"/>
  <c r="Z700" i="1"/>
  <c r="AA700" i="1"/>
  <c r="P701" i="1"/>
  <c r="R701" i="1"/>
  <c r="V701" i="1"/>
  <c r="W701" i="1"/>
  <c r="Z701" i="1"/>
  <c r="AA701" i="1"/>
  <c r="V702" i="1"/>
  <c r="W702" i="1"/>
  <c r="Z702" i="1"/>
  <c r="AA702" i="1"/>
  <c r="Z703" i="1"/>
  <c r="AA703" i="1"/>
  <c r="Z704" i="1"/>
  <c r="AA704" i="1"/>
  <c r="W705" i="1"/>
  <c r="Z705" i="1"/>
  <c r="AA705" i="1"/>
  <c r="Z706" i="1"/>
  <c r="AA706" i="1"/>
  <c r="Z707" i="1"/>
  <c r="AA707" i="1"/>
  <c r="W708" i="1"/>
  <c r="Z708" i="1"/>
  <c r="AA708" i="1"/>
  <c r="V709" i="1"/>
  <c r="W709" i="1"/>
  <c r="Z709" i="1"/>
  <c r="AA709" i="1"/>
  <c r="R710" i="1"/>
  <c r="V710" i="1"/>
  <c r="W710" i="1"/>
  <c r="Z710" i="1"/>
  <c r="AA710" i="1"/>
  <c r="Z711" i="1"/>
  <c r="AA711" i="1"/>
  <c r="Z712" i="1"/>
  <c r="AA712" i="1"/>
  <c r="Z713" i="1"/>
  <c r="AA713" i="1"/>
  <c r="Z714" i="1"/>
  <c r="AA714" i="1"/>
  <c r="Z715" i="1"/>
  <c r="AA715" i="1"/>
  <c r="Z716" i="1"/>
  <c r="AA716" i="1"/>
  <c r="V717" i="1"/>
  <c r="W717" i="1"/>
  <c r="Z717" i="1"/>
  <c r="AA717" i="1"/>
  <c r="V718" i="1"/>
  <c r="W718" i="1"/>
  <c r="Z718" i="1"/>
  <c r="AA718" i="1"/>
  <c r="Z719" i="1"/>
  <c r="AA719" i="1"/>
  <c r="Z720" i="1"/>
  <c r="AA720" i="1"/>
  <c r="Z721" i="1"/>
  <c r="AA721" i="1"/>
  <c r="Z722" i="1"/>
  <c r="AA722" i="1"/>
  <c r="V723" i="1"/>
  <c r="Z723" i="1"/>
  <c r="AA723" i="1"/>
  <c r="Z724" i="1"/>
  <c r="AA724" i="1"/>
  <c r="V725" i="1"/>
  <c r="W725" i="1"/>
  <c r="Z725" i="1"/>
  <c r="AA725" i="1"/>
  <c r="V726" i="1"/>
  <c r="W726" i="1"/>
  <c r="Z726" i="1"/>
  <c r="AA726" i="1"/>
  <c r="Z727" i="1"/>
  <c r="AA727" i="1"/>
  <c r="Z728" i="1"/>
  <c r="AA728" i="1"/>
  <c r="Z729" i="1"/>
  <c r="AA729" i="1"/>
  <c r="Z730" i="1"/>
  <c r="AA730" i="1"/>
  <c r="P731" i="1"/>
  <c r="R731" i="1"/>
  <c r="W731" i="1"/>
  <c r="Z731" i="1"/>
  <c r="AA731" i="1"/>
  <c r="Z732" i="1"/>
  <c r="AA732" i="1"/>
  <c r="V733" i="1"/>
  <c r="W733" i="1"/>
  <c r="Z733" i="1"/>
  <c r="AA733" i="1"/>
  <c r="V734" i="1"/>
  <c r="W734" i="1"/>
  <c r="Z734" i="1"/>
  <c r="AA734" i="1"/>
  <c r="Z735" i="1"/>
  <c r="AA735" i="1"/>
  <c r="Z736" i="1"/>
  <c r="AA736" i="1"/>
  <c r="W737" i="1"/>
  <c r="Z737" i="1"/>
  <c r="AA737" i="1"/>
  <c r="Z738" i="1"/>
  <c r="AA738" i="1"/>
  <c r="V739" i="1"/>
  <c r="Z739" i="1"/>
  <c r="AA739" i="1"/>
  <c r="Z740" i="1"/>
  <c r="AA740" i="1"/>
  <c r="V741" i="1"/>
  <c r="W741" i="1"/>
  <c r="Z741" i="1"/>
  <c r="AA741" i="1"/>
  <c r="V742" i="1"/>
  <c r="W742" i="1"/>
  <c r="Z742" i="1"/>
  <c r="AA742" i="1"/>
  <c r="Z743" i="1"/>
  <c r="AA743" i="1"/>
  <c r="Z744" i="1"/>
  <c r="AA744" i="1"/>
  <c r="Z745" i="1"/>
  <c r="AA745" i="1"/>
  <c r="Z746" i="1"/>
  <c r="AA746" i="1"/>
  <c r="W747" i="1"/>
  <c r="Z747" i="1"/>
  <c r="AA747" i="1"/>
  <c r="Z748" i="1"/>
  <c r="AA748" i="1"/>
  <c r="V749" i="1"/>
  <c r="W749" i="1"/>
  <c r="Z749" i="1"/>
  <c r="AA749" i="1"/>
  <c r="V750" i="1"/>
  <c r="W750" i="1"/>
  <c r="Z750" i="1"/>
  <c r="AA750" i="1"/>
  <c r="Z751" i="1"/>
  <c r="AA751" i="1"/>
  <c r="Z752" i="1"/>
  <c r="AA752" i="1"/>
  <c r="Z753" i="1"/>
  <c r="AA753" i="1"/>
  <c r="Z754" i="1"/>
  <c r="AA754" i="1"/>
  <c r="P755" i="1"/>
  <c r="S755" i="1" s="1"/>
  <c r="R755" i="1"/>
  <c r="W755" i="1"/>
  <c r="Z755" i="1"/>
  <c r="AA755" i="1"/>
  <c r="V756" i="1"/>
  <c r="Z756" i="1"/>
  <c r="AA756" i="1"/>
  <c r="V757" i="1"/>
  <c r="W757" i="1"/>
  <c r="Z757" i="1"/>
  <c r="AA757" i="1"/>
  <c r="V758" i="1"/>
  <c r="W758" i="1"/>
  <c r="Z758" i="1"/>
  <c r="AA758" i="1"/>
  <c r="Z759" i="1"/>
  <c r="AA759" i="1"/>
  <c r="Z760" i="1"/>
  <c r="AA760" i="1"/>
  <c r="Z761" i="1"/>
  <c r="AA761" i="1"/>
  <c r="Z762" i="1"/>
  <c r="AA762" i="1"/>
  <c r="P763" i="1"/>
  <c r="Q763" i="1" s="1"/>
  <c r="R763" i="1"/>
  <c r="V763" i="1"/>
  <c r="Z763" i="1"/>
  <c r="AA763" i="1"/>
  <c r="Z764" i="1"/>
  <c r="AA764" i="1"/>
  <c r="V765" i="1"/>
  <c r="W765" i="1"/>
  <c r="Z765" i="1"/>
  <c r="AA765" i="1"/>
  <c r="V766" i="1"/>
  <c r="W766" i="1"/>
  <c r="Z766" i="1"/>
  <c r="AA766" i="1"/>
  <c r="Z767" i="1"/>
  <c r="AA767" i="1"/>
  <c r="Z768" i="1"/>
  <c r="AA768" i="1"/>
  <c r="W769" i="1"/>
  <c r="Z769" i="1"/>
  <c r="AA769" i="1"/>
  <c r="Z770" i="1"/>
  <c r="AA770" i="1"/>
  <c r="V771" i="1"/>
  <c r="Z771" i="1"/>
  <c r="AA771" i="1"/>
  <c r="Z772" i="1"/>
  <c r="AA772" i="1"/>
  <c r="V773" i="1"/>
  <c r="W773" i="1"/>
  <c r="Z773" i="1"/>
  <c r="AA773" i="1"/>
  <c r="V774" i="1"/>
  <c r="W774" i="1"/>
  <c r="Z774" i="1"/>
  <c r="AA774" i="1"/>
  <c r="Z775" i="1"/>
  <c r="AA775" i="1"/>
  <c r="Z776" i="1"/>
  <c r="AA776" i="1"/>
  <c r="P777" i="1"/>
  <c r="Z777" i="1"/>
  <c r="AA777" i="1"/>
  <c r="Z778" i="1"/>
  <c r="AA778" i="1"/>
  <c r="V779" i="1"/>
  <c r="W779" i="1"/>
  <c r="Z779" i="1"/>
  <c r="AA779" i="1"/>
  <c r="R780" i="1"/>
  <c r="Z780" i="1"/>
  <c r="AA780" i="1"/>
  <c r="V781" i="1"/>
  <c r="W781" i="1"/>
  <c r="Z781" i="1"/>
  <c r="AA781" i="1"/>
  <c r="R782" i="1"/>
  <c r="V782" i="1"/>
  <c r="W782" i="1"/>
  <c r="Z782" i="1"/>
  <c r="AA782" i="1"/>
  <c r="Z783" i="1"/>
  <c r="AA783" i="1"/>
  <c r="Z784" i="1"/>
  <c r="AA784" i="1"/>
  <c r="Z785" i="1"/>
  <c r="AA785" i="1"/>
  <c r="Z786" i="1"/>
  <c r="AA786" i="1"/>
  <c r="P787" i="1"/>
  <c r="Q787" i="1" s="1"/>
  <c r="V787" i="1"/>
  <c r="W787" i="1"/>
  <c r="Z787" i="1"/>
  <c r="AA787" i="1"/>
  <c r="Z788" i="1"/>
  <c r="AA788" i="1"/>
  <c r="V789" i="1"/>
  <c r="W789" i="1"/>
  <c r="Z789" i="1"/>
  <c r="AA789" i="1"/>
  <c r="V790" i="1"/>
  <c r="W790" i="1"/>
  <c r="Z790" i="1"/>
  <c r="AA790" i="1"/>
  <c r="Z791" i="1"/>
  <c r="AA791" i="1"/>
  <c r="Z792" i="1"/>
  <c r="AA792" i="1"/>
  <c r="Z793" i="1"/>
  <c r="AA793" i="1"/>
  <c r="Z794" i="1"/>
  <c r="AA794" i="1"/>
  <c r="V795" i="1"/>
  <c r="W795" i="1"/>
  <c r="Z795" i="1"/>
  <c r="AA795" i="1"/>
  <c r="Z796" i="1"/>
  <c r="AA796" i="1"/>
  <c r="V797" i="1"/>
  <c r="W797" i="1"/>
  <c r="Z797" i="1"/>
  <c r="AA797" i="1"/>
  <c r="V798" i="1"/>
  <c r="W798" i="1"/>
  <c r="Z798" i="1"/>
  <c r="AA798" i="1"/>
  <c r="Z799" i="1"/>
  <c r="AA799" i="1"/>
  <c r="Z800" i="1"/>
  <c r="AA800" i="1"/>
  <c r="Z801" i="1"/>
  <c r="AA801" i="1"/>
  <c r="Z802" i="1"/>
  <c r="AA802" i="1"/>
  <c r="V803" i="1"/>
  <c r="Z803" i="1"/>
  <c r="AA803" i="1"/>
  <c r="Z804" i="1"/>
  <c r="AA804" i="1"/>
  <c r="V805" i="1"/>
  <c r="W805" i="1"/>
  <c r="Z805" i="1"/>
  <c r="AA805" i="1"/>
  <c r="V806" i="1"/>
  <c r="W806" i="1"/>
  <c r="Z806" i="1"/>
  <c r="AA806" i="1"/>
  <c r="Z807" i="1"/>
  <c r="AA807" i="1"/>
  <c r="Z808" i="1"/>
  <c r="AA808" i="1"/>
  <c r="Z809" i="1"/>
  <c r="AA809" i="1"/>
  <c r="V810" i="1"/>
  <c r="Z810" i="1"/>
  <c r="AA810" i="1"/>
  <c r="P811" i="1"/>
  <c r="Q811" i="1" s="1"/>
  <c r="W811" i="1"/>
  <c r="Z811" i="1"/>
  <c r="AA811" i="1"/>
  <c r="Z812" i="1"/>
  <c r="AA812" i="1"/>
  <c r="V813" i="1"/>
  <c r="W813" i="1"/>
  <c r="Z813" i="1"/>
  <c r="AA813" i="1"/>
  <c r="V814" i="1"/>
  <c r="W814" i="1"/>
  <c r="Z814" i="1"/>
  <c r="AA814" i="1"/>
  <c r="Z815" i="1"/>
  <c r="AA815" i="1"/>
  <c r="Z816" i="1"/>
  <c r="AA816" i="1"/>
  <c r="W817" i="1"/>
  <c r="Z817" i="1"/>
  <c r="AA817" i="1"/>
  <c r="Z818" i="1"/>
  <c r="AA818" i="1"/>
  <c r="P819" i="1"/>
  <c r="S819" i="1" s="1"/>
  <c r="W819" i="1"/>
  <c r="Z819" i="1"/>
  <c r="AA819" i="1"/>
  <c r="Z820" i="1"/>
  <c r="AA820" i="1"/>
  <c r="P821" i="1"/>
  <c r="V821" i="1"/>
  <c r="W821" i="1"/>
  <c r="Z821" i="1"/>
  <c r="AA821" i="1"/>
  <c r="R822" i="1"/>
  <c r="V822" i="1"/>
  <c r="W822" i="1"/>
  <c r="Z822" i="1"/>
  <c r="AA822" i="1"/>
  <c r="Z823" i="1"/>
  <c r="AA823" i="1"/>
  <c r="Z824" i="1"/>
  <c r="AA824" i="1"/>
  <c r="Z825" i="1"/>
  <c r="AA825" i="1"/>
  <c r="Z826" i="1"/>
  <c r="AA826" i="1"/>
  <c r="P827" i="1"/>
  <c r="W827" i="1"/>
  <c r="Z827" i="1"/>
  <c r="AA827" i="1"/>
  <c r="V828" i="1"/>
  <c r="Z828" i="1"/>
  <c r="AA828" i="1"/>
  <c r="P829" i="1"/>
  <c r="S829" i="1" s="1"/>
  <c r="R829" i="1"/>
  <c r="V829" i="1"/>
  <c r="W829" i="1"/>
  <c r="Z829" i="1"/>
  <c r="AA829" i="1"/>
  <c r="V830" i="1"/>
  <c r="W830" i="1"/>
  <c r="Z830" i="1"/>
  <c r="AA830" i="1"/>
  <c r="Z831" i="1"/>
  <c r="AA831" i="1"/>
  <c r="Z832" i="1"/>
  <c r="AA832" i="1"/>
  <c r="Z833" i="1"/>
  <c r="AA833" i="1"/>
  <c r="Z834" i="1"/>
  <c r="AA834" i="1"/>
  <c r="V835" i="1"/>
  <c r="W835" i="1"/>
  <c r="Z835" i="1"/>
  <c r="AA835" i="1"/>
  <c r="Z836" i="1"/>
  <c r="AA836" i="1"/>
  <c r="V837" i="1"/>
  <c r="W837" i="1"/>
  <c r="Z837" i="1"/>
  <c r="AA837" i="1"/>
  <c r="V838" i="1"/>
  <c r="W838" i="1"/>
  <c r="Z838" i="1"/>
  <c r="AA838" i="1"/>
  <c r="Z839" i="1"/>
  <c r="AA839" i="1"/>
  <c r="Z840" i="1"/>
  <c r="AA840" i="1"/>
  <c r="W841" i="1"/>
  <c r="Z841" i="1"/>
  <c r="AA841" i="1"/>
  <c r="Z842" i="1"/>
  <c r="AA842" i="1"/>
  <c r="V843" i="1"/>
  <c r="W843" i="1"/>
  <c r="Z843" i="1"/>
  <c r="AA843" i="1"/>
  <c r="W844" i="1"/>
  <c r="Z844" i="1"/>
  <c r="AA844" i="1"/>
  <c r="P845" i="1"/>
  <c r="R845" i="1"/>
  <c r="V845" i="1"/>
  <c r="W845" i="1"/>
  <c r="Z845" i="1"/>
  <c r="AA845" i="1"/>
  <c r="V846" i="1"/>
  <c r="W846" i="1"/>
  <c r="Z846" i="1"/>
  <c r="AA846" i="1"/>
  <c r="Z847" i="1"/>
  <c r="AA847" i="1"/>
  <c r="Z848" i="1"/>
  <c r="AA848" i="1"/>
  <c r="Z849" i="1"/>
  <c r="AA849" i="1"/>
  <c r="Z850" i="1"/>
  <c r="AA850" i="1"/>
  <c r="V851" i="1"/>
  <c r="Z851" i="1"/>
  <c r="AA851" i="1"/>
  <c r="Z852" i="1"/>
  <c r="AA852" i="1"/>
  <c r="V853" i="1"/>
  <c r="W853" i="1"/>
  <c r="Z853" i="1"/>
  <c r="AA853" i="1"/>
  <c r="R854" i="1"/>
  <c r="V854" i="1"/>
  <c r="W854" i="1"/>
  <c r="Z854" i="1"/>
  <c r="AA854" i="1"/>
  <c r="Z855" i="1"/>
  <c r="AA855" i="1"/>
  <c r="Z856" i="1"/>
  <c r="AA856" i="1"/>
  <c r="Z857" i="1"/>
  <c r="AA857" i="1"/>
  <c r="Z858" i="1"/>
  <c r="AA858" i="1"/>
  <c r="R859" i="1"/>
  <c r="V859" i="1"/>
  <c r="Z859" i="1"/>
  <c r="AA859" i="1"/>
  <c r="W860" i="1"/>
  <c r="Z860" i="1"/>
  <c r="AA860" i="1"/>
  <c r="V861" i="1"/>
  <c r="W861" i="1"/>
  <c r="Z861" i="1"/>
  <c r="AA861" i="1"/>
  <c r="V862" i="1"/>
  <c r="W862" i="1"/>
  <c r="Z862" i="1"/>
  <c r="AA862" i="1"/>
  <c r="Z863" i="1"/>
  <c r="AA863" i="1"/>
  <c r="Z864" i="1"/>
  <c r="AA864" i="1"/>
  <c r="Z865" i="1"/>
  <c r="AA865" i="1"/>
  <c r="Z866" i="1"/>
  <c r="AA866" i="1"/>
  <c r="V867" i="1"/>
  <c r="W867" i="1"/>
  <c r="Z867" i="1"/>
  <c r="AA867" i="1"/>
  <c r="R868" i="1"/>
  <c r="Z868" i="1"/>
  <c r="AA868" i="1"/>
  <c r="P869" i="1"/>
  <c r="S869" i="1" s="1"/>
  <c r="R869" i="1"/>
  <c r="V869" i="1"/>
  <c r="W869" i="1"/>
  <c r="Z869" i="1"/>
  <c r="AA869" i="1"/>
  <c r="V870" i="1"/>
  <c r="W870" i="1"/>
  <c r="Z870" i="1"/>
  <c r="AA870" i="1"/>
  <c r="Z871" i="1"/>
  <c r="AA871" i="1"/>
  <c r="Z872" i="1"/>
  <c r="AA872" i="1"/>
  <c r="Z873" i="1"/>
  <c r="AA873" i="1"/>
  <c r="Z874" i="1"/>
  <c r="AA874" i="1"/>
  <c r="V875" i="1"/>
  <c r="W875" i="1"/>
  <c r="Z875" i="1"/>
  <c r="AA875" i="1"/>
  <c r="V876" i="1"/>
  <c r="Z876" i="1"/>
  <c r="AA876" i="1"/>
  <c r="V877" i="1"/>
  <c r="W877" i="1"/>
  <c r="Z877" i="1"/>
  <c r="AA877" i="1"/>
  <c r="R878" i="1"/>
  <c r="V878" i="1"/>
  <c r="W878" i="1"/>
  <c r="Z878" i="1"/>
  <c r="AA878" i="1"/>
  <c r="Z879" i="1"/>
  <c r="AA879" i="1"/>
  <c r="Z880" i="1"/>
  <c r="AA880" i="1"/>
  <c r="W881" i="1"/>
  <c r="Z881" i="1"/>
  <c r="AA881" i="1"/>
  <c r="Z882" i="1"/>
  <c r="AA882" i="1"/>
  <c r="V883" i="1"/>
  <c r="W883" i="1"/>
  <c r="Z883" i="1"/>
  <c r="AA883" i="1"/>
  <c r="Z884" i="1"/>
  <c r="AA884" i="1"/>
  <c r="V885" i="1"/>
  <c r="W885" i="1"/>
  <c r="Z885" i="1"/>
  <c r="AA885" i="1"/>
  <c r="R886" i="1"/>
  <c r="V886" i="1"/>
  <c r="W886" i="1"/>
  <c r="Z886" i="1"/>
  <c r="AA886" i="1"/>
  <c r="Z887" i="1"/>
  <c r="AA887" i="1"/>
  <c r="Z888" i="1"/>
  <c r="AA888" i="1"/>
  <c r="P889" i="1"/>
  <c r="Z889" i="1"/>
  <c r="AA889" i="1"/>
  <c r="W890" i="1"/>
  <c r="Z890" i="1"/>
  <c r="AA890" i="1"/>
  <c r="Z891" i="1"/>
  <c r="AA891" i="1"/>
  <c r="W892" i="1"/>
  <c r="Z892" i="1"/>
  <c r="AA892" i="1"/>
  <c r="V893" i="1"/>
  <c r="W893" i="1"/>
  <c r="Z893" i="1"/>
  <c r="AA893" i="1"/>
  <c r="R894" i="1"/>
  <c r="V894" i="1"/>
  <c r="W894" i="1"/>
  <c r="Z894" i="1"/>
  <c r="AA894" i="1"/>
  <c r="Z895" i="1"/>
  <c r="AA895" i="1"/>
  <c r="Z896" i="1"/>
  <c r="AA896" i="1"/>
  <c r="W897" i="1"/>
  <c r="Z897" i="1"/>
  <c r="AA897" i="1"/>
  <c r="Z898" i="1"/>
  <c r="AA898" i="1"/>
  <c r="V899" i="1"/>
  <c r="Z899" i="1"/>
  <c r="AA899" i="1"/>
  <c r="Z900" i="1"/>
  <c r="AA900" i="1"/>
  <c r="V901" i="1"/>
  <c r="W901" i="1"/>
  <c r="Z901" i="1"/>
  <c r="AA901" i="1"/>
  <c r="V902" i="1"/>
  <c r="W902" i="1"/>
  <c r="Z902" i="1"/>
  <c r="AA902" i="1"/>
  <c r="Z903" i="1"/>
  <c r="AA903" i="1"/>
  <c r="Z904" i="1"/>
  <c r="AA904" i="1"/>
  <c r="Z905" i="1"/>
  <c r="AA905" i="1"/>
  <c r="Z906" i="1"/>
  <c r="AA906" i="1"/>
  <c r="V907" i="1"/>
  <c r="Z907" i="1"/>
  <c r="AA907" i="1"/>
  <c r="Z908" i="1"/>
  <c r="AA908" i="1"/>
  <c r="V909" i="1"/>
  <c r="W909" i="1"/>
  <c r="Z909" i="1"/>
  <c r="AA909" i="1"/>
  <c r="R910" i="1"/>
  <c r="V910" i="1"/>
  <c r="W910" i="1"/>
  <c r="Z910" i="1"/>
  <c r="AA910" i="1"/>
  <c r="Z911" i="1"/>
  <c r="AA911" i="1"/>
  <c r="Z912" i="1"/>
  <c r="AA912" i="1"/>
  <c r="V913" i="1"/>
  <c r="Z913" i="1"/>
  <c r="AA913" i="1"/>
  <c r="Z914" i="1"/>
  <c r="AA914" i="1"/>
  <c r="V915" i="1"/>
  <c r="W915" i="1"/>
  <c r="Z915" i="1"/>
  <c r="AA915" i="1"/>
  <c r="Z916" i="1"/>
  <c r="AA916" i="1"/>
  <c r="V917" i="1"/>
  <c r="W917" i="1"/>
  <c r="Z917" i="1"/>
  <c r="AA917" i="1"/>
  <c r="V918" i="1"/>
  <c r="W918" i="1"/>
  <c r="Z918" i="1"/>
  <c r="AA918" i="1"/>
  <c r="Z919" i="1"/>
  <c r="AA919" i="1"/>
  <c r="Z920" i="1"/>
  <c r="AA920" i="1"/>
  <c r="Z921" i="1"/>
  <c r="AA921" i="1"/>
  <c r="Z922" i="1"/>
  <c r="AA922" i="1"/>
  <c r="P923" i="1"/>
  <c r="R923" i="1"/>
  <c r="W923" i="1"/>
  <c r="Z923" i="1"/>
  <c r="AA923" i="1"/>
  <c r="W924" i="1"/>
  <c r="Z924" i="1"/>
  <c r="AA924" i="1"/>
  <c r="V925" i="1"/>
  <c r="W925" i="1"/>
  <c r="Z925" i="1"/>
  <c r="AA925" i="1"/>
  <c r="V926" i="1"/>
  <c r="W926" i="1"/>
  <c r="Z926" i="1"/>
  <c r="AA926" i="1"/>
  <c r="Z927" i="1"/>
  <c r="AA927" i="1"/>
  <c r="Z928" i="1"/>
  <c r="AA928" i="1"/>
  <c r="Z929" i="1"/>
  <c r="AA929" i="1"/>
  <c r="Z930" i="1"/>
  <c r="AA930" i="1"/>
  <c r="V931" i="1"/>
  <c r="W931" i="1"/>
  <c r="Z931" i="1"/>
  <c r="AA931" i="1"/>
  <c r="Z932" i="1"/>
  <c r="AA932" i="1"/>
  <c r="V933" i="1"/>
  <c r="W933" i="1"/>
  <c r="Z933" i="1"/>
  <c r="AA933" i="1"/>
  <c r="V934" i="1"/>
  <c r="W934" i="1"/>
  <c r="Z934" i="1"/>
  <c r="AA934" i="1"/>
  <c r="Z935" i="1"/>
  <c r="AA935" i="1"/>
  <c r="Z936" i="1"/>
  <c r="AA936" i="1"/>
  <c r="V937" i="1"/>
  <c r="W937" i="1"/>
  <c r="Z937" i="1"/>
  <c r="AA937" i="1"/>
  <c r="Z938" i="1"/>
  <c r="AA938" i="1"/>
  <c r="V939" i="1"/>
  <c r="W939" i="1"/>
  <c r="Z939" i="1"/>
  <c r="AA939" i="1"/>
  <c r="Z940" i="1"/>
  <c r="AA940" i="1"/>
  <c r="V941" i="1"/>
  <c r="W941" i="1"/>
  <c r="Z941" i="1"/>
  <c r="AA941" i="1"/>
  <c r="V942" i="1"/>
  <c r="W942" i="1"/>
  <c r="Z942" i="1"/>
  <c r="AA942" i="1"/>
  <c r="Z943" i="1"/>
  <c r="AA943" i="1"/>
  <c r="Z944" i="1"/>
  <c r="AA944" i="1"/>
  <c r="Z945" i="1"/>
  <c r="AA945" i="1"/>
  <c r="Z946" i="1"/>
  <c r="AA946" i="1"/>
  <c r="V947" i="1"/>
  <c r="W947" i="1"/>
  <c r="Z947" i="1"/>
  <c r="AA947" i="1"/>
  <c r="V948" i="1"/>
  <c r="Z948" i="1"/>
  <c r="AA948" i="1"/>
  <c r="V949" i="1"/>
  <c r="W949" i="1"/>
  <c r="Z949" i="1"/>
  <c r="AA949" i="1"/>
  <c r="V950" i="1"/>
  <c r="W950" i="1"/>
  <c r="Z950" i="1"/>
  <c r="AA950" i="1"/>
  <c r="Z951" i="1"/>
  <c r="AA951" i="1"/>
  <c r="Z952" i="1"/>
  <c r="AA952" i="1"/>
  <c r="Z953" i="1"/>
  <c r="AA953" i="1"/>
  <c r="Z954" i="1"/>
  <c r="AA954" i="1"/>
  <c r="P955" i="1"/>
  <c r="Q955" i="1" s="1"/>
  <c r="R955" i="1"/>
  <c r="V955" i="1"/>
  <c r="W955" i="1"/>
  <c r="Z955" i="1"/>
  <c r="AA955" i="1"/>
  <c r="Z956" i="1"/>
  <c r="AA956" i="1"/>
  <c r="V957" i="1"/>
  <c r="W957" i="1"/>
  <c r="Z957" i="1"/>
  <c r="AA957" i="1"/>
  <c r="P958" i="1"/>
  <c r="Q958" i="1" s="1"/>
  <c r="R958" i="1"/>
  <c r="V958" i="1"/>
  <c r="W958" i="1"/>
  <c r="Z958" i="1"/>
  <c r="AA958" i="1"/>
  <c r="Z959" i="1"/>
  <c r="AA959" i="1"/>
  <c r="Z960" i="1"/>
  <c r="AA960" i="1"/>
  <c r="Z961" i="1"/>
  <c r="AA961" i="1"/>
  <c r="P962" i="1"/>
  <c r="S962" i="1" s="1"/>
  <c r="Z962" i="1"/>
  <c r="AA962" i="1"/>
  <c r="V963" i="1"/>
  <c r="W963" i="1"/>
  <c r="Z963" i="1"/>
  <c r="AA963" i="1"/>
  <c r="V964" i="1"/>
  <c r="Z964" i="1"/>
  <c r="AA964" i="1"/>
  <c r="V965" i="1"/>
  <c r="W965" i="1"/>
  <c r="Z965" i="1"/>
  <c r="AA965" i="1"/>
  <c r="V966" i="1"/>
  <c r="W966" i="1"/>
  <c r="Z966" i="1"/>
  <c r="AA966" i="1"/>
  <c r="Z967" i="1"/>
  <c r="AA967" i="1"/>
  <c r="Z968" i="1"/>
  <c r="AA968" i="1"/>
  <c r="Z969" i="1"/>
  <c r="AA969" i="1"/>
  <c r="Z970" i="1"/>
  <c r="AA970" i="1"/>
  <c r="P971" i="1"/>
  <c r="R971" i="1"/>
  <c r="V971" i="1"/>
  <c r="W971" i="1"/>
  <c r="Z971" i="1"/>
  <c r="AA971" i="1"/>
  <c r="W972" i="1"/>
  <c r="Z972" i="1"/>
  <c r="AA972" i="1"/>
  <c r="V973" i="1"/>
  <c r="W973" i="1"/>
  <c r="Z973" i="1"/>
  <c r="AA973" i="1"/>
  <c r="V974" i="1"/>
  <c r="W974" i="1"/>
  <c r="Z974" i="1"/>
  <c r="AA974" i="1"/>
  <c r="Z975" i="1"/>
  <c r="AA975" i="1"/>
  <c r="Z976" i="1"/>
  <c r="AA976" i="1"/>
  <c r="Z977" i="1"/>
  <c r="AA977" i="1"/>
  <c r="W978" i="1"/>
  <c r="Z978" i="1"/>
  <c r="AA978" i="1"/>
  <c r="V979" i="1"/>
  <c r="W979" i="1"/>
  <c r="Z979" i="1"/>
  <c r="AA979" i="1"/>
  <c r="Z980" i="1"/>
  <c r="AA980" i="1"/>
  <c r="V981" i="1"/>
  <c r="W981" i="1"/>
  <c r="Z981" i="1"/>
  <c r="AA981" i="1"/>
  <c r="V982" i="1"/>
  <c r="W982" i="1"/>
  <c r="Z982" i="1"/>
  <c r="AA982" i="1"/>
  <c r="Z983" i="1"/>
  <c r="AA983" i="1"/>
  <c r="Z984" i="1"/>
  <c r="AA984" i="1"/>
  <c r="V985" i="1"/>
  <c r="Z985" i="1"/>
  <c r="AA985" i="1"/>
  <c r="W986" i="1"/>
  <c r="Z986" i="1"/>
  <c r="AA986" i="1"/>
  <c r="P987" i="1"/>
  <c r="Q987" i="1" s="1"/>
  <c r="R987" i="1"/>
  <c r="V987" i="1"/>
  <c r="W987" i="1"/>
  <c r="Z987" i="1"/>
  <c r="AA987" i="1"/>
  <c r="W988" i="1"/>
  <c r="Z988" i="1"/>
  <c r="AA988" i="1"/>
  <c r="V989" i="1"/>
  <c r="W989" i="1"/>
  <c r="Z989" i="1"/>
  <c r="AA989" i="1"/>
  <c r="V990" i="1"/>
  <c r="W990" i="1"/>
  <c r="Z990" i="1"/>
  <c r="AA990" i="1"/>
  <c r="Z991" i="1"/>
  <c r="AA991" i="1"/>
  <c r="Z992" i="1"/>
  <c r="AA992" i="1"/>
  <c r="V993" i="1"/>
  <c r="W993" i="1"/>
  <c r="Z993" i="1"/>
  <c r="AA993" i="1"/>
  <c r="Z994" i="1"/>
  <c r="AA994" i="1"/>
  <c r="I2" i="17"/>
  <c r="F4" i="13"/>
  <c r="B9" i="13"/>
  <c r="C9" i="13"/>
  <c r="A9" i="13"/>
  <c r="B10" i="13"/>
  <c r="C10" i="13"/>
  <c r="A10" i="13" s="1"/>
  <c r="A11" i="13"/>
  <c r="B11" i="13"/>
  <c r="C11" i="13"/>
  <c r="B12" i="13"/>
  <c r="C12" i="13"/>
  <c r="A12" i="13"/>
  <c r="B13" i="13"/>
  <c r="C13" i="13"/>
  <c r="A13" i="13" s="1"/>
  <c r="B14" i="13"/>
  <c r="C14" i="13"/>
  <c r="A14" i="13"/>
  <c r="B15" i="13"/>
  <c r="C15" i="13"/>
  <c r="A15" i="13" s="1"/>
  <c r="B16" i="13"/>
  <c r="C16" i="13"/>
  <c r="A16" i="13"/>
  <c r="B17" i="13"/>
  <c r="C17" i="13"/>
  <c r="A17" i="13"/>
  <c r="B18" i="13"/>
  <c r="C18" i="13"/>
  <c r="A18" i="13"/>
  <c r="A19" i="13"/>
  <c r="B19" i="13"/>
  <c r="C19" i="13"/>
  <c r="B20" i="13"/>
  <c r="C20" i="13"/>
  <c r="A20" i="13"/>
  <c r="B21" i="13"/>
  <c r="C21" i="13"/>
  <c r="A21" i="13" s="1"/>
  <c r="B22" i="13"/>
  <c r="C22" i="13"/>
  <c r="A22" i="13"/>
  <c r="B23" i="13"/>
  <c r="C23" i="13"/>
  <c r="A23" i="13" s="1"/>
  <c r="B24" i="13"/>
  <c r="C24" i="13"/>
  <c r="A24" i="13"/>
  <c r="B25" i="13"/>
  <c r="C25" i="13"/>
  <c r="A25" i="13"/>
  <c r="B26" i="13"/>
  <c r="C26" i="13"/>
  <c r="A26" i="13"/>
  <c r="A27" i="13"/>
  <c r="B27" i="13"/>
  <c r="C27" i="13"/>
  <c r="B28" i="13"/>
  <c r="C28" i="13"/>
  <c r="A28" i="13"/>
  <c r="B29" i="13"/>
  <c r="C29" i="13"/>
  <c r="A29" i="13" s="1"/>
  <c r="B30" i="13"/>
  <c r="C30" i="13"/>
  <c r="A30" i="13"/>
  <c r="B31" i="13"/>
  <c r="C31" i="13"/>
  <c r="A31" i="13" s="1"/>
  <c r="B32" i="13"/>
  <c r="C32" i="13"/>
  <c r="A32" i="13"/>
  <c r="B33" i="13"/>
  <c r="C33" i="13"/>
  <c r="A33" i="13"/>
  <c r="B34" i="13"/>
  <c r="C34" i="13"/>
  <c r="A34" i="13" s="1"/>
  <c r="A35" i="13"/>
  <c r="B35" i="13"/>
  <c r="C35" i="13"/>
  <c r="B36" i="13"/>
  <c r="C36" i="13"/>
  <c r="A36" i="13"/>
  <c r="B37" i="13"/>
  <c r="C37" i="13"/>
  <c r="A37" i="13" s="1"/>
  <c r="B38" i="13"/>
  <c r="C38" i="13"/>
  <c r="A38" i="13"/>
  <c r="B39" i="13"/>
  <c r="C39" i="13"/>
  <c r="A39" i="13" s="1"/>
  <c r="B40" i="13"/>
  <c r="C40" i="13"/>
  <c r="A40" i="13"/>
  <c r="B41" i="13"/>
  <c r="C41" i="13"/>
  <c r="A41" i="13"/>
  <c r="B42" i="13"/>
  <c r="C42" i="13"/>
  <c r="A42" i="13" s="1"/>
  <c r="A43" i="13"/>
  <c r="B43" i="13"/>
  <c r="C43" i="13"/>
  <c r="B44" i="13"/>
  <c r="C44" i="13"/>
  <c r="A44" i="13"/>
  <c r="B45" i="13"/>
  <c r="C45" i="13"/>
  <c r="A45" i="13" s="1"/>
  <c r="B46" i="13"/>
  <c r="C46" i="13"/>
  <c r="A46" i="13"/>
  <c r="B47" i="13"/>
  <c r="C47" i="13"/>
  <c r="A47" i="13" s="1"/>
  <c r="B48" i="13"/>
  <c r="C48" i="13"/>
  <c r="A48" i="13"/>
  <c r="B49" i="13"/>
  <c r="C49" i="13"/>
  <c r="A49" i="13"/>
  <c r="B50" i="13"/>
  <c r="C50" i="13"/>
  <c r="A50" i="13"/>
  <c r="A51" i="13"/>
  <c r="B51" i="13"/>
  <c r="C51" i="13"/>
  <c r="B52" i="13"/>
  <c r="C52" i="13"/>
  <c r="A52" i="13"/>
  <c r="B53" i="13"/>
  <c r="C53" i="13"/>
  <c r="A53" i="13" s="1"/>
  <c r="B54" i="13"/>
  <c r="C54" i="13"/>
  <c r="A54" i="13"/>
  <c r="B55" i="13"/>
  <c r="C55" i="13"/>
  <c r="A55" i="13" s="1"/>
  <c r="B56" i="13"/>
  <c r="C56" i="13"/>
  <c r="A56" i="13"/>
  <c r="B57" i="13"/>
  <c r="C57" i="13"/>
  <c r="A57" i="13"/>
  <c r="B58" i="13"/>
  <c r="C58" i="13"/>
  <c r="A58" i="13" s="1"/>
  <c r="A59" i="13"/>
  <c r="B59" i="13"/>
  <c r="C59" i="13"/>
  <c r="B60" i="13"/>
  <c r="C60" i="13"/>
  <c r="A60" i="13"/>
  <c r="B61" i="13"/>
  <c r="C61" i="13"/>
  <c r="A61" i="13" s="1"/>
  <c r="B62" i="13"/>
  <c r="C62" i="13"/>
  <c r="A62" i="13"/>
  <c r="B63" i="13"/>
  <c r="C63" i="13"/>
  <c r="A63" i="13" s="1"/>
  <c r="B64" i="13"/>
  <c r="C64" i="13"/>
  <c r="A64" i="13"/>
  <c r="B65" i="13"/>
  <c r="C65" i="13"/>
  <c r="A65" i="13"/>
  <c r="B66" i="13"/>
  <c r="C66" i="13"/>
  <c r="A66" i="13" s="1"/>
  <c r="A67" i="13"/>
  <c r="B67" i="13"/>
  <c r="C67" i="13"/>
  <c r="B68" i="13"/>
  <c r="C68" i="13"/>
  <c r="A68" i="13"/>
  <c r="B69" i="13"/>
  <c r="C69" i="13"/>
  <c r="A69" i="13" s="1"/>
  <c r="B70" i="13"/>
  <c r="C70" i="13"/>
  <c r="A70" i="13"/>
  <c r="B71" i="13"/>
  <c r="C71" i="13"/>
  <c r="A71" i="13" s="1"/>
  <c r="B72" i="13"/>
  <c r="C72" i="13"/>
  <c r="A72" i="13"/>
  <c r="B73" i="13"/>
  <c r="C73" i="13"/>
  <c r="A73" i="13"/>
  <c r="B74" i="13"/>
  <c r="C74" i="13"/>
  <c r="A74" i="13"/>
  <c r="A75" i="13"/>
  <c r="B75" i="13"/>
  <c r="C75" i="13"/>
  <c r="B76" i="13"/>
  <c r="C76" i="13"/>
  <c r="A76" i="13"/>
  <c r="B77" i="13"/>
  <c r="C77" i="13"/>
  <c r="A77" i="13" s="1"/>
  <c r="B78" i="13"/>
  <c r="C78" i="13"/>
  <c r="A78" i="13"/>
  <c r="B79" i="13"/>
  <c r="C79" i="13"/>
  <c r="A79" i="13" s="1"/>
  <c r="B80" i="13"/>
  <c r="C80" i="13"/>
  <c r="A80" i="13"/>
  <c r="B81" i="13"/>
  <c r="C81" i="13"/>
  <c r="A81" i="13"/>
  <c r="B82" i="13"/>
  <c r="C82" i="13"/>
  <c r="A82" i="13"/>
  <c r="A83" i="13"/>
  <c r="B83" i="13"/>
  <c r="C83" i="13"/>
  <c r="B84" i="13"/>
  <c r="C84" i="13"/>
  <c r="A84" i="13"/>
  <c r="B85" i="13"/>
  <c r="C85" i="13"/>
  <c r="A85" i="13" s="1"/>
  <c r="B86" i="13"/>
  <c r="C86" i="13"/>
  <c r="A86" i="13"/>
  <c r="B87" i="13"/>
  <c r="C87" i="13"/>
  <c r="A87" i="13" s="1"/>
  <c r="B88" i="13"/>
  <c r="C88" i="13"/>
  <c r="A88" i="13"/>
  <c r="B89" i="13"/>
  <c r="C89" i="13"/>
  <c r="A89" i="13"/>
  <c r="B90" i="13"/>
  <c r="C90" i="13"/>
  <c r="A90" i="13"/>
  <c r="A91" i="13"/>
  <c r="B91" i="13"/>
  <c r="C91" i="13"/>
  <c r="B92" i="13"/>
  <c r="C92" i="13"/>
  <c r="A92" i="13"/>
  <c r="B93" i="13"/>
  <c r="C93" i="13"/>
  <c r="A93" i="13" s="1"/>
  <c r="B94" i="13"/>
  <c r="C94" i="13"/>
  <c r="A94" i="13"/>
  <c r="B95" i="13"/>
  <c r="C95" i="13"/>
  <c r="A95" i="13" s="1"/>
  <c r="B96" i="13"/>
  <c r="C96" i="13"/>
  <c r="A96" i="13"/>
  <c r="B97" i="13"/>
  <c r="C97" i="13"/>
  <c r="A97" i="13"/>
  <c r="B98" i="13"/>
  <c r="C98" i="13"/>
  <c r="A98" i="13" s="1"/>
  <c r="A99" i="13"/>
  <c r="B99" i="13"/>
  <c r="C99" i="13"/>
  <c r="B100" i="13"/>
  <c r="C100" i="13"/>
  <c r="A100" i="13"/>
  <c r="B101" i="13"/>
  <c r="C101" i="13"/>
  <c r="A101" i="13" s="1"/>
  <c r="B102" i="13"/>
  <c r="C102" i="13"/>
  <c r="A102" i="13"/>
  <c r="B103" i="13"/>
  <c r="C103" i="13"/>
  <c r="A103" i="13" s="1"/>
  <c r="B104" i="13"/>
  <c r="C104" i="13"/>
  <c r="A104" i="13"/>
  <c r="B105" i="13"/>
  <c r="C105" i="13"/>
  <c r="A105" i="13"/>
  <c r="B106" i="13"/>
  <c r="C106" i="13"/>
  <c r="A106" i="13" s="1"/>
  <c r="A107" i="13"/>
  <c r="B107" i="13"/>
  <c r="C107" i="13"/>
  <c r="B108" i="13"/>
  <c r="C108" i="13"/>
  <c r="A108" i="13"/>
  <c r="B109" i="13"/>
  <c r="C109" i="13"/>
  <c r="A109" i="13" s="1"/>
  <c r="B110" i="13"/>
  <c r="C110" i="13"/>
  <c r="A110" i="13"/>
  <c r="B111" i="13"/>
  <c r="C111" i="13"/>
  <c r="A111" i="13" s="1"/>
  <c r="B112" i="13"/>
  <c r="C112" i="13"/>
  <c r="A112" i="13"/>
  <c r="B113" i="13"/>
  <c r="C113" i="13"/>
  <c r="A113" i="13"/>
  <c r="B114" i="13"/>
  <c r="C114" i="13"/>
  <c r="A114" i="13"/>
  <c r="A115" i="13"/>
  <c r="B115" i="13"/>
  <c r="C115" i="13"/>
  <c r="B116" i="13"/>
  <c r="C116" i="13"/>
  <c r="A116" i="13"/>
  <c r="B117" i="13"/>
  <c r="C117" i="13"/>
  <c r="A117" i="13" s="1"/>
  <c r="B118" i="13"/>
  <c r="C118" i="13"/>
  <c r="A118" i="13"/>
  <c r="B119" i="13"/>
  <c r="C119" i="13"/>
  <c r="A119" i="13" s="1"/>
  <c r="B120" i="13"/>
  <c r="C120" i="13"/>
  <c r="A120" i="13"/>
  <c r="B121" i="13"/>
  <c r="C121" i="13"/>
  <c r="A121" i="13"/>
  <c r="B122" i="13"/>
  <c r="C122" i="13"/>
  <c r="A122" i="13"/>
  <c r="A123" i="13"/>
  <c r="B123" i="13"/>
  <c r="C123" i="13"/>
  <c r="B124" i="13"/>
  <c r="C124" i="13"/>
  <c r="A124" i="13"/>
  <c r="B125" i="13"/>
  <c r="C125" i="13"/>
  <c r="A125" i="13" s="1"/>
  <c r="B126" i="13"/>
  <c r="C126" i="13"/>
  <c r="A126" i="13"/>
  <c r="B127" i="13"/>
  <c r="C127" i="13"/>
  <c r="A127" i="13" s="1"/>
  <c r="B128" i="13"/>
  <c r="C128" i="13"/>
  <c r="A128" i="13"/>
  <c r="B129" i="13"/>
  <c r="C129" i="13"/>
  <c r="A129" i="13"/>
  <c r="B130" i="13"/>
  <c r="C130" i="13"/>
  <c r="A130" i="13" s="1"/>
  <c r="A131" i="13"/>
  <c r="B131" i="13"/>
  <c r="C131" i="13"/>
  <c r="B132" i="13"/>
  <c r="C132" i="13"/>
  <c r="A132" i="13"/>
  <c r="B133" i="13"/>
  <c r="C133" i="13"/>
  <c r="A133" i="13" s="1"/>
  <c r="B134" i="13"/>
  <c r="C134" i="13"/>
  <c r="A134" i="13"/>
  <c r="B135" i="13"/>
  <c r="C135" i="13"/>
  <c r="A135" i="13" s="1"/>
  <c r="B136" i="13"/>
  <c r="C136" i="13"/>
  <c r="A136" i="13"/>
  <c r="B137" i="13"/>
  <c r="C137" i="13"/>
  <c r="A137" i="13"/>
  <c r="B138" i="13"/>
  <c r="C138" i="13"/>
  <c r="A138" i="13"/>
  <c r="A139" i="13"/>
  <c r="B139" i="13"/>
  <c r="C139" i="13"/>
  <c r="B140" i="13"/>
  <c r="C140" i="13"/>
  <c r="A140" i="13"/>
  <c r="B141" i="13"/>
  <c r="C141" i="13"/>
  <c r="A141" i="13" s="1"/>
  <c r="B142" i="13"/>
  <c r="C142" i="13"/>
  <c r="A142" i="13"/>
  <c r="B143" i="13"/>
  <c r="C143" i="13"/>
  <c r="A143" i="13" s="1"/>
  <c r="B144" i="13"/>
  <c r="C144" i="13"/>
  <c r="A144" i="13"/>
  <c r="B145" i="13"/>
  <c r="C145" i="13"/>
  <c r="A145" i="13"/>
  <c r="B146" i="13"/>
  <c r="C146" i="13"/>
  <c r="A146" i="13"/>
  <c r="A147" i="13"/>
  <c r="B147" i="13"/>
  <c r="C147" i="13"/>
  <c r="B148" i="13"/>
  <c r="C148" i="13"/>
  <c r="A148" i="13"/>
  <c r="B149" i="13"/>
  <c r="C149" i="13"/>
  <c r="A149" i="13" s="1"/>
  <c r="B150" i="13"/>
  <c r="C150" i="13"/>
  <c r="A150" i="13"/>
  <c r="B151" i="13"/>
  <c r="C151" i="13"/>
  <c r="A151" i="13" s="1"/>
  <c r="B152" i="13"/>
  <c r="C152" i="13"/>
  <c r="A152" i="13"/>
  <c r="B153" i="13"/>
  <c r="C153" i="13"/>
  <c r="A153" i="13"/>
  <c r="B154" i="13"/>
  <c r="C154" i="13"/>
  <c r="A154" i="13" s="1"/>
  <c r="A155" i="13"/>
  <c r="B155" i="13"/>
  <c r="C155" i="13"/>
  <c r="B156" i="13"/>
  <c r="C156" i="13"/>
  <c r="A156" i="13"/>
  <c r="B157" i="13"/>
  <c r="C157" i="13"/>
  <c r="A157" i="13" s="1"/>
  <c r="B158" i="13"/>
  <c r="C158" i="13"/>
  <c r="A158" i="13" s="1"/>
  <c r="B159" i="13"/>
  <c r="C159" i="13"/>
  <c r="A159" i="13" s="1"/>
  <c r="B160" i="13"/>
  <c r="C160" i="13"/>
  <c r="A160" i="13"/>
  <c r="B161" i="13"/>
  <c r="C161" i="13"/>
  <c r="A161" i="13"/>
  <c r="B162" i="13"/>
  <c r="C162" i="13"/>
  <c r="A162" i="13" s="1"/>
  <c r="B163" i="13"/>
  <c r="C163" i="13"/>
  <c r="A163" i="13" s="1"/>
  <c r="B164" i="13"/>
  <c r="C164" i="13"/>
  <c r="A164" i="13"/>
  <c r="B165" i="13"/>
  <c r="C165" i="13"/>
  <c r="A165" i="13" s="1"/>
  <c r="B166" i="13"/>
  <c r="C166" i="13"/>
  <c r="A166" i="13" s="1"/>
  <c r="B167" i="13"/>
  <c r="C167" i="13"/>
  <c r="A167" i="13" s="1"/>
  <c r="B168" i="13"/>
  <c r="C168" i="13"/>
  <c r="A168" i="13"/>
  <c r="B169" i="13"/>
  <c r="C169" i="13"/>
  <c r="A169" i="13"/>
  <c r="B170" i="13"/>
  <c r="C170" i="13"/>
  <c r="A170" i="13" s="1"/>
  <c r="B171" i="13"/>
  <c r="C171" i="13"/>
  <c r="A171" i="13" s="1"/>
  <c r="B172" i="13"/>
  <c r="C172" i="13"/>
  <c r="A172" i="13"/>
  <c r="B173" i="13"/>
  <c r="C173" i="13"/>
  <c r="A173" i="13" s="1"/>
  <c r="B174" i="13"/>
  <c r="C174" i="13"/>
  <c r="A174" i="13" s="1"/>
  <c r="B175" i="13"/>
  <c r="C175" i="13"/>
  <c r="A175" i="13" s="1"/>
  <c r="B176" i="13"/>
  <c r="C176" i="13"/>
  <c r="A176" i="13"/>
  <c r="B177" i="13"/>
  <c r="C177" i="13"/>
  <c r="A177" i="13"/>
  <c r="B178" i="13"/>
  <c r="C178" i="13"/>
  <c r="A178" i="13"/>
  <c r="B179" i="13"/>
  <c r="C179" i="13"/>
  <c r="A179" i="13" s="1"/>
  <c r="B180" i="13"/>
  <c r="C180" i="13"/>
  <c r="A180" i="13"/>
  <c r="B181" i="13"/>
  <c r="C181" i="13"/>
  <c r="A181" i="13" s="1"/>
  <c r="B182" i="13"/>
  <c r="C182" i="13"/>
  <c r="A182" i="13" s="1"/>
  <c r="B183" i="13"/>
  <c r="C183" i="13"/>
  <c r="A183" i="13" s="1"/>
  <c r="B184" i="13"/>
  <c r="C184" i="13"/>
  <c r="A184" i="13"/>
  <c r="B185" i="13"/>
  <c r="C185" i="13"/>
  <c r="A185" i="13"/>
  <c r="B186" i="13"/>
  <c r="C186" i="13"/>
  <c r="A186" i="13" s="1"/>
  <c r="B187" i="13"/>
  <c r="C187" i="13"/>
  <c r="A187" i="13" s="1"/>
  <c r="B188" i="13"/>
  <c r="C188" i="13"/>
  <c r="A188" i="13"/>
  <c r="B189" i="13"/>
  <c r="C189" i="13"/>
  <c r="A189" i="13" s="1"/>
  <c r="B190" i="13"/>
  <c r="C190" i="13"/>
  <c r="A190" i="13" s="1"/>
  <c r="B191" i="13"/>
  <c r="C191" i="13"/>
  <c r="A191" i="13" s="1"/>
  <c r="B192" i="13"/>
  <c r="C192" i="13"/>
  <c r="A192" i="13"/>
  <c r="B193" i="13"/>
  <c r="C193" i="13"/>
  <c r="A193" i="13"/>
  <c r="B194" i="13"/>
  <c r="C194" i="13"/>
  <c r="A194" i="13" s="1"/>
  <c r="B195" i="13"/>
  <c r="C195" i="13"/>
  <c r="A195" i="13" s="1"/>
  <c r="B196" i="13"/>
  <c r="C196" i="13"/>
  <c r="A196" i="13"/>
  <c r="B197" i="13"/>
  <c r="C197" i="13"/>
  <c r="A197" i="13" s="1"/>
  <c r="B198" i="13"/>
  <c r="C198" i="13"/>
  <c r="A198" i="13" s="1"/>
  <c r="B199" i="13"/>
  <c r="C199" i="13"/>
  <c r="A199" i="13" s="1"/>
  <c r="B200" i="13"/>
  <c r="C200" i="13"/>
  <c r="A200" i="13"/>
  <c r="B201" i="13"/>
  <c r="C201" i="13"/>
  <c r="A201" i="13"/>
  <c r="B202" i="13"/>
  <c r="C202" i="13"/>
  <c r="A202" i="13" s="1"/>
  <c r="B203" i="13"/>
  <c r="C203" i="13"/>
  <c r="A203" i="13" s="1"/>
  <c r="B204" i="13"/>
  <c r="C204" i="13"/>
  <c r="A204" i="13"/>
  <c r="B205" i="13"/>
  <c r="C205" i="13"/>
  <c r="A205" i="13" s="1"/>
  <c r="B206" i="13"/>
  <c r="C206" i="13"/>
  <c r="A206" i="13" s="1"/>
  <c r="B207" i="13"/>
  <c r="C207" i="13"/>
  <c r="A207" i="13" s="1"/>
  <c r="B208" i="13"/>
  <c r="C208" i="13"/>
  <c r="A208" i="13"/>
  <c r="B209" i="13"/>
  <c r="C209" i="13"/>
  <c r="A209" i="13"/>
  <c r="B210" i="13"/>
  <c r="C210" i="13"/>
  <c r="A210" i="13" s="1"/>
  <c r="B211" i="13"/>
  <c r="C211" i="13"/>
  <c r="A211" i="13" s="1"/>
  <c r="B212" i="13"/>
  <c r="C212" i="13"/>
  <c r="A212" i="13"/>
  <c r="B213" i="13"/>
  <c r="C213" i="13"/>
  <c r="A213" i="13" s="1"/>
  <c r="B214" i="13"/>
  <c r="C214" i="13"/>
  <c r="A214" i="13" s="1"/>
  <c r="B215" i="13"/>
  <c r="C215" i="13"/>
  <c r="A215" i="13" s="1"/>
  <c r="B216" i="13"/>
  <c r="C216" i="13"/>
  <c r="A216" i="13"/>
  <c r="B217" i="13"/>
  <c r="C217" i="13"/>
  <c r="A217" i="13"/>
  <c r="B218" i="13"/>
  <c r="C218" i="13"/>
  <c r="A218" i="13" s="1"/>
  <c r="B219" i="13"/>
  <c r="C219" i="13"/>
  <c r="A219" i="13" s="1"/>
  <c r="B220" i="13"/>
  <c r="C220" i="13"/>
  <c r="A220" i="13"/>
  <c r="B221" i="13"/>
  <c r="C221" i="13"/>
  <c r="A221" i="13" s="1"/>
  <c r="B222" i="13"/>
  <c r="C222" i="13"/>
  <c r="A222" i="13" s="1"/>
  <c r="B223" i="13"/>
  <c r="C223" i="13"/>
  <c r="A223" i="13" s="1"/>
  <c r="B224" i="13"/>
  <c r="C224" i="13"/>
  <c r="A224" i="13"/>
  <c r="B225" i="13"/>
  <c r="C225" i="13"/>
  <c r="A225" i="13"/>
  <c r="B226" i="13"/>
  <c r="C226" i="13"/>
  <c r="A226" i="13"/>
  <c r="B227" i="13"/>
  <c r="C227" i="13"/>
  <c r="A227" i="13" s="1"/>
  <c r="B228" i="13"/>
  <c r="C228" i="13"/>
  <c r="A228" i="13"/>
  <c r="B229" i="13"/>
  <c r="C229" i="13"/>
  <c r="A229" i="13" s="1"/>
  <c r="B230" i="13"/>
  <c r="C230" i="13"/>
  <c r="A230" i="13" s="1"/>
  <c r="B231" i="13"/>
  <c r="C231" i="13"/>
  <c r="A231" i="13" s="1"/>
  <c r="B232" i="13"/>
  <c r="C232" i="13"/>
  <c r="A232" i="13"/>
  <c r="B233" i="13"/>
  <c r="C233" i="13"/>
  <c r="A233" i="13"/>
  <c r="B234" i="13"/>
  <c r="C234" i="13"/>
  <c r="A234" i="13" s="1"/>
  <c r="B235" i="13"/>
  <c r="C235" i="13"/>
  <c r="A235" i="13" s="1"/>
  <c r="B236" i="13"/>
  <c r="C236" i="13"/>
  <c r="A236" i="13"/>
  <c r="B237" i="13"/>
  <c r="C237" i="13"/>
  <c r="A237" i="13" s="1"/>
  <c r="B238" i="13"/>
  <c r="C238" i="13"/>
  <c r="A238" i="13" s="1"/>
  <c r="B239" i="13"/>
  <c r="C239" i="13"/>
  <c r="A239" i="13" s="1"/>
  <c r="B240" i="13"/>
  <c r="C240" i="13"/>
  <c r="A240" i="13"/>
  <c r="B241" i="13"/>
  <c r="C241" i="13"/>
  <c r="A241" i="13"/>
  <c r="B242" i="13"/>
  <c r="C242" i="13"/>
  <c r="A242" i="13" s="1"/>
  <c r="B243" i="13"/>
  <c r="C243" i="13"/>
  <c r="A243" i="13" s="1"/>
  <c r="B244" i="13"/>
  <c r="C244" i="13"/>
  <c r="A244" i="13"/>
  <c r="B245" i="13"/>
  <c r="C245" i="13"/>
  <c r="A245" i="13" s="1"/>
  <c r="B246" i="13"/>
  <c r="C246" i="13"/>
  <c r="A246" i="13" s="1"/>
  <c r="B247" i="13"/>
  <c r="C247" i="13"/>
  <c r="A247" i="13" s="1"/>
  <c r="B248" i="13"/>
  <c r="C248" i="13"/>
  <c r="A248" i="13"/>
  <c r="B249" i="13"/>
  <c r="C249" i="13"/>
  <c r="A249" i="13"/>
  <c r="B250" i="13"/>
  <c r="C250" i="13"/>
  <c r="A250" i="13" s="1"/>
  <c r="B251" i="13"/>
  <c r="C251" i="13"/>
  <c r="A251" i="13" s="1"/>
  <c r="B252" i="13"/>
  <c r="C252" i="13"/>
  <c r="A252" i="13"/>
  <c r="B253" i="13"/>
  <c r="C253" i="13"/>
  <c r="A253" i="13" s="1"/>
  <c r="B254" i="13"/>
  <c r="C254" i="13"/>
  <c r="A254" i="13" s="1"/>
  <c r="B255" i="13"/>
  <c r="C255" i="13"/>
  <c r="A255" i="13" s="1"/>
  <c r="B256" i="13"/>
  <c r="C256" i="13"/>
  <c r="A256" i="13"/>
  <c r="B257" i="13"/>
  <c r="C257" i="13"/>
  <c r="A257" i="13"/>
  <c r="B258" i="13"/>
  <c r="C258" i="13"/>
  <c r="A258" i="13"/>
  <c r="B259" i="13"/>
  <c r="C259" i="13"/>
  <c r="A259" i="13" s="1"/>
  <c r="B260" i="13"/>
  <c r="C260" i="13"/>
  <c r="A260" i="13"/>
  <c r="B261" i="13"/>
  <c r="C261" i="13"/>
  <c r="A261" i="13" s="1"/>
  <c r="B262" i="13"/>
  <c r="C262" i="13"/>
  <c r="A262" i="13" s="1"/>
  <c r="B263" i="13"/>
  <c r="C263" i="13"/>
  <c r="A263" i="13" s="1"/>
  <c r="B264" i="13"/>
  <c r="C264" i="13"/>
  <c r="A264" i="13"/>
  <c r="B265" i="13"/>
  <c r="C265" i="13"/>
  <c r="A265" i="13"/>
  <c r="B266" i="13"/>
  <c r="C266" i="13"/>
  <c r="A266" i="13" s="1"/>
  <c r="B267" i="13"/>
  <c r="C267" i="13"/>
  <c r="A267" i="13" s="1"/>
  <c r="B268" i="13"/>
  <c r="C268" i="13"/>
  <c r="A268" i="13"/>
  <c r="B269" i="13"/>
  <c r="C269" i="13"/>
  <c r="A269" i="13" s="1"/>
  <c r="B270" i="13"/>
  <c r="C270" i="13"/>
  <c r="A270" i="13" s="1"/>
  <c r="B271" i="13"/>
  <c r="C271" i="13"/>
  <c r="A271" i="13" s="1"/>
  <c r="B272" i="13"/>
  <c r="C272" i="13"/>
  <c r="A272" i="13"/>
  <c r="B273" i="13"/>
  <c r="C273" i="13"/>
  <c r="A273" i="13"/>
  <c r="B274" i="13"/>
  <c r="C274" i="13"/>
  <c r="A274" i="13"/>
  <c r="B275" i="13"/>
  <c r="C275" i="13"/>
  <c r="A275" i="13" s="1"/>
  <c r="B276" i="13"/>
  <c r="C276" i="13"/>
  <c r="A276" i="13"/>
  <c r="B277" i="13"/>
  <c r="C277" i="13"/>
  <c r="A277" i="13" s="1"/>
  <c r="B278" i="13"/>
  <c r="C278" i="13"/>
  <c r="A278" i="13" s="1"/>
  <c r="B279" i="13"/>
  <c r="C279" i="13"/>
  <c r="A279" i="13" s="1"/>
  <c r="B280" i="13"/>
  <c r="C280" i="13"/>
  <c r="A280" i="13"/>
  <c r="B281" i="13"/>
  <c r="C281" i="13"/>
  <c r="A281" i="13"/>
  <c r="B282" i="13"/>
  <c r="C282" i="13"/>
  <c r="A282" i="13" s="1"/>
  <c r="B283" i="13"/>
  <c r="C283" i="13"/>
  <c r="A283" i="13" s="1"/>
  <c r="B284" i="13"/>
  <c r="C284" i="13"/>
  <c r="A284" i="13"/>
  <c r="B285" i="13"/>
  <c r="C285" i="13"/>
  <c r="A285" i="13" s="1"/>
  <c r="B286" i="13"/>
  <c r="C286" i="13"/>
  <c r="A286" i="13" s="1"/>
  <c r="B287" i="13"/>
  <c r="C287" i="13"/>
  <c r="A287" i="13" s="1"/>
  <c r="B288" i="13"/>
  <c r="C288" i="13"/>
  <c r="A288" i="13"/>
  <c r="B289" i="13"/>
  <c r="C289" i="13"/>
  <c r="A289" i="13"/>
  <c r="B290" i="13"/>
  <c r="C290" i="13"/>
  <c r="A290" i="13" s="1"/>
  <c r="B291" i="13"/>
  <c r="C291" i="13"/>
  <c r="A291" i="13" s="1"/>
  <c r="B292" i="13"/>
  <c r="C292" i="13"/>
  <c r="A292" i="13"/>
  <c r="B293" i="13"/>
  <c r="C293" i="13"/>
  <c r="A293" i="13" s="1"/>
  <c r="B294" i="13"/>
  <c r="C294" i="13"/>
  <c r="A294" i="13" s="1"/>
  <c r="B295" i="13"/>
  <c r="C295" i="13"/>
  <c r="A295" i="13" s="1"/>
  <c r="B296" i="13"/>
  <c r="C296" i="13"/>
  <c r="A296" i="13"/>
  <c r="B297" i="13"/>
  <c r="C297" i="13"/>
  <c r="A297" i="13"/>
  <c r="B298" i="13"/>
  <c r="C298" i="13"/>
  <c r="A298" i="13" s="1"/>
  <c r="B299" i="13"/>
  <c r="C299" i="13"/>
  <c r="A299" i="13" s="1"/>
  <c r="B300" i="13"/>
  <c r="C300" i="13"/>
  <c r="A300" i="13"/>
  <c r="B301" i="13"/>
  <c r="C301" i="13"/>
  <c r="A301" i="13" s="1"/>
  <c r="B302" i="13"/>
  <c r="C302" i="13"/>
  <c r="A302" i="13" s="1"/>
  <c r="B303" i="13"/>
  <c r="C303" i="13"/>
  <c r="A303" i="13" s="1"/>
  <c r="B304" i="13"/>
  <c r="C304" i="13"/>
  <c r="A304" i="13"/>
  <c r="B305" i="13"/>
  <c r="C305" i="13"/>
  <c r="A305" i="13"/>
  <c r="B306" i="13"/>
  <c r="C306" i="13"/>
  <c r="A306" i="13"/>
  <c r="B307" i="13"/>
  <c r="C307" i="13"/>
  <c r="A307" i="13" s="1"/>
  <c r="B308" i="13"/>
  <c r="C308" i="13"/>
  <c r="A308" i="13"/>
  <c r="B309" i="13"/>
  <c r="C309" i="13"/>
  <c r="A309" i="13" s="1"/>
  <c r="B310" i="13"/>
  <c r="C310" i="13"/>
  <c r="A310" i="13" s="1"/>
  <c r="B311" i="13"/>
  <c r="C311" i="13"/>
  <c r="A311" i="13" s="1"/>
  <c r="B312" i="13"/>
  <c r="C312" i="13"/>
  <c r="A312" i="13"/>
  <c r="B313" i="13"/>
  <c r="C313" i="13"/>
  <c r="A313" i="13"/>
  <c r="B314" i="13"/>
  <c r="C314" i="13"/>
  <c r="A314" i="13" s="1"/>
  <c r="B315" i="13"/>
  <c r="C315" i="13"/>
  <c r="A315" i="13" s="1"/>
  <c r="B316" i="13"/>
  <c r="C316" i="13"/>
  <c r="A316" i="13"/>
  <c r="B317" i="13"/>
  <c r="C317" i="13"/>
  <c r="A317" i="13" s="1"/>
  <c r="B318" i="13"/>
  <c r="C318" i="13"/>
  <c r="A318" i="13" s="1"/>
  <c r="B319" i="13"/>
  <c r="C319" i="13"/>
  <c r="A319" i="13" s="1"/>
  <c r="B320" i="13"/>
  <c r="C320" i="13"/>
  <c r="A320" i="13"/>
  <c r="B321" i="13"/>
  <c r="C321" i="13"/>
  <c r="A321" i="13"/>
  <c r="B322" i="13"/>
  <c r="C322" i="13"/>
  <c r="A322" i="13" s="1"/>
  <c r="B323" i="13"/>
  <c r="C323" i="13"/>
  <c r="A323" i="13" s="1"/>
  <c r="B324" i="13"/>
  <c r="C324" i="13"/>
  <c r="A324" i="13"/>
  <c r="B325" i="13"/>
  <c r="C325" i="13"/>
  <c r="A325" i="13" s="1"/>
  <c r="B326" i="13"/>
  <c r="C326" i="13"/>
  <c r="A326" i="13" s="1"/>
  <c r="B327" i="13"/>
  <c r="C327" i="13"/>
  <c r="A327" i="13" s="1"/>
  <c r="B328" i="13"/>
  <c r="C328" i="13"/>
  <c r="A328" i="13"/>
  <c r="B329" i="13"/>
  <c r="C329" i="13"/>
  <c r="A329" i="13"/>
  <c r="B330" i="13"/>
  <c r="C330" i="13"/>
  <c r="A330" i="13" s="1"/>
  <c r="B331" i="13"/>
  <c r="C331" i="13"/>
  <c r="A331" i="13" s="1"/>
  <c r="B332" i="13"/>
  <c r="C332" i="13"/>
  <c r="A332" i="13"/>
  <c r="B333" i="13"/>
  <c r="C333" i="13"/>
  <c r="A333" i="13" s="1"/>
  <c r="B334" i="13"/>
  <c r="C334" i="13"/>
  <c r="A334" i="13" s="1"/>
  <c r="B335" i="13"/>
  <c r="C335" i="13"/>
  <c r="A335" i="13" s="1"/>
  <c r="B336" i="13"/>
  <c r="C336" i="13"/>
  <c r="A336" i="13"/>
  <c r="B337" i="13"/>
  <c r="C337" i="13"/>
  <c r="A337" i="13"/>
  <c r="B338" i="13"/>
  <c r="C338" i="13"/>
  <c r="A338" i="13" s="1"/>
  <c r="B339" i="13"/>
  <c r="C339" i="13"/>
  <c r="A339" i="13" s="1"/>
  <c r="B340" i="13"/>
  <c r="C340" i="13"/>
  <c r="A340" i="13"/>
  <c r="B341" i="13"/>
  <c r="C341" i="13"/>
  <c r="A341" i="13" s="1"/>
  <c r="B342" i="13"/>
  <c r="C342" i="13"/>
  <c r="A342" i="13" s="1"/>
  <c r="B343" i="13"/>
  <c r="C343" i="13"/>
  <c r="A343" i="13" s="1"/>
  <c r="B344" i="13"/>
  <c r="C344" i="13"/>
  <c r="A344" i="13"/>
  <c r="B345" i="13"/>
  <c r="C345" i="13"/>
  <c r="A345" i="13"/>
  <c r="B346" i="13"/>
  <c r="C346" i="13"/>
  <c r="A346" i="13" s="1"/>
  <c r="B347" i="13"/>
  <c r="C347" i="13"/>
  <c r="A347" i="13" s="1"/>
  <c r="B348" i="13"/>
  <c r="C348" i="13"/>
  <c r="A348" i="13"/>
  <c r="B349" i="13"/>
  <c r="C349" i="13"/>
  <c r="A349" i="13" s="1"/>
  <c r="B350" i="13"/>
  <c r="C350" i="13"/>
  <c r="A350" i="13" s="1"/>
  <c r="B351" i="13"/>
  <c r="C351" i="13"/>
  <c r="A351" i="13" s="1"/>
  <c r="B352" i="13"/>
  <c r="C352" i="13"/>
  <c r="A352" i="13"/>
  <c r="B353" i="13"/>
  <c r="C353" i="13"/>
  <c r="A353" i="13"/>
  <c r="B354" i="13"/>
  <c r="C354" i="13"/>
  <c r="A354" i="13"/>
  <c r="B355" i="13"/>
  <c r="C355" i="13"/>
  <c r="A355" i="13" s="1"/>
  <c r="B356" i="13"/>
  <c r="C356" i="13"/>
  <c r="A356" i="13"/>
  <c r="B357" i="13"/>
  <c r="C357" i="13"/>
  <c r="A357" i="13" s="1"/>
  <c r="B358" i="13"/>
  <c r="C358" i="13"/>
  <c r="A358" i="13" s="1"/>
  <c r="B359" i="13"/>
  <c r="C359" i="13"/>
  <c r="A359" i="13" s="1"/>
  <c r="B360" i="13"/>
  <c r="C360" i="13"/>
  <c r="A360" i="13"/>
  <c r="B361" i="13"/>
  <c r="C361" i="13"/>
  <c r="A361" i="13"/>
  <c r="B362" i="13"/>
  <c r="C362" i="13"/>
  <c r="A362" i="13" s="1"/>
  <c r="B363" i="13"/>
  <c r="C363" i="13"/>
  <c r="A363" i="13" s="1"/>
  <c r="B364" i="13"/>
  <c r="C364" i="13"/>
  <c r="A364" i="13"/>
  <c r="B365" i="13"/>
  <c r="C365" i="13"/>
  <c r="A365" i="13" s="1"/>
  <c r="B366" i="13"/>
  <c r="C366" i="13"/>
  <c r="A366" i="13" s="1"/>
  <c r="B367" i="13"/>
  <c r="C367" i="13"/>
  <c r="A367" i="13" s="1"/>
  <c r="B368" i="13"/>
  <c r="C368" i="13"/>
  <c r="A368" i="13"/>
  <c r="B369" i="13"/>
  <c r="C369" i="13"/>
  <c r="A369" i="13"/>
  <c r="B370" i="13"/>
  <c r="C370" i="13"/>
  <c r="A370" i="13" s="1"/>
  <c r="B371" i="13"/>
  <c r="C371" i="13"/>
  <c r="A371" i="13" s="1"/>
  <c r="B372" i="13"/>
  <c r="C372" i="13"/>
  <c r="A372" i="13"/>
  <c r="B373" i="13"/>
  <c r="C373" i="13"/>
  <c r="A373" i="13" s="1"/>
  <c r="B374" i="13"/>
  <c r="C374" i="13"/>
  <c r="A374" i="13" s="1"/>
  <c r="B375" i="13"/>
  <c r="C375" i="13"/>
  <c r="A375" i="13" s="1"/>
  <c r="B376" i="13"/>
  <c r="C376" i="13"/>
  <c r="A376" i="13"/>
  <c r="B377" i="13"/>
  <c r="C377" i="13"/>
  <c r="A377" i="13"/>
  <c r="B378" i="13"/>
  <c r="C378" i="13"/>
  <c r="A378" i="13" s="1"/>
  <c r="B379" i="13"/>
  <c r="C379" i="13"/>
  <c r="A379" i="13" s="1"/>
  <c r="B380" i="13"/>
  <c r="C380" i="13"/>
  <c r="A380" i="13"/>
  <c r="B381" i="13"/>
  <c r="C381" i="13"/>
  <c r="A381" i="13" s="1"/>
  <c r="B382" i="13"/>
  <c r="C382" i="13"/>
  <c r="A382" i="13" s="1"/>
  <c r="B383" i="13"/>
  <c r="C383" i="13"/>
  <c r="A383" i="13" s="1"/>
  <c r="B384" i="13"/>
  <c r="C384" i="13"/>
  <c r="A384" i="13"/>
  <c r="B385" i="13"/>
  <c r="C385" i="13"/>
  <c r="A385" i="13"/>
  <c r="B386" i="13"/>
  <c r="C386" i="13"/>
  <c r="A386" i="13" s="1"/>
  <c r="B387" i="13"/>
  <c r="C387" i="13"/>
  <c r="A387" i="13" s="1"/>
  <c r="B388" i="13"/>
  <c r="C388" i="13"/>
  <c r="A388" i="13"/>
  <c r="B389" i="13"/>
  <c r="C389" i="13"/>
  <c r="A389" i="13" s="1"/>
  <c r="B390" i="13"/>
  <c r="C390" i="13"/>
  <c r="A390" i="13" s="1"/>
  <c r="B391" i="13"/>
  <c r="C391" i="13"/>
  <c r="A391" i="13" s="1"/>
  <c r="B392" i="13"/>
  <c r="C392" i="13"/>
  <c r="A392" i="13"/>
  <c r="B393" i="13"/>
  <c r="C393" i="13"/>
  <c r="A393" i="13"/>
  <c r="B394" i="13"/>
  <c r="C394" i="13"/>
  <c r="A394" i="13" s="1"/>
  <c r="B395" i="13"/>
  <c r="C395" i="13"/>
  <c r="A395" i="13" s="1"/>
  <c r="B396" i="13"/>
  <c r="C396" i="13"/>
  <c r="A396" i="13"/>
  <c r="B397" i="13"/>
  <c r="C397" i="13"/>
  <c r="A397" i="13" s="1"/>
  <c r="B398" i="13"/>
  <c r="C398" i="13"/>
  <c r="A398" i="13" s="1"/>
  <c r="B399" i="13"/>
  <c r="C399" i="13"/>
  <c r="A399" i="13" s="1"/>
  <c r="B400" i="13"/>
  <c r="C400" i="13"/>
  <c r="A400" i="13"/>
  <c r="B401" i="13"/>
  <c r="C401" i="13"/>
  <c r="A401" i="13"/>
  <c r="B402" i="13"/>
  <c r="C402" i="13"/>
  <c r="A402" i="13"/>
  <c r="B403" i="13"/>
  <c r="C403" i="13"/>
  <c r="A403" i="13" s="1"/>
  <c r="B404" i="13"/>
  <c r="C404" i="13"/>
  <c r="A404" i="13"/>
  <c r="B405" i="13"/>
  <c r="C405" i="13"/>
  <c r="A405" i="13" s="1"/>
  <c r="B406" i="13"/>
  <c r="C406" i="13"/>
  <c r="A406" i="13" s="1"/>
  <c r="A407" i="13"/>
  <c r="B407" i="13"/>
  <c r="C407" i="13"/>
  <c r="B408" i="13"/>
  <c r="C408" i="13"/>
  <c r="A408" i="13"/>
  <c r="B409" i="13"/>
  <c r="C409" i="13"/>
  <c r="A409" i="13"/>
  <c r="B410" i="13"/>
  <c r="C410" i="13"/>
  <c r="A410" i="13"/>
  <c r="B411" i="13"/>
  <c r="C411" i="13"/>
  <c r="A411" i="13" s="1"/>
  <c r="B412" i="13"/>
  <c r="C412" i="13"/>
  <c r="A412" i="13"/>
  <c r="B413" i="13"/>
  <c r="C413" i="13"/>
  <c r="A413" i="13" s="1"/>
  <c r="B414" i="13"/>
  <c r="C414" i="13"/>
  <c r="A414" i="13" s="1"/>
  <c r="A415" i="13"/>
  <c r="B415" i="13"/>
  <c r="C415" i="13"/>
  <c r="B416" i="13"/>
  <c r="C416" i="13"/>
  <c r="A416" i="13"/>
  <c r="B417" i="13"/>
  <c r="C417" i="13"/>
  <c r="A417" i="13"/>
  <c r="B418" i="13"/>
  <c r="C418" i="13"/>
  <c r="A418" i="13"/>
  <c r="B419" i="13"/>
  <c r="C419" i="13"/>
  <c r="A419" i="13" s="1"/>
  <c r="B420" i="13"/>
  <c r="C420" i="13"/>
  <c r="A420" i="13" s="1"/>
  <c r="B421" i="13"/>
  <c r="C421" i="13"/>
  <c r="A421" i="13" s="1"/>
  <c r="B422" i="13"/>
  <c r="C422" i="13"/>
  <c r="A422" i="13" s="1"/>
  <c r="B423" i="13"/>
  <c r="C423" i="13"/>
  <c r="A423" i="13" s="1"/>
  <c r="B424" i="13"/>
  <c r="C424" i="13"/>
  <c r="A424" i="13"/>
  <c r="B425" i="13"/>
  <c r="C425" i="13"/>
  <c r="A425" i="13"/>
  <c r="B426" i="13"/>
  <c r="C426" i="13"/>
  <c r="A426" i="13"/>
  <c r="B427" i="13"/>
  <c r="C427" i="13"/>
  <c r="A427" i="13" s="1"/>
  <c r="B428" i="13"/>
  <c r="C428" i="13"/>
  <c r="A428" i="13" s="1"/>
  <c r="B429" i="13"/>
  <c r="C429" i="13"/>
  <c r="A429" i="13" s="1"/>
  <c r="B430" i="13"/>
  <c r="C430" i="13"/>
  <c r="A430" i="13" s="1"/>
  <c r="B431" i="13"/>
  <c r="C431" i="13"/>
  <c r="A431" i="13" s="1"/>
  <c r="B432" i="13"/>
  <c r="C432" i="13"/>
  <c r="A432" i="13"/>
  <c r="B433" i="13"/>
  <c r="C433" i="13"/>
  <c r="A433" i="13"/>
  <c r="B434" i="13"/>
  <c r="C434" i="13"/>
  <c r="A434" i="13" s="1"/>
  <c r="B435" i="13"/>
  <c r="C435" i="13"/>
  <c r="A435" i="13" s="1"/>
  <c r="B436" i="13"/>
  <c r="C436" i="13"/>
  <c r="A436" i="13"/>
  <c r="B437" i="13"/>
  <c r="C437" i="13"/>
  <c r="A437" i="13"/>
  <c r="B438" i="13"/>
  <c r="C438" i="13"/>
  <c r="A438" i="13" s="1"/>
  <c r="A439" i="13"/>
  <c r="B439" i="13"/>
  <c r="C439" i="13"/>
  <c r="B440" i="13"/>
  <c r="C440" i="13"/>
  <c r="A440" i="13"/>
  <c r="B441" i="13"/>
  <c r="C441" i="13"/>
  <c r="A441" i="13"/>
  <c r="B442" i="13"/>
  <c r="C442" i="13"/>
  <c r="A442" i="13"/>
  <c r="B443" i="13"/>
  <c r="C443" i="13"/>
  <c r="A443" i="13" s="1"/>
  <c r="B444" i="13"/>
  <c r="C444" i="13"/>
  <c r="A444" i="13" s="1"/>
  <c r="B445" i="13"/>
  <c r="C445" i="13"/>
  <c r="A445" i="13" s="1"/>
  <c r="B446" i="13"/>
  <c r="C446" i="13"/>
  <c r="A446" i="13" s="1"/>
  <c r="A447" i="13"/>
  <c r="B447" i="13"/>
  <c r="C447" i="13"/>
  <c r="B448" i="13"/>
  <c r="C448" i="13"/>
  <c r="A448" i="13" s="1"/>
  <c r="B449" i="13"/>
  <c r="C449" i="13"/>
  <c r="A449" i="13"/>
  <c r="B450" i="13"/>
  <c r="C450" i="13"/>
  <c r="A450" i="13"/>
  <c r="A451" i="13"/>
  <c r="B451" i="13"/>
  <c r="C451" i="13"/>
  <c r="B452" i="13"/>
  <c r="C452" i="13"/>
  <c r="A452" i="13" s="1"/>
  <c r="B453" i="13"/>
  <c r="C453" i="13"/>
  <c r="A453" i="13" s="1"/>
  <c r="B454" i="13"/>
  <c r="C454" i="13"/>
  <c r="A454" i="13" s="1"/>
  <c r="B455" i="13"/>
  <c r="C455" i="13"/>
  <c r="A455" i="13" s="1"/>
  <c r="B456" i="13"/>
  <c r="C456" i="13"/>
  <c r="A456" i="13" s="1"/>
  <c r="B457" i="13"/>
  <c r="C457" i="13"/>
  <c r="A457" i="13"/>
  <c r="B458" i="13"/>
  <c r="C458" i="13"/>
  <c r="A458" i="13" s="1"/>
  <c r="A459" i="13"/>
  <c r="B459" i="13"/>
  <c r="C459" i="13"/>
  <c r="B460" i="13"/>
  <c r="C460" i="13"/>
  <c r="A460" i="13" s="1"/>
  <c r="B461" i="13"/>
  <c r="C461" i="13"/>
  <c r="A461" i="13"/>
  <c r="B462" i="13"/>
  <c r="C462" i="13"/>
  <c r="A462" i="13"/>
  <c r="B463" i="13"/>
  <c r="C463" i="13"/>
  <c r="A463" i="13" s="1"/>
  <c r="B464" i="13"/>
  <c r="C464" i="13"/>
  <c r="A464" i="13"/>
  <c r="B465" i="13"/>
  <c r="C465" i="13"/>
  <c r="A465" i="13"/>
  <c r="B466" i="13"/>
  <c r="C466" i="13"/>
  <c r="A466" i="13" s="1"/>
  <c r="A467" i="13"/>
  <c r="B467" i="13"/>
  <c r="C467" i="13"/>
  <c r="B468" i="13"/>
  <c r="C468" i="13"/>
  <c r="A468" i="13" s="1"/>
  <c r="B469" i="13"/>
  <c r="C469" i="13"/>
  <c r="A469" i="13"/>
  <c r="B470" i="13"/>
  <c r="C470" i="13"/>
  <c r="A470" i="13"/>
  <c r="A471" i="13"/>
  <c r="B471" i="13"/>
  <c r="C471" i="13"/>
  <c r="B472" i="13"/>
  <c r="C472" i="13"/>
  <c r="A472" i="13"/>
  <c r="B473" i="13"/>
  <c r="C473" i="13"/>
  <c r="A473" i="13"/>
  <c r="B474" i="13"/>
  <c r="C474" i="13"/>
  <c r="A474" i="13" s="1"/>
  <c r="A475" i="13"/>
  <c r="B475" i="13"/>
  <c r="C475" i="13"/>
  <c r="B476" i="13"/>
  <c r="C476" i="13"/>
  <c r="A476" i="13"/>
  <c r="B477" i="13"/>
  <c r="C477" i="13"/>
  <c r="A477" i="13"/>
  <c r="B478" i="13"/>
  <c r="C478" i="13"/>
  <c r="A478" i="13"/>
  <c r="B479" i="13"/>
  <c r="C479" i="13"/>
  <c r="A479" i="13" s="1"/>
  <c r="B480" i="13"/>
  <c r="C480" i="13"/>
  <c r="A480" i="13" s="1"/>
  <c r="B481" i="13"/>
  <c r="C481" i="13"/>
  <c r="A481" i="13"/>
  <c r="B482" i="13"/>
  <c r="C482" i="13"/>
  <c r="A482" i="13" s="1"/>
  <c r="A483" i="13"/>
  <c r="B483" i="13"/>
  <c r="C483" i="13"/>
  <c r="B484" i="13"/>
  <c r="C484" i="13"/>
  <c r="A484" i="13" s="1"/>
  <c r="B485" i="13"/>
  <c r="C485" i="13"/>
  <c r="A485" i="13"/>
  <c r="B486" i="13"/>
  <c r="C486" i="13"/>
  <c r="A486" i="13"/>
  <c r="B487" i="13"/>
  <c r="C487" i="13"/>
  <c r="A487" i="13" s="1"/>
  <c r="B488" i="13"/>
  <c r="C488" i="13"/>
  <c r="A488" i="13"/>
  <c r="B489" i="13"/>
  <c r="C489" i="13"/>
  <c r="A489" i="13"/>
  <c r="B490" i="13"/>
  <c r="C490" i="13"/>
  <c r="A490" i="13" s="1"/>
  <c r="A491" i="13"/>
  <c r="B491" i="13"/>
  <c r="C491" i="13"/>
  <c r="B492" i="13"/>
  <c r="C492" i="13"/>
  <c r="A492" i="13" s="1"/>
  <c r="B493" i="13"/>
  <c r="C493" i="13"/>
  <c r="A493" i="13"/>
  <c r="B494" i="13"/>
  <c r="C494" i="13"/>
  <c r="A494" i="13"/>
  <c r="A495" i="13"/>
  <c r="B495" i="13"/>
  <c r="C495" i="13"/>
  <c r="B496" i="13"/>
  <c r="C496" i="13"/>
  <c r="A496" i="13" s="1"/>
  <c r="B497" i="13"/>
  <c r="C497" i="13"/>
  <c r="A497" i="13"/>
  <c r="B498" i="13"/>
  <c r="C498" i="13"/>
  <c r="A498" i="13" s="1"/>
  <c r="A499" i="13"/>
  <c r="B499" i="13"/>
  <c r="C499" i="13"/>
  <c r="B500" i="13"/>
  <c r="C500" i="13"/>
  <c r="A500" i="13"/>
  <c r="B501" i="13"/>
  <c r="C501" i="13"/>
  <c r="A501" i="13"/>
  <c r="B502" i="13"/>
  <c r="C502"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V29" i="1"/>
  <c r="W22" i="1"/>
  <c r="I3" i="17"/>
  <c r="V30" i="1"/>
  <c r="R30" i="1"/>
  <c r="P30" i="1"/>
  <c r="G49" i="1"/>
  <c r="H7" i="15"/>
  <c r="I8" i="17" l="1"/>
  <c r="B8" i="17"/>
  <c r="H9" i="17"/>
  <c r="D7" i="17"/>
  <c r="E7" i="17" s="1"/>
  <c r="F7" i="17" s="1"/>
  <c r="A9" i="17"/>
  <c r="A13" i="1"/>
  <c r="F12" i="1"/>
  <c r="A14" i="1"/>
  <c r="F13" i="1"/>
  <c r="P327" i="1"/>
  <c r="S327" i="1" s="1"/>
  <c r="P791" i="1"/>
  <c r="S791" i="1" s="1"/>
  <c r="P831" i="1"/>
  <c r="Q831" i="1" s="1"/>
  <c r="P879" i="1"/>
  <c r="S879" i="1" s="1"/>
  <c r="R373" i="1"/>
  <c r="R744" i="1"/>
  <c r="P675" i="1"/>
  <c r="S675" i="1" s="1"/>
  <c r="P581" i="1"/>
  <c r="S581" i="1" s="1"/>
  <c r="P990" i="1"/>
  <c r="Q990" i="1" s="1"/>
  <c r="P931" i="1"/>
  <c r="Q931" i="1" s="1"/>
  <c r="P884" i="1"/>
  <c r="S884" i="1" s="1"/>
  <c r="R597" i="1"/>
  <c r="P525" i="1"/>
  <c r="Q525" i="1" s="1"/>
  <c r="P456" i="1"/>
  <c r="Q456" i="1" s="1"/>
  <c r="R504" i="1"/>
  <c r="R520" i="1"/>
  <c r="R649" i="1"/>
  <c r="P360" i="1"/>
  <c r="Q360" i="1" s="1"/>
  <c r="P957" i="1"/>
  <c r="S957" i="1" s="1"/>
  <c r="R901" i="1"/>
  <c r="P613" i="1"/>
  <c r="S613" i="1" s="1"/>
  <c r="R397" i="1"/>
  <c r="P708" i="1"/>
  <c r="Q708" i="1" s="1"/>
  <c r="P965" i="1"/>
  <c r="S965" i="1" s="1"/>
  <c r="P414" i="1"/>
  <c r="S414" i="1" s="1"/>
  <c r="P271" i="1"/>
  <c r="Q271" i="1" s="1"/>
  <c r="R375" i="1"/>
  <c r="R471" i="1"/>
  <c r="P305" i="1"/>
  <c r="Q305" i="1" s="1"/>
  <c r="P337" i="1"/>
  <c r="Q337" i="1" s="1"/>
  <c r="P465" i="1"/>
  <c r="S465" i="1" s="1"/>
  <c r="P489" i="1"/>
  <c r="Q489" i="1" s="1"/>
  <c r="P545" i="1"/>
  <c r="S545" i="1" s="1"/>
  <c r="R569" i="1"/>
  <c r="R577" i="1"/>
  <c r="P793" i="1"/>
  <c r="Q793" i="1" s="1"/>
  <c r="R34" i="1"/>
  <c r="P82" i="1"/>
  <c r="S82" i="1" s="1"/>
  <c r="R298" i="1"/>
  <c r="R650" i="1"/>
  <c r="R762" i="1"/>
  <c r="R778" i="1"/>
  <c r="R810" i="1"/>
  <c r="R914" i="1"/>
  <c r="P339" i="1"/>
  <c r="S339" i="1" s="1"/>
  <c r="R109" i="1"/>
  <c r="P134" i="1"/>
  <c r="S134" i="1" s="1"/>
  <c r="R310" i="1"/>
  <c r="R988" i="1"/>
  <c r="V980" i="1"/>
  <c r="W956" i="1"/>
  <c r="W804" i="1"/>
  <c r="W772" i="1"/>
  <c r="V20" i="1"/>
  <c r="R978" i="1"/>
  <c r="V972" i="1"/>
  <c r="P964" i="1"/>
  <c r="S964" i="1" s="1"/>
  <c r="V924" i="1"/>
  <c r="V908" i="1"/>
  <c r="V892" i="1"/>
  <c r="W807" i="1"/>
  <c r="V748" i="1"/>
  <c r="V940" i="1"/>
  <c r="W764" i="1"/>
  <c r="V647" i="1"/>
  <c r="V636" i="1"/>
  <c r="W300" i="1"/>
  <c r="W935" i="1"/>
  <c r="V900" i="1"/>
  <c r="W239" i="1"/>
  <c r="P495" i="1"/>
  <c r="Q495" i="1" s="1"/>
  <c r="V495" i="1"/>
  <c r="P591" i="1"/>
  <c r="Q591" i="1" s="1"/>
  <c r="W591" i="1"/>
  <c r="W679" i="1"/>
  <c r="V703" i="1"/>
  <c r="P863" i="1"/>
  <c r="Q863" i="1" s="1"/>
  <c r="W863" i="1"/>
  <c r="X911" i="1"/>
  <c r="T911" i="1" s="1"/>
  <c r="U911" i="1" s="1"/>
  <c r="V911" i="1"/>
  <c r="V820" i="1"/>
  <c r="V796" i="1"/>
  <c r="W740" i="1"/>
  <c r="W580" i="1"/>
  <c r="V832" i="1"/>
  <c r="V988" i="1"/>
  <c r="W964" i="1"/>
  <c r="V930" i="1"/>
  <c r="W900" i="1"/>
  <c r="V868" i="1"/>
  <c r="W748" i="1"/>
  <c r="W658" i="1"/>
  <c r="R410" i="1"/>
  <c r="P410" i="1"/>
  <c r="S410" i="1" s="1"/>
  <c r="V562" i="1"/>
  <c r="R586" i="1"/>
  <c r="W586" i="1"/>
  <c r="W618" i="1"/>
  <c r="W626" i="1"/>
  <c r="W786" i="1"/>
  <c r="R786" i="1"/>
  <c r="V874" i="1"/>
  <c r="R874" i="1"/>
  <c r="P988" i="1"/>
  <c r="S988" i="1" s="1"/>
  <c r="W980" i="1"/>
  <c r="R964" i="1"/>
  <c r="V956" i="1"/>
  <c r="W948" i="1"/>
  <c r="W940" i="1"/>
  <c r="P220" i="1"/>
  <c r="Q220" i="1" s="1"/>
  <c r="W36" i="1"/>
  <c r="X19" i="1"/>
  <c r="T19" i="1" s="1"/>
  <c r="U19" i="1" s="1"/>
  <c r="V19" i="1"/>
  <c r="W19" i="1"/>
  <c r="X27" i="1"/>
  <c r="T27" i="1" s="1"/>
  <c r="U27" i="1" s="1"/>
  <c r="W27" i="1"/>
  <c r="X35" i="1"/>
  <c r="T35" i="1" s="1"/>
  <c r="U35" i="1" s="1"/>
  <c r="X43" i="1"/>
  <c r="T43" i="1" s="1"/>
  <c r="U43" i="1" s="1"/>
  <c r="R43" i="1"/>
  <c r="P43" i="1"/>
  <c r="S43" i="1" s="1"/>
  <c r="X51" i="1"/>
  <c r="T51" i="1" s="1"/>
  <c r="U51" i="1" s="1"/>
  <c r="V51" i="1"/>
  <c r="X59" i="1"/>
  <c r="T59" i="1" s="1"/>
  <c r="U59" i="1" s="1"/>
  <c r="V59" i="1"/>
  <c r="X67" i="1"/>
  <c r="T67" i="1" s="1"/>
  <c r="U67" i="1" s="1"/>
  <c r="V67" i="1"/>
  <c r="X75" i="1"/>
  <c r="T75" i="1" s="1"/>
  <c r="U75" i="1" s="1"/>
  <c r="V75" i="1"/>
  <c r="W75" i="1"/>
  <c r="X83" i="1"/>
  <c r="T83" i="1" s="1"/>
  <c r="U83" i="1" s="1"/>
  <c r="V83" i="1"/>
  <c r="X91" i="1"/>
  <c r="T91" i="1" s="1"/>
  <c r="U91" i="1" s="1"/>
  <c r="P91" i="1"/>
  <c r="Q91" i="1" s="1"/>
  <c r="R91" i="1"/>
  <c r="V91" i="1"/>
  <c r="X99" i="1"/>
  <c r="T99" i="1" s="1"/>
  <c r="U99" i="1" s="1"/>
  <c r="V99" i="1"/>
  <c r="W99" i="1"/>
  <c r="X107" i="1"/>
  <c r="T107" i="1" s="1"/>
  <c r="U107" i="1" s="1"/>
  <c r="V107" i="1"/>
  <c r="X115" i="1"/>
  <c r="T115" i="1" s="1"/>
  <c r="U115" i="1" s="1"/>
  <c r="X123" i="1"/>
  <c r="T123" i="1" s="1"/>
  <c r="U123" i="1" s="1"/>
  <c r="W123" i="1"/>
  <c r="V123" i="1"/>
  <c r="X131" i="1"/>
  <c r="T131" i="1" s="1"/>
  <c r="U131" i="1" s="1"/>
  <c r="W131" i="1"/>
  <c r="V131" i="1"/>
  <c r="X139" i="1"/>
  <c r="T139" i="1" s="1"/>
  <c r="U139" i="1" s="1"/>
  <c r="W139" i="1"/>
  <c r="X147" i="1"/>
  <c r="T147" i="1" s="1"/>
  <c r="U147" i="1" s="1"/>
  <c r="W147" i="1"/>
  <c r="V147" i="1"/>
  <c r="X155" i="1"/>
  <c r="T155" i="1" s="1"/>
  <c r="U155" i="1" s="1"/>
  <c r="W155" i="1"/>
  <c r="X163" i="1"/>
  <c r="T163" i="1" s="1"/>
  <c r="U163" i="1" s="1"/>
  <c r="V163" i="1"/>
  <c r="X171" i="1"/>
  <c r="T171" i="1" s="1"/>
  <c r="U171" i="1" s="1"/>
  <c r="W171" i="1"/>
  <c r="V171" i="1"/>
  <c r="X179" i="1"/>
  <c r="T179" i="1" s="1"/>
  <c r="U179" i="1" s="1"/>
  <c r="W179" i="1"/>
  <c r="X187" i="1"/>
  <c r="T187" i="1" s="1"/>
  <c r="U187" i="1" s="1"/>
  <c r="W187" i="1"/>
  <c r="V187" i="1"/>
  <c r="X195" i="1"/>
  <c r="T195" i="1" s="1"/>
  <c r="U195" i="1" s="1"/>
  <c r="V195" i="1"/>
  <c r="X203" i="1"/>
  <c r="T203" i="1" s="1"/>
  <c r="U203" i="1" s="1"/>
  <c r="W203" i="1"/>
  <c r="V203" i="1"/>
  <c r="X211" i="1"/>
  <c r="T211" i="1" s="1"/>
  <c r="U211" i="1" s="1"/>
  <c r="V211" i="1"/>
  <c r="X219" i="1"/>
  <c r="T219" i="1" s="1"/>
  <c r="U219" i="1" s="1"/>
  <c r="P219" i="1"/>
  <c r="Q219" i="1" s="1"/>
  <c r="R219" i="1"/>
  <c r="X227" i="1"/>
  <c r="T227" i="1" s="1"/>
  <c r="U227" i="1" s="1"/>
  <c r="V227" i="1"/>
  <c r="X235" i="1"/>
  <c r="T235" i="1" s="1"/>
  <c r="U235" i="1" s="1"/>
  <c r="X243" i="1"/>
  <c r="T243" i="1" s="1"/>
  <c r="U243" i="1" s="1"/>
  <c r="W243" i="1"/>
  <c r="P243" i="1"/>
  <c r="Q243" i="1" s="1"/>
  <c r="X251" i="1"/>
  <c r="T251" i="1" s="1"/>
  <c r="U251" i="1" s="1"/>
  <c r="W251" i="1"/>
  <c r="V251" i="1"/>
  <c r="X259" i="1"/>
  <c r="T259" i="1" s="1"/>
  <c r="U259" i="1" s="1"/>
  <c r="P259" i="1"/>
  <c r="S259" i="1" s="1"/>
  <c r="V259" i="1"/>
  <c r="X267" i="1"/>
  <c r="T267" i="1" s="1"/>
  <c r="U267" i="1" s="1"/>
  <c r="V267" i="1"/>
  <c r="X275" i="1"/>
  <c r="T275" i="1" s="1"/>
  <c r="U275" i="1" s="1"/>
  <c r="V275" i="1"/>
  <c r="W275" i="1"/>
  <c r="X283" i="1"/>
  <c r="T283" i="1" s="1"/>
  <c r="U283" i="1" s="1"/>
  <c r="V283" i="1"/>
  <c r="W283" i="1"/>
  <c r="R283" i="1"/>
  <c r="X291" i="1"/>
  <c r="T291" i="1" s="1"/>
  <c r="U291" i="1" s="1"/>
  <c r="W291" i="1"/>
  <c r="X299" i="1"/>
  <c r="T299" i="1" s="1"/>
  <c r="U299" i="1" s="1"/>
  <c r="X307" i="1"/>
  <c r="T307" i="1" s="1"/>
  <c r="U307" i="1" s="1"/>
  <c r="W307" i="1"/>
  <c r="X315" i="1"/>
  <c r="T315" i="1" s="1"/>
  <c r="U315" i="1" s="1"/>
  <c r="R315" i="1"/>
  <c r="P315" i="1"/>
  <c r="Q315" i="1" s="1"/>
  <c r="X323" i="1"/>
  <c r="T323" i="1" s="1"/>
  <c r="U323" i="1" s="1"/>
  <c r="V323" i="1"/>
  <c r="R323" i="1"/>
  <c r="W323" i="1"/>
  <c r="X331" i="1"/>
  <c r="T331" i="1" s="1"/>
  <c r="U331" i="1" s="1"/>
  <c r="X339" i="1"/>
  <c r="T339" i="1" s="1"/>
  <c r="U339" i="1" s="1"/>
  <c r="R339" i="1"/>
  <c r="V339" i="1"/>
  <c r="X347" i="1"/>
  <c r="T347" i="1" s="1"/>
  <c r="U347" i="1" s="1"/>
  <c r="W347" i="1"/>
  <c r="P347" i="1"/>
  <c r="Q347" i="1" s="1"/>
  <c r="V347" i="1"/>
  <c r="X355" i="1"/>
  <c r="T355" i="1" s="1"/>
  <c r="U355" i="1" s="1"/>
  <c r="V355" i="1"/>
  <c r="X363" i="1"/>
  <c r="T363" i="1" s="1"/>
  <c r="U363" i="1" s="1"/>
  <c r="W363" i="1"/>
  <c r="V363" i="1"/>
  <c r="X371" i="1"/>
  <c r="T371" i="1" s="1"/>
  <c r="U371" i="1" s="1"/>
  <c r="P371" i="1"/>
  <c r="S371" i="1" s="1"/>
  <c r="R371" i="1"/>
  <c r="V371" i="1"/>
  <c r="X379" i="1"/>
  <c r="T379" i="1" s="1"/>
  <c r="U379" i="1" s="1"/>
  <c r="W379" i="1"/>
  <c r="X387" i="1"/>
  <c r="T387" i="1" s="1"/>
  <c r="U387" i="1" s="1"/>
  <c r="W387" i="1"/>
  <c r="X395" i="1"/>
  <c r="T395" i="1" s="1"/>
  <c r="U395" i="1" s="1"/>
  <c r="V395" i="1"/>
  <c r="W395" i="1"/>
  <c r="X403" i="1"/>
  <c r="T403" i="1" s="1"/>
  <c r="U403" i="1" s="1"/>
  <c r="V403" i="1"/>
  <c r="W403" i="1"/>
  <c r="X411" i="1"/>
  <c r="T411" i="1" s="1"/>
  <c r="U411" i="1" s="1"/>
  <c r="W411" i="1"/>
  <c r="X419" i="1"/>
  <c r="T419" i="1" s="1"/>
  <c r="U419" i="1" s="1"/>
  <c r="V419" i="1"/>
  <c r="W419" i="1"/>
  <c r="X427" i="1"/>
  <c r="T427" i="1" s="1"/>
  <c r="U427" i="1" s="1"/>
  <c r="V427" i="1"/>
  <c r="P427" i="1"/>
  <c r="S427" i="1" s="1"/>
  <c r="X435" i="1"/>
  <c r="T435" i="1" s="1"/>
  <c r="U435" i="1" s="1"/>
  <c r="V435" i="1"/>
  <c r="W435" i="1"/>
  <c r="X443" i="1"/>
  <c r="T443" i="1" s="1"/>
  <c r="U443" i="1" s="1"/>
  <c r="P443" i="1"/>
  <c r="S443" i="1" s="1"/>
  <c r="V443" i="1"/>
  <c r="W443" i="1"/>
  <c r="X451" i="1"/>
  <c r="T451" i="1" s="1"/>
  <c r="U451" i="1" s="1"/>
  <c r="R451" i="1"/>
  <c r="P451" i="1"/>
  <c r="Q451" i="1" s="1"/>
  <c r="X459" i="1"/>
  <c r="T459" i="1" s="1"/>
  <c r="U459" i="1" s="1"/>
  <c r="V459" i="1"/>
  <c r="W459" i="1"/>
  <c r="X467" i="1"/>
  <c r="T467" i="1" s="1"/>
  <c r="U467" i="1" s="1"/>
  <c r="W467" i="1"/>
  <c r="X475" i="1"/>
  <c r="T475" i="1" s="1"/>
  <c r="U475" i="1" s="1"/>
  <c r="V475" i="1"/>
  <c r="X483" i="1"/>
  <c r="T483" i="1" s="1"/>
  <c r="U483" i="1" s="1"/>
  <c r="V483" i="1"/>
  <c r="X491" i="1"/>
  <c r="T491" i="1" s="1"/>
  <c r="U491" i="1" s="1"/>
  <c r="X499" i="1"/>
  <c r="T499" i="1" s="1"/>
  <c r="U499" i="1" s="1"/>
  <c r="V499" i="1"/>
  <c r="X507" i="1"/>
  <c r="T507" i="1" s="1"/>
  <c r="U507" i="1" s="1"/>
  <c r="X515" i="1"/>
  <c r="T515" i="1" s="1"/>
  <c r="U515" i="1" s="1"/>
  <c r="W515" i="1"/>
  <c r="X523" i="1"/>
  <c r="T523" i="1" s="1"/>
  <c r="U523" i="1" s="1"/>
  <c r="R523" i="1"/>
  <c r="V523" i="1"/>
  <c r="P523" i="1"/>
  <c r="Q523" i="1" s="1"/>
  <c r="X531" i="1"/>
  <c r="T531" i="1" s="1"/>
  <c r="U531" i="1" s="1"/>
  <c r="W531" i="1"/>
  <c r="V531" i="1"/>
  <c r="X539" i="1"/>
  <c r="T539" i="1" s="1"/>
  <c r="U539" i="1" s="1"/>
  <c r="V539" i="1"/>
  <c r="X547" i="1"/>
  <c r="T547" i="1" s="1"/>
  <c r="U547" i="1" s="1"/>
  <c r="R547" i="1"/>
  <c r="W547" i="1"/>
  <c r="X555" i="1"/>
  <c r="T555" i="1" s="1"/>
  <c r="U555" i="1" s="1"/>
  <c r="V555" i="1"/>
  <c r="W555" i="1"/>
  <c r="X563" i="1"/>
  <c r="T563" i="1" s="1"/>
  <c r="U563" i="1" s="1"/>
  <c r="V563" i="1"/>
  <c r="P563" i="1"/>
  <c r="Q563" i="1" s="1"/>
  <c r="X571" i="1"/>
  <c r="T571" i="1" s="1"/>
  <c r="U571" i="1" s="1"/>
  <c r="V571" i="1"/>
  <c r="W571" i="1"/>
  <c r="X579" i="1"/>
  <c r="T579" i="1" s="1"/>
  <c r="U579" i="1" s="1"/>
  <c r="W579" i="1"/>
  <c r="X587" i="1"/>
  <c r="T587" i="1" s="1"/>
  <c r="U587" i="1" s="1"/>
  <c r="W587" i="1"/>
  <c r="V587" i="1"/>
  <c r="X595" i="1"/>
  <c r="T595" i="1" s="1"/>
  <c r="U595" i="1" s="1"/>
  <c r="X603" i="1"/>
  <c r="T603" i="1" s="1"/>
  <c r="U603" i="1" s="1"/>
  <c r="V603" i="1"/>
  <c r="W603" i="1"/>
  <c r="X611" i="1"/>
  <c r="T611" i="1" s="1"/>
  <c r="U611" i="1" s="1"/>
  <c r="X619" i="1"/>
  <c r="T619" i="1" s="1"/>
  <c r="U619" i="1" s="1"/>
  <c r="V619" i="1"/>
  <c r="W619" i="1"/>
  <c r="X627" i="1"/>
  <c r="T627" i="1" s="1"/>
  <c r="U627" i="1" s="1"/>
  <c r="V627" i="1"/>
  <c r="W627" i="1"/>
  <c r="X635" i="1"/>
  <c r="T635" i="1" s="1"/>
  <c r="U635" i="1" s="1"/>
  <c r="W635" i="1"/>
  <c r="X643" i="1"/>
  <c r="T643" i="1" s="1"/>
  <c r="U643" i="1" s="1"/>
  <c r="W643" i="1"/>
  <c r="X651" i="1"/>
  <c r="T651" i="1" s="1"/>
  <c r="U651" i="1" s="1"/>
  <c r="W651" i="1"/>
  <c r="X659" i="1"/>
  <c r="T659" i="1" s="1"/>
  <c r="U659" i="1" s="1"/>
  <c r="V659" i="1"/>
  <c r="X667" i="1"/>
  <c r="T667" i="1" s="1"/>
  <c r="U667" i="1" s="1"/>
  <c r="W667" i="1"/>
  <c r="V667" i="1"/>
  <c r="X675" i="1"/>
  <c r="T675" i="1" s="1"/>
  <c r="U675" i="1" s="1"/>
  <c r="W675" i="1"/>
  <c r="X683" i="1"/>
  <c r="T683" i="1" s="1"/>
  <c r="U683" i="1" s="1"/>
  <c r="W683" i="1"/>
  <c r="P683" i="1"/>
  <c r="Q683" i="1" s="1"/>
  <c r="R683" i="1"/>
  <c r="X691" i="1"/>
  <c r="T691" i="1" s="1"/>
  <c r="U691" i="1" s="1"/>
  <c r="V691" i="1"/>
  <c r="X699" i="1"/>
  <c r="T699" i="1" s="1"/>
  <c r="U699" i="1" s="1"/>
  <c r="R699" i="1"/>
  <c r="P699" i="1"/>
  <c r="Q699" i="1" s="1"/>
  <c r="X707" i="1"/>
  <c r="T707" i="1" s="1"/>
  <c r="U707" i="1" s="1"/>
  <c r="V707" i="1"/>
  <c r="W707" i="1"/>
  <c r="X715" i="1"/>
  <c r="T715" i="1" s="1"/>
  <c r="U715" i="1" s="1"/>
  <c r="V715" i="1"/>
  <c r="W715" i="1"/>
  <c r="X723" i="1"/>
  <c r="T723" i="1" s="1"/>
  <c r="U723" i="1" s="1"/>
  <c r="W723" i="1"/>
  <c r="X731" i="1"/>
  <c r="T731" i="1" s="1"/>
  <c r="U731" i="1" s="1"/>
  <c r="V731" i="1"/>
  <c r="X739" i="1"/>
  <c r="T739" i="1" s="1"/>
  <c r="U739" i="1" s="1"/>
  <c r="W739" i="1"/>
  <c r="X747" i="1"/>
  <c r="T747" i="1" s="1"/>
  <c r="U747" i="1" s="1"/>
  <c r="V747" i="1"/>
  <c r="X755" i="1"/>
  <c r="T755" i="1" s="1"/>
  <c r="U755" i="1" s="1"/>
  <c r="V755" i="1"/>
  <c r="X763" i="1"/>
  <c r="T763" i="1" s="1"/>
  <c r="U763" i="1" s="1"/>
  <c r="W763" i="1"/>
  <c r="X771" i="1"/>
  <c r="T771" i="1" s="1"/>
  <c r="U771" i="1" s="1"/>
  <c r="W771" i="1"/>
  <c r="X779" i="1"/>
  <c r="T779" i="1" s="1"/>
  <c r="U779" i="1" s="1"/>
  <c r="X787" i="1"/>
  <c r="T787" i="1" s="1"/>
  <c r="U787" i="1" s="1"/>
  <c r="R787" i="1"/>
  <c r="X795" i="1"/>
  <c r="T795" i="1" s="1"/>
  <c r="U795" i="1" s="1"/>
  <c r="X803" i="1"/>
  <c r="T803" i="1" s="1"/>
  <c r="U803" i="1" s="1"/>
  <c r="W803" i="1"/>
  <c r="X811" i="1"/>
  <c r="T811" i="1" s="1"/>
  <c r="U811" i="1" s="1"/>
  <c r="R811" i="1"/>
  <c r="V811" i="1"/>
  <c r="X819" i="1"/>
  <c r="T819" i="1" s="1"/>
  <c r="U819" i="1" s="1"/>
  <c r="R819" i="1"/>
  <c r="V819" i="1"/>
  <c r="X827" i="1"/>
  <c r="T827" i="1" s="1"/>
  <c r="U827" i="1" s="1"/>
  <c r="R827" i="1"/>
  <c r="V827" i="1"/>
  <c r="X835" i="1"/>
  <c r="T835" i="1" s="1"/>
  <c r="U835" i="1" s="1"/>
  <c r="P835" i="1"/>
  <c r="Q835" i="1" s="1"/>
  <c r="R835" i="1"/>
  <c r="X843" i="1"/>
  <c r="T843" i="1" s="1"/>
  <c r="U843" i="1" s="1"/>
  <c r="X851" i="1"/>
  <c r="T851" i="1" s="1"/>
  <c r="U851" i="1" s="1"/>
  <c r="W851" i="1"/>
  <c r="X859" i="1"/>
  <c r="T859" i="1" s="1"/>
  <c r="U859" i="1" s="1"/>
  <c r="W859" i="1"/>
  <c r="X867" i="1"/>
  <c r="T867" i="1" s="1"/>
  <c r="U867" i="1" s="1"/>
  <c r="X875" i="1"/>
  <c r="T875" i="1" s="1"/>
  <c r="U875" i="1" s="1"/>
  <c r="R875" i="1"/>
  <c r="X883" i="1"/>
  <c r="T883" i="1" s="1"/>
  <c r="U883" i="1" s="1"/>
  <c r="X891" i="1"/>
  <c r="T891" i="1" s="1"/>
  <c r="U891" i="1" s="1"/>
  <c r="V891" i="1"/>
  <c r="W891" i="1"/>
  <c r="X899" i="1"/>
  <c r="T899" i="1" s="1"/>
  <c r="U899" i="1" s="1"/>
  <c r="W899" i="1"/>
  <c r="X907" i="1"/>
  <c r="T907" i="1" s="1"/>
  <c r="U907" i="1" s="1"/>
  <c r="W907" i="1"/>
  <c r="X915" i="1"/>
  <c r="T915" i="1" s="1"/>
  <c r="U915" i="1" s="1"/>
  <c r="X923" i="1"/>
  <c r="T923" i="1" s="1"/>
  <c r="U923" i="1" s="1"/>
  <c r="V923" i="1"/>
  <c r="R372" i="1"/>
  <c r="V372" i="1"/>
  <c r="W380" i="1"/>
  <c r="R380" i="1"/>
  <c r="V516" i="1"/>
  <c r="W524" i="1"/>
  <c r="V532" i="1"/>
  <c r="W532" i="1"/>
  <c r="R540" i="1"/>
  <c r="P540" i="1"/>
  <c r="Q540" i="1" s="1"/>
  <c r="W548" i="1"/>
  <c r="W556" i="1"/>
  <c r="R556" i="1"/>
  <c r="W620" i="1"/>
  <c r="R628" i="1"/>
  <c r="V628" i="1"/>
  <c r="P644" i="1"/>
  <c r="S644" i="1" s="1"/>
  <c r="R644" i="1"/>
  <c r="W652" i="1"/>
  <c r="V652" i="1"/>
  <c r="R660" i="1"/>
  <c r="V660" i="1"/>
  <c r="X692" i="1"/>
  <c r="T692" i="1" s="1"/>
  <c r="U692" i="1" s="1"/>
  <c r="V692" i="1"/>
  <c r="W692" i="1"/>
  <c r="X700" i="1"/>
  <c r="T700" i="1" s="1"/>
  <c r="U700" i="1" s="1"/>
  <c r="W700" i="1"/>
  <c r="X708" i="1"/>
  <c r="T708" i="1" s="1"/>
  <c r="U708" i="1" s="1"/>
  <c r="V708" i="1"/>
  <c r="R708" i="1"/>
  <c r="X716" i="1"/>
  <c r="T716" i="1" s="1"/>
  <c r="U716" i="1" s="1"/>
  <c r="V716" i="1"/>
  <c r="X724" i="1"/>
  <c r="T724" i="1" s="1"/>
  <c r="U724" i="1" s="1"/>
  <c r="W724" i="1"/>
  <c r="X732" i="1"/>
  <c r="T732" i="1" s="1"/>
  <c r="U732" i="1" s="1"/>
  <c r="X740" i="1"/>
  <c r="T740" i="1" s="1"/>
  <c r="U740" i="1" s="1"/>
  <c r="X748" i="1"/>
  <c r="T748" i="1" s="1"/>
  <c r="U748" i="1" s="1"/>
  <c r="X756" i="1"/>
  <c r="T756" i="1" s="1"/>
  <c r="U756" i="1" s="1"/>
  <c r="P756" i="1"/>
  <c r="S756" i="1" s="1"/>
  <c r="X764" i="1"/>
  <c r="T764" i="1" s="1"/>
  <c r="U764" i="1" s="1"/>
  <c r="X772" i="1"/>
  <c r="T772" i="1" s="1"/>
  <c r="U772" i="1" s="1"/>
  <c r="P772" i="1"/>
  <c r="Q772" i="1" s="1"/>
  <c r="R772" i="1"/>
  <c r="X780" i="1"/>
  <c r="T780" i="1" s="1"/>
  <c r="U780" i="1" s="1"/>
  <c r="W780" i="1"/>
  <c r="X788" i="1"/>
  <c r="T788" i="1" s="1"/>
  <c r="U788" i="1" s="1"/>
  <c r="W788" i="1"/>
  <c r="X796" i="1"/>
  <c r="T796" i="1" s="1"/>
  <c r="U796" i="1" s="1"/>
  <c r="W796" i="1"/>
  <c r="X804" i="1"/>
  <c r="T804" i="1" s="1"/>
  <c r="U804" i="1" s="1"/>
  <c r="V804" i="1"/>
  <c r="X812" i="1"/>
  <c r="T812" i="1" s="1"/>
  <c r="U812" i="1" s="1"/>
  <c r="W812" i="1"/>
  <c r="P812" i="1"/>
  <c r="S812" i="1" s="1"/>
  <c r="X820" i="1"/>
  <c r="T820" i="1" s="1"/>
  <c r="U820" i="1" s="1"/>
  <c r="W820" i="1"/>
  <c r="X828" i="1"/>
  <c r="T828" i="1" s="1"/>
  <c r="U828" i="1" s="1"/>
  <c r="W828" i="1"/>
  <c r="P828" i="1"/>
  <c r="S828" i="1" s="1"/>
  <c r="X836" i="1"/>
  <c r="T836" i="1" s="1"/>
  <c r="U836" i="1" s="1"/>
  <c r="V836" i="1"/>
  <c r="W836" i="1"/>
  <c r="X844" i="1"/>
  <c r="T844" i="1" s="1"/>
  <c r="U844" i="1" s="1"/>
  <c r="V844" i="1"/>
  <c r="X852" i="1"/>
  <c r="T852" i="1" s="1"/>
  <c r="U852" i="1" s="1"/>
  <c r="X860" i="1"/>
  <c r="T860" i="1" s="1"/>
  <c r="U860" i="1" s="1"/>
  <c r="P860" i="1"/>
  <c r="S860" i="1" s="1"/>
  <c r="R860" i="1"/>
  <c r="X868" i="1"/>
  <c r="T868" i="1" s="1"/>
  <c r="U868" i="1" s="1"/>
  <c r="W868" i="1"/>
  <c r="X876" i="1"/>
  <c r="T876" i="1" s="1"/>
  <c r="U876" i="1" s="1"/>
  <c r="W876" i="1"/>
  <c r="X884" i="1"/>
  <c r="T884" i="1" s="1"/>
  <c r="U884" i="1" s="1"/>
  <c r="W884" i="1"/>
  <c r="X892" i="1"/>
  <c r="T892" i="1" s="1"/>
  <c r="U892" i="1" s="1"/>
  <c r="X900" i="1"/>
  <c r="T900" i="1" s="1"/>
  <c r="U900" i="1" s="1"/>
  <c r="X908" i="1"/>
  <c r="T908" i="1" s="1"/>
  <c r="U908" i="1" s="1"/>
  <c r="X916" i="1"/>
  <c r="T916" i="1" s="1"/>
  <c r="U916" i="1" s="1"/>
  <c r="W916" i="1"/>
  <c r="X924" i="1"/>
  <c r="T924" i="1" s="1"/>
  <c r="U924" i="1" s="1"/>
  <c r="W932" i="1"/>
  <c r="R906" i="1"/>
  <c r="W852" i="1"/>
  <c r="R828" i="1"/>
  <c r="R812" i="1"/>
  <c r="P780" i="1"/>
  <c r="Q780" i="1" s="1"/>
  <c r="R756" i="1"/>
  <c r="W732" i="1"/>
  <c r="W716" i="1"/>
  <c r="V700" i="1"/>
  <c r="V452" i="1"/>
  <c r="V932" i="1"/>
  <c r="V884" i="1"/>
  <c r="V852" i="1"/>
  <c r="R850" i="1"/>
  <c r="V788" i="1"/>
  <c r="V732" i="1"/>
  <c r="W676" i="1"/>
  <c r="W331" i="1"/>
  <c r="V307" i="1"/>
  <c r="V299" i="1"/>
  <c r="R275" i="1"/>
  <c r="R259" i="1"/>
  <c r="R243" i="1"/>
  <c r="W219" i="1"/>
  <c r="W35" i="1"/>
  <c r="X23" i="1"/>
  <c r="T23" i="1" s="1"/>
  <c r="U23" i="1" s="1"/>
  <c r="V23" i="1"/>
  <c r="X55" i="1"/>
  <c r="T55" i="1" s="1"/>
  <c r="U55" i="1" s="1"/>
  <c r="V55" i="1"/>
  <c r="X87" i="1"/>
  <c r="T87" i="1" s="1"/>
  <c r="U87" i="1" s="1"/>
  <c r="V87" i="1"/>
  <c r="X119" i="1"/>
  <c r="T119" i="1" s="1"/>
  <c r="U119" i="1" s="1"/>
  <c r="W119" i="1"/>
  <c r="V119" i="1"/>
  <c r="X143" i="1"/>
  <c r="T143" i="1" s="1"/>
  <c r="U143" i="1" s="1"/>
  <c r="V143" i="1"/>
  <c r="W143" i="1"/>
  <c r="X175" i="1"/>
  <c r="T175" i="1" s="1"/>
  <c r="U175" i="1" s="1"/>
  <c r="W175" i="1"/>
  <c r="X215" i="1"/>
  <c r="T215" i="1" s="1"/>
  <c r="U215" i="1" s="1"/>
  <c r="R215" i="1"/>
  <c r="W215" i="1"/>
  <c r="X255" i="1"/>
  <c r="T255" i="1" s="1"/>
  <c r="U255" i="1" s="1"/>
  <c r="W255" i="1"/>
  <c r="V255" i="1"/>
  <c r="X295" i="1"/>
  <c r="T295" i="1" s="1"/>
  <c r="U295" i="1" s="1"/>
  <c r="P295" i="1"/>
  <c r="S295" i="1" s="1"/>
  <c r="W295" i="1"/>
  <c r="R295" i="1"/>
  <c r="X319" i="1"/>
  <c r="T319" i="1" s="1"/>
  <c r="U319" i="1" s="1"/>
  <c r="R319" i="1"/>
  <c r="W319" i="1"/>
  <c r="P319" i="1"/>
  <c r="Q319" i="1" s="1"/>
  <c r="X351" i="1"/>
  <c r="T351" i="1" s="1"/>
  <c r="U351" i="1" s="1"/>
  <c r="V351" i="1"/>
  <c r="W351" i="1"/>
  <c r="X383" i="1"/>
  <c r="T383" i="1" s="1"/>
  <c r="U383" i="1" s="1"/>
  <c r="W383" i="1"/>
  <c r="P383" i="1"/>
  <c r="S383" i="1" s="1"/>
  <c r="V383" i="1"/>
  <c r="X407" i="1"/>
  <c r="T407" i="1" s="1"/>
  <c r="U407" i="1" s="1"/>
  <c r="W407" i="1"/>
  <c r="X439" i="1"/>
  <c r="T439" i="1" s="1"/>
  <c r="U439" i="1" s="1"/>
  <c r="W439" i="1"/>
  <c r="X471" i="1"/>
  <c r="T471" i="1" s="1"/>
  <c r="U471" i="1" s="1"/>
  <c r="V471" i="1"/>
  <c r="W471" i="1"/>
  <c r="X503" i="1"/>
  <c r="T503" i="1" s="1"/>
  <c r="U503" i="1" s="1"/>
  <c r="V503" i="1"/>
  <c r="W503" i="1"/>
  <c r="X535" i="1"/>
  <c r="T535" i="1" s="1"/>
  <c r="U535" i="1" s="1"/>
  <c r="P535" i="1"/>
  <c r="Q535" i="1" s="1"/>
  <c r="V535" i="1"/>
  <c r="X567" i="1"/>
  <c r="T567" i="1" s="1"/>
  <c r="U567" i="1" s="1"/>
  <c r="V567" i="1"/>
  <c r="X599" i="1"/>
  <c r="T599" i="1" s="1"/>
  <c r="U599" i="1" s="1"/>
  <c r="W599" i="1"/>
  <c r="X631" i="1"/>
  <c r="T631" i="1" s="1"/>
  <c r="U631" i="1" s="1"/>
  <c r="V631" i="1"/>
  <c r="X663" i="1"/>
  <c r="T663" i="1" s="1"/>
  <c r="U663" i="1" s="1"/>
  <c r="V663" i="1"/>
  <c r="X695" i="1"/>
  <c r="T695" i="1" s="1"/>
  <c r="U695" i="1" s="1"/>
  <c r="V695" i="1"/>
  <c r="X727" i="1"/>
  <c r="T727" i="1" s="1"/>
  <c r="U727" i="1" s="1"/>
  <c r="W727" i="1"/>
  <c r="X751" i="1"/>
  <c r="T751" i="1" s="1"/>
  <c r="U751" i="1" s="1"/>
  <c r="X783" i="1"/>
  <c r="T783" i="1" s="1"/>
  <c r="U783" i="1" s="1"/>
  <c r="X839" i="1"/>
  <c r="T839" i="1" s="1"/>
  <c r="U839" i="1" s="1"/>
  <c r="X871" i="1"/>
  <c r="T871" i="1" s="1"/>
  <c r="U871" i="1" s="1"/>
  <c r="W871" i="1"/>
  <c r="X951" i="1"/>
  <c r="T951" i="1" s="1"/>
  <c r="U951" i="1" s="1"/>
  <c r="V951" i="1"/>
  <c r="V879" i="1"/>
  <c r="V863" i="1"/>
  <c r="V807" i="1"/>
  <c r="V679" i="1"/>
  <c r="W639" i="1"/>
  <c r="V583" i="1"/>
  <c r="W511" i="1"/>
  <c r="P471" i="1"/>
  <c r="S471" i="1" s="1"/>
  <c r="W994" i="1"/>
  <c r="V986" i="1"/>
  <c r="V978" i="1"/>
  <c r="V970" i="1"/>
  <c r="R962" i="1"/>
  <c r="W959" i="1"/>
  <c r="W943" i="1"/>
  <c r="V895" i="1"/>
  <c r="R879" i="1"/>
  <c r="W839" i="1"/>
  <c r="W826" i="1"/>
  <c r="V823" i="1"/>
  <c r="V786" i="1"/>
  <c r="W783" i="1"/>
  <c r="W743" i="1"/>
  <c r="W722" i="1"/>
  <c r="V719" i="1"/>
  <c r="W671" i="1"/>
  <c r="W567" i="1"/>
  <c r="W562" i="1"/>
  <c r="W559" i="1"/>
  <c r="V327" i="1"/>
  <c r="W55" i="1"/>
  <c r="W23" i="1"/>
  <c r="X63" i="1"/>
  <c r="T63" i="1" s="1"/>
  <c r="U63" i="1" s="1"/>
  <c r="W63" i="1"/>
  <c r="V63" i="1"/>
  <c r="X103" i="1"/>
  <c r="T103" i="1" s="1"/>
  <c r="U103" i="1" s="1"/>
  <c r="P103" i="1"/>
  <c r="S103" i="1" s="1"/>
  <c r="W103" i="1"/>
  <c r="R103" i="1"/>
  <c r="V103" i="1"/>
  <c r="X135" i="1"/>
  <c r="T135" i="1" s="1"/>
  <c r="U135" i="1" s="1"/>
  <c r="W135" i="1"/>
  <c r="V135" i="1"/>
  <c r="X167" i="1"/>
  <c r="T167" i="1" s="1"/>
  <c r="U167" i="1" s="1"/>
  <c r="V167" i="1"/>
  <c r="W167" i="1"/>
  <c r="X199" i="1"/>
  <c r="T199" i="1" s="1"/>
  <c r="U199" i="1" s="1"/>
  <c r="W199" i="1"/>
  <c r="X231" i="1"/>
  <c r="T231" i="1" s="1"/>
  <c r="U231" i="1" s="1"/>
  <c r="W231" i="1"/>
  <c r="X263" i="1"/>
  <c r="T263" i="1" s="1"/>
  <c r="U263" i="1" s="1"/>
  <c r="W263" i="1"/>
  <c r="X287" i="1"/>
  <c r="T287" i="1" s="1"/>
  <c r="U287" i="1" s="1"/>
  <c r="R287" i="1"/>
  <c r="V287" i="1"/>
  <c r="W287" i="1"/>
  <c r="X311" i="1"/>
  <c r="T311" i="1" s="1"/>
  <c r="U311" i="1" s="1"/>
  <c r="V311" i="1"/>
  <c r="P311" i="1"/>
  <c r="S311" i="1" s="1"/>
  <c r="X343" i="1"/>
  <c r="T343" i="1" s="1"/>
  <c r="U343" i="1" s="1"/>
  <c r="X367" i="1"/>
  <c r="T367" i="1" s="1"/>
  <c r="U367" i="1" s="1"/>
  <c r="V367" i="1"/>
  <c r="X399" i="1"/>
  <c r="T399" i="1" s="1"/>
  <c r="U399" i="1" s="1"/>
  <c r="V399" i="1"/>
  <c r="W399" i="1"/>
  <c r="X431" i="1"/>
  <c r="T431" i="1" s="1"/>
  <c r="U431" i="1" s="1"/>
  <c r="W431" i="1"/>
  <c r="P431" i="1"/>
  <c r="Q431" i="1" s="1"/>
  <c r="X463" i="1"/>
  <c r="T463" i="1" s="1"/>
  <c r="U463" i="1" s="1"/>
  <c r="W463" i="1"/>
  <c r="X495" i="1"/>
  <c r="T495" i="1" s="1"/>
  <c r="U495" i="1" s="1"/>
  <c r="R495" i="1"/>
  <c r="X527" i="1"/>
  <c r="T527" i="1" s="1"/>
  <c r="U527" i="1" s="1"/>
  <c r="P527" i="1"/>
  <c r="S527" i="1" s="1"/>
  <c r="R527" i="1"/>
  <c r="W527" i="1"/>
  <c r="X551" i="1"/>
  <c r="T551" i="1" s="1"/>
  <c r="U551" i="1" s="1"/>
  <c r="P551" i="1"/>
  <c r="Q551" i="1" s="1"/>
  <c r="R551" i="1"/>
  <c r="W551" i="1"/>
  <c r="X583" i="1"/>
  <c r="T583" i="1" s="1"/>
  <c r="U583" i="1" s="1"/>
  <c r="W583" i="1"/>
  <c r="X615" i="1"/>
  <c r="T615" i="1" s="1"/>
  <c r="U615" i="1" s="1"/>
  <c r="V615" i="1"/>
  <c r="X647" i="1"/>
  <c r="T647" i="1" s="1"/>
  <c r="U647" i="1" s="1"/>
  <c r="W647" i="1"/>
  <c r="X679" i="1"/>
  <c r="T679" i="1" s="1"/>
  <c r="U679" i="1" s="1"/>
  <c r="X711" i="1"/>
  <c r="T711" i="1" s="1"/>
  <c r="U711" i="1" s="1"/>
  <c r="X735" i="1"/>
  <c r="T735" i="1" s="1"/>
  <c r="U735" i="1" s="1"/>
  <c r="W735" i="1"/>
  <c r="X767" i="1"/>
  <c r="T767" i="1" s="1"/>
  <c r="U767" i="1" s="1"/>
  <c r="W767" i="1"/>
  <c r="X799" i="1"/>
  <c r="T799" i="1" s="1"/>
  <c r="U799" i="1" s="1"/>
  <c r="V799" i="1"/>
  <c r="X831" i="1"/>
  <c r="T831" i="1" s="1"/>
  <c r="U831" i="1" s="1"/>
  <c r="V831" i="1"/>
  <c r="X863" i="1"/>
  <c r="T863" i="1" s="1"/>
  <c r="U863" i="1" s="1"/>
  <c r="R863" i="1"/>
  <c r="X919" i="1"/>
  <c r="T919" i="1" s="1"/>
  <c r="U919" i="1" s="1"/>
  <c r="V935" i="1"/>
  <c r="W895" i="1"/>
  <c r="V919" i="1"/>
  <c r="W855" i="1"/>
  <c r="V839" i="1"/>
  <c r="V783" i="1"/>
  <c r="V759" i="1"/>
  <c r="W695" i="1"/>
  <c r="W663" i="1"/>
  <c r="W631" i="1"/>
  <c r="W519" i="1"/>
  <c r="V463" i="1"/>
  <c r="V455" i="1"/>
  <c r="W367" i="1"/>
  <c r="V343" i="1"/>
  <c r="W271" i="1"/>
  <c r="V50" i="1"/>
  <c r="V154" i="1"/>
  <c r="W154" i="1"/>
  <c r="V178" i="1"/>
  <c r="P178" i="1"/>
  <c r="S178" i="1" s="1"/>
  <c r="V338" i="1"/>
  <c r="W594" i="1"/>
  <c r="W682" i="1"/>
  <c r="R714" i="1"/>
  <c r="W714" i="1"/>
  <c r="R746" i="1"/>
  <c r="W746" i="1"/>
  <c r="X954" i="1"/>
  <c r="T954" i="1" s="1"/>
  <c r="U954" i="1" s="1"/>
  <c r="V31" i="1"/>
  <c r="V991" i="1"/>
  <c r="V983" i="1"/>
  <c r="W975" i="1"/>
  <c r="W967" i="1"/>
  <c r="R943" i="1"/>
  <c r="W903" i="1"/>
  <c r="V871" i="1"/>
  <c r="W815" i="1"/>
  <c r="W535" i="1"/>
  <c r="V527" i="1"/>
  <c r="V519" i="1"/>
  <c r="R431" i="1"/>
  <c r="W375" i="1"/>
  <c r="R351" i="1"/>
  <c r="V319" i="1"/>
  <c r="V295" i="1"/>
  <c r="V215" i="1"/>
  <c r="X39" i="1"/>
  <c r="T39" i="1" s="1"/>
  <c r="U39" i="1" s="1"/>
  <c r="W39" i="1"/>
  <c r="V39" i="1"/>
  <c r="X71" i="1"/>
  <c r="T71" i="1" s="1"/>
  <c r="U71" i="1" s="1"/>
  <c r="V71" i="1"/>
  <c r="W71" i="1"/>
  <c r="X95" i="1"/>
  <c r="T95" i="1" s="1"/>
  <c r="U95" i="1" s="1"/>
  <c r="W95" i="1"/>
  <c r="X127" i="1"/>
  <c r="T127" i="1" s="1"/>
  <c r="U127" i="1" s="1"/>
  <c r="W127" i="1"/>
  <c r="V127" i="1"/>
  <c r="X159" i="1"/>
  <c r="T159" i="1" s="1"/>
  <c r="U159" i="1" s="1"/>
  <c r="W159" i="1"/>
  <c r="V159" i="1"/>
  <c r="X191" i="1"/>
  <c r="T191" i="1" s="1"/>
  <c r="U191" i="1" s="1"/>
  <c r="V191" i="1"/>
  <c r="X223" i="1"/>
  <c r="T223" i="1" s="1"/>
  <c r="U223" i="1" s="1"/>
  <c r="V223" i="1"/>
  <c r="X247" i="1"/>
  <c r="T247" i="1" s="1"/>
  <c r="U247" i="1" s="1"/>
  <c r="P247" i="1"/>
  <c r="Q247" i="1" s="1"/>
  <c r="W247" i="1"/>
  <c r="V247" i="1"/>
  <c r="R247" i="1"/>
  <c r="X279" i="1"/>
  <c r="T279" i="1" s="1"/>
  <c r="U279" i="1" s="1"/>
  <c r="V279" i="1"/>
  <c r="W279" i="1"/>
  <c r="X327" i="1"/>
  <c r="T327" i="1" s="1"/>
  <c r="U327" i="1" s="1"/>
  <c r="R327" i="1"/>
  <c r="W327" i="1"/>
  <c r="X359" i="1"/>
  <c r="T359" i="1" s="1"/>
  <c r="U359" i="1" s="1"/>
  <c r="V359" i="1"/>
  <c r="X391" i="1"/>
  <c r="T391" i="1" s="1"/>
  <c r="U391" i="1" s="1"/>
  <c r="W391" i="1"/>
  <c r="X423" i="1"/>
  <c r="T423" i="1" s="1"/>
  <c r="U423" i="1" s="1"/>
  <c r="V423" i="1"/>
  <c r="W423" i="1"/>
  <c r="X455" i="1"/>
  <c r="T455" i="1" s="1"/>
  <c r="U455" i="1" s="1"/>
  <c r="W455" i="1"/>
  <c r="X487" i="1"/>
  <c r="T487" i="1" s="1"/>
  <c r="U487" i="1" s="1"/>
  <c r="V487" i="1"/>
  <c r="X511" i="1"/>
  <c r="T511" i="1" s="1"/>
  <c r="U511" i="1" s="1"/>
  <c r="V511" i="1"/>
  <c r="X543" i="1"/>
  <c r="T543" i="1" s="1"/>
  <c r="U543" i="1" s="1"/>
  <c r="V543" i="1"/>
  <c r="X575" i="1"/>
  <c r="T575" i="1" s="1"/>
  <c r="U575" i="1" s="1"/>
  <c r="V575" i="1"/>
  <c r="W575" i="1"/>
  <c r="X607" i="1"/>
  <c r="T607" i="1" s="1"/>
  <c r="U607" i="1" s="1"/>
  <c r="W607" i="1"/>
  <c r="X639" i="1"/>
  <c r="T639" i="1" s="1"/>
  <c r="U639" i="1" s="1"/>
  <c r="V639" i="1"/>
  <c r="X671" i="1"/>
  <c r="T671" i="1" s="1"/>
  <c r="U671" i="1" s="1"/>
  <c r="V671" i="1"/>
  <c r="X703" i="1"/>
  <c r="T703" i="1" s="1"/>
  <c r="U703" i="1" s="1"/>
  <c r="W703" i="1"/>
  <c r="X743" i="1"/>
  <c r="T743" i="1" s="1"/>
  <c r="U743" i="1" s="1"/>
  <c r="V743" i="1"/>
  <c r="X775" i="1"/>
  <c r="T775" i="1" s="1"/>
  <c r="U775" i="1" s="1"/>
  <c r="V775" i="1"/>
  <c r="X807" i="1"/>
  <c r="T807" i="1" s="1"/>
  <c r="U807" i="1" s="1"/>
  <c r="R807" i="1"/>
  <c r="X823" i="1"/>
  <c r="T823" i="1" s="1"/>
  <c r="U823" i="1" s="1"/>
  <c r="W823" i="1"/>
  <c r="X847" i="1"/>
  <c r="T847" i="1" s="1"/>
  <c r="U847" i="1" s="1"/>
  <c r="W847" i="1"/>
  <c r="X887" i="1"/>
  <c r="T887" i="1" s="1"/>
  <c r="U887" i="1" s="1"/>
  <c r="V887" i="1"/>
  <c r="V959" i="1"/>
  <c r="V943" i="1"/>
  <c r="W31" i="1"/>
  <c r="R991" i="1"/>
  <c r="V967" i="1"/>
  <c r="W799" i="1"/>
  <c r="W543" i="1"/>
  <c r="P351" i="1"/>
  <c r="Q351" i="1" s="1"/>
  <c r="P215" i="1"/>
  <c r="S215" i="1" s="1"/>
  <c r="V199" i="1"/>
  <c r="X20" i="1"/>
  <c r="T20" i="1" s="1"/>
  <c r="W20" i="1"/>
  <c r="X36" i="1"/>
  <c r="T36" i="1" s="1"/>
  <c r="U36" i="1" s="1"/>
  <c r="V36" i="1"/>
  <c r="X52" i="1"/>
  <c r="T52" i="1" s="1"/>
  <c r="U52" i="1" s="1"/>
  <c r="V52" i="1"/>
  <c r="W52" i="1"/>
  <c r="X68" i="1"/>
  <c r="T68" i="1" s="1"/>
  <c r="U68" i="1" s="1"/>
  <c r="V68" i="1"/>
  <c r="W68" i="1"/>
  <c r="X84" i="1"/>
  <c r="T84" i="1" s="1"/>
  <c r="U84" i="1" s="1"/>
  <c r="W84" i="1"/>
  <c r="X100" i="1"/>
  <c r="T100" i="1" s="1"/>
  <c r="U100" i="1" s="1"/>
  <c r="W100" i="1"/>
  <c r="V100" i="1"/>
  <c r="X116" i="1"/>
  <c r="T116" i="1" s="1"/>
  <c r="U116" i="1" s="1"/>
  <c r="W116" i="1"/>
  <c r="X132" i="1"/>
  <c r="T132" i="1" s="1"/>
  <c r="U132" i="1" s="1"/>
  <c r="W132" i="1"/>
  <c r="V132" i="1"/>
  <c r="X148" i="1"/>
  <c r="T148" i="1" s="1"/>
  <c r="U148" i="1" s="1"/>
  <c r="W148" i="1"/>
  <c r="V148" i="1"/>
  <c r="X164" i="1"/>
  <c r="T164" i="1" s="1"/>
  <c r="U164" i="1" s="1"/>
  <c r="V164" i="1"/>
  <c r="X180" i="1"/>
  <c r="T180" i="1" s="1"/>
  <c r="U180" i="1" s="1"/>
  <c r="W180" i="1"/>
  <c r="V180" i="1"/>
  <c r="X196" i="1"/>
  <c r="T196" i="1" s="1"/>
  <c r="U196" i="1" s="1"/>
  <c r="P196" i="1"/>
  <c r="S196" i="1" s="1"/>
  <c r="W196" i="1"/>
  <c r="R196" i="1"/>
  <c r="X212" i="1"/>
  <c r="T212" i="1" s="1"/>
  <c r="U212" i="1" s="1"/>
  <c r="W212" i="1"/>
  <c r="X228" i="1"/>
  <c r="T228" i="1" s="1"/>
  <c r="U228" i="1" s="1"/>
  <c r="W228" i="1"/>
  <c r="X244" i="1"/>
  <c r="T244" i="1" s="1"/>
  <c r="U244" i="1" s="1"/>
  <c r="V244" i="1"/>
  <c r="W244" i="1"/>
  <c r="X260" i="1"/>
  <c r="T260" i="1" s="1"/>
  <c r="U260" i="1" s="1"/>
  <c r="V260" i="1"/>
  <c r="X268" i="1"/>
  <c r="T268" i="1" s="1"/>
  <c r="U268" i="1" s="1"/>
  <c r="R268" i="1"/>
  <c r="W268" i="1"/>
  <c r="X284" i="1"/>
  <c r="T284" i="1" s="1"/>
  <c r="U284" i="1" s="1"/>
  <c r="V284" i="1"/>
  <c r="X300" i="1"/>
  <c r="T300" i="1" s="1"/>
  <c r="U300" i="1" s="1"/>
  <c r="V300" i="1"/>
  <c r="X316" i="1"/>
  <c r="T316" i="1" s="1"/>
  <c r="U316" i="1" s="1"/>
  <c r="W316" i="1"/>
  <c r="V316" i="1"/>
  <c r="X332" i="1"/>
  <c r="T332" i="1" s="1"/>
  <c r="U332" i="1" s="1"/>
  <c r="V332" i="1"/>
  <c r="X348" i="1"/>
  <c r="T348" i="1" s="1"/>
  <c r="U348" i="1" s="1"/>
  <c r="V348" i="1"/>
  <c r="W348" i="1"/>
  <c r="X372" i="1"/>
  <c r="T372" i="1" s="1"/>
  <c r="U372" i="1" s="1"/>
  <c r="W372" i="1"/>
  <c r="P372" i="1"/>
  <c r="S372" i="1" s="1"/>
  <c r="X388" i="1"/>
  <c r="T388" i="1" s="1"/>
  <c r="U388" i="1" s="1"/>
  <c r="V388" i="1"/>
  <c r="X404" i="1"/>
  <c r="T404" i="1" s="1"/>
  <c r="U404" i="1" s="1"/>
  <c r="V404" i="1"/>
  <c r="X420" i="1"/>
  <c r="T420" i="1" s="1"/>
  <c r="U420" i="1" s="1"/>
  <c r="V420" i="1"/>
  <c r="X436" i="1"/>
  <c r="T436" i="1" s="1"/>
  <c r="U436" i="1" s="1"/>
  <c r="W436" i="1"/>
  <c r="V436" i="1"/>
  <c r="X452" i="1"/>
  <c r="T452" i="1" s="1"/>
  <c r="U452" i="1" s="1"/>
  <c r="X460" i="1"/>
  <c r="T460" i="1" s="1"/>
  <c r="U460" i="1" s="1"/>
  <c r="W460" i="1"/>
  <c r="X476" i="1"/>
  <c r="T476" i="1" s="1"/>
  <c r="U476" i="1" s="1"/>
  <c r="W476" i="1"/>
  <c r="X492" i="1"/>
  <c r="T492" i="1" s="1"/>
  <c r="U492" i="1" s="1"/>
  <c r="P492" i="1"/>
  <c r="S492" i="1" s="1"/>
  <c r="V492" i="1"/>
  <c r="X508" i="1"/>
  <c r="T508" i="1" s="1"/>
  <c r="U508" i="1" s="1"/>
  <c r="P508" i="1"/>
  <c r="Q508" i="1" s="1"/>
  <c r="V508" i="1"/>
  <c r="X524" i="1"/>
  <c r="T524" i="1" s="1"/>
  <c r="U524" i="1" s="1"/>
  <c r="V524" i="1"/>
  <c r="X540" i="1"/>
  <c r="T540" i="1" s="1"/>
  <c r="U540" i="1" s="1"/>
  <c r="V540" i="1"/>
  <c r="W540" i="1"/>
  <c r="X556" i="1"/>
  <c r="T556" i="1" s="1"/>
  <c r="U556" i="1" s="1"/>
  <c r="P556" i="1"/>
  <c r="Q556" i="1" s="1"/>
  <c r="V556" i="1"/>
  <c r="X572" i="1"/>
  <c r="T572" i="1" s="1"/>
  <c r="U572" i="1" s="1"/>
  <c r="W572" i="1"/>
  <c r="P572" i="1"/>
  <c r="Q572" i="1" s="1"/>
  <c r="X588" i="1"/>
  <c r="T588" i="1" s="1"/>
  <c r="U588" i="1" s="1"/>
  <c r="V588" i="1"/>
  <c r="X604" i="1"/>
  <c r="T604" i="1" s="1"/>
  <c r="U604" i="1" s="1"/>
  <c r="V604" i="1"/>
  <c r="X620" i="1"/>
  <c r="T620" i="1" s="1"/>
  <c r="U620" i="1" s="1"/>
  <c r="V620" i="1"/>
  <c r="X636" i="1"/>
  <c r="T636" i="1" s="1"/>
  <c r="U636" i="1" s="1"/>
  <c r="W636" i="1"/>
  <c r="X652" i="1"/>
  <c r="T652" i="1" s="1"/>
  <c r="U652" i="1" s="1"/>
  <c r="X668" i="1"/>
  <c r="T668" i="1" s="1"/>
  <c r="U668" i="1" s="1"/>
  <c r="W668" i="1"/>
  <c r="X684" i="1"/>
  <c r="T684" i="1" s="1"/>
  <c r="U684" i="1" s="1"/>
  <c r="P991" i="1"/>
  <c r="Q991" i="1" s="1"/>
  <c r="P983" i="1"/>
  <c r="S983" i="1" s="1"/>
  <c r="W951" i="1"/>
  <c r="W927" i="1"/>
  <c r="W914" i="1"/>
  <c r="R903" i="1"/>
  <c r="W887" i="1"/>
  <c r="W831" i="1"/>
  <c r="W778" i="1"/>
  <c r="V754" i="1"/>
  <c r="W751" i="1"/>
  <c r="V711" i="1"/>
  <c r="W690" i="1"/>
  <c r="V684" i="1"/>
  <c r="V626" i="1"/>
  <c r="W615" i="1"/>
  <c r="W604" i="1"/>
  <c r="W588" i="1"/>
  <c r="W504" i="1"/>
  <c r="V439" i="1"/>
  <c r="V391" i="1"/>
  <c r="W311" i="1"/>
  <c r="V268" i="1"/>
  <c r="V263" i="1"/>
  <c r="V212" i="1"/>
  <c r="V175" i="1"/>
  <c r="W164" i="1"/>
  <c r="V116" i="1"/>
  <c r="X15" i="1"/>
  <c r="V15" i="1"/>
  <c r="W15" i="1"/>
  <c r="X47" i="1"/>
  <c r="T47" i="1" s="1"/>
  <c r="U47" i="1" s="1"/>
  <c r="V47" i="1"/>
  <c r="X79" i="1"/>
  <c r="T79" i="1" s="1"/>
  <c r="U79" i="1" s="1"/>
  <c r="W79" i="1"/>
  <c r="V79" i="1"/>
  <c r="X111" i="1"/>
  <c r="T111" i="1" s="1"/>
  <c r="U111" i="1" s="1"/>
  <c r="W111" i="1"/>
  <c r="X151" i="1"/>
  <c r="T151" i="1" s="1"/>
  <c r="U151" i="1" s="1"/>
  <c r="R151" i="1"/>
  <c r="V151" i="1"/>
  <c r="P151" i="1"/>
  <c r="Q151" i="1" s="1"/>
  <c r="X183" i="1"/>
  <c r="T183" i="1" s="1"/>
  <c r="U183" i="1" s="1"/>
  <c r="W183" i="1"/>
  <c r="R183" i="1"/>
  <c r="P183" i="1"/>
  <c r="S183" i="1" s="1"/>
  <c r="X207" i="1"/>
  <c r="T207" i="1" s="1"/>
  <c r="U207" i="1" s="1"/>
  <c r="V207" i="1"/>
  <c r="W207" i="1"/>
  <c r="X239" i="1"/>
  <c r="T239" i="1" s="1"/>
  <c r="U239" i="1" s="1"/>
  <c r="V239" i="1"/>
  <c r="X271" i="1"/>
  <c r="T271" i="1" s="1"/>
  <c r="U271" i="1" s="1"/>
  <c r="V271" i="1"/>
  <c r="R271" i="1"/>
  <c r="X303" i="1"/>
  <c r="T303" i="1" s="1"/>
  <c r="U303" i="1" s="1"/>
  <c r="P303" i="1"/>
  <c r="Q303" i="1" s="1"/>
  <c r="V303" i="1"/>
  <c r="R303" i="1"/>
  <c r="X335" i="1"/>
  <c r="T335" i="1" s="1"/>
  <c r="U335" i="1" s="1"/>
  <c r="V335" i="1"/>
  <c r="X375" i="1"/>
  <c r="T375" i="1" s="1"/>
  <c r="U375" i="1" s="1"/>
  <c r="P375" i="1"/>
  <c r="S375" i="1" s="1"/>
  <c r="V375" i="1"/>
  <c r="X415" i="1"/>
  <c r="T415" i="1" s="1"/>
  <c r="U415" i="1" s="1"/>
  <c r="W415" i="1"/>
  <c r="X447" i="1"/>
  <c r="T447" i="1" s="1"/>
  <c r="U447" i="1" s="1"/>
  <c r="W447" i="1"/>
  <c r="X479" i="1"/>
  <c r="T479" i="1" s="1"/>
  <c r="U479" i="1" s="1"/>
  <c r="P479" i="1"/>
  <c r="Q479" i="1" s="1"/>
  <c r="R479" i="1"/>
  <c r="W479" i="1"/>
  <c r="X519" i="1"/>
  <c r="T519" i="1" s="1"/>
  <c r="U519" i="1" s="1"/>
  <c r="X559" i="1"/>
  <c r="T559" i="1" s="1"/>
  <c r="U559" i="1" s="1"/>
  <c r="V559" i="1"/>
  <c r="X591" i="1"/>
  <c r="T591" i="1" s="1"/>
  <c r="U591" i="1" s="1"/>
  <c r="R591" i="1"/>
  <c r="V591" i="1"/>
  <c r="X623" i="1"/>
  <c r="T623" i="1" s="1"/>
  <c r="U623" i="1" s="1"/>
  <c r="V623" i="1"/>
  <c r="X655" i="1"/>
  <c r="T655" i="1" s="1"/>
  <c r="U655" i="1" s="1"/>
  <c r="W655" i="1"/>
  <c r="X687" i="1"/>
  <c r="T687" i="1" s="1"/>
  <c r="U687" i="1" s="1"/>
  <c r="W687" i="1"/>
  <c r="P687" i="1"/>
  <c r="Q687" i="1" s="1"/>
  <c r="X719" i="1"/>
  <c r="T719" i="1" s="1"/>
  <c r="U719" i="1" s="1"/>
  <c r="W719" i="1"/>
  <c r="X759" i="1"/>
  <c r="T759" i="1" s="1"/>
  <c r="U759" i="1" s="1"/>
  <c r="W759" i="1"/>
  <c r="X791" i="1"/>
  <c r="T791" i="1" s="1"/>
  <c r="U791" i="1" s="1"/>
  <c r="R791" i="1"/>
  <c r="W791" i="1"/>
  <c r="X815" i="1"/>
  <c r="T815" i="1" s="1"/>
  <c r="U815" i="1" s="1"/>
  <c r="V815" i="1"/>
  <c r="X855" i="1"/>
  <c r="T855" i="1" s="1"/>
  <c r="U855" i="1" s="1"/>
  <c r="V855" i="1"/>
  <c r="X879" i="1"/>
  <c r="T879" i="1" s="1"/>
  <c r="U879" i="1" s="1"/>
  <c r="W879" i="1"/>
  <c r="X895" i="1"/>
  <c r="T895" i="1" s="1"/>
  <c r="U895" i="1" s="1"/>
  <c r="W991" i="1"/>
  <c r="W983" i="1"/>
  <c r="V431" i="1"/>
  <c r="R983" i="1"/>
  <c r="V975" i="1"/>
  <c r="P943" i="1"/>
  <c r="Q943" i="1" s="1"/>
  <c r="V903" i="1"/>
  <c r="V735" i="1"/>
  <c r="W711" i="1"/>
  <c r="V655" i="1"/>
  <c r="W623" i="1"/>
  <c r="R535" i="1"/>
  <c r="P287" i="1"/>
  <c r="Q287" i="1" s="1"/>
  <c r="V111" i="1"/>
  <c r="X28" i="1"/>
  <c r="T28" i="1" s="1"/>
  <c r="U28" i="1" s="1"/>
  <c r="W28" i="1"/>
  <c r="V28" i="1"/>
  <c r="X44" i="1"/>
  <c r="T44" i="1" s="1"/>
  <c r="U44" i="1" s="1"/>
  <c r="W44" i="1"/>
  <c r="V44" i="1"/>
  <c r="X60" i="1"/>
  <c r="T60" i="1" s="1"/>
  <c r="U60" i="1" s="1"/>
  <c r="V60" i="1"/>
  <c r="W60" i="1"/>
  <c r="X76" i="1"/>
  <c r="T76" i="1" s="1"/>
  <c r="U76" i="1" s="1"/>
  <c r="R76" i="1"/>
  <c r="W76" i="1"/>
  <c r="P76" i="1"/>
  <c r="S76" i="1" s="1"/>
  <c r="X92" i="1"/>
  <c r="T92" i="1" s="1"/>
  <c r="U92" i="1" s="1"/>
  <c r="W92" i="1"/>
  <c r="V92" i="1"/>
  <c r="X108" i="1"/>
  <c r="T108" i="1" s="1"/>
  <c r="U108" i="1" s="1"/>
  <c r="V108" i="1"/>
  <c r="W108" i="1"/>
  <c r="X124" i="1"/>
  <c r="T124" i="1" s="1"/>
  <c r="U124" i="1" s="1"/>
  <c r="R124" i="1"/>
  <c r="P124" i="1"/>
  <c r="S124" i="1" s="1"/>
  <c r="W124" i="1"/>
  <c r="V124" i="1"/>
  <c r="X140" i="1"/>
  <c r="T140" i="1" s="1"/>
  <c r="U140" i="1" s="1"/>
  <c r="P140" i="1"/>
  <c r="S140" i="1" s="1"/>
  <c r="W140" i="1"/>
  <c r="V140" i="1"/>
  <c r="R140" i="1"/>
  <c r="X156" i="1"/>
  <c r="T156" i="1" s="1"/>
  <c r="U156" i="1" s="1"/>
  <c r="V156" i="1"/>
  <c r="X172" i="1"/>
  <c r="T172" i="1" s="1"/>
  <c r="U172" i="1" s="1"/>
  <c r="W172" i="1"/>
  <c r="V172" i="1"/>
  <c r="X188" i="1"/>
  <c r="T188" i="1" s="1"/>
  <c r="U188" i="1" s="1"/>
  <c r="W188" i="1"/>
  <c r="V188" i="1"/>
  <c r="X204" i="1"/>
  <c r="T204" i="1" s="1"/>
  <c r="U204" i="1" s="1"/>
  <c r="V204" i="1"/>
  <c r="W204" i="1"/>
  <c r="X220" i="1"/>
  <c r="T220" i="1" s="1"/>
  <c r="U220" i="1" s="1"/>
  <c r="R220" i="1"/>
  <c r="W220" i="1"/>
  <c r="X236" i="1"/>
  <c r="T236" i="1" s="1"/>
  <c r="U236" i="1" s="1"/>
  <c r="V236" i="1"/>
  <c r="X252" i="1"/>
  <c r="T252" i="1" s="1"/>
  <c r="U252" i="1" s="1"/>
  <c r="V252" i="1"/>
  <c r="W252" i="1"/>
  <c r="X276" i="1"/>
  <c r="T276" i="1" s="1"/>
  <c r="U276" i="1" s="1"/>
  <c r="P276" i="1"/>
  <c r="S276" i="1" s="1"/>
  <c r="R276" i="1"/>
  <c r="W276" i="1"/>
  <c r="X292" i="1"/>
  <c r="T292" i="1" s="1"/>
  <c r="U292" i="1" s="1"/>
  <c r="V292" i="1"/>
  <c r="X308" i="1"/>
  <c r="T308" i="1" s="1"/>
  <c r="U308" i="1" s="1"/>
  <c r="V308" i="1"/>
  <c r="W308" i="1"/>
  <c r="X324" i="1"/>
  <c r="T324" i="1" s="1"/>
  <c r="U324" i="1" s="1"/>
  <c r="V324" i="1"/>
  <c r="R324" i="1"/>
  <c r="P324" i="1"/>
  <c r="Q324" i="1" s="1"/>
  <c r="X340" i="1"/>
  <c r="T340" i="1" s="1"/>
  <c r="U340" i="1" s="1"/>
  <c r="V340" i="1"/>
  <c r="W340" i="1"/>
  <c r="X356" i="1"/>
  <c r="T356" i="1" s="1"/>
  <c r="U356" i="1" s="1"/>
  <c r="V356" i="1"/>
  <c r="W356" i="1"/>
  <c r="X364" i="1"/>
  <c r="T364" i="1" s="1"/>
  <c r="U364" i="1" s="1"/>
  <c r="P364" i="1"/>
  <c r="S364" i="1" s="1"/>
  <c r="V364" i="1"/>
  <c r="X380" i="1"/>
  <c r="T380" i="1" s="1"/>
  <c r="U380" i="1" s="1"/>
  <c r="V380" i="1"/>
  <c r="P380" i="1"/>
  <c r="S380" i="1" s="1"/>
  <c r="X396" i="1"/>
  <c r="T396" i="1" s="1"/>
  <c r="U396" i="1" s="1"/>
  <c r="R396" i="1"/>
  <c r="W396" i="1"/>
  <c r="X412" i="1"/>
  <c r="T412" i="1" s="1"/>
  <c r="U412" i="1" s="1"/>
  <c r="V412" i="1"/>
  <c r="X428" i="1"/>
  <c r="T428" i="1" s="1"/>
  <c r="U428" i="1" s="1"/>
  <c r="V428" i="1"/>
  <c r="W428" i="1"/>
  <c r="X444" i="1"/>
  <c r="T444" i="1" s="1"/>
  <c r="U444" i="1" s="1"/>
  <c r="W444" i="1"/>
  <c r="X468" i="1"/>
  <c r="T468" i="1" s="1"/>
  <c r="U468" i="1" s="1"/>
  <c r="W468" i="1"/>
  <c r="X484" i="1"/>
  <c r="T484" i="1" s="1"/>
  <c r="U484" i="1" s="1"/>
  <c r="V484" i="1"/>
  <c r="W484" i="1"/>
  <c r="X500" i="1"/>
  <c r="T500" i="1" s="1"/>
  <c r="U500" i="1" s="1"/>
  <c r="V500" i="1"/>
  <c r="X516" i="1"/>
  <c r="T516" i="1" s="1"/>
  <c r="U516" i="1" s="1"/>
  <c r="W516" i="1"/>
  <c r="X532" i="1"/>
  <c r="T532" i="1" s="1"/>
  <c r="U532" i="1" s="1"/>
  <c r="R532" i="1"/>
  <c r="X548" i="1"/>
  <c r="T548" i="1" s="1"/>
  <c r="U548" i="1" s="1"/>
  <c r="V548" i="1"/>
  <c r="X564" i="1"/>
  <c r="T564" i="1" s="1"/>
  <c r="U564" i="1" s="1"/>
  <c r="P564" i="1"/>
  <c r="S564" i="1" s="1"/>
  <c r="R564" i="1"/>
  <c r="W564" i="1"/>
  <c r="X580" i="1"/>
  <c r="T580" i="1" s="1"/>
  <c r="U580" i="1" s="1"/>
  <c r="V580" i="1"/>
  <c r="X596" i="1"/>
  <c r="T596" i="1" s="1"/>
  <c r="U596" i="1" s="1"/>
  <c r="X612" i="1"/>
  <c r="T612" i="1" s="1"/>
  <c r="U612" i="1" s="1"/>
  <c r="W612" i="1"/>
  <c r="X628" i="1"/>
  <c r="T628" i="1" s="1"/>
  <c r="U628" i="1" s="1"/>
  <c r="P628" i="1"/>
  <c r="S628" i="1" s="1"/>
  <c r="W628" i="1"/>
  <c r="X644" i="1"/>
  <c r="T644" i="1" s="1"/>
  <c r="U644" i="1" s="1"/>
  <c r="V644" i="1"/>
  <c r="X660" i="1"/>
  <c r="T660" i="1" s="1"/>
  <c r="U660" i="1" s="1"/>
  <c r="W660" i="1"/>
  <c r="P660" i="1"/>
  <c r="S660" i="1" s="1"/>
  <c r="X676" i="1"/>
  <c r="T676" i="1" s="1"/>
  <c r="U676" i="1" s="1"/>
  <c r="V676" i="1"/>
  <c r="V26" i="1"/>
  <c r="P967" i="1"/>
  <c r="Q967" i="1" s="1"/>
  <c r="V927" i="1"/>
  <c r="V920" i="1"/>
  <c r="W911" i="1"/>
  <c r="P903" i="1"/>
  <c r="S903" i="1" s="1"/>
  <c r="W866" i="1"/>
  <c r="W850" i="1"/>
  <c r="V847" i="1"/>
  <c r="R831" i="1"/>
  <c r="V791" i="1"/>
  <c r="W775" i="1"/>
  <c r="V751" i="1"/>
  <c r="V727" i="1"/>
  <c r="R690" i="1"/>
  <c r="R687" i="1"/>
  <c r="W650" i="1"/>
  <c r="W644" i="1"/>
  <c r="R615" i="1"/>
  <c r="V607" i="1"/>
  <c r="V599" i="1"/>
  <c r="V596" i="1"/>
  <c r="W508" i="1"/>
  <c r="W495" i="1"/>
  <c r="W492" i="1"/>
  <c r="W487" i="1"/>
  <c r="W452" i="1"/>
  <c r="W420" i="1"/>
  <c r="V415" i="1"/>
  <c r="V407" i="1"/>
  <c r="V396" i="1"/>
  <c r="W364" i="1"/>
  <c r="W335" i="1"/>
  <c r="R311" i="1"/>
  <c r="P268" i="1"/>
  <c r="Q268" i="1" s="1"/>
  <c r="W260" i="1"/>
  <c r="W191" i="1"/>
  <c r="V183" i="1"/>
  <c r="W156" i="1"/>
  <c r="V84" i="1"/>
  <c r="X13" i="1"/>
  <c r="V13" i="1"/>
  <c r="W13" i="1"/>
  <c r="X21" i="1"/>
  <c r="T21" i="1" s="1"/>
  <c r="U21" i="1" s="1"/>
  <c r="V21" i="1"/>
  <c r="W21" i="1"/>
  <c r="X29" i="1"/>
  <c r="T29" i="1" s="1"/>
  <c r="U29" i="1" s="1"/>
  <c r="W29" i="1"/>
  <c r="X37" i="1"/>
  <c r="T37" i="1" s="1"/>
  <c r="U37" i="1" s="1"/>
  <c r="V37" i="1"/>
  <c r="W37" i="1"/>
  <c r="X45" i="1"/>
  <c r="T45" i="1" s="1"/>
  <c r="U45" i="1" s="1"/>
  <c r="V45" i="1"/>
  <c r="X53" i="1"/>
  <c r="T53" i="1" s="1"/>
  <c r="U53" i="1" s="1"/>
  <c r="V53" i="1"/>
  <c r="W53" i="1"/>
  <c r="X61" i="1"/>
  <c r="T61" i="1" s="1"/>
  <c r="U61" i="1" s="1"/>
  <c r="V61" i="1"/>
  <c r="R61" i="1"/>
  <c r="W61" i="1"/>
  <c r="X69" i="1"/>
  <c r="T69" i="1" s="1"/>
  <c r="U69" i="1" s="1"/>
  <c r="W69" i="1"/>
  <c r="V69" i="1"/>
  <c r="X77" i="1"/>
  <c r="T77" i="1" s="1"/>
  <c r="U77" i="1" s="1"/>
  <c r="W77" i="1"/>
  <c r="V77" i="1"/>
  <c r="X85" i="1"/>
  <c r="T85" i="1" s="1"/>
  <c r="U85" i="1" s="1"/>
  <c r="V85" i="1"/>
  <c r="W85" i="1"/>
  <c r="X93" i="1"/>
  <c r="T93" i="1" s="1"/>
  <c r="U93" i="1" s="1"/>
  <c r="V93" i="1"/>
  <c r="W93" i="1"/>
  <c r="X101" i="1"/>
  <c r="T101" i="1" s="1"/>
  <c r="U101" i="1" s="1"/>
  <c r="P101" i="1"/>
  <c r="Q101" i="1" s="1"/>
  <c r="W101" i="1"/>
  <c r="V101" i="1"/>
  <c r="X109" i="1"/>
  <c r="T109" i="1" s="1"/>
  <c r="U109" i="1" s="1"/>
  <c r="V109" i="1"/>
  <c r="W109" i="1"/>
  <c r="X117" i="1"/>
  <c r="T117" i="1" s="1"/>
  <c r="U117" i="1" s="1"/>
  <c r="W117" i="1"/>
  <c r="V117" i="1"/>
  <c r="X125" i="1"/>
  <c r="T125" i="1" s="1"/>
  <c r="U125" i="1" s="1"/>
  <c r="W125" i="1"/>
  <c r="X133" i="1"/>
  <c r="T133" i="1" s="1"/>
  <c r="U133" i="1" s="1"/>
  <c r="V133" i="1"/>
  <c r="X141" i="1"/>
  <c r="T141" i="1" s="1"/>
  <c r="U141" i="1" s="1"/>
  <c r="V141" i="1"/>
  <c r="W141" i="1"/>
  <c r="X149" i="1"/>
  <c r="T149" i="1" s="1"/>
  <c r="U149" i="1" s="1"/>
  <c r="V149" i="1"/>
  <c r="X157" i="1"/>
  <c r="T157" i="1" s="1"/>
  <c r="U157" i="1" s="1"/>
  <c r="W157" i="1"/>
  <c r="X165" i="1"/>
  <c r="T165" i="1" s="1"/>
  <c r="U165" i="1" s="1"/>
  <c r="P165" i="1"/>
  <c r="Q165" i="1" s="1"/>
  <c r="W165" i="1"/>
  <c r="V165" i="1"/>
  <c r="X173" i="1"/>
  <c r="T173" i="1" s="1"/>
  <c r="U173" i="1" s="1"/>
  <c r="W173" i="1"/>
  <c r="X181" i="1"/>
  <c r="T181" i="1" s="1"/>
  <c r="U181" i="1" s="1"/>
  <c r="W181" i="1"/>
  <c r="V181" i="1"/>
  <c r="X189" i="1"/>
  <c r="T189" i="1" s="1"/>
  <c r="U189" i="1" s="1"/>
  <c r="W189" i="1"/>
  <c r="X197" i="1"/>
  <c r="T197" i="1" s="1"/>
  <c r="U197" i="1" s="1"/>
  <c r="V197" i="1"/>
  <c r="X205" i="1"/>
  <c r="T205" i="1" s="1"/>
  <c r="U205" i="1" s="1"/>
  <c r="V205" i="1"/>
  <c r="X213" i="1"/>
  <c r="T213" i="1" s="1"/>
  <c r="U213" i="1" s="1"/>
  <c r="V213" i="1"/>
  <c r="X221" i="1"/>
  <c r="T221" i="1" s="1"/>
  <c r="U221" i="1" s="1"/>
  <c r="R221" i="1"/>
  <c r="P221" i="1"/>
  <c r="S221" i="1" s="1"/>
  <c r="X229" i="1"/>
  <c r="T229" i="1" s="1"/>
  <c r="U229" i="1" s="1"/>
  <c r="W229" i="1"/>
  <c r="X237" i="1"/>
  <c r="T237" i="1" s="1"/>
  <c r="U237" i="1" s="1"/>
  <c r="W237" i="1"/>
  <c r="X245" i="1"/>
  <c r="T245" i="1" s="1"/>
  <c r="U245" i="1" s="1"/>
  <c r="R245" i="1"/>
  <c r="V245" i="1"/>
  <c r="X253" i="1"/>
  <c r="T253" i="1" s="1"/>
  <c r="U253" i="1" s="1"/>
  <c r="W253" i="1"/>
  <c r="X261" i="1"/>
  <c r="T261" i="1" s="1"/>
  <c r="U261" i="1" s="1"/>
  <c r="W261" i="1"/>
  <c r="V261" i="1"/>
  <c r="X269" i="1"/>
  <c r="T269" i="1" s="1"/>
  <c r="U269" i="1" s="1"/>
  <c r="W269" i="1"/>
  <c r="X277" i="1"/>
  <c r="T277" i="1" s="1"/>
  <c r="U277" i="1" s="1"/>
  <c r="V277" i="1"/>
  <c r="R277" i="1"/>
  <c r="X285" i="1"/>
  <c r="T285" i="1" s="1"/>
  <c r="U285" i="1" s="1"/>
  <c r="R285" i="1"/>
  <c r="X293" i="1"/>
  <c r="T293" i="1" s="1"/>
  <c r="U293" i="1" s="1"/>
  <c r="X301" i="1"/>
  <c r="T301" i="1" s="1"/>
  <c r="U301" i="1" s="1"/>
  <c r="V301" i="1"/>
  <c r="W301" i="1"/>
  <c r="X309" i="1"/>
  <c r="T309" i="1" s="1"/>
  <c r="U309" i="1" s="1"/>
  <c r="V309" i="1"/>
  <c r="W389" i="1"/>
  <c r="X317" i="1"/>
  <c r="T317" i="1" s="1"/>
  <c r="U317" i="1" s="1"/>
  <c r="V317" i="1"/>
  <c r="X325" i="1"/>
  <c r="T325" i="1" s="1"/>
  <c r="U325" i="1" s="1"/>
  <c r="X333" i="1"/>
  <c r="T333" i="1" s="1"/>
  <c r="U333" i="1" s="1"/>
  <c r="P333" i="1"/>
  <c r="S333" i="1" s="1"/>
  <c r="W333" i="1"/>
  <c r="X341" i="1"/>
  <c r="T341" i="1" s="1"/>
  <c r="U341" i="1" s="1"/>
  <c r="X24" i="1"/>
  <c r="T24" i="1" s="1"/>
  <c r="U24" i="1" s="1"/>
  <c r="W24" i="1"/>
  <c r="X56" i="1"/>
  <c r="T56" i="1" s="1"/>
  <c r="U56" i="1" s="1"/>
  <c r="P56" i="1"/>
  <c r="S56" i="1" s="1"/>
  <c r="R56" i="1"/>
  <c r="V56" i="1"/>
  <c r="W56" i="1"/>
  <c r="X88" i="1"/>
  <c r="T88" i="1" s="1"/>
  <c r="U88" i="1" s="1"/>
  <c r="V88" i="1"/>
  <c r="W88" i="1"/>
  <c r="X120" i="1"/>
  <c r="T120" i="1" s="1"/>
  <c r="U120" i="1" s="1"/>
  <c r="V120" i="1"/>
  <c r="W120" i="1"/>
  <c r="X152" i="1"/>
  <c r="T152" i="1" s="1"/>
  <c r="U152" i="1" s="1"/>
  <c r="V152" i="1"/>
  <c r="W152" i="1"/>
  <c r="X176" i="1"/>
  <c r="T176" i="1" s="1"/>
  <c r="U176" i="1" s="1"/>
  <c r="W176" i="1"/>
  <c r="V176" i="1"/>
  <c r="X208" i="1"/>
  <c r="T208" i="1" s="1"/>
  <c r="U208" i="1" s="1"/>
  <c r="P208" i="1"/>
  <c r="Q208" i="1" s="1"/>
  <c r="R208" i="1"/>
  <c r="W208" i="1"/>
  <c r="V208" i="1"/>
  <c r="X232" i="1"/>
  <c r="T232" i="1" s="1"/>
  <c r="U232" i="1" s="1"/>
  <c r="R232" i="1"/>
  <c r="P232" i="1"/>
  <c r="S232" i="1" s="1"/>
  <c r="X264" i="1"/>
  <c r="T264" i="1" s="1"/>
  <c r="U264" i="1" s="1"/>
  <c r="R264" i="1"/>
  <c r="V264" i="1"/>
  <c r="W264" i="1"/>
  <c r="X296" i="1"/>
  <c r="T296" i="1" s="1"/>
  <c r="U296" i="1" s="1"/>
  <c r="R296" i="1"/>
  <c r="V296" i="1"/>
  <c r="W296" i="1"/>
  <c r="X328" i="1"/>
  <c r="T328" i="1" s="1"/>
  <c r="U328" i="1" s="1"/>
  <c r="V328" i="1"/>
  <c r="W328" i="1"/>
  <c r="X360" i="1"/>
  <c r="T360" i="1" s="1"/>
  <c r="U360" i="1" s="1"/>
  <c r="R360" i="1"/>
  <c r="V360" i="1"/>
  <c r="W360" i="1"/>
  <c r="X392" i="1"/>
  <c r="T392" i="1" s="1"/>
  <c r="U392" i="1" s="1"/>
  <c r="V392" i="1"/>
  <c r="W392" i="1"/>
  <c r="X424" i="1"/>
  <c r="T424" i="1" s="1"/>
  <c r="U424" i="1" s="1"/>
  <c r="V424" i="1"/>
  <c r="W424" i="1"/>
  <c r="X464" i="1"/>
  <c r="T464" i="1" s="1"/>
  <c r="U464" i="1" s="1"/>
  <c r="V464" i="1"/>
  <c r="W464" i="1"/>
  <c r="X496" i="1"/>
  <c r="T496" i="1" s="1"/>
  <c r="U496" i="1" s="1"/>
  <c r="V496" i="1"/>
  <c r="W496" i="1"/>
  <c r="X528" i="1"/>
  <c r="T528" i="1" s="1"/>
  <c r="U528" i="1" s="1"/>
  <c r="V528" i="1"/>
  <c r="P528" i="1"/>
  <c r="S528" i="1" s="1"/>
  <c r="W528" i="1"/>
  <c r="X552" i="1"/>
  <c r="T552" i="1" s="1"/>
  <c r="U552" i="1" s="1"/>
  <c r="V552" i="1"/>
  <c r="X584" i="1"/>
  <c r="T584" i="1" s="1"/>
  <c r="U584" i="1" s="1"/>
  <c r="V584" i="1"/>
  <c r="W584" i="1"/>
  <c r="X616" i="1"/>
  <c r="T616" i="1" s="1"/>
  <c r="U616" i="1" s="1"/>
  <c r="V616" i="1"/>
  <c r="W616" i="1"/>
  <c r="X648" i="1"/>
  <c r="T648" i="1" s="1"/>
  <c r="U648" i="1" s="1"/>
  <c r="V648" i="1"/>
  <c r="W648" i="1"/>
  <c r="X680" i="1"/>
  <c r="T680" i="1" s="1"/>
  <c r="U680" i="1" s="1"/>
  <c r="P680" i="1"/>
  <c r="S680" i="1" s="1"/>
  <c r="V680" i="1"/>
  <c r="W680" i="1"/>
  <c r="X704" i="1"/>
  <c r="T704" i="1" s="1"/>
  <c r="U704" i="1" s="1"/>
  <c r="V704" i="1"/>
  <c r="W704" i="1"/>
  <c r="X736" i="1"/>
  <c r="T736" i="1" s="1"/>
  <c r="U736" i="1" s="1"/>
  <c r="P736" i="1"/>
  <c r="S736" i="1" s="1"/>
  <c r="V736" i="1"/>
  <c r="W736" i="1"/>
  <c r="X768" i="1"/>
  <c r="T768" i="1" s="1"/>
  <c r="U768" i="1" s="1"/>
  <c r="V768" i="1"/>
  <c r="W768" i="1"/>
  <c r="X800" i="1"/>
  <c r="T800" i="1" s="1"/>
  <c r="U800" i="1" s="1"/>
  <c r="P800" i="1"/>
  <c r="Q800" i="1" s="1"/>
  <c r="W800" i="1"/>
  <c r="X840" i="1"/>
  <c r="T840" i="1" s="1"/>
  <c r="U840" i="1" s="1"/>
  <c r="P840" i="1"/>
  <c r="Q840" i="1" s="1"/>
  <c r="W840" i="1"/>
  <c r="X872" i="1"/>
  <c r="T872" i="1" s="1"/>
  <c r="U872" i="1" s="1"/>
  <c r="W872" i="1"/>
  <c r="X912" i="1"/>
  <c r="T912" i="1" s="1"/>
  <c r="U912" i="1" s="1"/>
  <c r="W912" i="1"/>
  <c r="X944" i="1"/>
  <c r="T944" i="1" s="1"/>
  <c r="U944" i="1" s="1"/>
  <c r="W944" i="1"/>
  <c r="X968" i="1"/>
  <c r="T968" i="1" s="1"/>
  <c r="U968" i="1" s="1"/>
  <c r="W968" i="1"/>
  <c r="V952" i="1"/>
  <c r="V808" i="1"/>
  <c r="X33" i="1"/>
  <c r="T33" i="1" s="1"/>
  <c r="U33" i="1" s="1"/>
  <c r="V33" i="1"/>
  <c r="X65" i="1"/>
  <c r="T65" i="1" s="1"/>
  <c r="U65" i="1" s="1"/>
  <c r="V65" i="1"/>
  <c r="W65" i="1"/>
  <c r="P65" i="1"/>
  <c r="Q65" i="1" s="1"/>
  <c r="R65" i="1"/>
  <c r="X97" i="1"/>
  <c r="T97" i="1" s="1"/>
  <c r="U97" i="1" s="1"/>
  <c r="V97" i="1"/>
  <c r="W97" i="1"/>
  <c r="P97" i="1"/>
  <c r="Q97" i="1" s="1"/>
  <c r="R97" i="1"/>
  <c r="X129" i="1"/>
  <c r="T129" i="1" s="1"/>
  <c r="U129" i="1" s="1"/>
  <c r="V129" i="1"/>
  <c r="W129" i="1"/>
  <c r="X153" i="1"/>
  <c r="T153" i="1" s="1"/>
  <c r="U153" i="1" s="1"/>
  <c r="V153" i="1"/>
  <c r="W153" i="1"/>
  <c r="X185" i="1"/>
  <c r="T185" i="1" s="1"/>
  <c r="U185" i="1" s="1"/>
  <c r="V185" i="1"/>
  <c r="W185" i="1"/>
  <c r="X217" i="1"/>
  <c r="T217" i="1" s="1"/>
  <c r="U217" i="1" s="1"/>
  <c r="V217" i="1"/>
  <c r="W217" i="1"/>
  <c r="X249" i="1"/>
  <c r="T249" i="1" s="1"/>
  <c r="U249" i="1" s="1"/>
  <c r="W249" i="1"/>
  <c r="X281" i="1"/>
  <c r="T281" i="1" s="1"/>
  <c r="U281" i="1" s="1"/>
  <c r="W281" i="1"/>
  <c r="V281" i="1"/>
  <c r="X313" i="1"/>
  <c r="T313" i="1" s="1"/>
  <c r="U313" i="1" s="1"/>
  <c r="W313" i="1"/>
  <c r="X345" i="1"/>
  <c r="T345" i="1" s="1"/>
  <c r="U345" i="1" s="1"/>
  <c r="W345" i="1"/>
  <c r="V345" i="1"/>
  <c r="X377" i="1"/>
  <c r="T377" i="1" s="1"/>
  <c r="U377" i="1" s="1"/>
  <c r="W377" i="1"/>
  <c r="X409" i="1"/>
  <c r="T409" i="1" s="1"/>
  <c r="U409" i="1" s="1"/>
  <c r="W409" i="1"/>
  <c r="V409" i="1"/>
  <c r="X441" i="1"/>
  <c r="T441" i="1" s="1"/>
  <c r="U441" i="1" s="1"/>
  <c r="R441" i="1"/>
  <c r="V441" i="1"/>
  <c r="X473" i="1"/>
  <c r="T473" i="1" s="1"/>
  <c r="U473" i="1" s="1"/>
  <c r="R473" i="1"/>
  <c r="V473" i="1"/>
  <c r="W473" i="1"/>
  <c r="X505" i="1"/>
  <c r="T505" i="1" s="1"/>
  <c r="U505" i="1" s="1"/>
  <c r="V505" i="1"/>
  <c r="W505" i="1"/>
  <c r="X537" i="1"/>
  <c r="T537" i="1" s="1"/>
  <c r="U537" i="1" s="1"/>
  <c r="V537" i="1"/>
  <c r="W537" i="1"/>
  <c r="X561" i="1"/>
  <c r="T561" i="1" s="1"/>
  <c r="U561" i="1" s="1"/>
  <c r="V561" i="1"/>
  <c r="X593" i="1"/>
  <c r="T593" i="1" s="1"/>
  <c r="U593" i="1" s="1"/>
  <c r="V593" i="1"/>
  <c r="X641" i="1"/>
  <c r="T641" i="1" s="1"/>
  <c r="U641" i="1" s="1"/>
  <c r="V641" i="1"/>
  <c r="X673" i="1"/>
  <c r="T673" i="1" s="1"/>
  <c r="U673" i="1" s="1"/>
  <c r="V673" i="1"/>
  <c r="X705" i="1"/>
  <c r="T705" i="1" s="1"/>
  <c r="U705" i="1" s="1"/>
  <c r="V705" i="1"/>
  <c r="X737" i="1"/>
  <c r="T737" i="1" s="1"/>
  <c r="U737" i="1" s="1"/>
  <c r="V737" i="1"/>
  <c r="X769" i="1"/>
  <c r="T769" i="1" s="1"/>
  <c r="U769" i="1" s="1"/>
  <c r="V769" i="1"/>
  <c r="X801" i="1"/>
  <c r="T801" i="1" s="1"/>
  <c r="U801" i="1" s="1"/>
  <c r="V801" i="1"/>
  <c r="X833" i="1"/>
  <c r="T833" i="1" s="1"/>
  <c r="U833" i="1" s="1"/>
  <c r="V833" i="1"/>
  <c r="X865" i="1"/>
  <c r="T865" i="1" s="1"/>
  <c r="U865" i="1" s="1"/>
  <c r="V865" i="1"/>
  <c r="X889" i="1"/>
  <c r="T889" i="1" s="1"/>
  <c r="U889" i="1" s="1"/>
  <c r="V889" i="1"/>
  <c r="W945" i="1"/>
  <c r="P944" i="1"/>
  <c r="Q944" i="1" s="1"/>
  <c r="V897" i="1"/>
  <c r="R641" i="1"/>
  <c r="W472" i="1"/>
  <c r="W33" i="1"/>
  <c r="X34" i="1"/>
  <c r="T34" i="1" s="1"/>
  <c r="U34" i="1" s="1"/>
  <c r="W34" i="1"/>
  <c r="V34" i="1"/>
  <c r="X74" i="1"/>
  <c r="T74" i="1" s="1"/>
  <c r="U74" i="1" s="1"/>
  <c r="V74" i="1"/>
  <c r="X106" i="1"/>
  <c r="T106" i="1" s="1"/>
  <c r="U106" i="1" s="1"/>
  <c r="V106" i="1"/>
  <c r="X130" i="1"/>
  <c r="T130" i="1" s="1"/>
  <c r="U130" i="1" s="1"/>
  <c r="W130" i="1"/>
  <c r="V130" i="1"/>
  <c r="X162" i="1"/>
  <c r="T162" i="1" s="1"/>
  <c r="U162" i="1" s="1"/>
  <c r="W162" i="1"/>
  <c r="V162" i="1"/>
  <c r="X194" i="1"/>
  <c r="T194" i="1" s="1"/>
  <c r="U194" i="1" s="1"/>
  <c r="W194" i="1"/>
  <c r="V194" i="1"/>
  <c r="X226" i="1"/>
  <c r="T226" i="1" s="1"/>
  <c r="U226" i="1" s="1"/>
  <c r="V226" i="1"/>
  <c r="W226" i="1"/>
  <c r="X258" i="1"/>
  <c r="T258" i="1" s="1"/>
  <c r="U258" i="1" s="1"/>
  <c r="W258" i="1"/>
  <c r="X290" i="1"/>
  <c r="T290" i="1" s="1"/>
  <c r="U290" i="1" s="1"/>
  <c r="W290" i="1"/>
  <c r="R290" i="1"/>
  <c r="X322" i="1"/>
  <c r="T322" i="1" s="1"/>
  <c r="U322" i="1" s="1"/>
  <c r="W322" i="1"/>
  <c r="X354" i="1"/>
  <c r="T354" i="1" s="1"/>
  <c r="U354" i="1" s="1"/>
  <c r="W354" i="1"/>
  <c r="X386" i="1"/>
  <c r="T386" i="1" s="1"/>
  <c r="U386" i="1" s="1"/>
  <c r="W386" i="1"/>
  <c r="X410" i="1"/>
  <c r="T410" i="1" s="1"/>
  <c r="U410" i="1" s="1"/>
  <c r="W410" i="1"/>
  <c r="V410" i="1"/>
  <c r="X442" i="1"/>
  <c r="T442" i="1" s="1"/>
  <c r="U442" i="1" s="1"/>
  <c r="W442" i="1"/>
  <c r="V442" i="1"/>
  <c r="X466" i="1"/>
  <c r="T466" i="1" s="1"/>
  <c r="U466" i="1" s="1"/>
  <c r="W466" i="1"/>
  <c r="V466" i="1"/>
  <c r="X498" i="1"/>
  <c r="T498" i="1" s="1"/>
  <c r="U498" i="1" s="1"/>
  <c r="W498" i="1"/>
  <c r="P498" i="1"/>
  <c r="S498" i="1" s="1"/>
  <c r="R498" i="1"/>
  <c r="V498" i="1"/>
  <c r="X530" i="1"/>
  <c r="T530" i="1" s="1"/>
  <c r="U530" i="1" s="1"/>
  <c r="W530" i="1"/>
  <c r="V530" i="1"/>
  <c r="X562" i="1"/>
  <c r="T562" i="1" s="1"/>
  <c r="U562" i="1" s="1"/>
  <c r="X594" i="1"/>
  <c r="T594" i="1" s="1"/>
  <c r="U594" i="1" s="1"/>
  <c r="X626" i="1"/>
  <c r="T626" i="1" s="1"/>
  <c r="U626" i="1" s="1"/>
  <c r="X658" i="1"/>
  <c r="T658" i="1" s="1"/>
  <c r="U658" i="1" s="1"/>
  <c r="X698" i="1"/>
  <c r="T698" i="1" s="1"/>
  <c r="U698" i="1" s="1"/>
  <c r="X738" i="1"/>
  <c r="T738" i="1" s="1"/>
  <c r="U738" i="1" s="1"/>
  <c r="X770" i="1"/>
  <c r="T770" i="1" s="1"/>
  <c r="U770" i="1" s="1"/>
  <c r="X802" i="1"/>
  <c r="T802" i="1" s="1"/>
  <c r="U802" i="1" s="1"/>
  <c r="P802" i="1"/>
  <c r="S802" i="1" s="1"/>
  <c r="X826" i="1"/>
  <c r="T826" i="1" s="1"/>
  <c r="U826" i="1" s="1"/>
  <c r="P826" i="1"/>
  <c r="S826" i="1" s="1"/>
  <c r="X842" i="1"/>
  <c r="T842" i="1" s="1"/>
  <c r="U842" i="1" s="1"/>
  <c r="X858" i="1"/>
  <c r="T858" i="1" s="1"/>
  <c r="U858" i="1" s="1"/>
  <c r="X874" i="1"/>
  <c r="T874" i="1" s="1"/>
  <c r="U874" i="1" s="1"/>
  <c r="P874" i="1"/>
  <c r="Q874" i="1" s="1"/>
  <c r="X890" i="1"/>
  <c r="T890" i="1" s="1"/>
  <c r="U890" i="1" s="1"/>
  <c r="X906" i="1"/>
  <c r="T906" i="1" s="1"/>
  <c r="U906" i="1" s="1"/>
  <c r="P906" i="1"/>
  <c r="S906" i="1" s="1"/>
  <c r="X922" i="1"/>
  <c r="T922" i="1" s="1"/>
  <c r="U922" i="1" s="1"/>
  <c r="V994" i="1"/>
  <c r="P978" i="1"/>
  <c r="S978" i="1" s="1"/>
  <c r="V968" i="1"/>
  <c r="W953" i="1"/>
  <c r="V921" i="1"/>
  <c r="V866" i="1"/>
  <c r="W842" i="1"/>
  <c r="W833" i="1"/>
  <c r="V824" i="1"/>
  <c r="V802" i="1"/>
  <c r="R793" i="1"/>
  <c r="V778" i="1"/>
  <c r="W761" i="1"/>
  <c r="V746" i="1"/>
  <c r="W729" i="1"/>
  <c r="V714" i="1"/>
  <c r="W697" i="1"/>
  <c r="V682" i="1"/>
  <c r="P673" i="1"/>
  <c r="S673" i="1" s="1"/>
  <c r="W665" i="1"/>
  <c r="V650" i="1"/>
  <c r="P641" i="1"/>
  <c r="S641" i="1" s="1"/>
  <c r="W633" i="1"/>
  <c r="V618" i="1"/>
  <c r="W601" i="1"/>
  <c r="V586" i="1"/>
  <c r="P577" i="1"/>
  <c r="Q577" i="1" s="1"/>
  <c r="W569" i="1"/>
  <c r="V545" i="1"/>
  <c r="W520" i="1"/>
  <c r="W465" i="1"/>
  <c r="V418" i="1"/>
  <c r="V394" i="1"/>
  <c r="V322" i="1"/>
  <c r="V290" i="1"/>
  <c r="V266" i="1"/>
  <c r="V22" i="1"/>
  <c r="V976" i="1"/>
  <c r="R968" i="1"/>
  <c r="W961" i="1"/>
  <c r="V953" i="1"/>
  <c r="W946" i="1"/>
  <c r="R921" i="1"/>
  <c r="W905" i="1"/>
  <c r="V864" i="1"/>
  <c r="V842" i="1"/>
  <c r="R833" i="1"/>
  <c r="W809" i="1"/>
  <c r="R802" i="1"/>
  <c r="V800" i="1"/>
  <c r="W770" i="1"/>
  <c r="W738" i="1"/>
  <c r="W706" i="1"/>
  <c r="R680" i="1"/>
  <c r="W674" i="1"/>
  <c r="W642" i="1"/>
  <c r="W610" i="1"/>
  <c r="W578" i="1"/>
  <c r="R528" i="1"/>
  <c r="V465" i="1"/>
  <c r="V377" i="1"/>
  <c r="R346" i="1"/>
  <c r="V305" i="1"/>
  <c r="P296" i="1"/>
  <c r="Q296" i="1" s="1"/>
  <c r="P290" i="1"/>
  <c r="S290" i="1" s="1"/>
  <c r="V249" i="1"/>
  <c r="W232" i="1"/>
  <c r="V134" i="1"/>
  <c r="X32" i="1"/>
  <c r="T32" i="1" s="1"/>
  <c r="U32" i="1" s="1"/>
  <c r="V32" i="1"/>
  <c r="X64" i="1"/>
  <c r="T64" i="1" s="1"/>
  <c r="U64" i="1" s="1"/>
  <c r="W64" i="1"/>
  <c r="V64" i="1"/>
  <c r="X96" i="1"/>
  <c r="T96" i="1" s="1"/>
  <c r="U96" i="1" s="1"/>
  <c r="W96" i="1"/>
  <c r="X128" i="1"/>
  <c r="T128" i="1" s="1"/>
  <c r="U128" i="1" s="1"/>
  <c r="W128" i="1"/>
  <c r="V128" i="1"/>
  <c r="X160" i="1"/>
  <c r="T160" i="1" s="1"/>
  <c r="U160" i="1" s="1"/>
  <c r="W160" i="1"/>
  <c r="X200" i="1"/>
  <c r="T200" i="1" s="1"/>
  <c r="U200" i="1" s="1"/>
  <c r="P200" i="1"/>
  <c r="Q200" i="1" s="1"/>
  <c r="R200" i="1"/>
  <c r="V200" i="1"/>
  <c r="W200" i="1"/>
  <c r="X240" i="1"/>
  <c r="T240" i="1" s="1"/>
  <c r="U240" i="1" s="1"/>
  <c r="V240" i="1"/>
  <c r="W240" i="1"/>
  <c r="X272" i="1"/>
  <c r="T272" i="1" s="1"/>
  <c r="U272" i="1" s="1"/>
  <c r="V272" i="1"/>
  <c r="W272" i="1"/>
  <c r="X304" i="1"/>
  <c r="T304" i="1" s="1"/>
  <c r="U304" i="1" s="1"/>
  <c r="R304" i="1"/>
  <c r="V304" i="1"/>
  <c r="W304" i="1"/>
  <c r="X336" i="1"/>
  <c r="T336" i="1" s="1"/>
  <c r="U336" i="1" s="1"/>
  <c r="R336" i="1"/>
  <c r="V336" i="1"/>
  <c r="W336" i="1"/>
  <c r="X368" i="1"/>
  <c r="T368" i="1" s="1"/>
  <c r="U368" i="1" s="1"/>
  <c r="R368" i="1"/>
  <c r="V368" i="1"/>
  <c r="W368" i="1"/>
  <c r="P368" i="1"/>
  <c r="Q368" i="1" s="1"/>
  <c r="X400" i="1"/>
  <c r="T400" i="1" s="1"/>
  <c r="U400" i="1" s="1"/>
  <c r="V400" i="1"/>
  <c r="W400" i="1"/>
  <c r="X432" i="1"/>
  <c r="T432" i="1" s="1"/>
  <c r="U432" i="1" s="1"/>
  <c r="V432" i="1"/>
  <c r="W432" i="1"/>
  <c r="X456" i="1"/>
  <c r="T456" i="1" s="1"/>
  <c r="U456" i="1" s="1"/>
  <c r="V456" i="1"/>
  <c r="W456" i="1"/>
  <c r="X488" i="1"/>
  <c r="T488" i="1" s="1"/>
  <c r="U488" i="1" s="1"/>
  <c r="V488" i="1"/>
  <c r="X520" i="1"/>
  <c r="T520" i="1" s="1"/>
  <c r="U520" i="1" s="1"/>
  <c r="V520" i="1"/>
  <c r="P520" i="1"/>
  <c r="S520" i="1" s="1"/>
  <c r="X560" i="1"/>
  <c r="T560" i="1" s="1"/>
  <c r="U560" i="1" s="1"/>
  <c r="P560" i="1"/>
  <c r="S560" i="1" s="1"/>
  <c r="V560" i="1"/>
  <c r="W560" i="1"/>
  <c r="X592" i="1"/>
  <c r="T592" i="1" s="1"/>
  <c r="U592" i="1" s="1"/>
  <c r="V592" i="1"/>
  <c r="W592" i="1"/>
  <c r="X624" i="1"/>
  <c r="T624" i="1" s="1"/>
  <c r="U624" i="1" s="1"/>
  <c r="V624" i="1"/>
  <c r="W624" i="1"/>
  <c r="X656" i="1"/>
  <c r="T656" i="1" s="1"/>
  <c r="U656" i="1" s="1"/>
  <c r="P656" i="1"/>
  <c r="Q656" i="1" s="1"/>
  <c r="V656" i="1"/>
  <c r="W656" i="1"/>
  <c r="X688" i="1"/>
  <c r="T688" i="1" s="1"/>
  <c r="U688" i="1" s="1"/>
  <c r="V688" i="1"/>
  <c r="W688" i="1"/>
  <c r="X720" i="1"/>
  <c r="T720" i="1" s="1"/>
  <c r="U720" i="1" s="1"/>
  <c r="V720" i="1"/>
  <c r="W720" i="1"/>
  <c r="X760" i="1"/>
  <c r="T760" i="1" s="1"/>
  <c r="U760" i="1" s="1"/>
  <c r="V760" i="1"/>
  <c r="W760" i="1"/>
  <c r="X784" i="1"/>
  <c r="T784" i="1" s="1"/>
  <c r="U784" i="1" s="1"/>
  <c r="V784" i="1"/>
  <c r="W784" i="1"/>
  <c r="X816" i="1"/>
  <c r="T816" i="1" s="1"/>
  <c r="U816" i="1" s="1"/>
  <c r="W816" i="1"/>
  <c r="X848" i="1"/>
  <c r="T848" i="1" s="1"/>
  <c r="U848" i="1" s="1"/>
  <c r="P848" i="1"/>
  <c r="S848" i="1" s="1"/>
  <c r="W848" i="1"/>
  <c r="X880" i="1"/>
  <c r="T880" i="1" s="1"/>
  <c r="U880" i="1" s="1"/>
  <c r="W880" i="1"/>
  <c r="X904" i="1"/>
  <c r="T904" i="1" s="1"/>
  <c r="U904" i="1" s="1"/>
  <c r="W904" i="1"/>
  <c r="X936" i="1"/>
  <c r="T936" i="1" s="1"/>
  <c r="U936" i="1" s="1"/>
  <c r="W936" i="1"/>
  <c r="X984" i="1"/>
  <c r="T984" i="1" s="1"/>
  <c r="U984" i="1" s="1"/>
  <c r="W984" i="1"/>
  <c r="X41" i="1"/>
  <c r="T41" i="1" s="1"/>
  <c r="U41" i="1" s="1"/>
  <c r="V41" i="1"/>
  <c r="W41" i="1"/>
  <c r="R41" i="1"/>
  <c r="X81" i="1"/>
  <c r="T81" i="1" s="1"/>
  <c r="U81" i="1" s="1"/>
  <c r="V81" i="1"/>
  <c r="W81" i="1"/>
  <c r="X113" i="1"/>
  <c r="T113" i="1" s="1"/>
  <c r="U113" i="1" s="1"/>
  <c r="V113" i="1"/>
  <c r="W113" i="1"/>
  <c r="P113" i="1"/>
  <c r="S113" i="1" s="1"/>
  <c r="R113" i="1"/>
  <c r="X145" i="1"/>
  <c r="T145" i="1" s="1"/>
  <c r="U145" i="1" s="1"/>
  <c r="V145" i="1"/>
  <c r="W145" i="1"/>
  <c r="P145" i="1"/>
  <c r="Q145" i="1" s="1"/>
  <c r="R145" i="1"/>
  <c r="X177" i="1"/>
  <c r="T177" i="1" s="1"/>
  <c r="U177" i="1" s="1"/>
  <c r="V177" i="1"/>
  <c r="W177" i="1"/>
  <c r="P177" i="1"/>
  <c r="Q177" i="1" s="1"/>
  <c r="R177" i="1"/>
  <c r="X209" i="1"/>
  <c r="T209" i="1" s="1"/>
  <c r="U209" i="1" s="1"/>
  <c r="V209" i="1"/>
  <c r="W209" i="1"/>
  <c r="P209" i="1"/>
  <c r="Q209" i="1" s="1"/>
  <c r="R209" i="1"/>
  <c r="X233" i="1"/>
  <c r="T233" i="1" s="1"/>
  <c r="U233" i="1" s="1"/>
  <c r="W233" i="1"/>
  <c r="V233" i="1"/>
  <c r="X265" i="1"/>
  <c r="T265" i="1" s="1"/>
  <c r="U265" i="1" s="1"/>
  <c r="R265" i="1"/>
  <c r="W265" i="1"/>
  <c r="P265" i="1"/>
  <c r="S265" i="1" s="1"/>
  <c r="X297" i="1"/>
  <c r="T297" i="1" s="1"/>
  <c r="U297" i="1" s="1"/>
  <c r="W297" i="1"/>
  <c r="X329" i="1"/>
  <c r="T329" i="1" s="1"/>
  <c r="U329" i="1" s="1"/>
  <c r="R329" i="1"/>
  <c r="W329" i="1"/>
  <c r="P329" i="1"/>
  <c r="S329" i="1" s="1"/>
  <c r="X369" i="1"/>
  <c r="T369" i="1" s="1"/>
  <c r="U369" i="1" s="1"/>
  <c r="W369" i="1"/>
  <c r="X401" i="1"/>
  <c r="T401" i="1" s="1"/>
  <c r="U401" i="1" s="1"/>
  <c r="W401" i="1"/>
  <c r="V401" i="1"/>
  <c r="X425" i="1"/>
  <c r="T425" i="1" s="1"/>
  <c r="U425" i="1" s="1"/>
  <c r="X457" i="1"/>
  <c r="T457" i="1" s="1"/>
  <c r="U457" i="1" s="1"/>
  <c r="V457" i="1"/>
  <c r="W457" i="1"/>
  <c r="X489" i="1"/>
  <c r="T489" i="1" s="1"/>
  <c r="U489" i="1" s="1"/>
  <c r="R489" i="1"/>
  <c r="V489" i="1"/>
  <c r="W489" i="1"/>
  <c r="X513" i="1"/>
  <c r="T513" i="1" s="1"/>
  <c r="U513" i="1" s="1"/>
  <c r="R513" i="1"/>
  <c r="X545" i="1"/>
  <c r="T545" i="1" s="1"/>
  <c r="U545" i="1" s="1"/>
  <c r="R545" i="1"/>
  <c r="X569" i="1"/>
  <c r="T569" i="1" s="1"/>
  <c r="U569" i="1" s="1"/>
  <c r="V569" i="1"/>
  <c r="X601" i="1"/>
  <c r="T601" i="1" s="1"/>
  <c r="U601" i="1" s="1"/>
  <c r="V601" i="1"/>
  <c r="X625" i="1"/>
  <c r="T625" i="1" s="1"/>
  <c r="U625" i="1" s="1"/>
  <c r="V625" i="1"/>
  <c r="X657" i="1"/>
  <c r="T657" i="1" s="1"/>
  <c r="U657" i="1" s="1"/>
  <c r="V657" i="1"/>
  <c r="X689" i="1"/>
  <c r="T689" i="1" s="1"/>
  <c r="U689" i="1" s="1"/>
  <c r="V689" i="1"/>
  <c r="X721" i="1"/>
  <c r="T721" i="1" s="1"/>
  <c r="U721" i="1" s="1"/>
  <c r="V721" i="1"/>
  <c r="X761" i="1"/>
  <c r="T761" i="1" s="1"/>
  <c r="U761" i="1" s="1"/>
  <c r="V761" i="1"/>
  <c r="X793" i="1"/>
  <c r="T793" i="1" s="1"/>
  <c r="U793" i="1" s="1"/>
  <c r="V793" i="1"/>
  <c r="X825" i="1"/>
  <c r="T825" i="1" s="1"/>
  <c r="U825" i="1" s="1"/>
  <c r="V825" i="1"/>
  <c r="X857" i="1"/>
  <c r="T857" i="1" s="1"/>
  <c r="U857" i="1" s="1"/>
  <c r="V857" i="1"/>
  <c r="X873" i="1"/>
  <c r="T873" i="1" s="1"/>
  <c r="U873" i="1" s="1"/>
  <c r="V873" i="1"/>
  <c r="V904" i="1"/>
  <c r="W793" i="1"/>
  <c r="P264" i="1"/>
  <c r="S264" i="1" s="1"/>
  <c r="X18" i="1"/>
  <c r="V18" i="1"/>
  <c r="X50" i="1"/>
  <c r="T50" i="1" s="1"/>
  <c r="U50" i="1" s="1"/>
  <c r="W50" i="1"/>
  <c r="X82" i="1"/>
  <c r="T82" i="1" s="1"/>
  <c r="U82" i="1" s="1"/>
  <c r="R82" i="1"/>
  <c r="W82" i="1"/>
  <c r="V82" i="1"/>
  <c r="X114" i="1"/>
  <c r="T114" i="1" s="1"/>
  <c r="U114" i="1" s="1"/>
  <c r="W114" i="1"/>
  <c r="X146" i="1"/>
  <c r="T146" i="1" s="1"/>
  <c r="U146" i="1" s="1"/>
  <c r="W146" i="1"/>
  <c r="V146" i="1"/>
  <c r="X178" i="1"/>
  <c r="T178" i="1" s="1"/>
  <c r="U178" i="1" s="1"/>
  <c r="R178" i="1"/>
  <c r="W178" i="1"/>
  <c r="X210" i="1"/>
  <c r="T210" i="1" s="1"/>
  <c r="U210" i="1" s="1"/>
  <c r="W210" i="1"/>
  <c r="V210" i="1"/>
  <c r="X242" i="1"/>
  <c r="T242" i="1" s="1"/>
  <c r="U242" i="1" s="1"/>
  <c r="W242" i="1"/>
  <c r="R242" i="1"/>
  <c r="V242" i="1"/>
  <c r="X274" i="1"/>
  <c r="T274" i="1" s="1"/>
  <c r="U274" i="1" s="1"/>
  <c r="W274" i="1"/>
  <c r="X306" i="1"/>
  <c r="T306" i="1" s="1"/>
  <c r="U306" i="1" s="1"/>
  <c r="W306" i="1"/>
  <c r="V306" i="1"/>
  <c r="X338" i="1"/>
  <c r="T338" i="1" s="1"/>
  <c r="U338" i="1" s="1"/>
  <c r="W338" i="1"/>
  <c r="X370" i="1"/>
  <c r="T370" i="1" s="1"/>
  <c r="U370" i="1" s="1"/>
  <c r="W370" i="1"/>
  <c r="V370" i="1"/>
  <c r="X402" i="1"/>
  <c r="T402" i="1" s="1"/>
  <c r="U402" i="1" s="1"/>
  <c r="W402" i="1"/>
  <c r="X434" i="1"/>
  <c r="T434" i="1" s="1"/>
  <c r="U434" i="1" s="1"/>
  <c r="W434" i="1"/>
  <c r="X482" i="1"/>
  <c r="T482" i="1" s="1"/>
  <c r="U482" i="1" s="1"/>
  <c r="W482" i="1"/>
  <c r="V482" i="1"/>
  <c r="X522" i="1"/>
  <c r="T522" i="1" s="1"/>
  <c r="U522" i="1" s="1"/>
  <c r="W522" i="1"/>
  <c r="V522" i="1"/>
  <c r="X554" i="1"/>
  <c r="T554" i="1" s="1"/>
  <c r="U554" i="1" s="1"/>
  <c r="W554" i="1"/>
  <c r="V554" i="1"/>
  <c r="X586" i="1"/>
  <c r="T586" i="1" s="1"/>
  <c r="U586" i="1" s="1"/>
  <c r="P586" i="1"/>
  <c r="Q586" i="1" s="1"/>
  <c r="X618" i="1"/>
  <c r="T618" i="1" s="1"/>
  <c r="U618" i="1" s="1"/>
  <c r="P618" i="1"/>
  <c r="Q618" i="1" s="1"/>
  <c r="X650" i="1"/>
  <c r="T650" i="1" s="1"/>
  <c r="U650" i="1" s="1"/>
  <c r="P650" i="1"/>
  <c r="Q650" i="1" s="1"/>
  <c r="X682" i="1"/>
  <c r="T682" i="1" s="1"/>
  <c r="U682" i="1" s="1"/>
  <c r="X714" i="1"/>
  <c r="T714" i="1" s="1"/>
  <c r="U714" i="1" s="1"/>
  <c r="P714" i="1"/>
  <c r="S714" i="1" s="1"/>
  <c r="X762" i="1"/>
  <c r="T762" i="1" s="1"/>
  <c r="U762" i="1" s="1"/>
  <c r="P762" i="1"/>
  <c r="S762" i="1" s="1"/>
  <c r="X786" i="1"/>
  <c r="T786" i="1" s="1"/>
  <c r="U786" i="1" s="1"/>
  <c r="P786" i="1"/>
  <c r="S786" i="1" s="1"/>
  <c r="X818" i="1"/>
  <c r="T818" i="1" s="1"/>
  <c r="U818" i="1" s="1"/>
  <c r="X834" i="1"/>
  <c r="T834" i="1" s="1"/>
  <c r="U834" i="1" s="1"/>
  <c r="X850" i="1"/>
  <c r="T850" i="1" s="1"/>
  <c r="U850" i="1" s="1"/>
  <c r="P850" i="1"/>
  <c r="Q850" i="1" s="1"/>
  <c r="X866" i="1"/>
  <c r="T866" i="1" s="1"/>
  <c r="U866" i="1" s="1"/>
  <c r="X882" i="1"/>
  <c r="T882" i="1" s="1"/>
  <c r="U882" i="1" s="1"/>
  <c r="P882" i="1"/>
  <c r="S882" i="1" s="1"/>
  <c r="X898" i="1"/>
  <c r="T898" i="1" s="1"/>
  <c r="U898" i="1" s="1"/>
  <c r="X914" i="1"/>
  <c r="T914" i="1" s="1"/>
  <c r="U914" i="1" s="1"/>
  <c r="P914" i="1"/>
  <c r="Q914" i="1" s="1"/>
  <c r="X930" i="1"/>
  <c r="T930" i="1" s="1"/>
  <c r="U930" i="1" s="1"/>
  <c r="X938" i="1"/>
  <c r="T938" i="1" s="1"/>
  <c r="U938" i="1" s="1"/>
  <c r="P34" i="1"/>
  <c r="Q34" i="1" s="1"/>
  <c r="W26" i="1"/>
  <c r="V945" i="1"/>
  <c r="W938" i="1"/>
  <c r="P937" i="1"/>
  <c r="Q937" i="1" s="1"/>
  <c r="V928" i="1"/>
  <c r="V914" i="1"/>
  <c r="R848" i="1"/>
  <c r="R826" i="1"/>
  <c r="V984" i="1"/>
  <c r="W969" i="1"/>
  <c r="P968" i="1"/>
  <c r="Q968" i="1" s="1"/>
  <c r="V961" i="1"/>
  <c r="W954" i="1"/>
  <c r="V946" i="1"/>
  <c r="W929" i="1"/>
  <c r="W922" i="1"/>
  <c r="P921" i="1"/>
  <c r="Q921" i="1" s="1"/>
  <c r="V912" i="1"/>
  <c r="V905" i="1"/>
  <c r="V898" i="1"/>
  <c r="V882" i="1"/>
  <c r="W858" i="1"/>
  <c r="V840" i="1"/>
  <c r="P833" i="1"/>
  <c r="S833" i="1" s="1"/>
  <c r="V818" i="1"/>
  <c r="R800" i="1"/>
  <c r="V770" i="1"/>
  <c r="V738" i="1"/>
  <c r="W721" i="1"/>
  <c r="W689" i="1"/>
  <c r="W657" i="1"/>
  <c r="V642" i="1"/>
  <c r="W625" i="1"/>
  <c r="V610" i="1"/>
  <c r="W593" i="1"/>
  <c r="V578" i="1"/>
  <c r="P569" i="1"/>
  <c r="S569" i="1" s="1"/>
  <c r="W561" i="1"/>
  <c r="V513" i="1"/>
  <c r="W488" i="1"/>
  <c r="W441" i="1"/>
  <c r="V402" i="1"/>
  <c r="V274" i="1"/>
  <c r="P242" i="1"/>
  <c r="S242" i="1" s="1"/>
  <c r="V232" i="1"/>
  <c r="V114" i="1"/>
  <c r="W32" i="1"/>
  <c r="W18" i="1"/>
  <c r="X48" i="1"/>
  <c r="T48" i="1" s="1"/>
  <c r="U48" i="1" s="1"/>
  <c r="P48" i="1"/>
  <c r="S48" i="1" s="1"/>
  <c r="R48" i="1"/>
  <c r="W48" i="1"/>
  <c r="V48" i="1"/>
  <c r="X80" i="1"/>
  <c r="T80" i="1" s="1"/>
  <c r="U80" i="1" s="1"/>
  <c r="W80" i="1"/>
  <c r="V80" i="1"/>
  <c r="X112" i="1"/>
  <c r="T112" i="1" s="1"/>
  <c r="U112" i="1" s="1"/>
  <c r="W112" i="1"/>
  <c r="V112" i="1"/>
  <c r="X144" i="1"/>
  <c r="T144" i="1" s="1"/>
  <c r="U144" i="1" s="1"/>
  <c r="W144" i="1"/>
  <c r="V144" i="1"/>
  <c r="X184" i="1"/>
  <c r="T184" i="1" s="1"/>
  <c r="U184" i="1" s="1"/>
  <c r="P184" i="1"/>
  <c r="S184" i="1" s="1"/>
  <c r="R184" i="1"/>
  <c r="V184" i="1"/>
  <c r="W184" i="1"/>
  <c r="X216" i="1"/>
  <c r="T216" i="1" s="1"/>
  <c r="U216" i="1" s="1"/>
  <c r="P216" i="1"/>
  <c r="S216" i="1" s="1"/>
  <c r="R216" i="1"/>
  <c r="V216" i="1"/>
  <c r="W216" i="1"/>
  <c r="X248" i="1"/>
  <c r="T248" i="1" s="1"/>
  <c r="U248" i="1" s="1"/>
  <c r="R248" i="1"/>
  <c r="V248" i="1"/>
  <c r="W248" i="1"/>
  <c r="P248" i="1"/>
  <c r="S248" i="1" s="1"/>
  <c r="X280" i="1"/>
  <c r="T280" i="1" s="1"/>
  <c r="U280" i="1" s="1"/>
  <c r="V280" i="1"/>
  <c r="W280" i="1"/>
  <c r="X312" i="1"/>
  <c r="T312" i="1" s="1"/>
  <c r="U312" i="1" s="1"/>
  <c r="V312" i="1"/>
  <c r="W312" i="1"/>
  <c r="X344" i="1"/>
  <c r="T344" i="1" s="1"/>
  <c r="U344" i="1" s="1"/>
  <c r="R344" i="1"/>
  <c r="V344" i="1"/>
  <c r="W344" i="1"/>
  <c r="X376" i="1"/>
  <c r="T376" i="1" s="1"/>
  <c r="U376" i="1" s="1"/>
  <c r="V376" i="1"/>
  <c r="W376" i="1"/>
  <c r="X408" i="1"/>
  <c r="T408" i="1" s="1"/>
  <c r="U408" i="1" s="1"/>
  <c r="V408" i="1"/>
  <c r="W408" i="1"/>
  <c r="X440" i="1"/>
  <c r="T440" i="1" s="1"/>
  <c r="U440" i="1" s="1"/>
  <c r="V440" i="1"/>
  <c r="W440" i="1"/>
  <c r="R440" i="1"/>
  <c r="X472" i="1"/>
  <c r="T472" i="1" s="1"/>
  <c r="U472" i="1" s="1"/>
  <c r="V472" i="1"/>
  <c r="X504" i="1"/>
  <c r="T504" i="1" s="1"/>
  <c r="U504" i="1" s="1"/>
  <c r="V504" i="1"/>
  <c r="P504" i="1"/>
  <c r="S504" i="1" s="1"/>
  <c r="X544" i="1"/>
  <c r="T544" i="1" s="1"/>
  <c r="U544" i="1" s="1"/>
  <c r="V544" i="1"/>
  <c r="P544" i="1"/>
  <c r="Q544" i="1" s="1"/>
  <c r="W544" i="1"/>
  <c r="X576" i="1"/>
  <c r="T576" i="1" s="1"/>
  <c r="U576" i="1" s="1"/>
  <c r="P576" i="1"/>
  <c r="S576" i="1" s="1"/>
  <c r="V576" i="1"/>
  <c r="W576" i="1"/>
  <c r="X600" i="1"/>
  <c r="T600" i="1" s="1"/>
  <c r="U600" i="1" s="1"/>
  <c r="P600" i="1"/>
  <c r="Q600" i="1" s="1"/>
  <c r="V600" i="1"/>
  <c r="W600" i="1"/>
  <c r="X632" i="1"/>
  <c r="T632" i="1" s="1"/>
  <c r="U632" i="1" s="1"/>
  <c r="P632" i="1"/>
  <c r="Q632" i="1" s="1"/>
  <c r="V632" i="1"/>
  <c r="W632" i="1"/>
  <c r="X672" i="1"/>
  <c r="T672" i="1" s="1"/>
  <c r="U672" i="1" s="1"/>
  <c r="P672" i="1"/>
  <c r="S672" i="1" s="1"/>
  <c r="V672" i="1"/>
  <c r="W672" i="1"/>
  <c r="X696" i="1"/>
  <c r="T696" i="1" s="1"/>
  <c r="U696" i="1" s="1"/>
  <c r="P696" i="1"/>
  <c r="Q696" i="1" s="1"/>
  <c r="V696" i="1"/>
  <c r="W696" i="1"/>
  <c r="X728" i="1"/>
  <c r="T728" i="1" s="1"/>
  <c r="U728" i="1" s="1"/>
  <c r="P728" i="1"/>
  <c r="S728" i="1" s="1"/>
  <c r="V728" i="1"/>
  <c r="W728" i="1"/>
  <c r="X752" i="1"/>
  <c r="T752" i="1" s="1"/>
  <c r="U752" i="1" s="1"/>
  <c r="P752" i="1"/>
  <c r="S752" i="1" s="1"/>
  <c r="V752" i="1"/>
  <c r="W752" i="1"/>
  <c r="X792" i="1"/>
  <c r="T792" i="1" s="1"/>
  <c r="U792" i="1" s="1"/>
  <c r="W792" i="1"/>
  <c r="X824" i="1"/>
  <c r="T824" i="1" s="1"/>
  <c r="U824" i="1" s="1"/>
  <c r="W824" i="1"/>
  <c r="X856" i="1"/>
  <c r="T856" i="1" s="1"/>
  <c r="U856" i="1" s="1"/>
  <c r="W856" i="1"/>
  <c r="X888" i="1"/>
  <c r="T888" i="1" s="1"/>
  <c r="U888" i="1" s="1"/>
  <c r="W888" i="1"/>
  <c r="X920" i="1"/>
  <c r="T920" i="1" s="1"/>
  <c r="U920" i="1" s="1"/>
  <c r="W920" i="1"/>
  <c r="X952" i="1"/>
  <c r="T952" i="1" s="1"/>
  <c r="U952" i="1" s="1"/>
  <c r="W952" i="1"/>
  <c r="X992" i="1"/>
  <c r="T992" i="1" s="1"/>
  <c r="U992" i="1" s="1"/>
  <c r="W992" i="1"/>
  <c r="R944" i="1"/>
  <c r="V872" i="1"/>
  <c r="X17" i="1"/>
  <c r="V17" i="1"/>
  <c r="W17" i="1"/>
  <c r="X57" i="1"/>
  <c r="T57" i="1" s="1"/>
  <c r="U57" i="1" s="1"/>
  <c r="V57" i="1"/>
  <c r="W57" i="1"/>
  <c r="X89" i="1"/>
  <c r="T89" i="1" s="1"/>
  <c r="U89" i="1" s="1"/>
  <c r="V89" i="1"/>
  <c r="W89" i="1"/>
  <c r="X121" i="1"/>
  <c r="T121" i="1" s="1"/>
  <c r="U121" i="1" s="1"/>
  <c r="V121" i="1"/>
  <c r="W121" i="1"/>
  <c r="X161" i="1"/>
  <c r="T161" i="1" s="1"/>
  <c r="U161" i="1" s="1"/>
  <c r="V161" i="1"/>
  <c r="W161" i="1"/>
  <c r="P161" i="1"/>
  <c r="S161" i="1" s="1"/>
  <c r="R161" i="1"/>
  <c r="X193" i="1"/>
  <c r="T193" i="1" s="1"/>
  <c r="U193" i="1" s="1"/>
  <c r="V193" i="1"/>
  <c r="W193" i="1"/>
  <c r="X225" i="1"/>
  <c r="T225" i="1" s="1"/>
  <c r="U225" i="1" s="1"/>
  <c r="W225" i="1"/>
  <c r="P225" i="1"/>
  <c r="Q225" i="1" s="1"/>
  <c r="R225" i="1"/>
  <c r="V225" i="1"/>
  <c r="X257" i="1"/>
  <c r="T257" i="1" s="1"/>
  <c r="U257" i="1" s="1"/>
  <c r="W257" i="1"/>
  <c r="V257" i="1"/>
  <c r="X289" i="1"/>
  <c r="T289" i="1" s="1"/>
  <c r="U289" i="1" s="1"/>
  <c r="R289" i="1"/>
  <c r="W289" i="1"/>
  <c r="P289" i="1"/>
  <c r="Q289" i="1" s="1"/>
  <c r="V289" i="1"/>
  <c r="X321" i="1"/>
  <c r="T321" i="1" s="1"/>
  <c r="U321" i="1" s="1"/>
  <c r="W321" i="1"/>
  <c r="V321" i="1"/>
  <c r="X353" i="1"/>
  <c r="T353" i="1" s="1"/>
  <c r="U353" i="1" s="1"/>
  <c r="W353" i="1"/>
  <c r="V353" i="1"/>
  <c r="X393" i="1"/>
  <c r="T393" i="1" s="1"/>
  <c r="U393" i="1" s="1"/>
  <c r="W393" i="1"/>
  <c r="X433" i="1"/>
  <c r="T433" i="1" s="1"/>
  <c r="U433" i="1" s="1"/>
  <c r="R433" i="1"/>
  <c r="P433" i="1"/>
  <c r="S433" i="1" s="1"/>
  <c r="W433" i="1"/>
  <c r="X465" i="1"/>
  <c r="T465" i="1" s="1"/>
  <c r="U465" i="1" s="1"/>
  <c r="R465" i="1"/>
  <c r="X497" i="1"/>
  <c r="T497" i="1" s="1"/>
  <c r="U497" i="1" s="1"/>
  <c r="X529" i="1"/>
  <c r="T529" i="1" s="1"/>
  <c r="U529" i="1" s="1"/>
  <c r="X577" i="1"/>
  <c r="T577" i="1" s="1"/>
  <c r="U577" i="1" s="1"/>
  <c r="V577" i="1"/>
  <c r="X609" i="1"/>
  <c r="T609" i="1" s="1"/>
  <c r="U609" i="1" s="1"/>
  <c r="V609" i="1"/>
  <c r="X633" i="1"/>
  <c r="T633" i="1" s="1"/>
  <c r="U633" i="1" s="1"/>
  <c r="V633" i="1"/>
  <c r="X665" i="1"/>
  <c r="T665" i="1" s="1"/>
  <c r="U665" i="1" s="1"/>
  <c r="V665" i="1"/>
  <c r="X697" i="1"/>
  <c r="T697" i="1" s="1"/>
  <c r="U697" i="1" s="1"/>
  <c r="V697" i="1"/>
  <c r="X729" i="1"/>
  <c r="T729" i="1" s="1"/>
  <c r="U729" i="1" s="1"/>
  <c r="V729" i="1"/>
  <c r="X753" i="1"/>
  <c r="T753" i="1" s="1"/>
  <c r="U753" i="1" s="1"/>
  <c r="V753" i="1"/>
  <c r="X785" i="1"/>
  <c r="T785" i="1" s="1"/>
  <c r="U785" i="1" s="1"/>
  <c r="V785" i="1"/>
  <c r="X817" i="1"/>
  <c r="T817" i="1" s="1"/>
  <c r="U817" i="1" s="1"/>
  <c r="V817" i="1"/>
  <c r="X849" i="1"/>
  <c r="T849" i="1" s="1"/>
  <c r="U849" i="1" s="1"/>
  <c r="V849" i="1"/>
  <c r="X881" i="1"/>
  <c r="T881" i="1" s="1"/>
  <c r="U881" i="1" s="1"/>
  <c r="V881" i="1"/>
  <c r="P913" i="1"/>
  <c r="S913" i="1" s="1"/>
  <c r="R560" i="1"/>
  <c r="W545" i="1"/>
  <c r="P344" i="1"/>
  <c r="Q344" i="1" s="1"/>
  <c r="X58" i="1"/>
  <c r="T58" i="1" s="1"/>
  <c r="U58" i="1" s="1"/>
  <c r="V58" i="1"/>
  <c r="W58" i="1"/>
  <c r="X90" i="1"/>
  <c r="T90" i="1" s="1"/>
  <c r="U90" i="1" s="1"/>
  <c r="X122" i="1"/>
  <c r="T122" i="1" s="1"/>
  <c r="U122" i="1" s="1"/>
  <c r="P122" i="1"/>
  <c r="S122" i="1" s="1"/>
  <c r="R122" i="1"/>
  <c r="V122" i="1"/>
  <c r="W122" i="1"/>
  <c r="X154" i="1"/>
  <c r="T154" i="1" s="1"/>
  <c r="U154" i="1" s="1"/>
  <c r="X186" i="1"/>
  <c r="T186" i="1" s="1"/>
  <c r="U186" i="1" s="1"/>
  <c r="V186" i="1"/>
  <c r="W186" i="1"/>
  <c r="X218" i="1"/>
  <c r="T218" i="1" s="1"/>
  <c r="U218" i="1" s="1"/>
  <c r="X250" i="1"/>
  <c r="T250" i="1" s="1"/>
  <c r="U250" i="1" s="1"/>
  <c r="W250" i="1"/>
  <c r="V250" i="1"/>
  <c r="X282" i="1"/>
  <c r="T282" i="1" s="1"/>
  <c r="U282" i="1" s="1"/>
  <c r="W282" i="1"/>
  <c r="V282" i="1"/>
  <c r="X314" i="1"/>
  <c r="T314" i="1" s="1"/>
  <c r="U314" i="1" s="1"/>
  <c r="W314" i="1"/>
  <c r="P314" i="1"/>
  <c r="S314" i="1" s="1"/>
  <c r="R314" i="1"/>
  <c r="V314" i="1"/>
  <c r="X346" i="1"/>
  <c r="T346" i="1" s="1"/>
  <c r="U346" i="1" s="1"/>
  <c r="W346" i="1"/>
  <c r="V346" i="1"/>
  <c r="X378" i="1"/>
  <c r="T378" i="1" s="1"/>
  <c r="U378" i="1" s="1"/>
  <c r="W378" i="1"/>
  <c r="R378" i="1"/>
  <c r="V378" i="1"/>
  <c r="X418" i="1"/>
  <c r="T418" i="1" s="1"/>
  <c r="U418" i="1" s="1"/>
  <c r="W418" i="1"/>
  <c r="X450" i="1"/>
  <c r="T450" i="1" s="1"/>
  <c r="U450" i="1" s="1"/>
  <c r="W450" i="1"/>
  <c r="X474" i="1"/>
  <c r="T474" i="1" s="1"/>
  <c r="U474" i="1" s="1"/>
  <c r="W474" i="1"/>
  <c r="V474" i="1"/>
  <c r="X506" i="1"/>
  <c r="T506" i="1" s="1"/>
  <c r="U506" i="1" s="1"/>
  <c r="W506" i="1"/>
  <c r="V506" i="1"/>
  <c r="X546" i="1"/>
  <c r="T546" i="1" s="1"/>
  <c r="U546" i="1" s="1"/>
  <c r="W546" i="1"/>
  <c r="V546" i="1"/>
  <c r="X570" i="1"/>
  <c r="T570" i="1" s="1"/>
  <c r="U570" i="1" s="1"/>
  <c r="X602" i="1"/>
  <c r="T602" i="1" s="1"/>
  <c r="U602" i="1" s="1"/>
  <c r="X634" i="1"/>
  <c r="T634" i="1" s="1"/>
  <c r="U634" i="1" s="1"/>
  <c r="X666" i="1"/>
  <c r="T666" i="1" s="1"/>
  <c r="U666" i="1" s="1"/>
  <c r="X690" i="1"/>
  <c r="T690" i="1" s="1"/>
  <c r="U690" i="1" s="1"/>
  <c r="P690" i="1"/>
  <c r="Q690" i="1" s="1"/>
  <c r="X730" i="1"/>
  <c r="T730" i="1" s="1"/>
  <c r="U730" i="1" s="1"/>
  <c r="P730" i="1"/>
  <c r="Q730" i="1" s="1"/>
  <c r="X746" i="1"/>
  <c r="T746" i="1" s="1"/>
  <c r="U746" i="1" s="1"/>
  <c r="P746" i="1"/>
  <c r="S746" i="1" s="1"/>
  <c r="X778" i="1"/>
  <c r="T778" i="1" s="1"/>
  <c r="U778" i="1" s="1"/>
  <c r="P778" i="1"/>
  <c r="Q778" i="1" s="1"/>
  <c r="X810" i="1"/>
  <c r="T810" i="1" s="1"/>
  <c r="U810" i="1" s="1"/>
  <c r="P810" i="1"/>
  <c r="S810" i="1" s="1"/>
  <c r="R24" i="1"/>
  <c r="V954" i="1"/>
  <c r="V936" i="1"/>
  <c r="V922" i="1"/>
  <c r="W889" i="1"/>
  <c r="R882" i="1"/>
  <c r="W825" i="1"/>
  <c r="V816" i="1"/>
  <c r="W762" i="1"/>
  <c r="R736" i="1"/>
  <c r="W730" i="1"/>
  <c r="W698" i="1"/>
  <c r="W666" i="1"/>
  <c r="W634" i="1"/>
  <c r="W602" i="1"/>
  <c r="W218" i="1"/>
  <c r="W90" i="1"/>
  <c r="X14" i="1"/>
  <c r="V14" i="1"/>
  <c r="W14" i="1"/>
  <c r="X30" i="1"/>
  <c r="T30" i="1" s="1"/>
  <c r="U30" i="1" s="1"/>
  <c r="W30" i="1"/>
  <c r="X38" i="1"/>
  <c r="T38" i="1" s="1"/>
  <c r="U38" i="1" s="1"/>
  <c r="R38" i="1"/>
  <c r="W38" i="1"/>
  <c r="V38" i="1"/>
  <c r="X46" i="1"/>
  <c r="T46" i="1" s="1"/>
  <c r="U46" i="1" s="1"/>
  <c r="X54" i="1"/>
  <c r="T54" i="1" s="1"/>
  <c r="U54" i="1" s="1"/>
  <c r="R54" i="1"/>
  <c r="W54" i="1"/>
  <c r="P54" i="1"/>
  <c r="Q54" i="1" s="1"/>
  <c r="V54" i="1"/>
  <c r="X62" i="1"/>
  <c r="T62" i="1" s="1"/>
  <c r="U62" i="1" s="1"/>
  <c r="P62" i="1"/>
  <c r="S62" i="1" s="1"/>
  <c r="R62" i="1"/>
  <c r="V62" i="1"/>
  <c r="X70" i="1"/>
  <c r="T70" i="1" s="1"/>
  <c r="U70" i="1" s="1"/>
  <c r="W70" i="1"/>
  <c r="X78" i="1"/>
  <c r="T78" i="1" s="1"/>
  <c r="U78" i="1" s="1"/>
  <c r="P78" i="1"/>
  <c r="S78" i="1" s="1"/>
  <c r="V78" i="1"/>
  <c r="W78" i="1"/>
  <c r="X86" i="1"/>
  <c r="T86" i="1" s="1"/>
  <c r="U86" i="1" s="1"/>
  <c r="W86" i="1"/>
  <c r="V86" i="1"/>
  <c r="X94" i="1"/>
  <c r="T94" i="1" s="1"/>
  <c r="U94" i="1" s="1"/>
  <c r="V94" i="1"/>
  <c r="X102" i="1"/>
  <c r="T102" i="1" s="1"/>
  <c r="U102" i="1" s="1"/>
  <c r="R102" i="1"/>
  <c r="W102" i="1"/>
  <c r="V102" i="1"/>
  <c r="X110" i="1"/>
  <c r="T110" i="1" s="1"/>
  <c r="U110" i="1" s="1"/>
  <c r="P110" i="1"/>
  <c r="Q110" i="1" s="1"/>
  <c r="R110" i="1"/>
  <c r="X118" i="1"/>
  <c r="T118" i="1" s="1"/>
  <c r="U118" i="1" s="1"/>
  <c r="W118" i="1"/>
  <c r="V118" i="1"/>
  <c r="X126" i="1"/>
  <c r="T126" i="1" s="1"/>
  <c r="U126" i="1" s="1"/>
  <c r="V126" i="1"/>
  <c r="X134" i="1"/>
  <c r="T134" i="1" s="1"/>
  <c r="U134" i="1" s="1"/>
  <c r="R134" i="1"/>
  <c r="W134" i="1"/>
  <c r="X142" i="1"/>
  <c r="T142" i="1" s="1"/>
  <c r="U142" i="1" s="1"/>
  <c r="P142" i="1"/>
  <c r="Q142" i="1" s="1"/>
  <c r="R142" i="1"/>
  <c r="V142" i="1"/>
  <c r="W142" i="1"/>
  <c r="X150" i="1"/>
  <c r="T150" i="1" s="1"/>
  <c r="U150" i="1" s="1"/>
  <c r="W150" i="1"/>
  <c r="V150" i="1"/>
  <c r="X158" i="1"/>
  <c r="T158" i="1" s="1"/>
  <c r="U158" i="1" s="1"/>
  <c r="R158" i="1"/>
  <c r="V158" i="1"/>
  <c r="X166" i="1"/>
  <c r="T166" i="1" s="1"/>
  <c r="U166" i="1" s="1"/>
  <c r="R166" i="1"/>
  <c r="W166" i="1"/>
  <c r="V166" i="1"/>
  <c r="X174" i="1"/>
  <c r="T174" i="1" s="1"/>
  <c r="U174" i="1" s="1"/>
  <c r="P174" i="1"/>
  <c r="S174" i="1" s="1"/>
  <c r="R174" i="1"/>
  <c r="X182" i="1"/>
  <c r="T182" i="1" s="1"/>
  <c r="U182" i="1" s="1"/>
  <c r="W182" i="1"/>
  <c r="V182" i="1"/>
  <c r="X190" i="1"/>
  <c r="T190" i="1" s="1"/>
  <c r="U190" i="1" s="1"/>
  <c r="V190" i="1"/>
  <c r="X198" i="1"/>
  <c r="T198" i="1" s="1"/>
  <c r="U198" i="1" s="1"/>
  <c r="W198" i="1"/>
  <c r="X206" i="1"/>
  <c r="T206" i="1" s="1"/>
  <c r="U206" i="1" s="1"/>
  <c r="V206" i="1"/>
  <c r="W206" i="1"/>
  <c r="X214" i="1"/>
  <c r="T214" i="1" s="1"/>
  <c r="U214" i="1" s="1"/>
  <c r="W214" i="1"/>
  <c r="V214" i="1"/>
  <c r="X222" i="1"/>
  <c r="T222" i="1" s="1"/>
  <c r="U222" i="1" s="1"/>
  <c r="P222" i="1"/>
  <c r="Q222" i="1" s="1"/>
  <c r="R222" i="1"/>
  <c r="V222" i="1"/>
  <c r="X230" i="1"/>
  <c r="T230" i="1" s="1"/>
  <c r="U230" i="1" s="1"/>
  <c r="V230" i="1"/>
  <c r="W230" i="1"/>
  <c r="P230" i="1"/>
  <c r="Q230" i="1" s="1"/>
  <c r="X238" i="1"/>
  <c r="T238" i="1" s="1"/>
  <c r="U238" i="1" s="1"/>
  <c r="W238" i="1"/>
  <c r="V238" i="1"/>
  <c r="X246" i="1"/>
  <c r="T246" i="1" s="1"/>
  <c r="U246" i="1" s="1"/>
  <c r="W246" i="1"/>
  <c r="V246" i="1"/>
  <c r="X254" i="1"/>
  <c r="T254" i="1" s="1"/>
  <c r="U254" i="1" s="1"/>
  <c r="W254" i="1"/>
  <c r="V254" i="1"/>
  <c r="X262" i="1"/>
  <c r="T262" i="1" s="1"/>
  <c r="U262" i="1" s="1"/>
  <c r="W262" i="1"/>
  <c r="P262" i="1"/>
  <c r="Q262" i="1" s="1"/>
  <c r="R262" i="1"/>
  <c r="V262" i="1"/>
  <c r="X270" i="1"/>
  <c r="T270" i="1" s="1"/>
  <c r="U270" i="1" s="1"/>
  <c r="W270" i="1"/>
  <c r="P270" i="1"/>
  <c r="Q270" i="1" s="1"/>
  <c r="R270" i="1"/>
  <c r="X278" i="1"/>
  <c r="T278" i="1" s="1"/>
  <c r="U278" i="1" s="1"/>
  <c r="W278" i="1"/>
  <c r="X286" i="1"/>
  <c r="T286" i="1" s="1"/>
  <c r="U286" i="1" s="1"/>
  <c r="W286" i="1"/>
  <c r="X294" i="1"/>
  <c r="T294" i="1" s="1"/>
  <c r="U294" i="1" s="1"/>
  <c r="W294" i="1"/>
  <c r="V294" i="1"/>
  <c r="X302" i="1"/>
  <c r="T302" i="1" s="1"/>
  <c r="U302" i="1" s="1"/>
  <c r="W302" i="1"/>
  <c r="X310" i="1"/>
  <c r="T310" i="1" s="1"/>
  <c r="U310" i="1" s="1"/>
  <c r="W310" i="1"/>
  <c r="P310" i="1"/>
  <c r="S310" i="1" s="1"/>
  <c r="V310" i="1"/>
  <c r="X318" i="1"/>
  <c r="T318" i="1" s="1"/>
  <c r="U318" i="1" s="1"/>
  <c r="W318" i="1"/>
  <c r="V318" i="1"/>
  <c r="X326" i="1"/>
  <c r="T326" i="1" s="1"/>
  <c r="U326" i="1" s="1"/>
  <c r="W326" i="1"/>
  <c r="V326" i="1"/>
  <c r="X334" i="1"/>
  <c r="T334" i="1" s="1"/>
  <c r="U334" i="1" s="1"/>
  <c r="W334" i="1"/>
  <c r="P334" i="1"/>
  <c r="Q334" i="1" s="1"/>
  <c r="X342" i="1"/>
  <c r="T342" i="1" s="1"/>
  <c r="U342" i="1" s="1"/>
  <c r="W342" i="1"/>
  <c r="X350" i="1"/>
  <c r="T350" i="1" s="1"/>
  <c r="U350" i="1" s="1"/>
  <c r="W350" i="1"/>
  <c r="X358" i="1"/>
  <c r="T358" i="1" s="1"/>
  <c r="U358" i="1" s="1"/>
  <c r="W358" i="1"/>
  <c r="V358" i="1"/>
  <c r="X366" i="1"/>
  <c r="T366" i="1" s="1"/>
  <c r="U366" i="1" s="1"/>
  <c r="W366" i="1"/>
  <c r="X374" i="1"/>
  <c r="T374" i="1" s="1"/>
  <c r="U374" i="1" s="1"/>
  <c r="W374" i="1"/>
  <c r="V374" i="1"/>
  <c r="X382" i="1"/>
  <c r="T382" i="1" s="1"/>
  <c r="U382" i="1" s="1"/>
  <c r="W382" i="1"/>
  <c r="V382" i="1"/>
  <c r="X390" i="1"/>
  <c r="T390" i="1" s="1"/>
  <c r="U390" i="1" s="1"/>
  <c r="W390" i="1"/>
  <c r="V390" i="1"/>
  <c r="X398" i="1"/>
  <c r="T398" i="1" s="1"/>
  <c r="U398" i="1" s="1"/>
  <c r="W398" i="1"/>
  <c r="X406" i="1"/>
  <c r="T406" i="1" s="1"/>
  <c r="U406" i="1" s="1"/>
  <c r="W406" i="1"/>
  <c r="X414" i="1"/>
  <c r="T414" i="1" s="1"/>
  <c r="U414" i="1" s="1"/>
  <c r="W414" i="1"/>
  <c r="X422" i="1"/>
  <c r="T422" i="1" s="1"/>
  <c r="U422" i="1" s="1"/>
  <c r="W422" i="1"/>
  <c r="V422" i="1"/>
  <c r="X430" i="1"/>
  <c r="T430" i="1" s="1"/>
  <c r="U430" i="1" s="1"/>
  <c r="W430" i="1"/>
  <c r="R430" i="1"/>
  <c r="V430" i="1"/>
  <c r="X438" i="1"/>
  <c r="T438" i="1" s="1"/>
  <c r="U438" i="1" s="1"/>
  <c r="W438" i="1"/>
  <c r="P438" i="1"/>
  <c r="S438" i="1" s="1"/>
  <c r="X446" i="1"/>
  <c r="T446" i="1" s="1"/>
  <c r="U446" i="1" s="1"/>
  <c r="W446" i="1"/>
  <c r="X454" i="1"/>
  <c r="T454" i="1" s="1"/>
  <c r="U454" i="1" s="1"/>
  <c r="W454" i="1"/>
  <c r="V454" i="1"/>
  <c r="X462" i="1"/>
  <c r="T462" i="1" s="1"/>
  <c r="U462" i="1" s="1"/>
  <c r="W462" i="1"/>
  <c r="X470" i="1"/>
  <c r="T470" i="1" s="1"/>
  <c r="U470" i="1" s="1"/>
  <c r="W470" i="1"/>
  <c r="V470" i="1"/>
  <c r="X478" i="1"/>
  <c r="T478" i="1" s="1"/>
  <c r="U478" i="1" s="1"/>
  <c r="W478" i="1"/>
  <c r="X486" i="1"/>
  <c r="T486" i="1" s="1"/>
  <c r="U486" i="1" s="1"/>
  <c r="W486" i="1"/>
  <c r="V486" i="1"/>
  <c r="X494" i="1"/>
  <c r="T494" i="1" s="1"/>
  <c r="U494" i="1" s="1"/>
  <c r="W494" i="1"/>
  <c r="X502" i="1"/>
  <c r="T502" i="1" s="1"/>
  <c r="U502" i="1" s="1"/>
  <c r="W502" i="1"/>
  <c r="V502" i="1"/>
  <c r="X510" i="1"/>
  <c r="T510" i="1" s="1"/>
  <c r="U510" i="1" s="1"/>
  <c r="W510" i="1"/>
  <c r="X518" i="1"/>
  <c r="T518" i="1" s="1"/>
  <c r="U518" i="1" s="1"/>
  <c r="W518" i="1"/>
  <c r="V518" i="1"/>
  <c r="X526" i="1"/>
  <c r="T526" i="1" s="1"/>
  <c r="U526" i="1" s="1"/>
  <c r="W526" i="1"/>
  <c r="X534" i="1"/>
  <c r="T534" i="1" s="1"/>
  <c r="U534" i="1" s="1"/>
  <c r="W534" i="1"/>
  <c r="V534" i="1"/>
  <c r="X542" i="1"/>
  <c r="T542" i="1" s="1"/>
  <c r="U542" i="1" s="1"/>
  <c r="W542" i="1"/>
  <c r="X550" i="1"/>
  <c r="T550" i="1" s="1"/>
  <c r="U550" i="1" s="1"/>
  <c r="W550" i="1"/>
  <c r="R550" i="1"/>
  <c r="V550" i="1"/>
  <c r="X558" i="1"/>
  <c r="T558" i="1" s="1"/>
  <c r="U558" i="1" s="1"/>
  <c r="W558" i="1"/>
  <c r="X566" i="1"/>
  <c r="T566" i="1" s="1"/>
  <c r="U566" i="1" s="1"/>
  <c r="X574" i="1"/>
  <c r="T574" i="1" s="1"/>
  <c r="U574" i="1" s="1"/>
  <c r="P574" i="1"/>
  <c r="Q574" i="1" s="1"/>
  <c r="X582" i="1"/>
  <c r="T582" i="1" s="1"/>
  <c r="U582" i="1" s="1"/>
  <c r="X590" i="1"/>
  <c r="T590" i="1" s="1"/>
  <c r="U590" i="1" s="1"/>
  <c r="P590" i="1"/>
  <c r="S590" i="1" s="1"/>
  <c r="X598" i="1"/>
  <c r="T598" i="1" s="1"/>
  <c r="U598" i="1" s="1"/>
  <c r="X606" i="1"/>
  <c r="T606" i="1" s="1"/>
  <c r="U606" i="1" s="1"/>
  <c r="X614" i="1"/>
  <c r="T614" i="1" s="1"/>
  <c r="U614" i="1" s="1"/>
  <c r="X622" i="1"/>
  <c r="T622" i="1" s="1"/>
  <c r="U622" i="1" s="1"/>
  <c r="X630" i="1"/>
  <c r="T630" i="1" s="1"/>
  <c r="U630" i="1" s="1"/>
  <c r="P630" i="1"/>
  <c r="Q630" i="1" s="1"/>
  <c r="X638" i="1"/>
  <c r="T638" i="1" s="1"/>
  <c r="U638" i="1" s="1"/>
  <c r="X646" i="1"/>
  <c r="T646" i="1" s="1"/>
  <c r="U646" i="1" s="1"/>
  <c r="X654" i="1"/>
  <c r="T654" i="1" s="1"/>
  <c r="U654" i="1" s="1"/>
  <c r="X662" i="1"/>
  <c r="T662" i="1" s="1"/>
  <c r="U662" i="1" s="1"/>
  <c r="X670" i="1"/>
  <c r="T670" i="1" s="1"/>
  <c r="U670" i="1" s="1"/>
  <c r="X678" i="1"/>
  <c r="T678" i="1" s="1"/>
  <c r="U678" i="1" s="1"/>
  <c r="P678" i="1"/>
  <c r="Q678" i="1" s="1"/>
  <c r="X686" i="1"/>
  <c r="T686" i="1" s="1"/>
  <c r="U686" i="1" s="1"/>
  <c r="X694" i="1"/>
  <c r="T694" i="1" s="1"/>
  <c r="U694" i="1" s="1"/>
  <c r="X702" i="1"/>
  <c r="T702" i="1" s="1"/>
  <c r="U702" i="1" s="1"/>
  <c r="X710" i="1"/>
  <c r="T710" i="1" s="1"/>
  <c r="U710" i="1" s="1"/>
  <c r="P710" i="1"/>
  <c r="S710" i="1" s="1"/>
  <c r="X718" i="1"/>
  <c r="T718" i="1" s="1"/>
  <c r="U718" i="1" s="1"/>
  <c r="P718" i="1"/>
  <c r="Q718" i="1" s="1"/>
  <c r="X726" i="1"/>
  <c r="T726" i="1" s="1"/>
  <c r="U726" i="1" s="1"/>
  <c r="X734" i="1"/>
  <c r="T734" i="1" s="1"/>
  <c r="U734" i="1" s="1"/>
  <c r="P734" i="1"/>
  <c r="Q734" i="1" s="1"/>
  <c r="X742" i="1"/>
  <c r="T742" i="1" s="1"/>
  <c r="U742" i="1" s="1"/>
  <c r="P742" i="1"/>
  <c r="Q742" i="1" s="1"/>
  <c r="X750" i="1"/>
  <c r="T750" i="1" s="1"/>
  <c r="U750" i="1" s="1"/>
  <c r="P750" i="1"/>
  <c r="Q750" i="1" s="1"/>
  <c r="X758" i="1"/>
  <c r="T758" i="1" s="1"/>
  <c r="U758" i="1" s="1"/>
  <c r="P758" i="1"/>
  <c r="Q758" i="1" s="1"/>
  <c r="X766" i="1"/>
  <c r="T766" i="1" s="1"/>
  <c r="U766" i="1" s="1"/>
  <c r="P766" i="1"/>
  <c r="S766" i="1" s="1"/>
  <c r="X774" i="1"/>
  <c r="T774" i="1" s="1"/>
  <c r="U774" i="1" s="1"/>
  <c r="X782" i="1"/>
  <c r="T782" i="1" s="1"/>
  <c r="U782" i="1" s="1"/>
  <c r="P782" i="1"/>
  <c r="Q782" i="1" s="1"/>
  <c r="X790" i="1"/>
  <c r="T790" i="1" s="1"/>
  <c r="U790" i="1" s="1"/>
  <c r="X798" i="1"/>
  <c r="T798" i="1" s="1"/>
  <c r="U798" i="1" s="1"/>
  <c r="X806" i="1"/>
  <c r="T806" i="1" s="1"/>
  <c r="U806" i="1" s="1"/>
  <c r="X814" i="1"/>
  <c r="T814" i="1" s="1"/>
  <c r="U814" i="1" s="1"/>
  <c r="P814" i="1"/>
  <c r="Q814" i="1" s="1"/>
  <c r="X822" i="1"/>
  <c r="T822" i="1" s="1"/>
  <c r="U822" i="1" s="1"/>
  <c r="P822" i="1"/>
  <c r="Q822" i="1" s="1"/>
  <c r="X830" i="1"/>
  <c r="T830" i="1" s="1"/>
  <c r="U830" i="1" s="1"/>
  <c r="X838" i="1"/>
  <c r="T838" i="1" s="1"/>
  <c r="U838" i="1" s="1"/>
  <c r="X846" i="1"/>
  <c r="T846" i="1" s="1"/>
  <c r="U846" i="1" s="1"/>
  <c r="X854" i="1"/>
  <c r="T854" i="1" s="1"/>
  <c r="U854" i="1" s="1"/>
  <c r="P854" i="1"/>
  <c r="S854" i="1" s="1"/>
  <c r="X862" i="1"/>
  <c r="T862" i="1" s="1"/>
  <c r="U862" i="1" s="1"/>
  <c r="X870" i="1"/>
  <c r="T870" i="1" s="1"/>
  <c r="U870" i="1" s="1"/>
  <c r="X878" i="1"/>
  <c r="T878" i="1" s="1"/>
  <c r="U878" i="1" s="1"/>
  <c r="P878" i="1"/>
  <c r="S878" i="1" s="1"/>
  <c r="X886" i="1"/>
  <c r="T886" i="1" s="1"/>
  <c r="U886" i="1" s="1"/>
  <c r="P886" i="1"/>
  <c r="Q886" i="1" s="1"/>
  <c r="X894" i="1"/>
  <c r="T894" i="1" s="1"/>
  <c r="U894" i="1" s="1"/>
  <c r="P894" i="1"/>
  <c r="Q894" i="1" s="1"/>
  <c r="X902" i="1"/>
  <c r="T902" i="1" s="1"/>
  <c r="U902" i="1" s="1"/>
  <c r="P902" i="1"/>
  <c r="S902" i="1" s="1"/>
  <c r="X910" i="1"/>
  <c r="T910" i="1" s="1"/>
  <c r="U910" i="1" s="1"/>
  <c r="P910" i="1"/>
  <c r="S910" i="1" s="1"/>
  <c r="X918" i="1"/>
  <c r="T918" i="1" s="1"/>
  <c r="U918" i="1" s="1"/>
  <c r="X926" i="1"/>
  <c r="T926" i="1" s="1"/>
  <c r="U926" i="1" s="1"/>
  <c r="X934" i="1"/>
  <c r="T934" i="1" s="1"/>
  <c r="U934" i="1" s="1"/>
  <c r="X16" i="1"/>
  <c r="V16" i="1"/>
  <c r="W16" i="1"/>
  <c r="X40" i="1"/>
  <c r="T40" i="1" s="1"/>
  <c r="U40" i="1" s="1"/>
  <c r="V40" i="1"/>
  <c r="W40" i="1"/>
  <c r="X72" i="1"/>
  <c r="T72" i="1" s="1"/>
  <c r="U72" i="1" s="1"/>
  <c r="V72" i="1"/>
  <c r="W72" i="1"/>
  <c r="X104" i="1"/>
  <c r="T104" i="1" s="1"/>
  <c r="U104" i="1" s="1"/>
  <c r="V104" i="1"/>
  <c r="W104" i="1"/>
  <c r="X136" i="1"/>
  <c r="T136" i="1" s="1"/>
  <c r="U136" i="1" s="1"/>
  <c r="V136" i="1"/>
  <c r="W136" i="1"/>
  <c r="X168" i="1"/>
  <c r="T168" i="1" s="1"/>
  <c r="U168" i="1" s="1"/>
  <c r="P168" i="1"/>
  <c r="Q168" i="1" s="1"/>
  <c r="R168" i="1"/>
  <c r="V168" i="1"/>
  <c r="W168" i="1"/>
  <c r="X192" i="1"/>
  <c r="T192" i="1" s="1"/>
  <c r="U192" i="1" s="1"/>
  <c r="W192" i="1"/>
  <c r="V192" i="1"/>
  <c r="X224" i="1"/>
  <c r="T224" i="1" s="1"/>
  <c r="U224" i="1" s="1"/>
  <c r="V224" i="1"/>
  <c r="X256" i="1"/>
  <c r="T256" i="1" s="1"/>
  <c r="U256" i="1" s="1"/>
  <c r="R256" i="1"/>
  <c r="V256" i="1"/>
  <c r="W256" i="1"/>
  <c r="P256" i="1"/>
  <c r="Q256" i="1" s="1"/>
  <c r="X288" i="1"/>
  <c r="T288" i="1" s="1"/>
  <c r="U288" i="1" s="1"/>
  <c r="V288" i="1"/>
  <c r="W288" i="1"/>
  <c r="X320" i="1"/>
  <c r="T320" i="1" s="1"/>
  <c r="U320" i="1" s="1"/>
  <c r="R320" i="1"/>
  <c r="V320" i="1"/>
  <c r="W320" i="1"/>
  <c r="X352" i="1"/>
  <c r="T352" i="1" s="1"/>
  <c r="U352" i="1" s="1"/>
  <c r="R352" i="1"/>
  <c r="V352" i="1"/>
  <c r="W352" i="1"/>
  <c r="P352" i="1"/>
  <c r="S352" i="1" s="1"/>
  <c r="X384" i="1"/>
  <c r="T384" i="1" s="1"/>
  <c r="U384" i="1" s="1"/>
  <c r="V384" i="1"/>
  <c r="W384" i="1"/>
  <c r="X416" i="1"/>
  <c r="T416" i="1" s="1"/>
  <c r="U416" i="1" s="1"/>
  <c r="V416" i="1"/>
  <c r="W416" i="1"/>
  <c r="X448" i="1"/>
  <c r="T448" i="1" s="1"/>
  <c r="U448" i="1" s="1"/>
  <c r="V448" i="1"/>
  <c r="W448" i="1"/>
  <c r="X480" i="1"/>
  <c r="T480" i="1" s="1"/>
  <c r="U480" i="1" s="1"/>
  <c r="V480" i="1"/>
  <c r="W480" i="1"/>
  <c r="X512" i="1"/>
  <c r="T512" i="1" s="1"/>
  <c r="U512" i="1" s="1"/>
  <c r="V512" i="1"/>
  <c r="W512" i="1"/>
  <c r="X536" i="1"/>
  <c r="T536" i="1" s="1"/>
  <c r="U536" i="1" s="1"/>
  <c r="V536" i="1"/>
  <c r="X568" i="1"/>
  <c r="T568" i="1" s="1"/>
  <c r="U568" i="1" s="1"/>
  <c r="V568" i="1"/>
  <c r="W568" i="1"/>
  <c r="X608" i="1"/>
  <c r="T608" i="1" s="1"/>
  <c r="U608" i="1" s="1"/>
  <c r="P608" i="1"/>
  <c r="S608" i="1" s="1"/>
  <c r="V608" i="1"/>
  <c r="W608" i="1"/>
  <c r="X640" i="1"/>
  <c r="T640" i="1" s="1"/>
  <c r="U640" i="1" s="1"/>
  <c r="V640" i="1"/>
  <c r="W640" i="1"/>
  <c r="X664" i="1"/>
  <c r="T664" i="1" s="1"/>
  <c r="U664" i="1" s="1"/>
  <c r="P664" i="1"/>
  <c r="Q664" i="1" s="1"/>
  <c r="V664" i="1"/>
  <c r="W664" i="1"/>
  <c r="X712" i="1"/>
  <c r="T712" i="1" s="1"/>
  <c r="U712" i="1" s="1"/>
  <c r="V712" i="1"/>
  <c r="W712" i="1"/>
  <c r="X744" i="1"/>
  <c r="T744" i="1" s="1"/>
  <c r="U744" i="1" s="1"/>
  <c r="P744" i="1"/>
  <c r="S744" i="1" s="1"/>
  <c r="V744" i="1"/>
  <c r="W744" i="1"/>
  <c r="X776" i="1"/>
  <c r="T776" i="1" s="1"/>
  <c r="U776" i="1" s="1"/>
  <c r="V776" i="1"/>
  <c r="W776" i="1"/>
  <c r="X808" i="1"/>
  <c r="T808" i="1" s="1"/>
  <c r="U808" i="1" s="1"/>
  <c r="W808" i="1"/>
  <c r="X832" i="1"/>
  <c r="T832" i="1" s="1"/>
  <c r="U832" i="1" s="1"/>
  <c r="W832" i="1"/>
  <c r="X864" i="1"/>
  <c r="T864" i="1" s="1"/>
  <c r="U864" i="1" s="1"/>
  <c r="W864" i="1"/>
  <c r="X896" i="1"/>
  <c r="T896" i="1" s="1"/>
  <c r="U896" i="1" s="1"/>
  <c r="W896" i="1"/>
  <c r="X928" i="1"/>
  <c r="T928" i="1" s="1"/>
  <c r="U928" i="1" s="1"/>
  <c r="W928" i="1"/>
  <c r="X960" i="1"/>
  <c r="T960" i="1" s="1"/>
  <c r="U960" i="1" s="1"/>
  <c r="W960" i="1"/>
  <c r="X976" i="1"/>
  <c r="T976" i="1" s="1"/>
  <c r="U976" i="1" s="1"/>
  <c r="W976" i="1"/>
  <c r="W552" i="1"/>
  <c r="P336" i="1"/>
  <c r="Q336" i="1" s="1"/>
  <c r="X25" i="1"/>
  <c r="T25" i="1" s="1"/>
  <c r="U25" i="1" s="1"/>
  <c r="W25" i="1"/>
  <c r="X49" i="1"/>
  <c r="T49" i="1" s="1"/>
  <c r="U49" i="1" s="1"/>
  <c r="V49" i="1"/>
  <c r="W49" i="1"/>
  <c r="X73" i="1"/>
  <c r="T73" i="1" s="1"/>
  <c r="U73" i="1" s="1"/>
  <c r="V73" i="1"/>
  <c r="W73" i="1"/>
  <c r="X105" i="1"/>
  <c r="T105" i="1" s="1"/>
  <c r="U105" i="1" s="1"/>
  <c r="V105" i="1"/>
  <c r="W105" i="1"/>
  <c r="X137" i="1"/>
  <c r="T137" i="1" s="1"/>
  <c r="U137" i="1" s="1"/>
  <c r="V137" i="1"/>
  <c r="W137" i="1"/>
  <c r="R137" i="1"/>
  <c r="X169" i="1"/>
  <c r="T169" i="1" s="1"/>
  <c r="U169" i="1" s="1"/>
  <c r="V169" i="1"/>
  <c r="W169" i="1"/>
  <c r="X201" i="1"/>
  <c r="T201" i="1" s="1"/>
  <c r="U201" i="1" s="1"/>
  <c r="V201" i="1"/>
  <c r="W201" i="1"/>
  <c r="X241" i="1"/>
  <c r="T241" i="1" s="1"/>
  <c r="U241" i="1" s="1"/>
  <c r="W241" i="1"/>
  <c r="V241" i="1"/>
  <c r="X273" i="1"/>
  <c r="T273" i="1" s="1"/>
  <c r="U273" i="1" s="1"/>
  <c r="W273" i="1"/>
  <c r="V273" i="1"/>
  <c r="X305" i="1"/>
  <c r="T305" i="1" s="1"/>
  <c r="U305" i="1" s="1"/>
  <c r="R305" i="1"/>
  <c r="W305" i="1"/>
  <c r="X337" i="1"/>
  <c r="T337" i="1" s="1"/>
  <c r="U337" i="1" s="1"/>
  <c r="R337" i="1"/>
  <c r="W337" i="1"/>
  <c r="V337" i="1"/>
  <c r="X361" i="1"/>
  <c r="T361" i="1" s="1"/>
  <c r="U361" i="1" s="1"/>
  <c r="R361" i="1"/>
  <c r="W361" i="1"/>
  <c r="P361" i="1"/>
  <c r="Q361" i="1" s="1"/>
  <c r="X385" i="1"/>
  <c r="T385" i="1" s="1"/>
  <c r="U385" i="1" s="1"/>
  <c r="W385" i="1"/>
  <c r="V385" i="1"/>
  <c r="X417" i="1"/>
  <c r="T417" i="1" s="1"/>
  <c r="U417" i="1" s="1"/>
  <c r="W417" i="1"/>
  <c r="V417" i="1"/>
  <c r="X449" i="1"/>
  <c r="T449" i="1" s="1"/>
  <c r="U449" i="1" s="1"/>
  <c r="W449" i="1"/>
  <c r="X481" i="1"/>
  <c r="T481" i="1" s="1"/>
  <c r="U481" i="1" s="1"/>
  <c r="R481" i="1"/>
  <c r="X521" i="1"/>
  <c r="T521" i="1" s="1"/>
  <c r="U521" i="1" s="1"/>
  <c r="V521" i="1"/>
  <c r="W521" i="1"/>
  <c r="X553" i="1"/>
  <c r="T553" i="1" s="1"/>
  <c r="U553" i="1" s="1"/>
  <c r="R553" i="1"/>
  <c r="V553" i="1"/>
  <c r="W553" i="1"/>
  <c r="X585" i="1"/>
  <c r="T585" i="1" s="1"/>
  <c r="U585" i="1" s="1"/>
  <c r="V585" i="1"/>
  <c r="X617" i="1"/>
  <c r="T617" i="1" s="1"/>
  <c r="U617" i="1" s="1"/>
  <c r="V617" i="1"/>
  <c r="X649" i="1"/>
  <c r="T649" i="1" s="1"/>
  <c r="U649" i="1" s="1"/>
  <c r="V649" i="1"/>
  <c r="X681" i="1"/>
  <c r="T681" i="1" s="1"/>
  <c r="U681" i="1" s="1"/>
  <c r="V681" i="1"/>
  <c r="X713" i="1"/>
  <c r="T713" i="1" s="1"/>
  <c r="U713" i="1" s="1"/>
  <c r="V713" i="1"/>
  <c r="X745" i="1"/>
  <c r="T745" i="1" s="1"/>
  <c r="U745" i="1" s="1"/>
  <c r="V745" i="1"/>
  <c r="X777" i="1"/>
  <c r="T777" i="1" s="1"/>
  <c r="U777" i="1" s="1"/>
  <c r="V777" i="1"/>
  <c r="X809" i="1"/>
  <c r="T809" i="1" s="1"/>
  <c r="U809" i="1" s="1"/>
  <c r="V809" i="1"/>
  <c r="X841" i="1"/>
  <c r="T841" i="1" s="1"/>
  <c r="U841" i="1" s="1"/>
  <c r="V841" i="1"/>
  <c r="V960" i="1"/>
  <c r="W921" i="1"/>
  <c r="W857" i="1"/>
  <c r="V848" i="1"/>
  <c r="R673" i="1"/>
  <c r="R656" i="1"/>
  <c r="X42" i="1"/>
  <c r="T42" i="1" s="1"/>
  <c r="U42" i="1" s="1"/>
  <c r="V42" i="1"/>
  <c r="X66" i="1"/>
  <c r="T66" i="1" s="1"/>
  <c r="U66" i="1" s="1"/>
  <c r="W66" i="1"/>
  <c r="V66" i="1"/>
  <c r="X98" i="1"/>
  <c r="T98" i="1" s="1"/>
  <c r="U98" i="1" s="1"/>
  <c r="W98" i="1"/>
  <c r="V98" i="1"/>
  <c r="X138" i="1"/>
  <c r="T138" i="1" s="1"/>
  <c r="U138" i="1" s="1"/>
  <c r="V138" i="1"/>
  <c r="X170" i="1"/>
  <c r="T170" i="1" s="1"/>
  <c r="U170" i="1" s="1"/>
  <c r="P170" i="1"/>
  <c r="S170" i="1" s="1"/>
  <c r="R170" i="1"/>
  <c r="V170" i="1"/>
  <c r="X202" i="1"/>
  <c r="T202" i="1" s="1"/>
  <c r="U202" i="1" s="1"/>
  <c r="P202" i="1"/>
  <c r="S202" i="1" s="1"/>
  <c r="R202" i="1"/>
  <c r="V202" i="1"/>
  <c r="X234" i="1"/>
  <c r="T234" i="1" s="1"/>
  <c r="U234" i="1" s="1"/>
  <c r="W234" i="1"/>
  <c r="V234" i="1"/>
  <c r="X266" i="1"/>
  <c r="T266" i="1" s="1"/>
  <c r="U266" i="1" s="1"/>
  <c r="W266" i="1"/>
  <c r="X298" i="1"/>
  <c r="T298" i="1" s="1"/>
  <c r="U298" i="1" s="1"/>
  <c r="W298" i="1"/>
  <c r="P298" i="1"/>
  <c r="S298" i="1" s="1"/>
  <c r="V298" i="1"/>
  <c r="X330" i="1"/>
  <c r="T330" i="1" s="1"/>
  <c r="U330" i="1" s="1"/>
  <c r="W330" i="1"/>
  <c r="X362" i="1"/>
  <c r="T362" i="1" s="1"/>
  <c r="U362" i="1" s="1"/>
  <c r="W362" i="1"/>
  <c r="V362" i="1"/>
  <c r="X394" i="1"/>
  <c r="T394" i="1" s="1"/>
  <c r="U394" i="1" s="1"/>
  <c r="W394" i="1"/>
  <c r="X426" i="1"/>
  <c r="T426" i="1" s="1"/>
  <c r="U426" i="1" s="1"/>
  <c r="W426" i="1"/>
  <c r="V426" i="1"/>
  <c r="X458" i="1"/>
  <c r="T458" i="1" s="1"/>
  <c r="U458" i="1" s="1"/>
  <c r="W458" i="1"/>
  <c r="V458" i="1"/>
  <c r="X490" i="1"/>
  <c r="T490" i="1" s="1"/>
  <c r="U490" i="1" s="1"/>
  <c r="W490" i="1"/>
  <c r="V490" i="1"/>
  <c r="X514" i="1"/>
  <c r="T514" i="1" s="1"/>
  <c r="U514" i="1" s="1"/>
  <c r="W514" i="1"/>
  <c r="R514" i="1"/>
  <c r="V514" i="1"/>
  <c r="X538" i="1"/>
  <c r="T538" i="1" s="1"/>
  <c r="U538" i="1" s="1"/>
  <c r="W538" i="1"/>
  <c r="V538" i="1"/>
  <c r="X578" i="1"/>
  <c r="T578" i="1" s="1"/>
  <c r="U578" i="1" s="1"/>
  <c r="X610" i="1"/>
  <c r="T610" i="1" s="1"/>
  <c r="U610" i="1" s="1"/>
  <c r="X642" i="1"/>
  <c r="T642" i="1" s="1"/>
  <c r="U642" i="1" s="1"/>
  <c r="X674" i="1"/>
  <c r="T674" i="1" s="1"/>
  <c r="U674" i="1" s="1"/>
  <c r="X706" i="1"/>
  <c r="T706" i="1" s="1"/>
  <c r="U706" i="1" s="1"/>
  <c r="X722" i="1"/>
  <c r="T722" i="1" s="1"/>
  <c r="U722" i="1" s="1"/>
  <c r="X754" i="1"/>
  <c r="T754" i="1" s="1"/>
  <c r="U754" i="1" s="1"/>
  <c r="X794" i="1"/>
  <c r="T794" i="1" s="1"/>
  <c r="U794" i="1" s="1"/>
  <c r="V25" i="1"/>
  <c r="V992" i="1"/>
  <c r="W977" i="1"/>
  <c r="V969" i="1"/>
  <c r="W962" i="1"/>
  <c r="V929" i="1"/>
  <c r="V880" i="1"/>
  <c r="V858" i="1"/>
  <c r="R849" i="1"/>
  <c r="R840" i="1"/>
  <c r="W834" i="1"/>
  <c r="P809" i="1"/>
  <c r="S809" i="1" s="1"/>
  <c r="V794" i="1"/>
  <c r="R672" i="1"/>
  <c r="R657" i="1"/>
  <c r="R625" i="1"/>
  <c r="R576" i="1"/>
  <c r="W570" i="1"/>
  <c r="P513" i="1"/>
  <c r="S513" i="1" s="1"/>
  <c r="P121" i="1"/>
  <c r="Q121" i="1" s="1"/>
  <c r="P24" i="1"/>
  <c r="S24" i="1" s="1"/>
  <c r="V24" i="1"/>
  <c r="W985" i="1"/>
  <c r="V977" i="1"/>
  <c r="W970" i="1"/>
  <c r="R969" i="1"/>
  <c r="V962" i="1"/>
  <c r="W913" i="1"/>
  <c r="W906" i="1"/>
  <c r="V896" i="1"/>
  <c r="R889" i="1"/>
  <c r="W874" i="1"/>
  <c r="W865" i="1"/>
  <c r="V856" i="1"/>
  <c r="P849" i="1"/>
  <c r="Q849" i="1" s="1"/>
  <c r="V834" i="1"/>
  <c r="W810" i="1"/>
  <c r="W801" i="1"/>
  <c r="V792" i="1"/>
  <c r="W777" i="1"/>
  <c r="V762" i="1"/>
  <c r="W745" i="1"/>
  <c r="V730" i="1"/>
  <c r="W713" i="1"/>
  <c r="V698" i="1"/>
  <c r="W681" i="1"/>
  <c r="V666" i="1"/>
  <c r="W649" i="1"/>
  <c r="V634" i="1"/>
  <c r="P625" i="1"/>
  <c r="Q625" i="1" s="1"/>
  <c r="W617" i="1"/>
  <c r="V602" i="1"/>
  <c r="W585" i="1"/>
  <c r="V570" i="1"/>
  <c r="R544" i="1"/>
  <c r="W529" i="1"/>
  <c r="V481" i="1"/>
  <c r="P473" i="1"/>
  <c r="S473" i="1" s="1"/>
  <c r="R456" i="1"/>
  <c r="V434" i="1"/>
  <c r="W425" i="1"/>
  <c r="V406" i="1"/>
  <c r="P402" i="1"/>
  <c r="S402" i="1" s="1"/>
  <c r="V393" i="1"/>
  <c r="V386" i="1"/>
  <c r="V354" i="1"/>
  <c r="V330" i="1"/>
  <c r="V278" i="1"/>
  <c r="V265" i="1"/>
  <c r="V258" i="1"/>
  <c r="W224" i="1"/>
  <c r="V218" i="1"/>
  <c r="W174" i="1"/>
  <c r="W126" i="1"/>
  <c r="P102" i="1"/>
  <c r="S102" i="1" s="1"/>
  <c r="V90" i="1"/>
  <c r="W46" i="1"/>
  <c r="G734" i="1"/>
  <c r="D37" i="1"/>
  <c r="F37" i="1"/>
  <c r="D77" i="1"/>
  <c r="F77" i="1"/>
  <c r="D141" i="1"/>
  <c r="F141" i="1"/>
  <c r="D165" i="1"/>
  <c r="F165" i="1"/>
  <c r="R165" i="1" s="1"/>
  <c r="D197" i="1"/>
  <c r="F197" i="1"/>
  <c r="D229" i="1"/>
  <c r="F229" i="1"/>
  <c r="R229" i="1" s="1"/>
  <c r="D341" i="1"/>
  <c r="F341" i="1"/>
  <c r="G477" i="1"/>
  <c r="F477" i="1"/>
  <c r="D501" i="1"/>
  <c r="F501" i="1"/>
  <c r="D589" i="1"/>
  <c r="F589" i="1"/>
  <c r="D653" i="1"/>
  <c r="F653" i="1"/>
  <c r="D677" i="1"/>
  <c r="F677" i="1"/>
  <c r="G709" i="1"/>
  <c r="F709" i="1"/>
  <c r="D741" i="1"/>
  <c r="F741" i="1"/>
  <c r="D773" i="1"/>
  <c r="F773" i="1"/>
  <c r="D797" i="1"/>
  <c r="F797" i="1"/>
  <c r="D813" i="1"/>
  <c r="F813" i="1"/>
  <c r="D837" i="1"/>
  <c r="F837" i="1"/>
  <c r="G861" i="1"/>
  <c r="F861" i="1"/>
  <c r="G885" i="1"/>
  <c r="F885" i="1"/>
  <c r="D917" i="1"/>
  <c r="F917" i="1"/>
  <c r="G206" i="1"/>
  <c r="F206" i="1"/>
  <c r="P206" i="1" s="1"/>
  <c r="S206" i="1" s="1"/>
  <c r="G342" i="1"/>
  <c r="F342" i="1"/>
  <c r="R342" i="1" s="1"/>
  <c r="G374" i="1"/>
  <c r="F374" i="1"/>
  <c r="R374" i="1" s="1"/>
  <c r="G398" i="1"/>
  <c r="F398" i="1"/>
  <c r="R398" i="1" s="1"/>
  <c r="D422" i="1"/>
  <c r="F422" i="1"/>
  <c r="D454" i="1"/>
  <c r="F454" i="1"/>
  <c r="R454" i="1" s="1"/>
  <c r="D478" i="1"/>
  <c r="F478" i="1"/>
  <c r="G510" i="1"/>
  <c r="F510" i="1"/>
  <c r="D534" i="1"/>
  <c r="F534" i="1"/>
  <c r="P534" i="1" s="1"/>
  <c r="S534" i="1" s="1"/>
  <c r="D558" i="1"/>
  <c r="F558" i="1"/>
  <c r="G590" i="1"/>
  <c r="F590" i="1"/>
  <c r="R590" i="1" s="1"/>
  <c r="G622" i="1"/>
  <c r="F622" i="1"/>
  <c r="R622" i="1" s="1"/>
  <c r="G654" i="1"/>
  <c r="F654" i="1"/>
  <c r="R654" i="1" s="1"/>
  <c r="D686" i="1"/>
  <c r="F686" i="1"/>
  <c r="R686" i="1" s="1"/>
  <c r="D798" i="1"/>
  <c r="F798" i="1"/>
  <c r="R798" i="1" s="1"/>
  <c r="G830" i="1"/>
  <c r="F830" i="1"/>
  <c r="R830" i="1" s="1"/>
  <c r="G862" i="1"/>
  <c r="F862" i="1"/>
  <c r="R862" i="1" s="1"/>
  <c r="G918" i="1"/>
  <c r="F918" i="1"/>
  <c r="R918" i="1" s="1"/>
  <c r="G942" i="1"/>
  <c r="F942" i="1"/>
  <c r="D966" i="1"/>
  <c r="F966" i="1"/>
  <c r="D982" i="1"/>
  <c r="F982" i="1"/>
  <c r="D31" i="1"/>
  <c r="F31" i="1"/>
  <c r="D63" i="1"/>
  <c r="F63" i="1"/>
  <c r="G135" i="1"/>
  <c r="F135" i="1"/>
  <c r="D207" i="1"/>
  <c r="F207" i="1"/>
  <c r="D223" i="1"/>
  <c r="F223" i="1"/>
  <c r="G255" i="1"/>
  <c r="F255" i="1"/>
  <c r="D279" i="1"/>
  <c r="F279" i="1"/>
  <c r="G343" i="1"/>
  <c r="F343" i="1"/>
  <c r="G367" i="1"/>
  <c r="F367" i="1"/>
  <c r="D399" i="1"/>
  <c r="F399" i="1"/>
  <c r="G423" i="1"/>
  <c r="F423" i="1"/>
  <c r="G455" i="1"/>
  <c r="F455" i="1"/>
  <c r="D559" i="1"/>
  <c r="F559" i="1"/>
  <c r="R559" i="1" s="1"/>
  <c r="G583" i="1"/>
  <c r="F583" i="1"/>
  <c r="G607" i="1"/>
  <c r="F607" i="1"/>
  <c r="D639" i="1"/>
  <c r="F639" i="1"/>
  <c r="D663" i="1"/>
  <c r="F663" i="1"/>
  <c r="P663" i="1" s="1"/>
  <c r="Q663" i="1" s="1"/>
  <c r="D695" i="1"/>
  <c r="F695" i="1"/>
  <c r="D727" i="1"/>
  <c r="F727" i="1"/>
  <c r="G767" i="1"/>
  <c r="F767" i="1"/>
  <c r="D839" i="1"/>
  <c r="F839" i="1"/>
  <c r="G967" i="1"/>
  <c r="F967" i="1"/>
  <c r="R967" i="1" s="1"/>
  <c r="G32" i="1"/>
  <c r="F32" i="1"/>
  <c r="R32" i="1" s="1"/>
  <c r="D64" i="1"/>
  <c r="F64" i="1"/>
  <c r="R64" i="1" s="1"/>
  <c r="D96" i="1"/>
  <c r="F96" i="1"/>
  <c r="G128" i="1"/>
  <c r="F128" i="1"/>
  <c r="P128" i="1" s="1"/>
  <c r="Q128" i="1" s="1"/>
  <c r="D152" i="1"/>
  <c r="F152" i="1"/>
  <c r="D176" i="1"/>
  <c r="F176" i="1"/>
  <c r="G288" i="1"/>
  <c r="F288" i="1"/>
  <c r="G320" i="1"/>
  <c r="F320" i="1"/>
  <c r="P320" i="1" s="1"/>
  <c r="Q320" i="1" s="1"/>
  <c r="G384" i="1"/>
  <c r="F384" i="1"/>
  <c r="P384" i="1" s="1"/>
  <c r="S384" i="1" s="1"/>
  <c r="G416" i="1"/>
  <c r="F416" i="1"/>
  <c r="R416" i="1" s="1"/>
  <c r="D432" i="1"/>
  <c r="F432" i="1"/>
  <c r="D464" i="1"/>
  <c r="F464" i="1"/>
  <c r="R464" i="1" s="1"/>
  <c r="G488" i="1"/>
  <c r="F488" i="1"/>
  <c r="P488" i="1" s="1"/>
  <c r="S488" i="1" s="1"/>
  <c r="D512" i="1"/>
  <c r="F512" i="1"/>
  <c r="P512" i="1" s="1"/>
  <c r="S512" i="1" s="1"/>
  <c r="G568" i="1"/>
  <c r="F568" i="1"/>
  <c r="R568" i="1" s="1"/>
  <c r="D600" i="1"/>
  <c r="F600" i="1"/>
  <c r="R600" i="1" s="1"/>
  <c r="D632" i="1"/>
  <c r="F632" i="1"/>
  <c r="R632" i="1" s="1"/>
  <c r="D688" i="1"/>
  <c r="F688" i="1"/>
  <c r="P688" i="1" s="1"/>
  <c r="S688" i="1" s="1"/>
  <c r="D720" i="1"/>
  <c r="F720" i="1"/>
  <c r="R720" i="1" s="1"/>
  <c r="D752" i="1"/>
  <c r="F752" i="1"/>
  <c r="R752" i="1" s="1"/>
  <c r="D832" i="1"/>
  <c r="F832" i="1"/>
  <c r="R832" i="1" s="1"/>
  <c r="G856" i="1"/>
  <c r="F856" i="1"/>
  <c r="R856" i="1" s="1"/>
  <c r="D888" i="1"/>
  <c r="F888" i="1"/>
  <c r="G928" i="1"/>
  <c r="F928" i="1"/>
  <c r="P928" i="1" s="1"/>
  <c r="Q928" i="1" s="1"/>
  <c r="G952" i="1"/>
  <c r="F952" i="1"/>
  <c r="R952" i="1" s="1"/>
  <c r="G984" i="1"/>
  <c r="F984" i="1"/>
  <c r="P984" i="1" s="1"/>
  <c r="S984" i="1" s="1"/>
  <c r="G25" i="1"/>
  <c r="F25" i="1"/>
  <c r="D33" i="1"/>
  <c r="F33" i="1"/>
  <c r="D49" i="1"/>
  <c r="F49" i="1"/>
  <c r="P49" i="1" s="1"/>
  <c r="Q49" i="1" s="1"/>
  <c r="D57" i="1"/>
  <c r="F57" i="1"/>
  <c r="R57" i="1" s="1"/>
  <c r="D73" i="1"/>
  <c r="F73" i="1"/>
  <c r="P73" i="1" s="1"/>
  <c r="S73" i="1" s="1"/>
  <c r="D81" i="1"/>
  <c r="F81" i="1"/>
  <c r="D89" i="1"/>
  <c r="F89" i="1"/>
  <c r="R89" i="1" s="1"/>
  <c r="D105" i="1"/>
  <c r="F105" i="1"/>
  <c r="P105" i="1" s="1"/>
  <c r="D121" i="1"/>
  <c r="F121" i="1"/>
  <c r="R121" i="1" s="1"/>
  <c r="G129" i="1"/>
  <c r="F129" i="1"/>
  <c r="P129" i="1" s="1"/>
  <c r="Q129" i="1" s="1"/>
  <c r="D153" i="1"/>
  <c r="F153" i="1"/>
  <c r="G169" i="1"/>
  <c r="F169" i="1"/>
  <c r="P169" i="1" s="1"/>
  <c r="D185" i="1"/>
  <c r="F185" i="1"/>
  <c r="R185" i="1" s="1"/>
  <c r="D193" i="1"/>
  <c r="F193" i="1"/>
  <c r="P193" i="1" s="1"/>
  <c r="Q193" i="1" s="1"/>
  <c r="D201" i="1"/>
  <c r="F201" i="1"/>
  <c r="P201" i="1" s="1"/>
  <c r="S201" i="1" s="1"/>
  <c r="D217" i="1"/>
  <c r="F217" i="1"/>
  <c r="D233" i="1"/>
  <c r="F233" i="1"/>
  <c r="D241" i="1"/>
  <c r="F241" i="1"/>
  <c r="R241" i="1" s="1"/>
  <c r="G249" i="1"/>
  <c r="F249" i="1"/>
  <c r="P249" i="1" s="1"/>
  <c r="S249" i="1" s="1"/>
  <c r="G257" i="1"/>
  <c r="F257" i="1"/>
  <c r="D265" i="1"/>
  <c r="F265" i="1"/>
  <c r="D273" i="1"/>
  <c r="F273" i="1"/>
  <c r="P273" i="1" s="1"/>
  <c r="Q273" i="1" s="1"/>
  <c r="D281" i="1"/>
  <c r="F281" i="1"/>
  <c r="D297" i="1"/>
  <c r="F297" i="1"/>
  <c r="D313" i="1"/>
  <c r="F313" i="1"/>
  <c r="P313" i="1" s="1"/>
  <c r="S313" i="1" s="1"/>
  <c r="D321" i="1"/>
  <c r="F321" i="1"/>
  <c r="P321" i="1" s="1"/>
  <c r="S321" i="1" s="1"/>
  <c r="D345" i="1"/>
  <c r="F345" i="1"/>
  <c r="G353" i="1"/>
  <c r="F353" i="1"/>
  <c r="P353" i="1" s="1"/>
  <c r="Q353" i="1" s="1"/>
  <c r="G369" i="1"/>
  <c r="F369" i="1"/>
  <c r="G377" i="1"/>
  <c r="F377" i="1"/>
  <c r="R377" i="1" s="1"/>
  <c r="G385" i="1"/>
  <c r="F385" i="1"/>
  <c r="P385" i="1" s="1"/>
  <c r="Q385" i="1" s="1"/>
  <c r="G393" i="1"/>
  <c r="F393" i="1"/>
  <c r="G401" i="1"/>
  <c r="F401" i="1"/>
  <c r="R401" i="1" s="1"/>
  <c r="G409" i="1"/>
  <c r="F409" i="1"/>
  <c r="G417" i="1"/>
  <c r="F417" i="1"/>
  <c r="R417" i="1" s="1"/>
  <c r="G425" i="1"/>
  <c r="F425" i="1"/>
  <c r="P425" i="1" s="1"/>
  <c r="Q425" i="1" s="1"/>
  <c r="D441" i="1"/>
  <c r="F441" i="1"/>
  <c r="P441" i="1" s="1"/>
  <c r="Q441" i="1" s="1"/>
  <c r="D449" i="1"/>
  <c r="F449" i="1"/>
  <c r="P449" i="1" s="1"/>
  <c r="S449" i="1" s="1"/>
  <c r="G457" i="1"/>
  <c r="F457" i="1"/>
  <c r="D497" i="1"/>
  <c r="F497" i="1"/>
  <c r="G505" i="1"/>
  <c r="F505" i="1"/>
  <c r="R505" i="1" s="1"/>
  <c r="G521" i="1"/>
  <c r="F521" i="1"/>
  <c r="P521" i="1" s="1"/>
  <c r="S521" i="1" s="1"/>
  <c r="G529" i="1"/>
  <c r="F529" i="1"/>
  <c r="P529" i="1" s="1"/>
  <c r="Q529" i="1" s="1"/>
  <c r="D537" i="1"/>
  <c r="F537" i="1"/>
  <c r="D553" i="1"/>
  <c r="F553" i="1"/>
  <c r="P553" i="1" s="1"/>
  <c r="S553" i="1" s="1"/>
  <c r="D561" i="1"/>
  <c r="F561" i="1"/>
  <c r="R561" i="1" s="1"/>
  <c r="D585" i="1"/>
  <c r="F585" i="1"/>
  <c r="G593" i="1"/>
  <c r="F593" i="1"/>
  <c r="R593" i="1" s="1"/>
  <c r="D601" i="1"/>
  <c r="F601" i="1"/>
  <c r="R601" i="1" s="1"/>
  <c r="D609" i="1"/>
  <c r="F609" i="1"/>
  <c r="G617" i="1"/>
  <c r="F617" i="1"/>
  <c r="D633" i="1"/>
  <c r="F633" i="1"/>
  <c r="D657" i="1"/>
  <c r="F657" i="1"/>
  <c r="P657" i="1" s="1"/>
  <c r="S657" i="1" s="1"/>
  <c r="G665" i="1"/>
  <c r="F665" i="1"/>
  <c r="P665" i="1" s="1"/>
  <c r="S665" i="1" s="1"/>
  <c r="G681" i="1"/>
  <c r="F681" i="1"/>
  <c r="G689" i="1"/>
  <c r="F689" i="1"/>
  <c r="G697" i="1"/>
  <c r="F697" i="1"/>
  <c r="D705" i="1"/>
  <c r="F705" i="1"/>
  <c r="P705" i="1" s="1"/>
  <c r="Q705" i="1" s="1"/>
  <c r="D713" i="1"/>
  <c r="F713" i="1"/>
  <c r="D721" i="1"/>
  <c r="F721" i="1"/>
  <c r="R721" i="1" s="1"/>
  <c r="D729" i="1"/>
  <c r="F729" i="1"/>
  <c r="G737" i="1"/>
  <c r="F737" i="1"/>
  <c r="P737" i="1" s="1"/>
  <c r="Q737" i="1" s="1"/>
  <c r="G745" i="1"/>
  <c r="F745" i="1"/>
  <c r="D753" i="1"/>
  <c r="F753" i="1"/>
  <c r="R753" i="1" s="1"/>
  <c r="G761" i="1"/>
  <c r="F761" i="1"/>
  <c r="R761" i="1" s="1"/>
  <c r="D769" i="1"/>
  <c r="F769" i="1"/>
  <c r="P769" i="1" s="1"/>
  <c r="S769" i="1" s="1"/>
  <c r="D785" i="1"/>
  <c r="F785" i="1"/>
  <c r="R785" i="1" s="1"/>
  <c r="G801" i="1"/>
  <c r="F801" i="1"/>
  <c r="D809" i="1"/>
  <c r="F809" i="1"/>
  <c r="R809" i="1" s="1"/>
  <c r="D817" i="1"/>
  <c r="F817" i="1"/>
  <c r="D825" i="1"/>
  <c r="F825" i="1"/>
  <c r="P825" i="1" s="1"/>
  <c r="S825" i="1" s="1"/>
  <c r="D841" i="1"/>
  <c r="F841" i="1"/>
  <c r="G849" i="1"/>
  <c r="F849" i="1"/>
  <c r="G857" i="1"/>
  <c r="F857" i="1"/>
  <c r="D865" i="1"/>
  <c r="F865" i="1"/>
  <c r="G873" i="1"/>
  <c r="F873" i="1"/>
  <c r="P873" i="1" s="1"/>
  <c r="S873" i="1" s="1"/>
  <c r="G881" i="1"/>
  <c r="F881" i="1"/>
  <c r="P881" i="1" s="1"/>
  <c r="Q881" i="1" s="1"/>
  <c r="D897" i="1"/>
  <c r="F897" i="1"/>
  <c r="R897" i="1" s="1"/>
  <c r="D905" i="1"/>
  <c r="F905" i="1"/>
  <c r="R905" i="1" s="1"/>
  <c r="G929" i="1"/>
  <c r="F929" i="1"/>
  <c r="P929" i="1" s="1"/>
  <c r="Q929" i="1" s="1"/>
  <c r="D937" i="1"/>
  <c r="F937" i="1"/>
  <c r="R937" i="1" s="1"/>
  <c r="D945" i="1"/>
  <c r="F945" i="1"/>
  <c r="R945" i="1" s="1"/>
  <c r="G953" i="1"/>
  <c r="F953" i="1"/>
  <c r="R953" i="1" s="1"/>
  <c r="D961" i="1"/>
  <c r="F961" i="1"/>
  <c r="G977" i="1"/>
  <c r="F977" i="1"/>
  <c r="G985" i="1"/>
  <c r="F985" i="1"/>
  <c r="R985" i="1" s="1"/>
  <c r="G993" i="1"/>
  <c r="F993" i="1"/>
  <c r="R993" i="1" s="1"/>
  <c r="D29" i="1"/>
  <c r="F29" i="1"/>
  <c r="D53" i="1"/>
  <c r="F53" i="1"/>
  <c r="P53" i="1" s="1"/>
  <c r="Q53" i="1" s="1"/>
  <c r="D133" i="1"/>
  <c r="F133" i="1"/>
  <c r="G173" i="1"/>
  <c r="F173" i="1"/>
  <c r="P173" i="1" s="1"/>
  <c r="S173" i="1" s="1"/>
  <c r="D213" i="1"/>
  <c r="F213" i="1"/>
  <c r="D261" i="1"/>
  <c r="F261" i="1"/>
  <c r="G293" i="1"/>
  <c r="F293" i="1"/>
  <c r="R293" i="1" s="1"/>
  <c r="D437" i="1"/>
  <c r="F437" i="1"/>
  <c r="G461" i="1"/>
  <c r="F461" i="1"/>
  <c r="G541" i="1"/>
  <c r="F541" i="1"/>
  <c r="G733" i="1"/>
  <c r="F733" i="1"/>
  <c r="G765" i="1"/>
  <c r="F765" i="1"/>
  <c r="D805" i="1"/>
  <c r="F805" i="1"/>
  <c r="D933" i="1"/>
  <c r="F933" i="1"/>
  <c r="G941" i="1"/>
  <c r="F941" i="1"/>
  <c r="D973" i="1"/>
  <c r="F973" i="1"/>
  <c r="D989" i="1"/>
  <c r="F989" i="1"/>
  <c r="D46" i="1"/>
  <c r="F46" i="1"/>
  <c r="P46" i="1" s="1"/>
  <c r="Q46" i="1" s="1"/>
  <c r="G78" i="1"/>
  <c r="F78" i="1"/>
  <c r="R78" i="1" s="1"/>
  <c r="G86" i="1"/>
  <c r="F86" i="1"/>
  <c r="D118" i="1"/>
  <c r="F118" i="1"/>
  <c r="D150" i="1"/>
  <c r="F150" i="1"/>
  <c r="G182" i="1"/>
  <c r="F182" i="1"/>
  <c r="R182" i="1" s="1"/>
  <c r="D246" i="1"/>
  <c r="F246" i="1"/>
  <c r="R246" i="1" s="1"/>
  <c r="D278" i="1"/>
  <c r="F278" i="1"/>
  <c r="R278" i="1" s="1"/>
  <c r="D318" i="1"/>
  <c r="F318" i="1"/>
  <c r="P318" i="1" s="1"/>
  <c r="S318" i="1" s="1"/>
  <c r="D350" i="1"/>
  <c r="F350" i="1"/>
  <c r="R350" i="1" s="1"/>
  <c r="D382" i="1"/>
  <c r="F382" i="1"/>
  <c r="P382" i="1" s="1"/>
  <c r="S382" i="1" s="1"/>
  <c r="D406" i="1"/>
  <c r="F406" i="1"/>
  <c r="R406" i="1" s="1"/>
  <c r="G430" i="1"/>
  <c r="F430" i="1"/>
  <c r="P430" i="1" s="1"/>
  <c r="Q430" i="1" s="1"/>
  <c r="G462" i="1"/>
  <c r="F462" i="1"/>
  <c r="G494" i="1"/>
  <c r="F494" i="1"/>
  <c r="G582" i="1"/>
  <c r="F582" i="1"/>
  <c r="R582" i="1" s="1"/>
  <c r="G614" i="1"/>
  <c r="F614" i="1"/>
  <c r="R614" i="1" s="1"/>
  <c r="G646" i="1"/>
  <c r="F646" i="1"/>
  <c r="R646" i="1" s="1"/>
  <c r="D670" i="1"/>
  <c r="F670" i="1"/>
  <c r="R670" i="1" s="1"/>
  <c r="G694" i="1"/>
  <c r="F694" i="1"/>
  <c r="R694" i="1" s="1"/>
  <c r="G718" i="1"/>
  <c r="F718" i="1"/>
  <c r="R718" i="1" s="1"/>
  <c r="D742" i="1"/>
  <c r="F742" i="1"/>
  <c r="R742" i="1" s="1"/>
  <c r="D846" i="1"/>
  <c r="F846" i="1"/>
  <c r="R846" i="1" s="1"/>
  <c r="G926" i="1"/>
  <c r="F926" i="1"/>
  <c r="G974" i="1"/>
  <c r="F974" i="1"/>
  <c r="D23" i="1"/>
  <c r="D55" i="1"/>
  <c r="F55" i="1"/>
  <c r="R55" i="1" s="1"/>
  <c r="G87" i="1"/>
  <c r="F87" i="1"/>
  <c r="G127" i="1"/>
  <c r="F127" i="1"/>
  <c r="D159" i="1"/>
  <c r="F159" i="1"/>
  <c r="D359" i="1"/>
  <c r="F359" i="1"/>
  <c r="G391" i="1"/>
  <c r="F391" i="1"/>
  <c r="R391" i="1" s="1"/>
  <c r="D415" i="1"/>
  <c r="F415" i="1"/>
  <c r="D447" i="1"/>
  <c r="F447" i="1"/>
  <c r="G511" i="1"/>
  <c r="F511" i="1"/>
  <c r="R511" i="1" s="1"/>
  <c r="G575" i="1"/>
  <c r="F575" i="1"/>
  <c r="D599" i="1"/>
  <c r="F599" i="1"/>
  <c r="R599" i="1" s="1"/>
  <c r="G631" i="1"/>
  <c r="F631" i="1"/>
  <c r="G719" i="1"/>
  <c r="F719" i="1"/>
  <c r="G751" i="1"/>
  <c r="F751" i="1"/>
  <c r="G815" i="1"/>
  <c r="F815" i="1"/>
  <c r="G847" i="1"/>
  <c r="F847" i="1"/>
  <c r="G871" i="1"/>
  <c r="F871" i="1"/>
  <c r="D895" i="1"/>
  <c r="F895" i="1"/>
  <c r="G919" i="1"/>
  <c r="F919" i="1"/>
  <c r="G951" i="1"/>
  <c r="F951" i="1"/>
  <c r="D40" i="1"/>
  <c r="F40" i="1"/>
  <c r="R40" i="1" s="1"/>
  <c r="D80" i="1"/>
  <c r="F80" i="1"/>
  <c r="P80" i="1" s="1"/>
  <c r="Q80" i="1" s="1"/>
  <c r="G112" i="1"/>
  <c r="F112" i="1"/>
  <c r="P112" i="1" s="1"/>
  <c r="S112" i="1" s="1"/>
  <c r="G144" i="1"/>
  <c r="F144" i="1"/>
  <c r="R144" i="1" s="1"/>
  <c r="G272" i="1"/>
  <c r="F272" i="1"/>
  <c r="R272" i="1" s="1"/>
  <c r="G304" i="1"/>
  <c r="F304" i="1"/>
  <c r="P304" i="1" s="1"/>
  <c r="Q304" i="1" s="1"/>
  <c r="G328" i="1"/>
  <c r="F328" i="1"/>
  <c r="R328" i="1" s="1"/>
  <c r="D392" i="1"/>
  <c r="F392" i="1"/>
  <c r="R392" i="1" s="1"/>
  <c r="D472" i="1"/>
  <c r="F472" i="1"/>
  <c r="D496" i="1"/>
  <c r="F496" i="1"/>
  <c r="R496" i="1" s="1"/>
  <c r="G552" i="1"/>
  <c r="F552" i="1"/>
  <c r="R552" i="1" s="1"/>
  <c r="G584" i="1"/>
  <c r="F584" i="1"/>
  <c r="P584" i="1" s="1"/>
  <c r="S584" i="1" s="1"/>
  <c r="D616" i="1"/>
  <c r="F616" i="1"/>
  <c r="R616" i="1" s="1"/>
  <c r="G696" i="1"/>
  <c r="F696" i="1"/>
  <c r="R696" i="1" s="1"/>
  <c r="D768" i="1"/>
  <c r="F768" i="1"/>
  <c r="P768" i="1" s="1"/>
  <c r="S768" i="1" s="1"/>
  <c r="D792" i="1"/>
  <c r="F792" i="1"/>
  <c r="R792" i="1" s="1"/>
  <c r="D872" i="1"/>
  <c r="F872" i="1"/>
  <c r="G904" i="1"/>
  <c r="F904" i="1"/>
  <c r="P904" i="1" s="1"/>
  <c r="S904" i="1" s="1"/>
  <c r="G976" i="1"/>
  <c r="F976" i="1"/>
  <c r="P976" i="1" s="1"/>
  <c r="S976" i="1" s="1"/>
  <c r="G26" i="1"/>
  <c r="F26" i="1"/>
  <c r="D42" i="1"/>
  <c r="F42" i="1"/>
  <c r="P42" i="1" s="1"/>
  <c r="Q42" i="1" s="1"/>
  <c r="D50" i="1"/>
  <c r="F50" i="1"/>
  <c r="P50" i="1" s="1"/>
  <c r="Q50" i="1" s="1"/>
  <c r="G58" i="1"/>
  <c r="F58" i="1"/>
  <c r="P58" i="1" s="1"/>
  <c r="S58" i="1" s="1"/>
  <c r="D66" i="1"/>
  <c r="F66" i="1"/>
  <c r="P66" i="1" s="1"/>
  <c r="Q66" i="1" s="1"/>
  <c r="G74" i="1"/>
  <c r="F74" i="1"/>
  <c r="G90" i="1"/>
  <c r="F90" i="1"/>
  <c r="P90" i="1" s="1"/>
  <c r="Q90" i="1" s="1"/>
  <c r="D98" i="1"/>
  <c r="F98" i="1"/>
  <c r="R98" i="1" s="1"/>
  <c r="G106" i="1"/>
  <c r="F106" i="1"/>
  <c r="G114" i="1"/>
  <c r="F114" i="1"/>
  <c r="D130" i="1"/>
  <c r="F130" i="1"/>
  <c r="D138" i="1"/>
  <c r="F138" i="1"/>
  <c r="P138" i="1" s="1"/>
  <c r="S138" i="1" s="1"/>
  <c r="D146" i="1"/>
  <c r="F146" i="1"/>
  <c r="R146" i="1" s="1"/>
  <c r="D154" i="1"/>
  <c r="F154" i="1"/>
  <c r="P154" i="1" s="1"/>
  <c r="Q154" i="1" s="1"/>
  <c r="G162" i="1"/>
  <c r="F162" i="1"/>
  <c r="G186" i="1"/>
  <c r="F186" i="1"/>
  <c r="P186" i="1" s="1"/>
  <c r="S186" i="1" s="1"/>
  <c r="D194" i="1"/>
  <c r="F194" i="1"/>
  <c r="R194" i="1" s="1"/>
  <c r="G210" i="1"/>
  <c r="F210" i="1"/>
  <c r="P210" i="1" s="1"/>
  <c r="S210" i="1" s="1"/>
  <c r="G218" i="1"/>
  <c r="F218" i="1"/>
  <c r="P218" i="1" s="1"/>
  <c r="S218" i="1" s="1"/>
  <c r="G226" i="1"/>
  <c r="F226" i="1"/>
  <c r="P226" i="1" s="1"/>
  <c r="S226" i="1" s="1"/>
  <c r="G234" i="1"/>
  <c r="F234" i="1"/>
  <c r="D250" i="1"/>
  <c r="F250" i="1"/>
  <c r="P250" i="1" s="1"/>
  <c r="Q250" i="1" s="1"/>
  <c r="D258" i="1"/>
  <c r="F258" i="1"/>
  <c r="P258" i="1" s="1"/>
  <c r="S258" i="1" s="1"/>
  <c r="D266" i="1"/>
  <c r="F266" i="1"/>
  <c r="R266" i="1" s="1"/>
  <c r="G274" i="1"/>
  <c r="F274" i="1"/>
  <c r="D282" i="1"/>
  <c r="F282" i="1"/>
  <c r="G306" i="1"/>
  <c r="F306" i="1"/>
  <c r="G322" i="1"/>
  <c r="F322" i="1"/>
  <c r="G330" i="1"/>
  <c r="F330" i="1"/>
  <c r="R330" i="1" s="1"/>
  <c r="D338" i="1"/>
  <c r="F338" i="1"/>
  <c r="D346" i="1"/>
  <c r="F346" i="1"/>
  <c r="P346" i="1" s="1"/>
  <c r="Q346" i="1" s="1"/>
  <c r="D354" i="1"/>
  <c r="F354" i="1"/>
  <c r="P354" i="1" s="1"/>
  <c r="Q354" i="1" s="1"/>
  <c r="D362" i="1"/>
  <c r="F362" i="1"/>
  <c r="G370" i="1"/>
  <c r="F370" i="1"/>
  <c r="P370" i="1" s="1"/>
  <c r="Q370" i="1" s="1"/>
  <c r="D378" i="1"/>
  <c r="F378" i="1"/>
  <c r="P378" i="1" s="1"/>
  <c r="S378" i="1" s="1"/>
  <c r="D386" i="1"/>
  <c r="F386" i="1"/>
  <c r="G394" i="1"/>
  <c r="F394" i="1"/>
  <c r="G402" i="1"/>
  <c r="F402" i="1"/>
  <c r="R402" i="1" s="1"/>
  <c r="D418" i="1"/>
  <c r="F418" i="1"/>
  <c r="P418" i="1" s="1"/>
  <c r="S418" i="1" s="1"/>
  <c r="G426" i="1"/>
  <c r="F426" i="1"/>
  <c r="P426" i="1" s="1"/>
  <c r="S426" i="1" s="1"/>
  <c r="G434" i="1"/>
  <c r="F434" i="1"/>
  <c r="D442" i="1"/>
  <c r="F442" i="1"/>
  <c r="R442" i="1" s="1"/>
  <c r="G450" i="1"/>
  <c r="F450" i="1"/>
  <c r="P450" i="1" s="1"/>
  <c r="Q450" i="1" s="1"/>
  <c r="G458" i="1"/>
  <c r="F458" i="1"/>
  <c r="D466" i="1"/>
  <c r="F466" i="1"/>
  <c r="R466" i="1" s="1"/>
  <c r="G474" i="1"/>
  <c r="F474" i="1"/>
  <c r="R474" i="1" s="1"/>
  <c r="G482" i="1"/>
  <c r="F482" i="1"/>
  <c r="P482" i="1" s="1"/>
  <c r="Q482" i="1" s="1"/>
  <c r="G490" i="1"/>
  <c r="F490" i="1"/>
  <c r="R490" i="1" s="1"/>
  <c r="G506" i="1"/>
  <c r="F506" i="1"/>
  <c r="D514" i="1"/>
  <c r="F514" i="1"/>
  <c r="P514" i="1" s="1"/>
  <c r="S514" i="1" s="1"/>
  <c r="D522" i="1"/>
  <c r="F522" i="1"/>
  <c r="G530" i="1"/>
  <c r="F530" i="1"/>
  <c r="R530" i="1" s="1"/>
  <c r="D538" i="1"/>
  <c r="F538" i="1"/>
  <c r="D546" i="1"/>
  <c r="F546" i="1"/>
  <c r="P546" i="1" s="1"/>
  <c r="Q546" i="1" s="1"/>
  <c r="G554" i="1"/>
  <c r="F554" i="1"/>
  <c r="D562" i="1"/>
  <c r="F562" i="1"/>
  <c r="G570" i="1"/>
  <c r="F570" i="1"/>
  <c r="G578" i="1"/>
  <c r="F578" i="1"/>
  <c r="R578" i="1" s="1"/>
  <c r="G594" i="1"/>
  <c r="F594" i="1"/>
  <c r="R594" i="1" s="1"/>
  <c r="G602" i="1"/>
  <c r="F602" i="1"/>
  <c r="R602" i="1" s="1"/>
  <c r="G610" i="1"/>
  <c r="F610" i="1"/>
  <c r="R610" i="1" s="1"/>
  <c r="G618" i="1"/>
  <c r="F618" i="1"/>
  <c r="R618" i="1" s="1"/>
  <c r="D626" i="1"/>
  <c r="F626" i="1"/>
  <c r="R626" i="1" s="1"/>
  <c r="G634" i="1"/>
  <c r="F634" i="1"/>
  <c r="R634" i="1" s="1"/>
  <c r="G642" i="1"/>
  <c r="F642" i="1"/>
  <c r="R642" i="1" s="1"/>
  <c r="D658" i="1"/>
  <c r="F658" i="1"/>
  <c r="R658" i="1" s="1"/>
  <c r="D666" i="1"/>
  <c r="F666" i="1"/>
  <c r="G674" i="1"/>
  <c r="F674" i="1"/>
  <c r="P674" i="1" s="1"/>
  <c r="S674" i="1" s="1"/>
  <c r="G682" i="1"/>
  <c r="F682" i="1"/>
  <c r="G698" i="1"/>
  <c r="F698" i="1"/>
  <c r="G706" i="1"/>
  <c r="F706" i="1"/>
  <c r="R706" i="1" s="1"/>
  <c r="D722" i="1"/>
  <c r="F722" i="1"/>
  <c r="R722" i="1" s="1"/>
  <c r="G730" i="1"/>
  <c r="F730" i="1"/>
  <c r="R730" i="1" s="1"/>
  <c r="D738" i="1"/>
  <c r="F738" i="1"/>
  <c r="R738" i="1" s="1"/>
  <c r="D754" i="1"/>
  <c r="F754" i="1"/>
  <c r="R754" i="1" s="1"/>
  <c r="G770" i="1"/>
  <c r="F770" i="1"/>
  <c r="R770" i="1" s="1"/>
  <c r="G794" i="1"/>
  <c r="F794" i="1"/>
  <c r="P794" i="1" s="1"/>
  <c r="S794" i="1" s="1"/>
  <c r="G818" i="1"/>
  <c r="F818" i="1"/>
  <c r="P818" i="1" s="1"/>
  <c r="Q818" i="1" s="1"/>
  <c r="D834" i="1"/>
  <c r="F834" i="1"/>
  <c r="G842" i="1"/>
  <c r="F842" i="1"/>
  <c r="R842" i="1" s="1"/>
  <c r="D858" i="1"/>
  <c r="F858" i="1"/>
  <c r="P858" i="1" s="1"/>
  <c r="Q858" i="1" s="1"/>
  <c r="G866" i="1"/>
  <c r="F866" i="1"/>
  <c r="R866" i="1" s="1"/>
  <c r="G890" i="1"/>
  <c r="F890" i="1"/>
  <c r="G898" i="1"/>
  <c r="F898" i="1"/>
  <c r="P898" i="1" s="1"/>
  <c r="S898" i="1" s="1"/>
  <c r="G922" i="1"/>
  <c r="F922" i="1"/>
  <c r="D930" i="1"/>
  <c r="F930" i="1"/>
  <c r="R930" i="1" s="1"/>
  <c r="G938" i="1"/>
  <c r="F938" i="1"/>
  <c r="P938" i="1" s="1"/>
  <c r="Q938" i="1" s="1"/>
  <c r="G946" i="1"/>
  <c r="F946" i="1"/>
  <c r="R946" i="1" s="1"/>
  <c r="D954" i="1"/>
  <c r="F954" i="1"/>
  <c r="P954" i="1" s="1"/>
  <c r="S954" i="1" s="1"/>
  <c r="G970" i="1"/>
  <c r="F970" i="1"/>
  <c r="P970" i="1" s="1"/>
  <c r="S970" i="1" s="1"/>
  <c r="G986" i="1"/>
  <c r="F986" i="1"/>
  <c r="G994" i="1"/>
  <c r="F994" i="1"/>
  <c r="P994" i="1" s="1"/>
  <c r="S994" i="1" s="1"/>
  <c r="G21" i="1"/>
  <c r="D85" i="1"/>
  <c r="F85" i="1"/>
  <c r="D117" i="1"/>
  <c r="F117" i="1"/>
  <c r="P117" i="1" s="1"/>
  <c r="Q117" i="1" s="1"/>
  <c r="G149" i="1"/>
  <c r="F149" i="1"/>
  <c r="P149" i="1" s="1"/>
  <c r="Q149" i="1" s="1"/>
  <c r="G181" i="1"/>
  <c r="F181" i="1"/>
  <c r="D205" i="1"/>
  <c r="F205" i="1"/>
  <c r="P205" i="1" s="1"/>
  <c r="S205" i="1" s="1"/>
  <c r="D237" i="1"/>
  <c r="F237" i="1"/>
  <c r="D349" i="1"/>
  <c r="F349" i="1"/>
  <c r="G485" i="1"/>
  <c r="F485" i="1"/>
  <c r="G549" i="1"/>
  <c r="F549" i="1"/>
  <c r="D605" i="1"/>
  <c r="F605" i="1"/>
  <c r="D629" i="1"/>
  <c r="F629" i="1"/>
  <c r="G661" i="1"/>
  <c r="F661" i="1"/>
  <c r="D685" i="1"/>
  <c r="F685" i="1"/>
  <c r="D717" i="1"/>
  <c r="F717" i="1"/>
  <c r="D749" i="1"/>
  <c r="F749" i="1"/>
  <c r="D781" i="1"/>
  <c r="F781" i="1"/>
  <c r="D893" i="1"/>
  <c r="F893" i="1"/>
  <c r="D925" i="1"/>
  <c r="F925" i="1"/>
  <c r="D949" i="1"/>
  <c r="F949" i="1"/>
  <c r="D981" i="1"/>
  <c r="F981" i="1"/>
  <c r="D22" i="1"/>
  <c r="G158" i="1"/>
  <c r="F158" i="1"/>
  <c r="P158" i="1" s="1"/>
  <c r="Q158" i="1" s="1"/>
  <c r="G190" i="1"/>
  <c r="F190" i="1"/>
  <c r="P190" i="1" s="1"/>
  <c r="Q190" i="1" s="1"/>
  <c r="G214" i="1"/>
  <c r="F214" i="1"/>
  <c r="D238" i="1"/>
  <c r="F238" i="1"/>
  <c r="P238" i="1" s="1"/>
  <c r="S238" i="1" s="1"/>
  <c r="G254" i="1"/>
  <c r="F254" i="1"/>
  <c r="P254" i="1" s="1"/>
  <c r="Q254" i="1" s="1"/>
  <c r="D286" i="1"/>
  <c r="F286" i="1"/>
  <c r="G302" i="1"/>
  <c r="F302" i="1"/>
  <c r="P302" i="1" s="1"/>
  <c r="Q302" i="1" s="1"/>
  <c r="D334" i="1"/>
  <c r="F334" i="1"/>
  <c r="R334" i="1" s="1"/>
  <c r="D366" i="1"/>
  <c r="F366" i="1"/>
  <c r="P366" i="1" s="1"/>
  <c r="S366" i="1" s="1"/>
  <c r="D446" i="1"/>
  <c r="F446" i="1"/>
  <c r="P446" i="1" s="1"/>
  <c r="Q446" i="1" s="1"/>
  <c r="G486" i="1"/>
  <c r="F486" i="1"/>
  <c r="G518" i="1"/>
  <c r="F518" i="1"/>
  <c r="P518" i="1" s="1"/>
  <c r="S518" i="1" s="1"/>
  <c r="G542" i="1"/>
  <c r="F542" i="1"/>
  <c r="D566" i="1"/>
  <c r="F566" i="1"/>
  <c r="R566" i="1" s="1"/>
  <c r="G598" i="1"/>
  <c r="F598" i="1"/>
  <c r="R598" i="1" s="1"/>
  <c r="G630" i="1"/>
  <c r="F630" i="1"/>
  <c r="R630" i="1" s="1"/>
  <c r="D662" i="1"/>
  <c r="F662" i="1"/>
  <c r="R662" i="1" s="1"/>
  <c r="D774" i="1"/>
  <c r="F774" i="1"/>
  <c r="R774" i="1" s="1"/>
  <c r="G870" i="1"/>
  <c r="F870" i="1"/>
  <c r="R870" i="1" s="1"/>
  <c r="G950" i="1"/>
  <c r="F950" i="1"/>
  <c r="G47" i="1"/>
  <c r="F47" i="1"/>
  <c r="D79" i="1"/>
  <c r="F79" i="1"/>
  <c r="R79" i="1" s="1"/>
  <c r="G111" i="1"/>
  <c r="F111" i="1"/>
  <c r="G175" i="1"/>
  <c r="F175" i="1"/>
  <c r="G199" i="1"/>
  <c r="F199" i="1"/>
  <c r="D231" i="1"/>
  <c r="F231" i="1"/>
  <c r="P231" i="1" s="1"/>
  <c r="S231" i="1" s="1"/>
  <c r="G263" i="1"/>
  <c r="F263" i="1"/>
  <c r="D335" i="1"/>
  <c r="F335" i="1"/>
  <c r="D407" i="1"/>
  <c r="F407" i="1"/>
  <c r="G439" i="1"/>
  <c r="F439" i="1"/>
  <c r="R439" i="1" s="1"/>
  <c r="D503" i="1"/>
  <c r="F503" i="1"/>
  <c r="G519" i="1"/>
  <c r="F519" i="1"/>
  <c r="G543" i="1"/>
  <c r="F543" i="1"/>
  <c r="G567" i="1"/>
  <c r="F567" i="1"/>
  <c r="D647" i="1"/>
  <c r="F647" i="1"/>
  <c r="D679" i="1"/>
  <c r="F679" i="1"/>
  <c r="D703" i="1"/>
  <c r="F703" i="1"/>
  <c r="D735" i="1"/>
  <c r="F735" i="1"/>
  <c r="D759" i="1"/>
  <c r="F759" i="1"/>
  <c r="R759" i="1" s="1"/>
  <c r="D783" i="1"/>
  <c r="F783" i="1"/>
  <c r="G823" i="1"/>
  <c r="F823" i="1"/>
  <c r="D887" i="1"/>
  <c r="F887" i="1"/>
  <c r="D911" i="1"/>
  <c r="F911" i="1"/>
  <c r="G935" i="1"/>
  <c r="F935" i="1"/>
  <c r="P935" i="1" s="1"/>
  <c r="S935" i="1" s="1"/>
  <c r="G959" i="1"/>
  <c r="F959" i="1"/>
  <c r="D975" i="1"/>
  <c r="F975" i="1"/>
  <c r="D88" i="1"/>
  <c r="F88" i="1"/>
  <c r="D120" i="1"/>
  <c r="F120" i="1"/>
  <c r="P120" i="1" s="1"/>
  <c r="Q120" i="1" s="1"/>
  <c r="D224" i="1"/>
  <c r="F224" i="1"/>
  <c r="P224" i="1" s="1"/>
  <c r="S224" i="1" s="1"/>
  <c r="D240" i="1"/>
  <c r="F240" i="1"/>
  <c r="R240" i="1" s="1"/>
  <c r="D400" i="1"/>
  <c r="F400" i="1"/>
  <c r="P400" i="1" s="1"/>
  <c r="S400" i="1" s="1"/>
  <c r="D424" i="1"/>
  <c r="F424" i="1"/>
  <c r="D448" i="1"/>
  <c r="F448" i="1"/>
  <c r="P448" i="1" s="1"/>
  <c r="Q448" i="1" s="1"/>
  <c r="D480" i="1"/>
  <c r="F480" i="1"/>
  <c r="R480" i="1" s="1"/>
  <c r="D592" i="1"/>
  <c r="F592" i="1"/>
  <c r="D624" i="1"/>
  <c r="F624" i="1"/>
  <c r="D648" i="1"/>
  <c r="F648" i="1"/>
  <c r="P648" i="1" s="1"/>
  <c r="Q648" i="1" s="1"/>
  <c r="G712" i="1"/>
  <c r="F712" i="1"/>
  <c r="R712" i="1" s="1"/>
  <c r="D776" i="1"/>
  <c r="F776" i="1"/>
  <c r="R776" i="1" s="1"/>
  <c r="D816" i="1"/>
  <c r="F816" i="1"/>
  <c r="P816" i="1" s="1"/>
  <c r="S816" i="1" s="1"/>
  <c r="G880" i="1"/>
  <c r="F880" i="1"/>
  <c r="P880" i="1" s="1"/>
  <c r="Q880" i="1" s="1"/>
  <c r="G896" i="1"/>
  <c r="F896" i="1"/>
  <c r="R896" i="1" s="1"/>
  <c r="G920" i="1"/>
  <c r="F920" i="1"/>
  <c r="G936" i="1"/>
  <c r="F936" i="1"/>
  <c r="P936" i="1" s="1"/>
  <c r="S936" i="1" s="1"/>
  <c r="G960" i="1"/>
  <c r="F960" i="1"/>
  <c r="P960" i="1" s="1"/>
  <c r="S960" i="1" s="1"/>
  <c r="G992" i="1"/>
  <c r="F992" i="1"/>
  <c r="P992" i="1" s="1"/>
  <c r="S992" i="1" s="1"/>
  <c r="G759" i="1"/>
  <c r="G27" i="1"/>
  <c r="F27" i="1"/>
  <c r="D35" i="1"/>
  <c r="F35" i="1"/>
  <c r="D51" i="1"/>
  <c r="F51" i="1"/>
  <c r="G59" i="1"/>
  <c r="F59" i="1"/>
  <c r="D67" i="1"/>
  <c r="F67" i="1"/>
  <c r="G75" i="1"/>
  <c r="F75" i="1"/>
  <c r="D83" i="1"/>
  <c r="F83" i="1"/>
  <c r="D99" i="1"/>
  <c r="F99" i="1"/>
  <c r="D107" i="1"/>
  <c r="F107" i="1"/>
  <c r="D115" i="1"/>
  <c r="F115" i="1"/>
  <c r="G123" i="1"/>
  <c r="F123" i="1"/>
  <c r="G131" i="1"/>
  <c r="F131" i="1"/>
  <c r="P131" i="1" s="1"/>
  <c r="Q131" i="1" s="1"/>
  <c r="G139" i="1"/>
  <c r="F139" i="1"/>
  <c r="G147" i="1"/>
  <c r="F147" i="1"/>
  <c r="D155" i="1"/>
  <c r="F155" i="1"/>
  <c r="D163" i="1"/>
  <c r="F163" i="1"/>
  <c r="D171" i="1"/>
  <c r="F171" i="1"/>
  <c r="G179" i="1"/>
  <c r="F179" i="1"/>
  <c r="D187" i="1"/>
  <c r="F187" i="1"/>
  <c r="G195" i="1"/>
  <c r="F195" i="1"/>
  <c r="D203" i="1"/>
  <c r="F203" i="1"/>
  <c r="D211" i="1"/>
  <c r="F211" i="1"/>
  <c r="D227" i="1"/>
  <c r="F227" i="1"/>
  <c r="G235" i="1"/>
  <c r="F235" i="1"/>
  <c r="D251" i="1"/>
  <c r="F251" i="1"/>
  <c r="D267" i="1"/>
  <c r="F267" i="1"/>
  <c r="D291" i="1"/>
  <c r="F291" i="1"/>
  <c r="D299" i="1"/>
  <c r="F299" i="1"/>
  <c r="D307" i="1"/>
  <c r="F307" i="1"/>
  <c r="D331" i="1"/>
  <c r="F331" i="1"/>
  <c r="D355" i="1"/>
  <c r="F355" i="1"/>
  <c r="G363" i="1"/>
  <c r="F363" i="1"/>
  <c r="D379" i="1"/>
  <c r="F379" i="1"/>
  <c r="G387" i="1"/>
  <c r="F387" i="1"/>
  <c r="G395" i="1"/>
  <c r="F395" i="1"/>
  <c r="D403" i="1"/>
  <c r="F403" i="1"/>
  <c r="D411" i="1"/>
  <c r="F411" i="1"/>
  <c r="G435" i="1"/>
  <c r="F435" i="1"/>
  <c r="D459" i="1"/>
  <c r="F459" i="1"/>
  <c r="G467" i="1"/>
  <c r="F467" i="1"/>
  <c r="D475" i="1"/>
  <c r="F475" i="1"/>
  <c r="D483" i="1"/>
  <c r="F483" i="1"/>
  <c r="G491" i="1"/>
  <c r="F491" i="1"/>
  <c r="D499" i="1"/>
  <c r="F499" i="1"/>
  <c r="G507" i="1"/>
  <c r="F507" i="1"/>
  <c r="D515" i="1"/>
  <c r="F515" i="1"/>
  <c r="D531" i="1"/>
  <c r="F531" i="1"/>
  <c r="G539" i="1"/>
  <c r="F539" i="1"/>
  <c r="D555" i="1"/>
  <c r="F555" i="1"/>
  <c r="G571" i="1"/>
  <c r="F571" i="1"/>
  <c r="D579" i="1"/>
  <c r="F579" i="1"/>
  <c r="G587" i="1"/>
  <c r="F587" i="1"/>
  <c r="G595" i="1"/>
  <c r="F595" i="1"/>
  <c r="G603" i="1"/>
  <c r="F603" i="1"/>
  <c r="G611" i="1"/>
  <c r="F611" i="1"/>
  <c r="G619" i="1"/>
  <c r="F619" i="1"/>
  <c r="D627" i="1"/>
  <c r="F627" i="1"/>
  <c r="G635" i="1"/>
  <c r="F635" i="1"/>
  <c r="G643" i="1"/>
  <c r="F643" i="1"/>
  <c r="G659" i="1"/>
  <c r="F659" i="1"/>
  <c r="D667" i="1"/>
  <c r="F667" i="1"/>
  <c r="G691" i="1"/>
  <c r="F691" i="1"/>
  <c r="D707" i="1"/>
  <c r="F707" i="1"/>
  <c r="G715" i="1"/>
  <c r="F715" i="1"/>
  <c r="G723" i="1"/>
  <c r="F723" i="1"/>
  <c r="G739" i="1"/>
  <c r="F739" i="1"/>
  <c r="G747" i="1"/>
  <c r="F747" i="1"/>
  <c r="D771" i="1"/>
  <c r="F771" i="1"/>
  <c r="G779" i="1"/>
  <c r="F779" i="1"/>
  <c r="D795" i="1"/>
  <c r="F795" i="1"/>
  <c r="P795" i="1" s="1"/>
  <c r="S795" i="1" s="1"/>
  <c r="D803" i="1"/>
  <c r="F803" i="1"/>
  <c r="D843" i="1"/>
  <c r="F843" i="1"/>
  <c r="R843" i="1" s="1"/>
  <c r="G851" i="1"/>
  <c r="F851" i="1"/>
  <c r="D867" i="1"/>
  <c r="F867" i="1"/>
  <c r="D883" i="1"/>
  <c r="F883" i="1"/>
  <c r="G891" i="1"/>
  <c r="F891" i="1"/>
  <c r="D899" i="1"/>
  <c r="F899" i="1"/>
  <c r="D907" i="1"/>
  <c r="F907" i="1"/>
  <c r="G915" i="1"/>
  <c r="F915" i="1"/>
  <c r="D939" i="1"/>
  <c r="F939" i="1"/>
  <c r="D947" i="1"/>
  <c r="F947" i="1"/>
  <c r="D963" i="1"/>
  <c r="F963" i="1"/>
  <c r="G979" i="1"/>
  <c r="F979" i="1"/>
  <c r="D45" i="1"/>
  <c r="F45" i="1"/>
  <c r="P45" i="1" s="1"/>
  <c r="Q45" i="1" s="1"/>
  <c r="D69" i="1"/>
  <c r="F69" i="1"/>
  <c r="D93" i="1"/>
  <c r="F93" i="1"/>
  <c r="D125" i="1"/>
  <c r="F125" i="1"/>
  <c r="D157" i="1"/>
  <c r="F157" i="1"/>
  <c r="D189" i="1"/>
  <c r="F189" i="1"/>
  <c r="D253" i="1"/>
  <c r="F253" i="1"/>
  <c r="R253" i="1" s="1"/>
  <c r="G269" i="1"/>
  <c r="F269" i="1"/>
  <c r="D301" i="1"/>
  <c r="F301" i="1"/>
  <c r="D325" i="1"/>
  <c r="F325" i="1"/>
  <c r="G357" i="1"/>
  <c r="F357" i="1"/>
  <c r="G365" i="1"/>
  <c r="F365" i="1"/>
  <c r="G429" i="1"/>
  <c r="F429" i="1"/>
  <c r="D493" i="1"/>
  <c r="F493" i="1"/>
  <c r="G517" i="1"/>
  <c r="F517" i="1"/>
  <c r="G533" i="1"/>
  <c r="F533" i="1"/>
  <c r="D557" i="1"/>
  <c r="F557" i="1"/>
  <c r="G573" i="1"/>
  <c r="F573" i="1"/>
  <c r="D637" i="1"/>
  <c r="F637" i="1"/>
  <c r="G669" i="1"/>
  <c r="F669" i="1"/>
  <c r="G693" i="1"/>
  <c r="F693" i="1"/>
  <c r="D725" i="1"/>
  <c r="F725" i="1"/>
  <c r="D757" i="1"/>
  <c r="F757" i="1"/>
  <c r="D789" i="1"/>
  <c r="F789" i="1"/>
  <c r="G853" i="1"/>
  <c r="F853" i="1"/>
  <c r="D877" i="1"/>
  <c r="F877" i="1"/>
  <c r="G909" i="1"/>
  <c r="F909" i="1"/>
  <c r="G70" i="1"/>
  <c r="F70" i="1"/>
  <c r="D94" i="1"/>
  <c r="F94" i="1"/>
  <c r="R94" i="1" s="1"/>
  <c r="D126" i="1"/>
  <c r="F126" i="1"/>
  <c r="R126" i="1" s="1"/>
  <c r="G198" i="1"/>
  <c r="F198" i="1"/>
  <c r="G230" i="1"/>
  <c r="F230" i="1"/>
  <c r="R230" i="1" s="1"/>
  <c r="D294" i="1"/>
  <c r="F294" i="1"/>
  <c r="D326" i="1"/>
  <c r="F326" i="1"/>
  <c r="P326" i="1" s="1"/>
  <c r="S326" i="1" s="1"/>
  <c r="D358" i="1"/>
  <c r="F358" i="1"/>
  <c r="D390" i="1"/>
  <c r="F390" i="1"/>
  <c r="P390" i="1" s="1"/>
  <c r="S390" i="1" s="1"/>
  <c r="G470" i="1"/>
  <c r="F470" i="1"/>
  <c r="D502" i="1"/>
  <c r="F502" i="1"/>
  <c r="G526" i="1"/>
  <c r="F526" i="1"/>
  <c r="G606" i="1"/>
  <c r="F606" i="1"/>
  <c r="R606" i="1" s="1"/>
  <c r="D638" i="1"/>
  <c r="F638" i="1"/>
  <c r="D702" i="1"/>
  <c r="F702" i="1"/>
  <c r="G726" i="1"/>
  <c r="F726" i="1"/>
  <c r="R726" i="1" s="1"/>
  <c r="D790" i="1"/>
  <c r="F790" i="1"/>
  <c r="R790" i="1" s="1"/>
  <c r="G806" i="1"/>
  <c r="F806" i="1"/>
  <c r="R806" i="1" s="1"/>
  <c r="D838" i="1"/>
  <c r="F838" i="1"/>
  <c r="R838" i="1" s="1"/>
  <c r="D902" i="1"/>
  <c r="F902" i="1"/>
  <c r="R902" i="1" s="1"/>
  <c r="G934" i="1"/>
  <c r="F934" i="1"/>
  <c r="R934" i="1" s="1"/>
  <c r="D39" i="1"/>
  <c r="F39" i="1"/>
  <c r="D71" i="1"/>
  <c r="F71" i="1"/>
  <c r="G95" i="1"/>
  <c r="F95" i="1"/>
  <c r="D119" i="1"/>
  <c r="F119" i="1"/>
  <c r="R119" i="1" s="1"/>
  <c r="D143" i="1"/>
  <c r="F143" i="1"/>
  <c r="G167" i="1"/>
  <c r="F167" i="1"/>
  <c r="D191" i="1"/>
  <c r="F191" i="1"/>
  <c r="G239" i="1"/>
  <c r="F239" i="1"/>
  <c r="G463" i="1"/>
  <c r="F463" i="1"/>
  <c r="G487" i="1"/>
  <c r="F487" i="1"/>
  <c r="D623" i="1"/>
  <c r="F623" i="1"/>
  <c r="G655" i="1"/>
  <c r="F655" i="1"/>
  <c r="G671" i="1"/>
  <c r="F671" i="1"/>
  <c r="G711" i="1"/>
  <c r="F711" i="1"/>
  <c r="D743" i="1"/>
  <c r="F743" i="1"/>
  <c r="P743" i="1" s="1"/>
  <c r="S743" i="1" s="1"/>
  <c r="D775" i="1"/>
  <c r="F775" i="1"/>
  <c r="D799" i="1"/>
  <c r="F799" i="1"/>
  <c r="G855" i="1"/>
  <c r="F855" i="1"/>
  <c r="D927" i="1"/>
  <c r="F927" i="1"/>
  <c r="G205" i="1"/>
  <c r="G72" i="1"/>
  <c r="F72" i="1"/>
  <c r="R72" i="1" s="1"/>
  <c r="G104" i="1"/>
  <c r="F104" i="1"/>
  <c r="P104" i="1" s="1"/>
  <c r="Q104" i="1" s="1"/>
  <c r="D136" i="1"/>
  <c r="F136" i="1"/>
  <c r="P136" i="1" s="1"/>
  <c r="S136" i="1" s="1"/>
  <c r="D160" i="1"/>
  <c r="F160" i="1"/>
  <c r="G192" i="1"/>
  <c r="F192" i="1"/>
  <c r="P192" i="1" s="1"/>
  <c r="Q192" i="1" s="1"/>
  <c r="D280" i="1"/>
  <c r="F280" i="1"/>
  <c r="R280" i="1" s="1"/>
  <c r="D312" i="1"/>
  <c r="F312" i="1"/>
  <c r="P312" i="1" s="1"/>
  <c r="Q312" i="1" s="1"/>
  <c r="G376" i="1"/>
  <c r="F376" i="1"/>
  <c r="P376" i="1" s="1"/>
  <c r="S376" i="1" s="1"/>
  <c r="G408" i="1"/>
  <c r="F408" i="1"/>
  <c r="R408" i="1" s="1"/>
  <c r="D536" i="1"/>
  <c r="F536" i="1"/>
  <c r="P536" i="1" s="1"/>
  <c r="S536" i="1" s="1"/>
  <c r="G640" i="1"/>
  <c r="F640" i="1"/>
  <c r="R640" i="1" s="1"/>
  <c r="D704" i="1"/>
  <c r="F704" i="1"/>
  <c r="P704" i="1" s="1"/>
  <c r="S704" i="1" s="1"/>
  <c r="D728" i="1"/>
  <c r="F728" i="1"/>
  <c r="R728" i="1" s="1"/>
  <c r="G760" i="1"/>
  <c r="F760" i="1"/>
  <c r="D784" i="1"/>
  <c r="F784" i="1"/>
  <c r="R784" i="1" s="1"/>
  <c r="D808" i="1"/>
  <c r="F808" i="1"/>
  <c r="R808" i="1" s="1"/>
  <c r="D824" i="1"/>
  <c r="F824" i="1"/>
  <c r="R824" i="1" s="1"/>
  <c r="D864" i="1"/>
  <c r="F864" i="1"/>
  <c r="R864" i="1" s="1"/>
  <c r="G912" i="1"/>
  <c r="F912" i="1"/>
  <c r="R912" i="1" s="1"/>
  <c r="G831" i="1"/>
  <c r="G621" i="1"/>
  <c r="G20" i="1"/>
  <c r="G28" i="1"/>
  <c r="F28" i="1"/>
  <c r="D36" i="1"/>
  <c r="F36" i="1"/>
  <c r="P36" i="1" s="1"/>
  <c r="S36" i="1" s="1"/>
  <c r="D44" i="1"/>
  <c r="F44" i="1"/>
  <c r="D52" i="1"/>
  <c r="F52" i="1"/>
  <c r="D60" i="1"/>
  <c r="F60" i="1"/>
  <c r="D68" i="1"/>
  <c r="F68" i="1"/>
  <c r="D84" i="1"/>
  <c r="F84" i="1"/>
  <c r="D92" i="1"/>
  <c r="F92" i="1"/>
  <c r="D100" i="1"/>
  <c r="F100" i="1"/>
  <c r="G108" i="1"/>
  <c r="F108" i="1"/>
  <c r="R108" i="1" s="1"/>
  <c r="D116" i="1"/>
  <c r="F116" i="1"/>
  <c r="D132" i="1"/>
  <c r="F132" i="1"/>
  <c r="G148" i="1"/>
  <c r="F148" i="1"/>
  <c r="G156" i="1"/>
  <c r="F156" i="1"/>
  <c r="G164" i="1"/>
  <c r="F164" i="1"/>
  <c r="D172" i="1"/>
  <c r="F172" i="1"/>
  <c r="G180" i="1"/>
  <c r="F180" i="1"/>
  <c r="R180" i="1" s="1"/>
  <c r="G188" i="1"/>
  <c r="F188" i="1"/>
  <c r="P188" i="1" s="1"/>
  <c r="Q188" i="1" s="1"/>
  <c r="D204" i="1"/>
  <c r="F204" i="1"/>
  <c r="D212" i="1"/>
  <c r="F212" i="1"/>
  <c r="D228" i="1"/>
  <c r="F228" i="1"/>
  <c r="G236" i="1"/>
  <c r="F236" i="1"/>
  <c r="G244" i="1"/>
  <c r="F244" i="1"/>
  <c r="D252" i="1"/>
  <c r="F252" i="1"/>
  <c r="P252" i="1" s="1"/>
  <c r="S252" i="1" s="1"/>
  <c r="D260" i="1"/>
  <c r="F260" i="1"/>
  <c r="G284" i="1"/>
  <c r="F284" i="1"/>
  <c r="D292" i="1"/>
  <c r="F292" i="1"/>
  <c r="G300" i="1"/>
  <c r="F300" i="1"/>
  <c r="D308" i="1"/>
  <c r="F308" i="1"/>
  <c r="D316" i="1"/>
  <c r="F316" i="1"/>
  <c r="P316" i="1" s="1"/>
  <c r="Q316" i="1" s="1"/>
  <c r="G332" i="1"/>
  <c r="F332" i="1"/>
  <c r="D340" i="1"/>
  <c r="F340" i="1"/>
  <c r="P340" i="1" s="1"/>
  <c r="Q340" i="1" s="1"/>
  <c r="G348" i="1"/>
  <c r="F348" i="1"/>
  <c r="D356" i="1"/>
  <c r="F356" i="1"/>
  <c r="D388" i="1"/>
  <c r="F388" i="1"/>
  <c r="D396" i="1"/>
  <c r="F396" i="1"/>
  <c r="P396" i="1" s="1"/>
  <c r="Q396" i="1" s="1"/>
  <c r="G404" i="1"/>
  <c r="F404" i="1"/>
  <c r="D412" i="1"/>
  <c r="F412" i="1"/>
  <c r="D420" i="1"/>
  <c r="F420" i="1"/>
  <c r="D428" i="1"/>
  <c r="F428" i="1"/>
  <c r="G436" i="1"/>
  <c r="F436" i="1"/>
  <c r="R436" i="1" s="1"/>
  <c r="D444" i="1"/>
  <c r="F444" i="1"/>
  <c r="D452" i="1"/>
  <c r="F452" i="1"/>
  <c r="D460" i="1"/>
  <c r="F460" i="1"/>
  <c r="D468" i="1"/>
  <c r="F468" i="1"/>
  <c r="G476" i="1"/>
  <c r="F476" i="1"/>
  <c r="R476" i="1" s="1"/>
  <c r="G484" i="1"/>
  <c r="F484" i="1"/>
  <c r="D500" i="1"/>
  <c r="F500" i="1"/>
  <c r="D516" i="1"/>
  <c r="F516" i="1"/>
  <c r="G524" i="1"/>
  <c r="F524" i="1"/>
  <c r="D548" i="1"/>
  <c r="F548" i="1"/>
  <c r="G580" i="1"/>
  <c r="F580" i="1"/>
  <c r="G588" i="1"/>
  <c r="F588" i="1"/>
  <c r="R588" i="1" s="1"/>
  <c r="G596" i="1"/>
  <c r="F596" i="1"/>
  <c r="P596" i="1" s="1"/>
  <c r="Q596" i="1" s="1"/>
  <c r="G604" i="1"/>
  <c r="F604" i="1"/>
  <c r="D612" i="1"/>
  <c r="F612" i="1"/>
  <c r="P612" i="1" s="1"/>
  <c r="S612" i="1" s="1"/>
  <c r="G620" i="1"/>
  <c r="F620" i="1"/>
  <c r="R620" i="1" s="1"/>
  <c r="G636" i="1"/>
  <c r="F636" i="1"/>
  <c r="D652" i="1"/>
  <c r="F652" i="1"/>
  <c r="G668" i="1"/>
  <c r="F668" i="1"/>
  <c r="G676" i="1"/>
  <c r="F676" i="1"/>
  <c r="D684" i="1"/>
  <c r="F684" i="1"/>
  <c r="R684" i="1" s="1"/>
  <c r="G692" i="1"/>
  <c r="F692" i="1"/>
  <c r="D700" i="1"/>
  <c r="F700" i="1"/>
  <c r="P700" i="1" s="1"/>
  <c r="S700" i="1" s="1"/>
  <c r="D716" i="1"/>
  <c r="F716" i="1"/>
  <c r="P716" i="1" s="1"/>
  <c r="Q716" i="1" s="1"/>
  <c r="G724" i="1"/>
  <c r="F724" i="1"/>
  <c r="D732" i="1"/>
  <c r="F732" i="1"/>
  <c r="G740" i="1"/>
  <c r="F740" i="1"/>
  <c r="D748" i="1"/>
  <c r="F748" i="1"/>
  <c r="G764" i="1"/>
  <c r="F764" i="1"/>
  <c r="P764" i="1" s="1"/>
  <c r="Q764" i="1" s="1"/>
  <c r="G788" i="1"/>
  <c r="F788" i="1"/>
  <c r="G796" i="1"/>
  <c r="F796" i="1"/>
  <c r="G804" i="1"/>
  <c r="F804" i="1"/>
  <c r="D820" i="1"/>
  <c r="F820" i="1"/>
  <c r="D836" i="1"/>
  <c r="F836" i="1"/>
  <c r="D844" i="1"/>
  <c r="F844" i="1"/>
  <c r="D852" i="1"/>
  <c r="F852" i="1"/>
  <c r="P852" i="1" s="1"/>
  <c r="Q852" i="1" s="1"/>
  <c r="D876" i="1"/>
  <c r="F876" i="1"/>
  <c r="G892" i="1"/>
  <c r="F892" i="1"/>
  <c r="G900" i="1"/>
  <c r="F900" i="1"/>
  <c r="D908" i="1"/>
  <c r="F908" i="1"/>
  <c r="G916" i="1"/>
  <c r="F916" i="1"/>
  <c r="D924" i="1"/>
  <c r="F924" i="1"/>
  <c r="D932" i="1"/>
  <c r="F932" i="1"/>
  <c r="G940" i="1"/>
  <c r="F940" i="1"/>
  <c r="R940" i="1" s="1"/>
  <c r="G948" i="1"/>
  <c r="F948" i="1"/>
  <c r="G956" i="1"/>
  <c r="F956" i="1"/>
  <c r="D972" i="1"/>
  <c r="F972" i="1"/>
  <c r="G980" i="1"/>
  <c r="F980" i="1"/>
  <c r="X12" i="1"/>
  <c r="G341" i="1"/>
  <c r="G133" i="1"/>
  <c r="G592" i="1"/>
  <c r="G852" i="1"/>
  <c r="G141" i="1"/>
  <c r="G301" i="1"/>
  <c r="G165" i="1"/>
  <c r="G150" i="1"/>
  <c r="G55" i="1"/>
  <c r="G346" i="1"/>
  <c r="G211" i="1"/>
  <c r="G666" i="1"/>
  <c r="G841" i="1"/>
  <c r="G626" i="1"/>
  <c r="G905" i="1"/>
  <c r="G663" i="1"/>
  <c r="G961" i="1"/>
  <c r="G282" i="1"/>
  <c r="G331" i="1"/>
  <c r="G729" i="1"/>
  <c r="G475" i="1"/>
  <c r="G292" i="1"/>
  <c r="G704" i="1"/>
  <c r="G808" i="1"/>
  <c r="G52" i="1"/>
  <c r="G325" i="1"/>
  <c r="G742" i="1"/>
  <c r="G446" i="1"/>
  <c r="G702" i="1"/>
  <c r="G768" i="1"/>
  <c r="G63" i="1"/>
  <c r="G279" i="1"/>
  <c r="G464" i="1"/>
  <c r="G227" i="1"/>
  <c r="G382" i="1"/>
  <c r="G858" i="1"/>
  <c r="G326" i="1"/>
  <c r="G907" i="1"/>
  <c r="G797" i="1"/>
  <c r="G39" i="1"/>
  <c r="G662" i="1"/>
  <c r="G366" i="1"/>
  <c r="G223" i="1"/>
  <c r="G752" i="1"/>
  <c r="G73" i="1"/>
  <c r="G119" i="1"/>
  <c r="G792" i="1"/>
  <c r="G805" i="1"/>
  <c r="G160" i="1"/>
  <c r="G670" i="1"/>
  <c r="G844" i="1"/>
  <c r="G703" i="1"/>
  <c r="G774" i="1"/>
  <c r="G717" i="1"/>
  <c r="G982" i="1"/>
  <c r="G908" i="1"/>
  <c r="G599" i="1"/>
  <c r="G386" i="1"/>
  <c r="G512" i="1"/>
  <c r="G442" i="1"/>
  <c r="G153" i="1"/>
  <c r="G836" i="1"/>
  <c r="G460" i="1"/>
  <c r="G877" i="1"/>
  <c r="G286" i="1"/>
  <c r="G609" i="1"/>
  <c r="G53" i="1"/>
  <c r="G424" i="1"/>
  <c r="G493" i="1"/>
  <c r="G121" i="1"/>
  <c r="G843" i="1"/>
  <c r="G839" i="1"/>
  <c r="G349" i="1"/>
  <c r="G69" i="1"/>
  <c r="G838" i="1"/>
  <c r="G318" i="1"/>
  <c r="G616" i="1"/>
  <c r="G771" i="1"/>
  <c r="G313" i="1"/>
  <c r="G201" i="1"/>
  <c r="G93" i="1"/>
  <c r="G187" i="1"/>
  <c r="G193" i="1"/>
  <c r="G281" i="1"/>
  <c r="G312" i="1"/>
  <c r="G538" i="1"/>
  <c r="G217" i="1"/>
  <c r="G864" i="1"/>
  <c r="G68" i="1"/>
  <c r="G741" i="1"/>
  <c r="G981" i="1"/>
  <c r="G809" i="1"/>
  <c r="G273" i="1"/>
  <c r="G37" i="1"/>
  <c r="G623" i="1"/>
  <c r="G732" i="1"/>
  <c r="G813" i="1"/>
  <c r="G624" i="1"/>
  <c r="G695" i="1"/>
  <c r="G422" i="1"/>
  <c r="G241" i="1"/>
  <c r="G163" i="1"/>
  <c r="G966" i="1"/>
  <c r="G546" i="1"/>
  <c r="G251" i="1"/>
  <c r="G639" i="1"/>
  <c r="G454" i="1"/>
  <c r="G716" i="1"/>
  <c r="G500" i="1"/>
  <c r="G250" i="1"/>
  <c r="G411" i="1"/>
  <c r="G267" i="1"/>
  <c r="G392" i="1"/>
  <c r="G115" i="1"/>
  <c r="G548" i="1"/>
  <c r="G720" i="1"/>
  <c r="G728" i="1"/>
  <c r="G406" i="1"/>
  <c r="G299" i="1"/>
  <c r="G933" i="1"/>
  <c r="G359" i="1"/>
  <c r="G448" i="1"/>
  <c r="G400" i="1"/>
  <c r="G99" i="1"/>
  <c r="G418" i="1"/>
  <c r="G657" i="1"/>
  <c r="G280" i="1"/>
  <c r="G883" i="1"/>
  <c r="G143" i="1"/>
  <c r="G685" i="1"/>
  <c r="G355" i="1"/>
  <c r="G825" i="1"/>
  <c r="G231" i="1"/>
  <c r="G832" i="1"/>
  <c r="G949" i="1"/>
  <c r="G534" i="1"/>
  <c r="G735" i="1"/>
  <c r="G954" i="1"/>
  <c r="G67" i="1"/>
  <c r="G480" i="1"/>
  <c r="G228" i="1"/>
  <c r="G428" i="1"/>
  <c r="G803" i="1"/>
  <c r="G973" i="1"/>
  <c r="G784" i="1"/>
  <c r="G185" i="1"/>
  <c r="G679" i="1"/>
  <c r="G120" i="1"/>
  <c r="G159" i="1"/>
  <c r="G897" i="1"/>
  <c r="G307" i="1"/>
  <c r="G96" i="1"/>
  <c r="G562" i="1"/>
  <c r="G816" i="1"/>
  <c r="G45" i="1"/>
  <c r="G824" i="1"/>
  <c r="G677" i="1"/>
  <c r="G917" i="1"/>
  <c r="G925" i="1"/>
  <c r="G189" i="1"/>
  <c r="G817" i="1"/>
  <c r="G390" i="1"/>
  <c r="G638" i="1"/>
  <c r="G213" i="1"/>
  <c r="G22" i="1"/>
  <c r="G753" i="1"/>
  <c r="G776" i="1"/>
  <c r="G713" i="1"/>
  <c r="G790" i="1"/>
  <c r="G795" i="1"/>
  <c r="G837" i="1"/>
  <c r="G499" i="1"/>
  <c r="G757" i="1"/>
  <c r="D268" i="1"/>
  <c r="G268" i="1"/>
  <c r="D372" i="1"/>
  <c r="G372" i="1"/>
  <c r="D744" i="1"/>
  <c r="G744" i="1"/>
  <c r="D177" i="1"/>
  <c r="D247" i="1"/>
  <c r="D380" i="1"/>
  <c r="G380" i="1"/>
  <c r="D886" i="1"/>
  <c r="G886" i="1"/>
  <c r="G177" i="1"/>
  <c r="G335" i="1"/>
  <c r="D456" i="1"/>
  <c r="G456" i="1"/>
  <c r="D964" i="1"/>
  <c r="L56" i="1"/>
  <c r="K56" i="1"/>
  <c r="L88" i="1"/>
  <c r="K88" i="1"/>
  <c r="L120" i="1"/>
  <c r="K120" i="1"/>
  <c r="K144" i="1"/>
  <c r="L144" i="1"/>
  <c r="K176" i="1"/>
  <c r="L176" i="1"/>
  <c r="L208" i="1"/>
  <c r="K208" i="1"/>
  <c r="K240" i="1"/>
  <c r="L240" i="1"/>
  <c r="L264" i="1"/>
  <c r="K264" i="1"/>
  <c r="L288" i="1"/>
  <c r="K288" i="1"/>
  <c r="L320" i="1"/>
  <c r="K320" i="1"/>
  <c r="L352" i="1"/>
  <c r="K352" i="1"/>
  <c r="L384" i="1"/>
  <c r="K384" i="1"/>
  <c r="L416" i="1"/>
  <c r="K416" i="1"/>
  <c r="L448" i="1"/>
  <c r="K448" i="1"/>
  <c r="L480" i="1"/>
  <c r="K480" i="1"/>
  <c r="L504" i="1"/>
  <c r="K504" i="1"/>
  <c r="L528" i="1"/>
  <c r="K528" i="1"/>
  <c r="K560" i="1"/>
  <c r="L560" i="1"/>
  <c r="K592" i="1"/>
  <c r="L592" i="1"/>
  <c r="K624" i="1"/>
  <c r="L624" i="1"/>
  <c r="L656" i="1"/>
  <c r="K656" i="1"/>
  <c r="L688" i="1"/>
  <c r="K688" i="1"/>
  <c r="K728" i="1"/>
  <c r="L728" i="1"/>
  <c r="K760" i="1"/>
  <c r="L760" i="1"/>
  <c r="K792" i="1"/>
  <c r="L792" i="1"/>
  <c r="K824" i="1"/>
  <c r="L824" i="1"/>
  <c r="K856" i="1"/>
  <c r="L856" i="1"/>
  <c r="L888" i="1"/>
  <c r="K888" i="1"/>
  <c r="K920" i="1"/>
  <c r="L920" i="1"/>
  <c r="L944" i="1"/>
  <c r="K944" i="1"/>
  <c r="L968" i="1"/>
  <c r="K968" i="1"/>
  <c r="D65" i="1"/>
  <c r="G65" i="1"/>
  <c r="D87" i="1"/>
  <c r="D109" i="1"/>
  <c r="G109" i="1"/>
  <c r="D124" i="1"/>
  <c r="D315" i="1"/>
  <c r="G315" i="1"/>
  <c r="D957" i="1"/>
  <c r="L25" i="1"/>
  <c r="K25" i="1"/>
  <c r="L33" i="1"/>
  <c r="K33" i="1"/>
  <c r="L41" i="1"/>
  <c r="K41" i="1"/>
  <c r="L49" i="1"/>
  <c r="K49" i="1"/>
  <c r="K57" i="1"/>
  <c r="L57" i="1"/>
  <c r="L65" i="1"/>
  <c r="K65" i="1"/>
  <c r="L73" i="1"/>
  <c r="K73" i="1"/>
  <c r="L81" i="1"/>
  <c r="K81" i="1"/>
  <c r="L89" i="1"/>
  <c r="K89" i="1"/>
  <c r="K97" i="1"/>
  <c r="L97" i="1"/>
  <c r="L105" i="1"/>
  <c r="K105" i="1"/>
  <c r="L113" i="1"/>
  <c r="K113" i="1"/>
  <c r="L121" i="1"/>
  <c r="K121" i="1"/>
  <c r="L129" i="1"/>
  <c r="K129" i="1"/>
  <c r="L137" i="1"/>
  <c r="K137" i="1"/>
  <c r="L145" i="1"/>
  <c r="K145" i="1"/>
  <c r="L153" i="1"/>
  <c r="K153" i="1"/>
  <c r="L161" i="1"/>
  <c r="K161" i="1"/>
  <c r="L169" i="1"/>
  <c r="K169" i="1"/>
  <c r="L177" i="1"/>
  <c r="K177" i="1"/>
  <c r="L185" i="1"/>
  <c r="K185" i="1"/>
  <c r="L193" i="1"/>
  <c r="K193" i="1"/>
  <c r="L201" i="1"/>
  <c r="K201" i="1"/>
  <c r="L209" i="1"/>
  <c r="K209" i="1"/>
  <c r="K217" i="1"/>
  <c r="L217" i="1"/>
  <c r="L225" i="1"/>
  <c r="K225" i="1"/>
  <c r="L233" i="1"/>
  <c r="K233" i="1"/>
  <c r="K241" i="1"/>
  <c r="L241" i="1"/>
  <c r="K249" i="1"/>
  <c r="L249" i="1"/>
  <c r="L257" i="1"/>
  <c r="K257" i="1"/>
  <c r="L265" i="1"/>
  <c r="K265" i="1"/>
  <c r="L273" i="1"/>
  <c r="K273" i="1"/>
  <c r="L281" i="1"/>
  <c r="K281" i="1"/>
  <c r="L289" i="1"/>
  <c r="K289" i="1"/>
  <c r="L297" i="1"/>
  <c r="K297" i="1"/>
  <c r="L305" i="1"/>
  <c r="K305" i="1"/>
  <c r="K313" i="1"/>
  <c r="L313" i="1"/>
  <c r="L337" i="1"/>
  <c r="K337" i="1"/>
  <c r="L353" i="1"/>
  <c r="K353" i="1"/>
  <c r="L361" i="1"/>
  <c r="K361" i="1"/>
  <c r="K369" i="1"/>
  <c r="L369" i="1"/>
  <c r="L377" i="1"/>
  <c r="K377" i="1"/>
  <c r="L385" i="1"/>
  <c r="K385" i="1"/>
  <c r="L393" i="1"/>
  <c r="K393" i="1"/>
  <c r="L401" i="1"/>
  <c r="K401" i="1"/>
  <c r="L409" i="1"/>
  <c r="K409" i="1"/>
  <c r="L417" i="1"/>
  <c r="K417" i="1"/>
  <c r="L425" i="1"/>
  <c r="K425" i="1"/>
  <c r="L433" i="1"/>
  <c r="K433" i="1"/>
  <c r="L441" i="1"/>
  <c r="K441" i="1"/>
  <c r="K449" i="1"/>
  <c r="L449" i="1"/>
  <c r="L457" i="1"/>
  <c r="K457" i="1"/>
  <c r="L465" i="1"/>
  <c r="K465" i="1"/>
  <c r="L473" i="1"/>
  <c r="K473" i="1"/>
  <c r="L481" i="1"/>
  <c r="K481" i="1"/>
  <c r="L489" i="1"/>
  <c r="K489" i="1"/>
  <c r="L497" i="1"/>
  <c r="K497" i="1"/>
  <c r="K505" i="1"/>
  <c r="L505" i="1"/>
  <c r="K513" i="1"/>
  <c r="L513" i="1"/>
  <c r="L521" i="1"/>
  <c r="K521" i="1"/>
  <c r="L529" i="1"/>
  <c r="K529" i="1"/>
  <c r="K537" i="1"/>
  <c r="L537" i="1"/>
  <c r="L545" i="1"/>
  <c r="K545" i="1"/>
  <c r="L553" i="1"/>
  <c r="K553" i="1"/>
  <c r="L561" i="1"/>
  <c r="K561" i="1"/>
  <c r="K569" i="1"/>
  <c r="L569" i="1"/>
  <c r="L577" i="1"/>
  <c r="K577" i="1"/>
  <c r="K585" i="1"/>
  <c r="L585" i="1"/>
  <c r="L593" i="1"/>
  <c r="K593" i="1"/>
  <c r="L601" i="1"/>
  <c r="K601" i="1"/>
  <c r="L609" i="1"/>
  <c r="K609" i="1"/>
  <c r="L617" i="1"/>
  <c r="K617" i="1"/>
  <c r="L625" i="1"/>
  <c r="K625" i="1"/>
  <c r="K633" i="1"/>
  <c r="L633" i="1"/>
  <c r="L641" i="1"/>
  <c r="K641" i="1"/>
  <c r="K649" i="1"/>
  <c r="L649" i="1"/>
  <c r="L657" i="1"/>
  <c r="K657" i="1"/>
  <c r="K665" i="1"/>
  <c r="L665" i="1"/>
  <c r="L673" i="1"/>
  <c r="K673" i="1"/>
  <c r="L681" i="1"/>
  <c r="K681" i="1"/>
  <c r="K689" i="1"/>
  <c r="L689" i="1"/>
  <c r="L697" i="1"/>
  <c r="K697" i="1"/>
  <c r="L705" i="1"/>
  <c r="K705" i="1"/>
  <c r="L713" i="1"/>
  <c r="K713" i="1"/>
  <c r="L721" i="1"/>
  <c r="K721" i="1"/>
  <c r="L729" i="1"/>
  <c r="K729" i="1"/>
  <c r="L737" i="1"/>
  <c r="K737" i="1"/>
  <c r="L745" i="1"/>
  <c r="K745" i="1"/>
  <c r="L753" i="1"/>
  <c r="K753" i="1"/>
  <c r="L761" i="1"/>
  <c r="K761" i="1"/>
  <c r="L769" i="1"/>
  <c r="K769" i="1"/>
  <c r="L777" i="1"/>
  <c r="K777" i="1"/>
  <c r="L785" i="1"/>
  <c r="K785" i="1"/>
  <c r="L793" i="1"/>
  <c r="K793" i="1"/>
  <c r="L801" i="1"/>
  <c r="K801" i="1"/>
  <c r="L809" i="1"/>
  <c r="K809" i="1"/>
  <c r="K817" i="1"/>
  <c r="L817" i="1"/>
  <c r="L825" i="1"/>
  <c r="K825" i="1"/>
  <c r="L833" i="1"/>
  <c r="K833" i="1"/>
  <c r="K841" i="1"/>
  <c r="L841" i="1"/>
  <c r="L849" i="1"/>
  <c r="K849" i="1"/>
  <c r="L857" i="1"/>
  <c r="K857" i="1"/>
  <c r="L865" i="1"/>
  <c r="K865" i="1"/>
  <c r="L873" i="1"/>
  <c r="K873" i="1"/>
  <c r="L881" i="1"/>
  <c r="K881" i="1"/>
  <c r="K889" i="1"/>
  <c r="L889" i="1"/>
  <c r="L897" i="1"/>
  <c r="K897" i="1"/>
  <c r="K905" i="1"/>
  <c r="L905" i="1"/>
  <c r="L913" i="1"/>
  <c r="K913" i="1"/>
  <c r="K921" i="1"/>
  <c r="L921" i="1"/>
  <c r="L929" i="1"/>
  <c r="K929" i="1"/>
  <c r="L937" i="1"/>
  <c r="K937" i="1"/>
  <c r="K945" i="1"/>
  <c r="L945" i="1"/>
  <c r="K953" i="1"/>
  <c r="L953" i="1"/>
  <c r="K961" i="1"/>
  <c r="L961" i="1"/>
  <c r="K969" i="1"/>
  <c r="L969" i="1"/>
  <c r="L977" i="1"/>
  <c r="K977" i="1"/>
  <c r="L985" i="1"/>
  <c r="K985" i="1"/>
  <c r="L993" i="1"/>
  <c r="K993" i="1"/>
  <c r="G749" i="1"/>
  <c r="G29" i="1"/>
  <c r="G297" i="1"/>
  <c r="G89" i="1"/>
  <c r="G558" i="1"/>
  <c r="G132" i="1"/>
  <c r="G834" i="1"/>
  <c r="D195" i="1"/>
  <c r="D219" i="1"/>
  <c r="G219" i="1"/>
  <c r="D309" i="1"/>
  <c r="G309" i="1"/>
  <c r="D323" i="1"/>
  <c r="G323" i="1"/>
  <c r="D339" i="1"/>
  <c r="G339" i="1"/>
  <c r="D361" i="1"/>
  <c r="G361" i="1"/>
  <c r="D389" i="1"/>
  <c r="G389" i="1"/>
  <c r="D479" i="1"/>
  <c r="G479" i="1"/>
  <c r="D523" i="1"/>
  <c r="G523" i="1"/>
  <c r="D682" i="1"/>
  <c r="D726" i="1"/>
  <c r="D734" i="1"/>
  <c r="D755" i="1"/>
  <c r="G755" i="1"/>
  <c r="D850" i="1"/>
  <c r="G850" i="1"/>
  <c r="D866" i="1"/>
  <c r="D137" i="1"/>
  <c r="G137" i="1"/>
  <c r="D275" i="1"/>
  <c r="G275" i="1"/>
  <c r="D305" i="1"/>
  <c r="G305" i="1"/>
  <c r="D327" i="1"/>
  <c r="G327" i="1"/>
  <c r="D840" i="1"/>
  <c r="D878" i="1"/>
  <c r="G878" i="1"/>
  <c r="D169" i="1"/>
  <c r="D484" i="1"/>
  <c r="D826" i="1"/>
  <c r="G947" i="1"/>
  <c r="D56" i="1"/>
  <c r="G56" i="1"/>
  <c r="D123" i="1"/>
  <c r="D664" i="1"/>
  <c r="G664" i="1"/>
  <c r="D687" i="1"/>
  <c r="G687" i="1"/>
  <c r="L32" i="1"/>
  <c r="K32" i="1"/>
  <c r="K72" i="1"/>
  <c r="L72" i="1"/>
  <c r="L104" i="1"/>
  <c r="K104" i="1"/>
  <c r="L136" i="1"/>
  <c r="K136" i="1"/>
  <c r="L160" i="1"/>
  <c r="K160" i="1"/>
  <c r="K192" i="1"/>
  <c r="L192" i="1"/>
  <c r="L224" i="1"/>
  <c r="K224" i="1"/>
  <c r="L256" i="1"/>
  <c r="K256" i="1"/>
  <c r="L296" i="1"/>
  <c r="K296" i="1"/>
  <c r="L336" i="1"/>
  <c r="K336" i="1"/>
  <c r="L368" i="1"/>
  <c r="K368" i="1"/>
  <c r="L400" i="1"/>
  <c r="K400" i="1"/>
  <c r="L432" i="1"/>
  <c r="K432" i="1"/>
  <c r="L456" i="1"/>
  <c r="K456" i="1"/>
  <c r="L488" i="1"/>
  <c r="K488" i="1"/>
  <c r="L520" i="1"/>
  <c r="K520" i="1"/>
  <c r="L552" i="1"/>
  <c r="K552" i="1"/>
  <c r="L568" i="1"/>
  <c r="K568" i="1"/>
  <c r="L608" i="1"/>
  <c r="K608" i="1"/>
  <c r="L640" i="1"/>
  <c r="K640" i="1"/>
  <c r="K672" i="1"/>
  <c r="L672" i="1"/>
  <c r="K704" i="1"/>
  <c r="L704" i="1"/>
  <c r="L736" i="1"/>
  <c r="K736" i="1"/>
  <c r="K768" i="1"/>
  <c r="L768" i="1"/>
  <c r="L808" i="1"/>
  <c r="K808" i="1"/>
  <c r="L840" i="1"/>
  <c r="K840" i="1"/>
  <c r="K872" i="1"/>
  <c r="L872" i="1"/>
  <c r="K896" i="1"/>
  <c r="L896" i="1"/>
  <c r="L928" i="1"/>
  <c r="K928" i="1"/>
  <c r="L976" i="1"/>
  <c r="K976" i="1"/>
  <c r="D218" i="1"/>
  <c r="L345" i="1"/>
  <c r="K345" i="1"/>
  <c r="D59" i="1"/>
  <c r="D103" i="1"/>
  <c r="G103" i="1"/>
  <c r="D220" i="1"/>
  <c r="G220" i="1"/>
  <c r="D287" i="1"/>
  <c r="G287" i="1"/>
  <c r="D429" i="1"/>
  <c r="D495" i="1"/>
  <c r="G495" i="1"/>
  <c r="D510" i="1"/>
  <c r="D532" i="1"/>
  <c r="G532" i="1"/>
  <c r="D636" i="1"/>
  <c r="D712" i="1"/>
  <c r="D777" i="1"/>
  <c r="G777" i="1"/>
  <c r="D859" i="1"/>
  <c r="D875" i="1"/>
  <c r="D943" i="1"/>
  <c r="G943" i="1"/>
  <c r="L27" i="1"/>
  <c r="K27" i="1"/>
  <c r="L35" i="1"/>
  <c r="K35" i="1"/>
  <c r="L43" i="1"/>
  <c r="K43" i="1"/>
  <c r="K51" i="1"/>
  <c r="L51" i="1"/>
  <c r="L59" i="1"/>
  <c r="K59" i="1"/>
  <c r="K67" i="1"/>
  <c r="L67" i="1"/>
  <c r="L75" i="1"/>
  <c r="K75" i="1"/>
  <c r="L83" i="1"/>
  <c r="K83" i="1"/>
  <c r="L91" i="1"/>
  <c r="K91" i="1"/>
  <c r="L99" i="1"/>
  <c r="K99" i="1"/>
  <c r="L107" i="1"/>
  <c r="K107" i="1"/>
  <c r="K115" i="1"/>
  <c r="L115" i="1"/>
  <c r="L123" i="1"/>
  <c r="K123" i="1"/>
  <c r="K131" i="1"/>
  <c r="L131" i="1"/>
  <c r="K139" i="1"/>
  <c r="L139" i="1"/>
  <c r="L147" i="1"/>
  <c r="K147" i="1"/>
  <c r="L155" i="1"/>
  <c r="K155" i="1"/>
  <c r="K163" i="1"/>
  <c r="L163" i="1"/>
  <c r="L171" i="1"/>
  <c r="K171" i="1"/>
  <c r="L179" i="1"/>
  <c r="K179" i="1"/>
  <c r="L187" i="1"/>
  <c r="K187" i="1"/>
  <c r="K195" i="1"/>
  <c r="L195" i="1"/>
  <c r="K203" i="1"/>
  <c r="L203" i="1"/>
  <c r="L211" i="1"/>
  <c r="K211" i="1"/>
  <c r="L219" i="1"/>
  <c r="K219" i="1"/>
  <c r="L227" i="1"/>
  <c r="K227" i="1"/>
  <c r="L235" i="1"/>
  <c r="K235" i="1"/>
  <c r="L243" i="1"/>
  <c r="K243" i="1"/>
  <c r="L251" i="1"/>
  <c r="K251" i="1"/>
  <c r="L259" i="1"/>
  <c r="K259" i="1"/>
  <c r="L267" i="1"/>
  <c r="K267" i="1"/>
  <c r="L275" i="1"/>
  <c r="K275" i="1"/>
  <c r="L283" i="1"/>
  <c r="K283" i="1"/>
  <c r="L291" i="1"/>
  <c r="K291" i="1"/>
  <c r="L299" i="1"/>
  <c r="K299" i="1"/>
  <c r="L307" i="1"/>
  <c r="K307" i="1"/>
  <c r="L315" i="1"/>
  <c r="K315" i="1"/>
  <c r="L323" i="1"/>
  <c r="K323" i="1"/>
  <c r="L331" i="1"/>
  <c r="K331" i="1"/>
  <c r="L339" i="1"/>
  <c r="K339" i="1"/>
  <c r="L347" i="1"/>
  <c r="K347" i="1"/>
  <c r="L355" i="1"/>
  <c r="K355" i="1"/>
  <c r="L363" i="1"/>
  <c r="K363" i="1"/>
  <c r="L371" i="1"/>
  <c r="K371" i="1"/>
  <c r="L379" i="1"/>
  <c r="K379" i="1"/>
  <c r="L387" i="1"/>
  <c r="K387" i="1"/>
  <c r="L395" i="1"/>
  <c r="K395" i="1"/>
  <c r="L403" i="1"/>
  <c r="K403" i="1"/>
  <c r="L411" i="1"/>
  <c r="K411" i="1"/>
  <c r="L419" i="1"/>
  <c r="K419" i="1"/>
  <c r="L427" i="1"/>
  <c r="K427" i="1"/>
  <c r="L435" i="1"/>
  <c r="K435" i="1"/>
  <c r="L443" i="1"/>
  <c r="K443" i="1"/>
  <c r="L451" i="1"/>
  <c r="K451" i="1"/>
  <c r="L459" i="1"/>
  <c r="K459" i="1"/>
  <c r="L467" i="1"/>
  <c r="K467" i="1"/>
  <c r="L475" i="1"/>
  <c r="K475" i="1"/>
  <c r="L483" i="1"/>
  <c r="K483" i="1"/>
  <c r="L491" i="1"/>
  <c r="K491" i="1"/>
  <c r="L499" i="1"/>
  <c r="K499" i="1"/>
  <c r="L507" i="1"/>
  <c r="K507" i="1"/>
  <c r="L515" i="1"/>
  <c r="K515" i="1"/>
  <c r="L523" i="1"/>
  <c r="K523" i="1"/>
  <c r="L531" i="1"/>
  <c r="K531" i="1"/>
  <c r="L539" i="1"/>
  <c r="K539" i="1"/>
  <c r="L547" i="1"/>
  <c r="K547" i="1"/>
  <c r="L555" i="1"/>
  <c r="K555" i="1"/>
  <c r="L563" i="1"/>
  <c r="K563" i="1"/>
  <c r="L571" i="1"/>
  <c r="K571" i="1"/>
  <c r="L579" i="1"/>
  <c r="K579" i="1"/>
  <c r="L587" i="1"/>
  <c r="K587" i="1"/>
  <c r="L595" i="1"/>
  <c r="K595" i="1"/>
  <c r="L603" i="1"/>
  <c r="K603" i="1"/>
  <c r="L611" i="1"/>
  <c r="K611" i="1"/>
  <c r="L619" i="1"/>
  <c r="K619" i="1"/>
  <c r="L627" i="1"/>
  <c r="K627" i="1"/>
  <c r="L635" i="1"/>
  <c r="K635" i="1"/>
  <c r="L643" i="1"/>
  <c r="K643" i="1"/>
  <c r="L651" i="1"/>
  <c r="K651" i="1"/>
  <c r="L659" i="1"/>
  <c r="K659" i="1"/>
  <c r="L667" i="1"/>
  <c r="K667" i="1"/>
  <c r="L675" i="1"/>
  <c r="K675" i="1"/>
  <c r="L683" i="1"/>
  <c r="K683" i="1"/>
  <c r="L691" i="1"/>
  <c r="K691" i="1"/>
  <c r="L699" i="1"/>
  <c r="K699" i="1"/>
  <c r="L707" i="1"/>
  <c r="K707" i="1"/>
  <c r="L715" i="1"/>
  <c r="K715" i="1"/>
  <c r="L723" i="1"/>
  <c r="K723" i="1"/>
  <c r="L731" i="1"/>
  <c r="K731" i="1"/>
  <c r="L739" i="1"/>
  <c r="K739" i="1"/>
  <c r="L747" i="1"/>
  <c r="K747" i="1"/>
  <c r="L755" i="1"/>
  <c r="K755" i="1"/>
  <c r="L763" i="1"/>
  <c r="K763" i="1"/>
  <c r="L771" i="1"/>
  <c r="K771" i="1"/>
  <c r="L779" i="1"/>
  <c r="K779" i="1"/>
  <c r="L787" i="1"/>
  <c r="K787" i="1"/>
  <c r="L795" i="1"/>
  <c r="K795" i="1"/>
  <c r="L803" i="1"/>
  <c r="K803" i="1"/>
  <c r="L811" i="1"/>
  <c r="K811" i="1"/>
  <c r="L819" i="1"/>
  <c r="K819" i="1"/>
  <c r="L827" i="1"/>
  <c r="K827" i="1"/>
  <c r="L835" i="1"/>
  <c r="K835" i="1"/>
  <c r="L843" i="1"/>
  <c r="K843" i="1"/>
  <c r="L851" i="1"/>
  <c r="K851" i="1"/>
  <c r="L859" i="1"/>
  <c r="K859" i="1"/>
  <c r="L867" i="1"/>
  <c r="K867" i="1"/>
  <c r="L875" i="1"/>
  <c r="K875" i="1"/>
  <c r="L883" i="1"/>
  <c r="K883" i="1"/>
  <c r="L891" i="1"/>
  <c r="K891" i="1"/>
  <c r="L899" i="1"/>
  <c r="K899" i="1"/>
  <c r="L907" i="1"/>
  <c r="K907" i="1"/>
  <c r="L915" i="1"/>
  <c r="K915" i="1"/>
  <c r="L923" i="1"/>
  <c r="K923" i="1"/>
  <c r="L931" i="1"/>
  <c r="K931" i="1"/>
  <c r="L939" i="1"/>
  <c r="K939" i="1"/>
  <c r="L947" i="1"/>
  <c r="K947" i="1"/>
  <c r="L955" i="1"/>
  <c r="K955" i="1"/>
  <c r="L963" i="1"/>
  <c r="K963" i="1"/>
  <c r="L971" i="1"/>
  <c r="K971" i="1"/>
  <c r="L979" i="1"/>
  <c r="K979" i="1"/>
  <c r="L987" i="1"/>
  <c r="K987" i="1"/>
  <c r="D145" i="1"/>
  <c r="G145" i="1"/>
  <c r="D184" i="1"/>
  <c r="G840" i="1"/>
  <c r="D122" i="1"/>
  <c r="G122" i="1"/>
  <c r="D708" i="1"/>
  <c r="D923" i="1"/>
  <c r="G923" i="1"/>
  <c r="D225" i="1"/>
  <c r="G225" i="1"/>
  <c r="D314" i="1"/>
  <c r="G314" i="1"/>
  <c r="L40" i="1"/>
  <c r="K40" i="1"/>
  <c r="L64" i="1"/>
  <c r="K64" i="1"/>
  <c r="L96" i="1"/>
  <c r="K96" i="1"/>
  <c r="L128" i="1"/>
  <c r="K128" i="1"/>
  <c r="L168" i="1"/>
  <c r="K168" i="1"/>
  <c r="L200" i="1"/>
  <c r="K200" i="1"/>
  <c r="L232" i="1"/>
  <c r="K232" i="1"/>
  <c r="L272" i="1"/>
  <c r="K272" i="1"/>
  <c r="L304" i="1"/>
  <c r="K304" i="1"/>
  <c r="L328" i="1"/>
  <c r="K328" i="1"/>
  <c r="L360" i="1"/>
  <c r="K360" i="1"/>
  <c r="L392" i="1"/>
  <c r="K392" i="1"/>
  <c r="L424" i="1"/>
  <c r="K424" i="1"/>
  <c r="L464" i="1"/>
  <c r="K464" i="1"/>
  <c r="L512" i="1"/>
  <c r="K512" i="1"/>
  <c r="L544" i="1"/>
  <c r="K544" i="1"/>
  <c r="L584" i="1"/>
  <c r="K584" i="1"/>
  <c r="K616" i="1"/>
  <c r="L616" i="1"/>
  <c r="L648" i="1"/>
  <c r="K648" i="1"/>
  <c r="K680" i="1"/>
  <c r="L680" i="1"/>
  <c r="L712" i="1"/>
  <c r="K712" i="1"/>
  <c r="L744" i="1"/>
  <c r="K744" i="1"/>
  <c r="L776" i="1"/>
  <c r="K776" i="1"/>
  <c r="L800" i="1"/>
  <c r="K800" i="1"/>
  <c r="K832" i="1"/>
  <c r="L832" i="1"/>
  <c r="L864" i="1"/>
  <c r="K864" i="1"/>
  <c r="L904" i="1"/>
  <c r="K904" i="1"/>
  <c r="L952" i="1"/>
  <c r="K952" i="1"/>
  <c r="L984" i="1"/>
  <c r="K984" i="1"/>
  <c r="D101" i="1"/>
  <c r="G101" i="1"/>
  <c r="D256" i="1"/>
  <c r="G256" i="1"/>
  <c r="D285" i="1"/>
  <c r="G285" i="1"/>
  <c r="L321" i="1"/>
  <c r="K321" i="1"/>
  <c r="G754" i="1"/>
  <c r="G893" i="1"/>
  <c r="G859" i="1"/>
  <c r="G957" i="1"/>
  <c r="G117" i="1"/>
  <c r="G57" i="1"/>
  <c r="G204" i="1"/>
  <c r="G605" i="1"/>
  <c r="G155" i="1"/>
  <c r="G294" i="1"/>
  <c r="G708" i="1"/>
  <c r="G449" i="1"/>
  <c r="G358" i="1"/>
  <c r="G94" i="1"/>
  <c r="D30" i="1"/>
  <c r="D82" i="1"/>
  <c r="G82" i="1"/>
  <c r="D166" i="1"/>
  <c r="G166" i="1"/>
  <c r="D311" i="1"/>
  <c r="G311" i="1"/>
  <c r="D385" i="1"/>
  <c r="D445" i="1"/>
  <c r="G445" i="1"/>
  <c r="D608" i="1"/>
  <c r="G608" i="1"/>
  <c r="D660" i="1"/>
  <c r="G660" i="1"/>
  <c r="D868" i="1"/>
  <c r="G868" i="1"/>
  <c r="D913" i="1"/>
  <c r="G913" i="1"/>
  <c r="D952" i="1"/>
  <c r="D469" i="1"/>
  <c r="G469" i="1"/>
  <c r="D694" i="1"/>
  <c r="D131" i="1"/>
  <c r="D277" i="1"/>
  <c r="G277" i="1"/>
  <c r="D551" i="1"/>
  <c r="G551" i="1"/>
  <c r="D672" i="1"/>
  <c r="G672" i="1"/>
  <c r="D835" i="1"/>
  <c r="G835" i="1"/>
  <c r="L48" i="1"/>
  <c r="K48" i="1"/>
  <c r="L80" i="1"/>
  <c r="K80" i="1"/>
  <c r="L112" i="1"/>
  <c r="K112" i="1"/>
  <c r="L152" i="1"/>
  <c r="K152" i="1"/>
  <c r="L184" i="1"/>
  <c r="K184" i="1"/>
  <c r="L216" i="1"/>
  <c r="K216" i="1"/>
  <c r="L248" i="1"/>
  <c r="K248" i="1"/>
  <c r="L280" i="1"/>
  <c r="K280" i="1"/>
  <c r="L312" i="1"/>
  <c r="K312" i="1"/>
  <c r="L344" i="1"/>
  <c r="K344" i="1"/>
  <c r="L376" i="1"/>
  <c r="K376" i="1"/>
  <c r="L408" i="1"/>
  <c r="K408" i="1"/>
  <c r="L440" i="1"/>
  <c r="K440" i="1"/>
  <c r="L472" i="1"/>
  <c r="K472" i="1"/>
  <c r="K496" i="1"/>
  <c r="L496" i="1"/>
  <c r="K536" i="1"/>
  <c r="L536" i="1"/>
  <c r="K576" i="1"/>
  <c r="L576" i="1"/>
  <c r="L600" i="1"/>
  <c r="K600" i="1"/>
  <c r="L632" i="1"/>
  <c r="K632" i="1"/>
  <c r="L664" i="1"/>
  <c r="K664" i="1"/>
  <c r="L696" i="1"/>
  <c r="K696" i="1"/>
  <c r="L720" i="1"/>
  <c r="K720" i="1"/>
  <c r="L752" i="1"/>
  <c r="K752" i="1"/>
  <c r="L784" i="1"/>
  <c r="K784" i="1"/>
  <c r="L816" i="1"/>
  <c r="K816" i="1"/>
  <c r="L848" i="1"/>
  <c r="K848" i="1"/>
  <c r="L880" i="1"/>
  <c r="K880" i="1"/>
  <c r="L912" i="1"/>
  <c r="K912" i="1"/>
  <c r="L936" i="1"/>
  <c r="K936" i="1"/>
  <c r="L960" i="1"/>
  <c r="K960" i="1"/>
  <c r="L992" i="1"/>
  <c r="K992" i="1"/>
  <c r="G261" i="1"/>
  <c r="G537" i="1"/>
  <c r="D360" i="1"/>
  <c r="G360" i="1"/>
  <c r="L329" i="1"/>
  <c r="K329" i="1"/>
  <c r="G79" i="1"/>
  <c r="G207" i="1"/>
  <c r="G875" i="1"/>
  <c r="G247" i="1"/>
  <c r="G632" i="1"/>
  <c r="G437" i="1"/>
  <c r="G846" i="1"/>
  <c r="G124" i="1"/>
  <c r="G100" i="1"/>
  <c r="G184" i="1"/>
  <c r="G826" i="1"/>
  <c r="G964" i="1"/>
  <c r="D38" i="1"/>
  <c r="G38" i="1"/>
  <c r="D183" i="1"/>
  <c r="G183" i="1"/>
  <c r="D190" i="1"/>
  <c r="G379" i="1"/>
  <c r="D504" i="1"/>
  <c r="G504" i="1"/>
  <c r="D615" i="1"/>
  <c r="G615" i="1"/>
  <c r="D661" i="1"/>
  <c r="D772" i="1"/>
  <c r="G772" i="1"/>
  <c r="L30" i="1"/>
  <c r="K30" i="1"/>
  <c r="L38" i="1"/>
  <c r="K38" i="1"/>
  <c r="L46" i="1"/>
  <c r="K46" i="1"/>
  <c r="L54" i="1"/>
  <c r="K54" i="1"/>
  <c r="L62" i="1"/>
  <c r="K62" i="1"/>
  <c r="L70" i="1"/>
  <c r="K70" i="1"/>
  <c r="L78" i="1"/>
  <c r="K78" i="1"/>
  <c r="L86" i="1"/>
  <c r="K86" i="1"/>
  <c r="L94" i="1"/>
  <c r="K94" i="1"/>
  <c r="L102" i="1"/>
  <c r="K102" i="1"/>
  <c r="L110" i="1"/>
  <c r="K110" i="1"/>
  <c r="L118" i="1"/>
  <c r="K118" i="1"/>
  <c r="L126" i="1"/>
  <c r="K126" i="1"/>
  <c r="L134" i="1"/>
  <c r="K134" i="1"/>
  <c r="L142" i="1"/>
  <c r="K142" i="1"/>
  <c r="L150" i="1"/>
  <c r="K150" i="1"/>
  <c r="L158" i="1"/>
  <c r="K158" i="1"/>
  <c r="L166" i="1"/>
  <c r="K166" i="1"/>
  <c r="L174" i="1"/>
  <c r="K174" i="1"/>
  <c r="L182" i="1"/>
  <c r="K182" i="1"/>
  <c r="L190" i="1"/>
  <c r="K190" i="1"/>
  <c r="L198" i="1"/>
  <c r="K198" i="1"/>
  <c r="L206" i="1"/>
  <c r="K206" i="1"/>
  <c r="L214" i="1"/>
  <c r="K214" i="1"/>
  <c r="L222" i="1"/>
  <c r="K222" i="1"/>
  <c r="L230" i="1"/>
  <c r="K230" i="1"/>
  <c r="L238" i="1"/>
  <c r="K238" i="1"/>
  <c r="L246" i="1"/>
  <c r="K246" i="1"/>
  <c r="L254" i="1"/>
  <c r="K254" i="1"/>
  <c r="L262" i="1"/>
  <c r="K262" i="1"/>
  <c r="L270" i="1"/>
  <c r="K270" i="1"/>
  <c r="L278" i="1"/>
  <c r="K278" i="1"/>
  <c r="L286" i="1"/>
  <c r="K286" i="1"/>
  <c r="L294" i="1"/>
  <c r="K294" i="1"/>
  <c r="L302" i="1"/>
  <c r="K302" i="1"/>
  <c r="L310" i="1"/>
  <c r="K310" i="1"/>
  <c r="L318" i="1"/>
  <c r="K318" i="1"/>
  <c r="L326" i="1"/>
  <c r="K326" i="1"/>
  <c r="L334" i="1"/>
  <c r="K334" i="1"/>
  <c r="L342" i="1"/>
  <c r="K342" i="1"/>
  <c r="L350" i="1"/>
  <c r="K350" i="1"/>
  <c r="L358" i="1"/>
  <c r="K358" i="1"/>
  <c r="K366" i="1"/>
  <c r="L366" i="1"/>
  <c r="L374" i="1"/>
  <c r="K374" i="1"/>
  <c r="K382" i="1"/>
  <c r="L382" i="1"/>
  <c r="L390" i="1"/>
  <c r="K390" i="1"/>
  <c r="K398" i="1"/>
  <c r="L398" i="1"/>
  <c r="L406" i="1"/>
  <c r="K406" i="1"/>
  <c r="L414" i="1"/>
  <c r="K414" i="1"/>
  <c r="L422" i="1"/>
  <c r="K422" i="1"/>
  <c r="K430" i="1"/>
  <c r="L430" i="1"/>
  <c r="L438" i="1"/>
  <c r="K438" i="1"/>
  <c r="L446" i="1"/>
  <c r="K446" i="1"/>
  <c r="K454" i="1"/>
  <c r="L454" i="1"/>
  <c r="L462" i="1"/>
  <c r="K462" i="1"/>
  <c r="L470" i="1"/>
  <c r="K470" i="1"/>
  <c r="L478" i="1"/>
  <c r="K478" i="1"/>
  <c r="K486" i="1"/>
  <c r="L486" i="1"/>
  <c r="L494" i="1"/>
  <c r="K494" i="1"/>
  <c r="L502" i="1"/>
  <c r="K502" i="1"/>
  <c r="L510" i="1"/>
  <c r="K510" i="1"/>
  <c r="L518" i="1"/>
  <c r="K518" i="1"/>
  <c r="L526" i="1"/>
  <c r="K526" i="1"/>
  <c r="L534" i="1"/>
  <c r="K534" i="1"/>
  <c r="L542" i="1"/>
  <c r="K542" i="1"/>
  <c r="K550" i="1"/>
  <c r="L550" i="1"/>
  <c r="K558" i="1"/>
  <c r="L558" i="1"/>
  <c r="L566" i="1"/>
  <c r="K566" i="1"/>
  <c r="L574" i="1"/>
  <c r="K574" i="1"/>
  <c r="K582" i="1"/>
  <c r="L582" i="1"/>
  <c r="L590" i="1"/>
  <c r="K590" i="1"/>
  <c r="L598" i="1"/>
  <c r="K598" i="1"/>
  <c r="L606" i="1"/>
  <c r="K606" i="1"/>
  <c r="L614" i="1"/>
  <c r="K614" i="1"/>
  <c r="K622" i="1"/>
  <c r="L622" i="1"/>
  <c r="L630" i="1"/>
  <c r="K630" i="1"/>
  <c r="K638" i="1"/>
  <c r="L638" i="1"/>
  <c r="L646" i="1"/>
  <c r="K646" i="1"/>
  <c r="L654" i="1"/>
  <c r="K654" i="1"/>
  <c r="L662" i="1"/>
  <c r="K662" i="1"/>
  <c r="L670" i="1"/>
  <c r="K670" i="1"/>
  <c r="L678" i="1"/>
  <c r="K678" i="1"/>
  <c r="K686" i="1"/>
  <c r="L686" i="1"/>
  <c r="L694" i="1"/>
  <c r="K694" i="1"/>
  <c r="L702" i="1"/>
  <c r="K702" i="1"/>
  <c r="L710" i="1"/>
  <c r="K710" i="1"/>
  <c r="K718" i="1"/>
  <c r="L718" i="1"/>
  <c r="L726" i="1"/>
  <c r="K726" i="1"/>
  <c r="L734" i="1"/>
  <c r="K734" i="1"/>
  <c r="L742" i="1"/>
  <c r="K742" i="1"/>
  <c r="K750" i="1"/>
  <c r="L750" i="1"/>
  <c r="L758" i="1"/>
  <c r="K758" i="1"/>
  <c r="L766" i="1"/>
  <c r="K766" i="1"/>
  <c r="K774" i="1"/>
  <c r="L774" i="1"/>
  <c r="L782" i="1"/>
  <c r="K782" i="1"/>
  <c r="K790" i="1"/>
  <c r="L790" i="1"/>
  <c r="L798" i="1"/>
  <c r="K798" i="1"/>
  <c r="K806" i="1"/>
  <c r="L806" i="1"/>
  <c r="L814" i="1"/>
  <c r="K814" i="1"/>
  <c r="L822" i="1"/>
  <c r="K822" i="1"/>
  <c r="L830" i="1"/>
  <c r="K830" i="1"/>
  <c r="L838" i="1"/>
  <c r="K838" i="1"/>
  <c r="L846" i="1"/>
  <c r="K846" i="1"/>
  <c r="K854" i="1"/>
  <c r="L854" i="1"/>
  <c r="L862" i="1"/>
  <c r="K862" i="1"/>
  <c r="L870" i="1"/>
  <c r="K870" i="1"/>
  <c r="K878" i="1"/>
  <c r="L878" i="1"/>
  <c r="L886" i="1"/>
  <c r="K886" i="1"/>
  <c r="L894" i="1"/>
  <c r="K894" i="1"/>
  <c r="L902" i="1"/>
  <c r="K902" i="1"/>
  <c r="L910" i="1"/>
  <c r="K910" i="1"/>
  <c r="L918" i="1"/>
  <c r="K918" i="1"/>
  <c r="K926" i="1"/>
  <c r="L926" i="1"/>
  <c r="L934" i="1"/>
  <c r="K934" i="1"/>
  <c r="K942" i="1"/>
  <c r="L942" i="1"/>
  <c r="L950" i="1"/>
  <c r="K950" i="1"/>
  <c r="K958" i="1"/>
  <c r="L958" i="1"/>
  <c r="K966" i="1"/>
  <c r="L966" i="1"/>
  <c r="L974" i="1"/>
  <c r="K974" i="1"/>
  <c r="L982" i="1"/>
  <c r="K982" i="1"/>
  <c r="L990" i="1"/>
  <c r="K990" i="1"/>
  <c r="P15" i="1"/>
  <c r="Q15" i="1" s="1"/>
  <c r="L31" i="1"/>
  <c r="K31" i="1"/>
  <c r="L39" i="1"/>
  <c r="K39" i="1"/>
  <c r="L47" i="1"/>
  <c r="K47" i="1"/>
  <c r="L55" i="1"/>
  <c r="K55" i="1"/>
  <c r="L63" i="1"/>
  <c r="K63" i="1"/>
  <c r="L71" i="1"/>
  <c r="K71" i="1"/>
  <c r="K79" i="1"/>
  <c r="L79" i="1"/>
  <c r="L87" i="1"/>
  <c r="K87" i="1"/>
  <c r="L95" i="1"/>
  <c r="K95" i="1"/>
  <c r="K103" i="1"/>
  <c r="L103" i="1"/>
  <c r="L111" i="1"/>
  <c r="K111" i="1"/>
  <c r="K119" i="1"/>
  <c r="L119" i="1"/>
  <c r="L127" i="1"/>
  <c r="K127" i="1"/>
  <c r="L135" i="1"/>
  <c r="K135" i="1"/>
  <c r="L143" i="1"/>
  <c r="K143" i="1"/>
  <c r="L151" i="1"/>
  <c r="K151" i="1"/>
  <c r="L159" i="1"/>
  <c r="K159" i="1"/>
  <c r="K167" i="1"/>
  <c r="L167" i="1"/>
  <c r="L175" i="1"/>
  <c r="K175" i="1"/>
  <c r="L183" i="1"/>
  <c r="K183" i="1"/>
  <c r="L191" i="1"/>
  <c r="K191" i="1"/>
  <c r="L199" i="1"/>
  <c r="K199" i="1"/>
  <c r="L207" i="1"/>
  <c r="K207" i="1"/>
  <c r="L215" i="1"/>
  <c r="K215" i="1"/>
  <c r="L223" i="1"/>
  <c r="K223" i="1"/>
  <c r="L231" i="1"/>
  <c r="K231" i="1"/>
  <c r="L239" i="1"/>
  <c r="K239" i="1"/>
  <c r="L247" i="1"/>
  <c r="K247" i="1"/>
  <c r="L255" i="1"/>
  <c r="K255" i="1"/>
  <c r="L263" i="1"/>
  <c r="K263" i="1"/>
  <c r="L271" i="1"/>
  <c r="K271" i="1"/>
  <c r="L279" i="1"/>
  <c r="K279" i="1"/>
  <c r="L287" i="1"/>
  <c r="K287" i="1"/>
  <c r="L295" i="1"/>
  <c r="K295" i="1"/>
  <c r="L303" i="1"/>
  <c r="K303" i="1"/>
  <c r="L311" i="1"/>
  <c r="K311" i="1"/>
  <c r="L319" i="1"/>
  <c r="K319" i="1"/>
  <c r="L327" i="1"/>
  <c r="K327" i="1"/>
  <c r="L335" i="1"/>
  <c r="K335" i="1"/>
  <c r="L343" i="1"/>
  <c r="K343" i="1"/>
  <c r="L351" i="1"/>
  <c r="K351" i="1"/>
  <c r="L359" i="1"/>
  <c r="K359" i="1"/>
  <c r="L367" i="1"/>
  <c r="K367" i="1"/>
  <c r="L375" i="1"/>
  <c r="K375" i="1"/>
  <c r="L383" i="1"/>
  <c r="K383" i="1"/>
  <c r="L391" i="1"/>
  <c r="K391" i="1"/>
  <c r="L399" i="1"/>
  <c r="K399" i="1"/>
  <c r="L407" i="1"/>
  <c r="K407" i="1"/>
  <c r="L415" i="1"/>
  <c r="K415" i="1"/>
  <c r="L423" i="1"/>
  <c r="K423" i="1"/>
  <c r="L431" i="1"/>
  <c r="K431" i="1"/>
  <c r="L439" i="1"/>
  <c r="K439" i="1"/>
  <c r="L447" i="1"/>
  <c r="K447" i="1"/>
  <c r="L455" i="1"/>
  <c r="K455" i="1"/>
  <c r="K463" i="1"/>
  <c r="L463" i="1"/>
  <c r="L471" i="1"/>
  <c r="K471" i="1"/>
  <c r="L479" i="1"/>
  <c r="K479" i="1"/>
  <c r="L487" i="1"/>
  <c r="K487" i="1"/>
  <c r="L495" i="1"/>
  <c r="K495" i="1"/>
  <c r="L503" i="1"/>
  <c r="K503" i="1"/>
  <c r="L511" i="1"/>
  <c r="K511" i="1"/>
  <c r="L519" i="1"/>
  <c r="K519" i="1"/>
  <c r="L527" i="1"/>
  <c r="K527" i="1"/>
  <c r="L535" i="1"/>
  <c r="K535" i="1"/>
  <c r="L543" i="1"/>
  <c r="K543" i="1"/>
  <c r="L551" i="1"/>
  <c r="K551" i="1"/>
  <c r="L559" i="1"/>
  <c r="K559" i="1"/>
  <c r="L567" i="1"/>
  <c r="K567" i="1"/>
  <c r="L575" i="1"/>
  <c r="K575" i="1"/>
  <c r="L583" i="1"/>
  <c r="K583" i="1"/>
  <c r="L591" i="1"/>
  <c r="K591" i="1"/>
  <c r="L599" i="1"/>
  <c r="K599" i="1"/>
  <c r="K607" i="1"/>
  <c r="L607" i="1"/>
  <c r="L615" i="1"/>
  <c r="K615" i="1"/>
  <c r="L623" i="1"/>
  <c r="K623" i="1"/>
  <c r="K631" i="1"/>
  <c r="L631" i="1"/>
  <c r="L639" i="1"/>
  <c r="K639" i="1"/>
  <c r="L647" i="1"/>
  <c r="K647" i="1"/>
  <c r="L655" i="1"/>
  <c r="K655" i="1"/>
  <c r="L663" i="1"/>
  <c r="K663" i="1"/>
  <c r="L671" i="1"/>
  <c r="K671" i="1"/>
  <c r="L679" i="1"/>
  <c r="K679" i="1"/>
  <c r="K687" i="1"/>
  <c r="L687" i="1"/>
  <c r="K695" i="1"/>
  <c r="L695" i="1"/>
  <c r="L703" i="1"/>
  <c r="K703" i="1"/>
  <c r="L711" i="1"/>
  <c r="K711" i="1"/>
  <c r="L719" i="1"/>
  <c r="K719" i="1"/>
  <c r="K727" i="1"/>
  <c r="L727" i="1"/>
  <c r="L735" i="1"/>
  <c r="K735" i="1"/>
  <c r="L743" i="1"/>
  <c r="K743" i="1"/>
  <c r="L751" i="1"/>
  <c r="K751" i="1"/>
  <c r="K759" i="1"/>
  <c r="L759" i="1"/>
  <c r="L767" i="1"/>
  <c r="K767" i="1"/>
  <c r="L775" i="1"/>
  <c r="K775" i="1"/>
  <c r="L783" i="1"/>
  <c r="K783" i="1"/>
  <c r="L791" i="1"/>
  <c r="K791" i="1"/>
  <c r="L799" i="1"/>
  <c r="K799" i="1"/>
  <c r="L807" i="1"/>
  <c r="K807" i="1"/>
  <c r="L815" i="1"/>
  <c r="K815" i="1"/>
  <c r="K823" i="1"/>
  <c r="L823" i="1"/>
  <c r="L831" i="1"/>
  <c r="K831" i="1"/>
  <c r="L839" i="1"/>
  <c r="K839" i="1"/>
  <c r="L847" i="1"/>
  <c r="K847" i="1"/>
  <c r="L855" i="1"/>
  <c r="K855" i="1"/>
  <c r="L863" i="1"/>
  <c r="K863" i="1"/>
  <c r="K871" i="1"/>
  <c r="L871" i="1"/>
  <c r="L879" i="1"/>
  <c r="K879" i="1"/>
  <c r="L887" i="1"/>
  <c r="K887" i="1"/>
  <c r="L895" i="1"/>
  <c r="K895" i="1"/>
  <c r="K903" i="1"/>
  <c r="L903" i="1"/>
  <c r="L911" i="1"/>
  <c r="K911" i="1"/>
  <c r="L919" i="1"/>
  <c r="K919" i="1"/>
  <c r="L927" i="1"/>
  <c r="K927" i="1"/>
  <c r="L935" i="1"/>
  <c r="K935" i="1"/>
  <c r="L943" i="1"/>
  <c r="K943" i="1"/>
  <c r="K951" i="1"/>
  <c r="L951" i="1"/>
  <c r="L959" i="1"/>
  <c r="K959" i="1"/>
  <c r="L967" i="1"/>
  <c r="K967" i="1"/>
  <c r="L975" i="1"/>
  <c r="K975" i="1"/>
  <c r="L983" i="1"/>
  <c r="K983" i="1"/>
  <c r="L991" i="1"/>
  <c r="K991" i="1"/>
  <c r="G362" i="1"/>
  <c r="K26" i="1"/>
  <c r="L26" i="1"/>
  <c r="K34" i="1"/>
  <c r="L34" i="1"/>
  <c r="K42" i="1"/>
  <c r="L42" i="1"/>
  <c r="L50" i="1"/>
  <c r="K50" i="1"/>
  <c r="K58" i="1"/>
  <c r="L58" i="1"/>
  <c r="K66" i="1"/>
  <c r="L66" i="1"/>
  <c r="K74" i="1"/>
  <c r="L74" i="1"/>
  <c r="K82" i="1"/>
  <c r="L82" i="1"/>
  <c r="K90" i="1"/>
  <c r="L90" i="1"/>
  <c r="K98" i="1"/>
  <c r="L98" i="1"/>
  <c r="K106" i="1"/>
  <c r="L106" i="1"/>
  <c r="L114" i="1"/>
  <c r="K114" i="1"/>
  <c r="K122" i="1"/>
  <c r="L122" i="1"/>
  <c r="K130" i="1"/>
  <c r="L130" i="1"/>
  <c r="L138" i="1"/>
  <c r="K138" i="1"/>
  <c r="K146" i="1"/>
  <c r="L146" i="1"/>
  <c r="K154" i="1"/>
  <c r="L154" i="1"/>
  <c r="K162" i="1"/>
  <c r="L162" i="1"/>
  <c r="K170" i="1"/>
  <c r="L170" i="1"/>
  <c r="L178" i="1"/>
  <c r="K178" i="1"/>
  <c r="K186" i="1"/>
  <c r="L186" i="1"/>
  <c r="K194" i="1"/>
  <c r="L194" i="1"/>
  <c r="L202" i="1"/>
  <c r="K202" i="1"/>
  <c r="K210" i="1"/>
  <c r="L210" i="1"/>
  <c r="K218" i="1"/>
  <c r="L218" i="1"/>
  <c r="K226" i="1"/>
  <c r="L226" i="1"/>
  <c r="K234" i="1"/>
  <c r="L234" i="1"/>
  <c r="L242" i="1"/>
  <c r="K242" i="1"/>
  <c r="K250" i="1"/>
  <c r="L250" i="1"/>
  <c r="K258" i="1"/>
  <c r="L258" i="1"/>
  <c r="L266" i="1"/>
  <c r="K266" i="1"/>
  <c r="K274" i="1"/>
  <c r="L274" i="1"/>
  <c r="K282" i="1"/>
  <c r="L282" i="1"/>
  <c r="K290" i="1"/>
  <c r="L290" i="1"/>
  <c r="K298" i="1"/>
  <c r="L298" i="1"/>
  <c r="L306" i="1"/>
  <c r="K306" i="1"/>
  <c r="K314" i="1"/>
  <c r="L314" i="1"/>
  <c r="L322" i="1"/>
  <c r="K322" i="1"/>
  <c r="K330" i="1"/>
  <c r="L330" i="1"/>
  <c r="K338" i="1"/>
  <c r="L338" i="1"/>
  <c r="L346" i="1"/>
  <c r="K346" i="1"/>
  <c r="K354" i="1"/>
  <c r="L354" i="1"/>
  <c r="K362" i="1"/>
  <c r="L362" i="1"/>
  <c r="K370" i="1"/>
  <c r="L370" i="1"/>
  <c r="L378" i="1"/>
  <c r="K378" i="1"/>
  <c r="K386" i="1"/>
  <c r="L386" i="1"/>
  <c r="K394" i="1"/>
  <c r="L394" i="1"/>
  <c r="K402" i="1"/>
  <c r="L402" i="1"/>
  <c r="L410" i="1"/>
  <c r="K410" i="1"/>
  <c r="K418" i="1"/>
  <c r="L418" i="1"/>
  <c r="L426" i="1"/>
  <c r="K426" i="1"/>
  <c r="K434" i="1"/>
  <c r="L434" i="1"/>
  <c r="K442" i="1"/>
  <c r="L442" i="1"/>
  <c r="K450" i="1"/>
  <c r="L450" i="1"/>
  <c r="L458" i="1"/>
  <c r="K458" i="1"/>
  <c r="K466" i="1"/>
  <c r="L466" i="1"/>
  <c r="L474" i="1"/>
  <c r="K474" i="1"/>
  <c r="L482" i="1"/>
  <c r="K482" i="1"/>
  <c r="K490" i="1"/>
  <c r="L490" i="1"/>
  <c r="K498" i="1"/>
  <c r="L498" i="1"/>
  <c r="K506" i="1"/>
  <c r="L506" i="1"/>
  <c r="L514" i="1"/>
  <c r="K514" i="1"/>
  <c r="K522" i="1"/>
  <c r="L522" i="1"/>
  <c r="K530" i="1"/>
  <c r="L530" i="1"/>
  <c r="L538" i="1"/>
  <c r="K538" i="1"/>
  <c r="L546" i="1"/>
  <c r="K546" i="1"/>
  <c r="K554" i="1"/>
  <c r="L554" i="1"/>
  <c r="L562" i="1"/>
  <c r="K562" i="1"/>
  <c r="L570" i="1"/>
  <c r="K570" i="1"/>
  <c r="K578" i="1"/>
  <c r="L578" i="1"/>
  <c r="L586" i="1"/>
  <c r="K586" i="1"/>
  <c r="L594" i="1"/>
  <c r="K594" i="1"/>
  <c r="L602" i="1"/>
  <c r="K602" i="1"/>
  <c r="L610" i="1"/>
  <c r="K610" i="1"/>
  <c r="L618" i="1"/>
  <c r="K618" i="1"/>
  <c r="L626" i="1"/>
  <c r="K626" i="1"/>
  <c r="K634" i="1"/>
  <c r="L634" i="1"/>
  <c r="L642" i="1"/>
  <c r="K642" i="1"/>
  <c r="L650" i="1"/>
  <c r="K650" i="1"/>
  <c r="K658" i="1"/>
  <c r="L658" i="1"/>
  <c r="L666" i="1"/>
  <c r="K666" i="1"/>
  <c r="L674" i="1"/>
  <c r="K674" i="1"/>
  <c r="L682" i="1"/>
  <c r="K682" i="1"/>
  <c r="K690" i="1"/>
  <c r="L690" i="1"/>
  <c r="L698" i="1"/>
  <c r="K698" i="1"/>
  <c r="L706" i="1"/>
  <c r="K706" i="1"/>
  <c r="L714" i="1"/>
  <c r="K714" i="1"/>
  <c r="K722" i="1"/>
  <c r="L722" i="1"/>
  <c r="L730" i="1"/>
  <c r="K730" i="1"/>
  <c r="L738" i="1"/>
  <c r="K738" i="1"/>
  <c r="L746" i="1"/>
  <c r="K746" i="1"/>
  <c r="L754" i="1"/>
  <c r="K754" i="1"/>
  <c r="L762" i="1"/>
  <c r="K762" i="1"/>
  <c r="K770" i="1"/>
  <c r="L770" i="1"/>
  <c r="L778" i="1"/>
  <c r="K778" i="1"/>
  <c r="K786" i="1"/>
  <c r="L786" i="1"/>
  <c r="L794" i="1"/>
  <c r="K794" i="1"/>
  <c r="L802" i="1"/>
  <c r="K802" i="1"/>
  <c r="L810" i="1"/>
  <c r="K810" i="1"/>
  <c r="L818" i="1"/>
  <c r="K818" i="1"/>
  <c r="L826" i="1"/>
  <c r="K826" i="1"/>
  <c r="L834" i="1"/>
  <c r="K834" i="1"/>
  <c r="L842" i="1"/>
  <c r="K842" i="1"/>
  <c r="L850" i="1"/>
  <c r="K850" i="1"/>
  <c r="L858" i="1"/>
  <c r="K858" i="1"/>
  <c r="K866" i="1"/>
  <c r="L866" i="1"/>
  <c r="L874" i="1"/>
  <c r="K874" i="1"/>
  <c r="L882" i="1"/>
  <c r="K882" i="1"/>
  <c r="L890" i="1"/>
  <c r="K890" i="1"/>
  <c r="L898" i="1"/>
  <c r="K898" i="1"/>
  <c r="L906" i="1"/>
  <c r="K906" i="1"/>
  <c r="K914" i="1"/>
  <c r="L914" i="1"/>
  <c r="L922" i="1"/>
  <c r="K922" i="1"/>
  <c r="L930" i="1"/>
  <c r="K930" i="1"/>
  <c r="K938" i="1"/>
  <c r="L938" i="1"/>
  <c r="L946" i="1"/>
  <c r="K946" i="1"/>
  <c r="L954" i="1"/>
  <c r="K954" i="1"/>
  <c r="L962" i="1"/>
  <c r="K962" i="1"/>
  <c r="L970" i="1"/>
  <c r="K970" i="1"/>
  <c r="K978" i="1"/>
  <c r="L978" i="1"/>
  <c r="L986" i="1"/>
  <c r="K986" i="1"/>
  <c r="K994" i="1"/>
  <c r="L994" i="1"/>
  <c r="L28" i="1"/>
  <c r="K28" i="1"/>
  <c r="L36" i="1"/>
  <c r="K36" i="1"/>
  <c r="L44" i="1"/>
  <c r="K44" i="1"/>
  <c r="L52" i="1"/>
  <c r="K52" i="1"/>
  <c r="L60" i="1"/>
  <c r="K60" i="1"/>
  <c r="L68" i="1"/>
  <c r="K68" i="1"/>
  <c r="L76" i="1"/>
  <c r="K76" i="1"/>
  <c r="L84" i="1"/>
  <c r="K84" i="1"/>
  <c r="K92" i="1"/>
  <c r="L92" i="1"/>
  <c r="L100" i="1"/>
  <c r="K100" i="1"/>
  <c r="L108" i="1"/>
  <c r="K108" i="1"/>
  <c r="L116" i="1"/>
  <c r="K116" i="1"/>
  <c r="L124" i="1"/>
  <c r="K124" i="1"/>
  <c r="L132" i="1"/>
  <c r="K132" i="1"/>
  <c r="L140" i="1"/>
  <c r="K140" i="1"/>
  <c r="L148" i="1"/>
  <c r="K148" i="1"/>
  <c r="L156" i="1"/>
  <c r="K156" i="1"/>
  <c r="L164" i="1"/>
  <c r="K164" i="1"/>
  <c r="L172" i="1"/>
  <c r="K172" i="1"/>
  <c r="L180" i="1"/>
  <c r="K180" i="1"/>
  <c r="L188" i="1"/>
  <c r="K188" i="1"/>
  <c r="L196" i="1"/>
  <c r="K196" i="1"/>
  <c r="K204" i="1"/>
  <c r="L204" i="1"/>
  <c r="L212" i="1"/>
  <c r="K212" i="1"/>
  <c r="L220" i="1"/>
  <c r="K220" i="1"/>
  <c r="L228" i="1"/>
  <c r="K228" i="1"/>
  <c r="K236" i="1"/>
  <c r="L236" i="1"/>
  <c r="L244" i="1"/>
  <c r="K244" i="1"/>
  <c r="K252" i="1"/>
  <c r="L252" i="1"/>
  <c r="L260" i="1"/>
  <c r="K260" i="1"/>
  <c r="K268" i="1"/>
  <c r="L268" i="1"/>
  <c r="L276" i="1"/>
  <c r="K276" i="1"/>
  <c r="L284" i="1"/>
  <c r="K284" i="1"/>
  <c r="L292" i="1"/>
  <c r="K292" i="1"/>
  <c r="K300" i="1"/>
  <c r="L300" i="1"/>
  <c r="L308" i="1"/>
  <c r="K308" i="1"/>
  <c r="L316" i="1"/>
  <c r="K316" i="1"/>
  <c r="L324" i="1"/>
  <c r="K324" i="1"/>
  <c r="K332" i="1"/>
  <c r="L332" i="1"/>
  <c r="L340" i="1"/>
  <c r="K340" i="1"/>
  <c r="L348" i="1"/>
  <c r="K348" i="1"/>
  <c r="L356" i="1"/>
  <c r="K356" i="1"/>
  <c r="L364" i="1"/>
  <c r="K364" i="1"/>
  <c r="L372" i="1"/>
  <c r="K372" i="1"/>
  <c r="K380" i="1"/>
  <c r="L380" i="1"/>
  <c r="L388" i="1"/>
  <c r="K388" i="1"/>
  <c r="L396" i="1"/>
  <c r="K396" i="1"/>
  <c r="L404" i="1"/>
  <c r="K404" i="1"/>
  <c r="L412" i="1"/>
  <c r="K412" i="1"/>
  <c r="L420" i="1"/>
  <c r="K420" i="1"/>
  <c r="L428" i="1"/>
  <c r="K428" i="1"/>
  <c r="L436" i="1"/>
  <c r="K436" i="1"/>
  <c r="L444" i="1"/>
  <c r="K444" i="1"/>
  <c r="L452" i="1"/>
  <c r="K452" i="1"/>
  <c r="L460" i="1"/>
  <c r="K460" i="1"/>
  <c r="L468" i="1"/>
  <c r="K468" i="1"/>
  <c r="L476" i="1"/>
  <c r="K476" i="1"/>
  <c r="L484" i="1"/>
  <c r="K484" i="1"/>
  <c r="L492" i="1"/>
  <c r="K492" i="1"/>
  <c r="L500" i="1"/>
  <c r="K500" i="1"/>
  <c r="L508" i="1"/>
  <c r="K508" i="1"/>
  <c r="L516" i="1"/>
  <c r="K516" i="1"/>
  <c r="K524" i="1"/>
  <c r="L524" i="1"/>
  <c r="L532" i="1"/>
  <c r="K532" i="1"/>
  <c r="L540" i="1"/>
  <c r="K540" i="1"/>
  <c r="L548" i="1"/>
  <c r="K548" i="1"/>
  <c r="L556" i="1"/>
  <c r="K556" i="1"/>
  <c r="K564" i="1"/>
  <c r="L564" i="1"/>
  <c r="L572" i="1"/>
  <c r="K572" i="1"/>
  <c r="L580" i="1"/>
  <c r="K580" i="1"/>
  <c r="L588" i="1"/>
  <c r="K588" i="1"/>
  <c r="L596" i="1"/>
  <c r="K596" i="1"/>
  <c r="L604" i="1"/>
  <c r="K604" i="1"/>
  <c r="L612" i="1"/>
  <c r="K612" i="1"/>
  <c r="L620" i="1"/>
  <c r="K620" i="1"/>
  <c r="L628" i="1"/>
  <c r="K628" i="1"/>
  <c r="L636" i="1"/>
  <c r="K636" i="1"/>
  <c r="K644" i="1"/>
  <c r="L644" i="1"/>
  <c r="L652" i="1"/>
  <c r="K652" i="1"/>
  <c r="L660" i="1"/>
  <c r="K660" i="1"/>
  <c r="L668" i="1"/>
  <c r="K668" i="1"/>
  <c r="L676" i="1"/>
  <c r="K676" i="1"/>
  <c r="L684" i="1"/>
  <c r="K684" i="1"/>
  <c r="L692" i="1"/>
  <c r="K692" i="1"/>
  <c r="K700" i="1"/>
  <c r="L700" i="1"/>
  <c r="K708" i="1"/>
  <c r="L708" i="1"/>
  <c r="L716" i="1"/>
  <c r="K716" i="1"/>
  <c r="L724" i="1"/>
  <c r="K724" i="1"/>
  <c r="K732" i="1"/>
  <c r="L732" i="1"/>
  <c r="L740" i="1"/>
  <c r="K740" i="1"/>
  <c r="K748" i="1"/>
  <c r="L748" i="1"/>
  <c r="K756" i="1"/>
  <c r="L756" i="1"/>
  <c r="K764" i="1"/>
  <c r="L764" i="1"/>
  <c r="L772" i="1"/>
  <c r="K772" i="1"/>
  <c r="K780" i="1"/>
  <c r="L780" i="1"/>
  <c r="L788" i="1"/>
  <c r="K788" i="1"/>
  <c r="K796" i="1"/>
  <c r="L796" i="1"/>
  <c r="L804" i="1"/>
  <c r="K804" i="1"/>
  <c r="L812" i="1"/>
  <c r="K812" i="1"/>
  <c r="L820" i="1"/>
  <c r="K820" i="1"/>
  <c r="L828" i="1"/>
  <c r="K828" i="1"/>
  <c r="L836" i="1"/>
  <c r="K836" i="1"/>
  <c r="L844" i="1"/>
  <c r="K844" i="1"/>
  <c r="K852" i="1"/>
  <c r="L852" i="1"/>
  <c r="L860" i="1"/>
  <c r="K860" i="1"/>
  <c r="L868" i="1"/>
  <c r="K868" i="1"/>
  <c r="L876" i="1"/>
  <c r="K876" i="1"/>
  <c r="K884" i="1"/>
  <c r="L884" i="1"/>
  <c r="L892" i="1"/>
  <c r="K892" i="1"/>
  <c r="L900" i="1"/>
  <c r="K900" i="1"/>
  <c r="L908" i="1"/>
  <c r="K908" i="1"/>
  <c r="K916" i="1"/>
  <c r="L916" i="1"/>
  <c r="L924" i="1"/>
  <c r="K924" i="1"/>
  <c r="L932" i="1"/>
  <c r="K932" i="1"/>
  <c r="L940" i="1"/>
  <c r="K940" i="1"/>
  <c r="L948" i="1"/>
  <c r="K948" i="1"/>
  <c r="L956" i="1"/>
  <c r="K956" i="1"/>
  <c r="L964" i="1"/>
  <c r="K964" i="1"/>
  <c r="L972" i="1"/>
  <c r="K972" i="1"/>
  <c r="L980" i="1"/>
  <c r="K980" i="1"/>
  <c r="L988" i="1"/>
  <c r="K988" i="1"/>
  <c r="G238" i="1"/>
  <c r="L29" i="1"/>
  <c r="K29" i="1"/>
  <c r="L37" i="1"/>
  <c r="K37" i="1"/>
  <c r="L45" i="1"/>
  <c r="K45" i="1"/>
  <c r="L53" i="1"/>
  <c r="K53" i="1"/>
  <c r="L61" i="1"/>
  <c r="K61" i="1"/>
  <c r="L69" i="1"/>
  <c r="K69" i="1"/>
  <c r="L77" i="1"/>
  <c r="K77" i="1"/>
  <c r="K85" i="1"/>
  <c r="L85" i="1"/>
  <c r="L93" i="1"/>
  <c r="K93" i="1"/>
  <c r="L101" i="1"/>
  <c r="K101" i="1"/>
  <c r="L109" i="1"/>
  <c r="K109" i="1"/>
  <c r="L117" i="1"/>
  <c r="K117" i="1"/>
  <c r="L125" i="1"/>
  <c r="K125" i="1"/>
  <c r="L133" i="1"/>
  <c r="K133" i="1"/>
  <c r="L141" i="1"/>
  <c r="K141" i="1"/>
  <c r="L149" i="1"/>
  <c r="K149" i="1"/>
  <c r="L157" i="1"/>
  <c r="K157" i="1"/>
  <c r="L165" i="1"/>
  <c r="K165" i="1"/>
  <c r="L173" i="1"/>
  <c r="K173" i="1"/>
  <c r="L181" i="1"/>
  <c r="K181" i="1"/>
  <c r="L189" i="1"/>
  <c r="K189" i="1"/>
  <c r="L197" i="1"/>
  <c r="K197" i="1"/>
  <c r="L205" i="1"/>
  <c r="K205" i="1"/>
  <c r="L213" i="1"/>
  <c r="K213" i="1"/>
  <c r="L221" i="1"/>
  <c r="K221" i="1"/>
  <c r="L229" i="1"/>
  <c r="K229" i="1"/>
  <c r="L237" i="1"/>
  <c r="K237" i="1"/>
  <c r="L245" i="1"/>
  <c r="K245" i="1"/>
  <c r="L253" i="1"/>
  <c r="K253" i="1"/>
  <c r="L261" i="1"/>
  <c r="K261" i="1"/>
  <c r="L269" i="1"/>
  <c r="K269" i="1"/>
  <c r="K277" i="1"/>
  <c r="L277" i="1"/>
  <c r="K285" i="1"/>
  <c r="L285" i="1"/>
  <c r="L293" i="1"/>
  <c r="K293" i="1"/>
  <c r="L301" i="1"/>
  <c r="K301" i="1"/>
  <c r="K309" i="1"/>
  <c r="L309" i="1"/>
  <c r="L317" i="1"/>
  <c r="K317" i="1"/>
  <c r="L325" i="1"/>
  <c r="K325" i="1"/>
  <c r="L333" i="1"/>
  <c r="K333" i="1"/>
  <c r="K341" i="1"/>
  <c r="L341" i="1"/>
  <c r="L349" i="1"/>
  <c r="K349" i="1"/>
  <c r="L357" i="1"/>
  <c r="K357" i="1"/>
  <c r="L365" i="1"/>
  <c r="K365" i="1"/>
  <c r="L373" i="1"/>
  <c r="K373" i="1"/>
  <c r="L381" i="1"/>
  <c r="K381" i="1"/>
  <c r="L389" i="1"/>
  <c r="K389" i="1"/>
  <c r="L397" i="1"/>
  <c r="K397" i="1"/>
  <c r="L405" i="1"/>
  <c r="K405" i="1"/>
  <c r="L413" i="1"/>
  <c r="K413" i="1"/>
  <c r="L421" i="1"/>
  <c r="K421" i="1"/>
  <c r="L429" i="1"/>
  <c r="K429" i="1"/>
  <c r="L437" i="1"/>
  <c r="K437" i="1"/>
  <c r="L445" i="1"/>
  <c r="K445" i="1"/>
  <c r="K453" i="1"/>
  <c r="L453" i="1"/>
  <c r="L461" i="1"/>
  <c r="K461" i="1"/>
  <c r="L469" i="1"/>
  <c r="K469" i="1"/>
  <c r="K477" i="1"/>
  <c r="L477" i="1"/>
  <c r="L485" i="1"/>
  <c r="K485" i="1"/>
  <c r="L493" i="1"/>
  <c r="K493" i="1"/>
  <c r="L501" i="1"/>
  <c r="K501" i="1"/>
  <c r="L509" i="1"/>
  <c r="K509" i="1"/>
  <c r="L517" i="1"/>
  <c r="K517" i="1"/>
  <c r="L525" i="1"/>
  <c r="K525" i="1"/>
  <c r="K533" i="1"/>
  <c r="L533" i="1"/>
  <c r="K541" i="1"/>
  <c r="L541" i="1"/>
  <c r="K549" i="1"/>
  <c r="L549" i="1"/>
  <c r="L557" i="1"/>
  <c r="K557" i="1"/>
  <c r="K565" i="1"/>
  <c r="L565" i="1"/>
  <c r="K573" i="1"/>
  <c r="L573" i="1"/>
  <c r="K581" i="1"/>
  <c r="L581" i="1"/>
  <c r="K589" i="1"/>
  <c r="L589" i="1"/>
  <c r="K597" i="1"/>
  <c r="L597" i="1"/>
  <c r="K605" i="1"/>
  <c r="L605" i="1"/>
  <c r="K613" i="1"/>
  <c r="L613" i="1"/>
  <c r="L621" i="1"/>
  <c r="K621" i="1"/>
  <c r="K629" i="1"/>
  <c r="L629" i="1"/>
  <c r="K637" i="1"/>
  <c r="L637" i="1"/>
  <c r="K645" i="1"/>
  <c r="L645" i="1"/>
  <c r="K653" i="1"/>
  <c r="L653" i="1"/>
  <c r="K661" i="1"/>
  <c r="L661" i="1"/>
  <c r="K669" i="1"/>
  <c r="L669" i="1"/>
  <c r="K677" i="1"/>
  <c r="L677" i="1"/>
  <c r="L685" i="1"/>
  <c r="K685" i="1"/>
  <c r="K693" i="1"/>
  <c r="L693" i="1"/>
  <c r="K701" i="1"/>
  <c r="L701" i="1"/>
  <c r="K709" i="1"/>
  <c r="L709" i="1"/>
  <c r="K717" i="1"/>
  <c r="L717" i="1"/>
  <c r="K725" i="1"/>
  <c r="L725" i="1"/>
  <c r="K733" i="1"/>
  <c r="L733" i="1"/>
  <c r="K741" i="1"/>
  <c r="L741" i="1"/>
  <c r="L749" i="1"/>
  <c r="K749" i="1"/>
  <c r="K757" i="1"/>
  <c r="L757" i="1"/>
  <c r="K765" i="1"/>
  <c r="L765" i="1"/>
  <c r="L773" i="1"/>
  <c r="K773" i="1"/>
  <c r="K781" i="1"/>
  <c r="L781" i="1"/>
  <c r="K789" i="1"/>
  <c r="L789" i="1"/>
  <c r="K797" i="1"/>
  <c r="L797" i="1"/>
  <c r="K805" i="1"/>
  <c r="L805" i="1"/>
  <c r="L813" i="1"/>
  <c r="K813" i="1"/>
  <c r="K821" i="1"/>
  <c r="L821" i="1"/>
  <c r="K829" i="1"/>
  <c r="L829" i="1"/>
  <c r="L837" i="1"/>
  <c r="K837" i="1"/>
  <c r="K845" i="1"/>
  <c r="L845" i="1"/>
  <c r="K853" i="1"/>
  <c r="L853" i="1"/>
  <c r="K861" i="1"/>
  <c r="L861" i="1"/>
  <c r="K869" i="1"/>
  <c r="L869" i="1"/>
  <c r="L877" i="1"/>
  <c r="K877" i="1"/>
  <c r="K885" i="1"/>
  <c r="L885" i="1"/>
  <c r="K893" i="1"/>
  <c r="L893" i="1"/>
  <c r="L901" i="1"/>
  <c r="K901" i="1"/>
  <c r="K909" i="1"/>
  <c r="L909" i="1"/>
  <c r="K917" i="1"/>
  <c r="L917" i="1"/>
  <c r="K925" i="1"/>
  <c r="L925" i="1"/>
  <c r="K933" i="1"/>
  <c r="L933" i="1"/>
  <c r="L941" i="1"/>
  <c r="K941" i="1"/>
  <c r="K949" i="1"/>
  <c r="L949" i="1"/>
  <c r="K957" i="1"/>
  <c r="L957" i="1"/>
  <c r="L965" i="1"/>
  <c r="K965" i="1"/>
  <c r="K973" i="1"/>
  <c r="L973" i="1"/>
  <c r="K981" i="1"/>
  <c r="L981" i="1"/>
  <c r="K989" i="1"/>
  <c r="L989" i="1"/>
  <c r="S958" i="1"/>
  <c r="Q901" i="1"/>
  <c r="Q373" i="1"/>
  <c r="Q38" i="1"/>
  <c r="Q453" i="1"/>
  <c r="Q819" i="1"/>
  <c r="Q137" i="1"/>
  <c r="Q283" i="1"/>
  <c r="Q621" i="1"/>
  <c r="S621" i="1"/>
  <c r="Q875" i="1"/>
  <c r="S469" i="1"/>
  <c r="S317" i="1"/>
  <c r="Q962" i="1"/>
  <c r="Q419" i="1"/>
  <c r="S166" i="1"/>
  <c r="D34" i="1"/>
  <c r="G34" i="1"/>
  <c r="D41" i="1"/>
  <c r="G41" i="1"/>
  <c r="D994" i="1"/>
  <c r="D476" i="1"/>
  <c r="D482" i="1"/>
  <c r="D489" i="1"/>
  <c r="G489" i="1"/>
  <c r="D509" i="1"/>
  <c r="G509" i="1"/>
  <c r="G544" i="1"/>
  <c r="D544" i="1"/>
  <c r="D550" i="1"/>
  <c r="G550" i="1"/>
  <c r="D564" i="1"/>
  <c r="G564" i="1"/>
  <c r="D351" i="1"/>
  <c r="D397" i="1"/>
  <c r="G397" i="1"/>
  <c r="D860" i="1"/>
  <c r="G860" i="1"/>
  <c r="D879" i="1"/>
  <c r="G879" i="1"/>
  <c r="D921" i="1"/>
  <c r="G921" i="1"/>
  <c r="D944" i="1"/>
  <c r="G944" i="1"/>
  <c r="D276" i="1"/>
  <c r="G276" i="1"/>
  <c r="D283" i="1"/>
  <c r="D289" i="1"/>
  <c r="G289" i="1"/>
  <c r="D295" i="1"/>
  <c r="D303" i="1"/>
  <c r="D310" i="1"/>
  <c r="G310" i="1"/>
  <c r="D329" i="1"/>
  <c r="G329" i="1"/>
  <c r="D337" i="1"/>
  <c r="G337" i="1"/>
  <c r="D800" i="1"/>
  <c r="D814" i="1"/>
  <c r="D821" i="1"/>
  <c r="G821" i="1"/>
  <c r="G937" i="1"/>
  <c r="S550" i="1"/>
  <c r="Q550" i="1"/>
  <c r="D793" i="1"/>
  <c r="G793" i="1"/>
  <c r="D413" i="1"/>
  <c r="G413" i="1"/>
  <c r="D854" i="1"/>
  <c r="G854" i="1"/>
  <c r="D874" i="1"/>
  <c r="G874" i="1"/>
  <c r="D894" i="1"/>
  <c r="G894" i="1"/>
  <c r="D914" i="1"/>
  <c r="G914" i="1"/>
  <c r="D929" i="1"/>
  <c r="D958" i="1"/>
  <c r="D215" i="1"/>
  <c r="G215" i="1"/>
  <c r="G54" i="1"/>
  <c r="D54" i="1"/>
  <c r="D61" i="1"/>
  <c r="G61" i="1"/>
  <c r="D76" i="1"/>
  <c r="G76" i="1"/>
  <c r="D91" i="1"/>
  <c r="D97" i="1"/>
  <c r="G97" i="1"/>
  <c r="D113" i="1"/>
  <c r="G113" i="1"/>
  <c r="D149" i="1"/>
  <c r="D156" i="1"/>
  <c r="D200" i="1"/>
  <c r="G200" i="1"/>
  <c r="D208" i="1"/>
  <c r="G208" i="1"/>
  <c r="D710" i="1"/>
  <c r="G710" i="1"/>
  <c r="D723" i="1"/>
  <c r="G731" i="1"/>
  <c r="D731" i="1"/>
  <c r="D758" i="1"/>
  <c r="G758" i="1"/>
  <c r="D766" i="1"/>
  <c r="G766" i="1"/>
  <c r="D344" i="1"/>
  <c r="G344" i="1"/>
  <c r="D405" i="1"/>
  <c r="D901" i="1"/>
  <c r="G901" i="1"/>
  <c r="D965" i="1"/>
  <c r="D243" i="1"/>
  <c r="G243" i="1"/>
  <c r="D786" i="1"/>
  <c r="G786" i="1"/>
  <c r="G303" i="1"/>
  <c r="G351" i="1"/>
  <c r="G295" i="1"/>
  <c r="G800" i="1"/>
  <c r="D48" i="1"/>
  <c r="G48" i="1"/>
  <c r="D613" i="1"/>
  <c r="G613" i="1"/>
  <c r="D620" i="1"/>
  <c r="D641" i="1"/>
  <c r="G641" i="1"/>
  <c r="D649" i="1"/>
  <c r="G649" i="1"/>
  <c r="D62" i="1"/>
  <c r="D114" i="1"/>
  <c r="D127" i="1"/>
  <c r="D134" i="1"/>
  <c r="D142" i="1"/>
  <c r="G142" i="1"/>
  <c r="D209" i="1"/>
  <c r="G209" i="1"/>
  <c r="D216" i="1"/>
  <c r="D222" i="1"/>
  <c r="D264" i="1"/>
  <c r="D284" i="1"/>
  <c r="D290" i="1"/>
  <c r="D296" i="1"/>
  <c r="G296" i="1"/>
  <c r="D352" i="1"/>
  <c r="D373" i="1"/>
  <c r="D414" i="1"/>
  <c r="G414" i="1"/>
  <c r="D421" i="1"/>
  <c r="G421" i="1"/>
  <c r="D470" i="1"/>
  <c r="D477" i="1"/>
  <c r="D545" i="1"/>
  <c r="D572" i="1"/>
  <c r="D595" i="1"/>
  <c r="D602" i="1"/>
  <c r="D628" i="1"/>
  <c r="D650" i="1"/>
  <c r="D671" i="1"/>
  <c r="D693" i="1"/>
  <c r="D739" i="1"/>
  <c r="D746" i="1"/>
  <c r="G787" i="1"/>
  <c r="D787" i="1"/>
  <c r="G829" i="1"/>
  <c r="D829" i="1"/>
  <c r="D842" i="1"/>
  <c r="D848" i="1"/>
  <c r="G848" i="1"/>
  <c r="D988" i="1"/>
  <c r="G988" i="1"/>
  <c r="G781" i="1"/>
  <c r="G134" i="1"/>
  <c r="G352" i="1"/>
  <c r="G290" i="1"/>
  <c r="G700" i="1"/>
  <c r="G62" i="1"/>
  <c r="G876" i="1"/>
  <c r="G43" i="1"/>
  <c r="D43" i="1"/>
  <c r="D78" i="1"/>
  <c r="D173" i="1"/>
  <c r="D181" i="1"/>
  <c r="D188" i="1"/>
  <c r="D210" i="1"/>
  <c r="D230" i="1"/>
  <c r="D270" i="1"/>
  <c r="G270" i="1"/>
  <c r="D324" i="1"/>
  <c r="G324" i="1"/>
  <c r="D450" i="1"/>
  <c r="D458" i="1"/>
  <c r="D471" i="1"/>
  <c r="G471" i="1"/>
  <c r="D491" i="1"/>
  <c r="D511" i="1"/>
  <c r="D517" i="1"/>
  <c r="D524" i="1"/>
  <c r="D552" i="1"/>
  <c r="D581" i="1"/>
  <c r="G581" i="1"/>
  <c r="D596" i="1"/>
  <c r="D603" i="1"/>
  <c r="D622" i="1"/>
  <c r="D643" i="1"/>
  <c r="D651" i="1"/>
  <c r="G651" i="1"/>
  <c r="D680" i="1"/>
  <c r="G680" i="1"/>
  <c r="D706" i="1"/>
  <c r="D733" i="1"/>
  <c r="D760" i="1"/>
  <c r="D802" i="1"/>
  <c r="G802" i="1"/>
  <c r="D823" i="1"/>
  <c r="D881" i="1"/>
  <c r="D903" i="1"/>
  <c r="G903" i="1"/>
  <c r="D909" i="1"/>
  <c r="D916" i="1"/>
  <c r="G931" i="1"/>
  <c r="D931" i="1"/>
  <c r="D946" i="1"/>
  <c r="D967" i="1"/>
  <c r="D24" i="1"/>
  <c r="D144" i="1"/>
  <c r="D151" i="1"/>
  <c r="D174" i="1"/>
  <c r="G174" i="1"/>
  <c r="D182" i="1"/>
  <c r="D271" i="1"/>
  <c r="G271" i="1"/>
  <c r="D298" i="1"/>
  <c r="G298" i="1"/>
  <c r="G368" i="1"/>
  <c r="D368" i="1"/>
  <c r="D375" i="1"/>
  <c r="G381" i="1"/>
  <c r="D381" i="1"/>
  <c r="D423" i="1"/>
  <c r="D430" i="1"/>
  <c r="D438" i="1"/>
  <c r="G438" i="1"/>
  <c r="D451" i="1"/>
  <c r="G451" i="1"/>
  <c r="D492" i="1"/>
  <c r="D498" i="1"/>
  <c r="D525" i="1"/>
  <c r="D574" i="1"/>
  <c r="D582" i="1"/>
  <c r="G597" i="1"/>
  <c r="D597" i="1"/>
  <c r="D644" i="1"/>
  <c r="D665" i="1"/>
  <c r="D673" i="1"/>
  <c r="G673" i="1"/>
  <c r="D810" i="1"/>
  <c r="D857" i="1"/>
  <c r="G863" i="1"/>
  <c r="D863" i="1"/>
  <c r="D869" i="1"/>
  <c r="D882" i="1"/>
  <c r="G882" i="1"/>
  <c r="D889" i="1"/>
  <c r="D910" i="1"/>
  <c r="D953" i="1"/>
  <c r="D968" i="1"/>
  <c r="G968" i="1"/>
  <c r="D990" i="1"/>
  <c r="G990" i="1"/>
  <c r="G71" i="1"/>
  <c r="G432" i="1"/>
  <c r="G197" i="1"/>
  <c r="G216" i="1"/>
  <c r="G151" i="1"/>
  <c r="G975" i="1"/>
  <c r="G746" i="1"/>
  <c r="G869" i="1"/>
  <c r="G252" i="1"/>
  <c r="G889" i="1"/>
  <c r="G258" i="1"/>
  <c r="G589" i="1"/>
  <c r="G572" i="1"/>
  <c r="S397" i="1"/>
  <c r="G222" i="1"/>
  <c r="D25" i="1"/>
  <c r="D232" i="1"/>
  <c r="G232" i="1"/>
  <c r="D239" i="1"/>
  <c r="G319" i="1"/>
  <c r="D319" i="1"/>
  <c r="G333" i="1"/>
  <c r="D333" i="1"/>
  <c r="D347" i="1"/>
  <c r="G347" i="1"/>
  <c r="D417" i="1"/>
  <c r="D431" i="1"/>
  <c r="G431" i="1"/>
  <c r="D473" i="1"/>
  <c r="G473" i="1"/>
  <c r="D485" i="1"/>
  <c r="D519" i="1"/>
  <c r="D533" i="1"/>
  <c r="D540" i="1"/>
  <c r="G540" i="1"/>
  <c r="D554" i="1"/>
  <c r="D568" i="1"/>
  <c r="D575" i="1"/>
  <c r="D610" i="1"/>
  <c r="D631" i="1"/>
  <c r="D645" i="1"/>
  <c r="G645" i="1"/>
  <c r="D674" i="1"/>
  <c r="D696" i="1"/>
  <c r="D719" i="1"/>
  <c r="D770" i="1"/>
  <c r="D782" i="1"/>
  <c r="G782" i="1"/>
  <c r="D804" i="1"/>
  <c r="D851" i="1"/>
  <c r="D870" i="1"/>
  <c r="D948" i="1"/>
  <c r="D962" i="1"/>
  <c r="G962" i="1"/>
  <c r="D976" i="1"/>
  <c r="D983" i="1"/>
  <c r="G983" i="1"/>
  <c r="D991" i="1"/>
  <c r="G991" i="1"/>
  <c r="D102" i="1"/>
  <c r="G102" i="1"/>
  <c r="D110" i="1"/>
  <c r="G110" i="1"/>
  <c r="D168" i="1"/>
  <c r="D293" i="1"/>
  <c r="D394" i="1"/>
  <c r="D410" i="1"/>
  <c r="G410" i="1"/>
  <c r="D440" i="1"/>
  <c r="G440" i="1"/>
  <c r="D453" i="1"/>
  <c r="D520" i="1"/>
  <c r="D541" i="1"/>
  <c r="G569" i="1"/>
  <c r="D569" i="1"/>
  <c r="D625" i="1"/>
  <c r="D697" i="1"/>
  <c r="D763" i="1"/>
  <c r="G763" i="1"/>
  <c r="D791" i="1"/>
  <c r="G791" i="1"/>
  <c r="D884" i="1"/>
  <c r="G884" i="1"/>
  <c r="D898" i="1"/>
  <c r="D918" i="1"/>
  <c r="D934" i="1"/>
  <c r="G229" i="1"/>
  <c r="G444" i="1"/>
  <c r="G492" i="1"/>
  <c r="G373" i="1"/>
  <c r="G203" i="1"/>
  <c r="G628" i="1"/>
  <c r="G498" i="1"/>
  <c r="G525" i="1"/>
  <c r="G625" i="1"/>
  <c r="G705" i="1"/>
  <c r="D74" i="1"/>
  <c r="D111" i="1"/>
  <c r="D147" i="1"/>
  <c r="D161" i="1"/>
  <c r="G161" i="1"/>
  <c r="D198" i="1"/>
  <c r="D357" i="1"/>
  <c r="D363" i="1"/>
  <c r="D371" i="1"/>
  <c r="G371" i="1"/>
  <c r="D395" i="1"/>
  <c r="D426" i="1"/>
  <c r="D433" i="1"/>
  <c r="G433" i="1"/>
  <c r="D467" i="1"/>
  <c r="D494" i="1"/>
  <c r="D507" i="1"/>
  <c r="D513" i="1"/>
  <c r="G513" i="1"/>
  <c r="D521" i="1"/>
  <c r="D528" i="1"/>
  <c r="G528" i="1"/>
  <c r="D535" i="1"/>
  <c r="G535" i="1"/>
  <c r="D556" i="1"/>
  <c r="G556" i="1"/>
  <c r="D577" i="1"/>
  <c r="G577" i="1"/>
  <c r="D618" i="1"/>
  <c r="D668" i="1"/>
  <c r="D676" i="1"/>
  <c r="D683" i="1"/>
  <c r="G683" i="1"/>
  <c r="D690" i="1"/>
  <c r="G690" i="1"/>
  <c r="D751" i="1"/>
  <c r="D764" i="1"/>
  <c r="D806" i="1"/>
  <c r="D819" i="1"/>
  <c r="G819" i="1"/>
  <c r="D885" i="1"/>
  <c r="D919" i="1"/>
  <c r="D935" i="1"/>
  <c r="D956" i="1"/>
  <c r="D978" i="1"/>
  <c r="G978" i="1"/>
  <c r="D985" i="1"/>
  <c r="D95" i="1"/>
  <c r="D248" i="1"/>
  <c r="G248" i="1"/>
  <c r="D254" i="1"/>
  <c r="D300" i="1"/>
  <c r="D402" i="1"/>
  <c r="D425" i="1"/>
  <c r="D527" i="1"/>
  <c r="D584" i="1"/>
  <c r="D591" i="1"/>
  <c r="G591" i="1"/>
  <c r="D646" i="1"/>
  <c r="D675" i="1"/>
  <c r="D756" i="1"/>
  <c r="G756" i="1"/>
  <c r="D818" i="1"/>
  <c r="D833" i="1"/>
  <c r="D891" i="1"/>
  <c r="D912" i="1"/>
  <c r="D926" i="1"/>
  <c r="D942" i="1"/>
  <c r="D970" i="1"/>
  <c r="G789" i="1"/>
  <c r="G675" i="1"/>
  <c r="G686" i="1"/>
  <c r="G574" i="1"/>
  <c r="G453" i="1"/>
  <c r="G233" i="1"/>
  <c r="G24" i="1"/>
  <c r="G910" i="1"/>
  <c r="G520" i="1"/>
  <c r="G833" i="1"/>
  <c r="G168" i="1"/>
  <c r="G545" i="1"/>
  <c r="G264" i="1"/>
  <c r="D28" i="1"/>
  <c r="D75" i="1"/>
  <c r="D140" i="1"/>
  <c r="D162" i="1"/>
  <c r="G170" i="1"/>
  <c r="D170" i="1"/>
  <c r="G178" i="1"/>
  <c r="D178" i="1"/>
  <c r="D235" i="1"/>
  <c r="D242" i="1"/>
  <c r="G242" i="1"/>
  <c r="D262" i="1"/>
  <c r="G262" i="1"/>
  <c r="D302" i="1"/>
  <c r="D322" i="1"/>
  <c r="D328" i="1"/>
  <c r="D336" i="1"/>
  <c r="G336" i="1"/>
  <c r="D364" i="1"/>
  <c r="G364" i="1"/>
  <c r="D383" i="1"/>
  <c r="G383" i="1"/>
  <c r="G419" i="1"/>
  <c r="D419" i="1"/>
  <c r="D427" i="1"/>
  <c r="G427" i="1"/>
  <c r="D434" i="1"/>
  <c r="D455" i="1"/>
  <c r="D461" i="1"/>
  <c r="D481" i="1"/>
  <c r="G481" i="1"/>
  <c r="D488" i="1"/>
  <c r="D508" i="1"/>
  <c r="G508" i="1"/>
  <c r="D549" i="1"/>
  <c r="D563" i="1"/>
  <c r="G563" i="1"/>
  <c r="D586" i="1"/>
  <c r="G586" i="1"/>
  <c r="D593" i="1"/>
  <c r="D607" i="1"/>
  <c r="D619" i="1"/>
  <c r="D634" i="1"/>
  <c r="D640" i="1"/>
  <c r="D656" i="1"/>
  <c r="D715" i="1"/>
  <c r="D730" i="1"/>
  <c r="D737" i="1"/>
  <c r="D765" i="1"/>
  <c r="D778" i="1"/>
  <c r="G778" i="1"/>
  <c r="D807" i="1"/>
  <c r="G807" i="1"/>
  <c r="G827" i="1"/>
  <c r="D827" i="1"/>
  <c r="D853" i="1"/>
  <c r="D950" i="1"/>
  <c r="D90" i="1"/>
  <c r="D104" i="1"/>
  <c r="D112" i="1"/>
  <c r="D139" i="1"/>
  <c r="D167" i="1"/>
  <c r="D175" i="1"/>
  <c r="D196" i="1"/>
  <c r="D202" i="1"/>
  <c r="D221" i="1"/>
  <c r="D234" i="1"/>
  <c r="G259" i="1"/>
  <c r="D259" i="1"/>
  <c r="D304" i="1"/>
  <c r="D317" i="1"/>
  <c r="D330" i="1"/>
  <c r="D365" i="1"/>
  <c r="D384" i="1"/>
  <c r="D404" i="1"/>
  <c r="D439" i="1"/>
  <c r="G465" i="1"/>
  <c r="D465" i="1"/>
  <c r="D490" i="1"/>
  <c r="D526" i="1"/>
  <c r="D539" i="1"/>
  <c r="D570" i="1"/>
  <c r="D576" i="1"/>
  <c r="D583" i="1"/>
  <c r="D590" i="1"/>
  <c r="D614" i="1"/>
  <c r="D669" i="1"/>
  <c r="D681" i="1"/>
  <c r="G701" i="1"/>
  <c r="D701" i="1"/>
  <c r="D711" i="1"/>
  <c r="D724" i="1"/>
  <c r="D745" i="1"/>
  <c r="D788" i="1"/>
  <c r="D794" i="1"/>
  <c r="D801" i="1"/>
  <c r="D845" i="1"/>
  <c r="D871" i="1"/>
  <c r="D896" i="1"/>
  <c r="D920" i="1"/>
  <c r="D928" i="1"/>
  <c r="D936" i="1"/>
  <c r="G955" i="1"/>
  <c r="D955" i="1"/>
  <c r="D969" i="1"/>
  <c r="D70" i="1"/>
  <c r="D106" i="1"/>
  <c r="D148" i="1"/>
  <c r="D236" i="1"/>
  <c r="D249" i="1"/>
  <c r="D255" i="1"/>
  <c r="D272" i="1"/>
  <c r="D306" i="1"/>
  <c r="D332" i="1"/>
  <c r="D353" i="1"/>
  <c r="D367" i="1"/>
  <c r="D374" i="1"/>
  <c r="D391" i="1"/>
  <c r="D398" i="1"/>
  <c r="D474" i="1"/>
  <c r="G547" i="1"/>
  <c r="D547" i="1"/>
  <c r="G560" i="1"/>
  <c r="D560" i="1"/>
  <c r="D565" i="1"/>
  <c r="D571" i="1"/>
  <c r="D578" i="1"/>
  <c r="D598" i="1"/>
  <c r="D604" i="1"/>
  <c r="D621" i="1"/>
  <c r="D635" i="1"/>
  <c r="D659" i="1"/>
  <c r="D689" i="1"/>
  <c r="D718" i="1"/>
  <c r="D740" i="1"/>
  <c r="D747" i="1"/>
  <c r="D796" i="1"/>
  <c r="D815" i="1"/>
  <c r="G822" i="1"/>
  <c r="D822" i="1"/>
  <c r="G828" i="1"/>
  <c r="D828" i="1"/>
  <c r="D847" i="1"/>
  <c r="D873" i="1"/>
  <c r="D890" i="1"/>
  <c r="D904" i="1"/>
  <c r="D915" i="1"/>
  <c r="D922" i="1"/>
  <c r="D938" i="1"/>
  <c r="D951" i="1"/>
  <c r="G971" i="1"/>
  <c r="D971" i="1"/>
  <c r="D977" i="1"/>
  <c r="D984" i="1"/>
  <c r="D20" i="1"/>
  <c r="D26" i="1"/>
  <c r="D32" i="1"/>
  <c r="D58" i="1"/>
  <c r="D72" i="1"/>
  <c r="D86" i="1"/>
  <c r="D108" i="1"/>
  <c r="D128" i="1"/>
  <c r="D135" i="1"/>
  <c r="D179" i="1"/>
  <c r="D186" i="1"/>
  <c r="D192" i="1"/>
  <c r="D199" i="1"/>
  <c r="D206" i="1"/>
  <c r="D244" i="1"/>
  <c r="D263" i="1"/>
  <c r="D274" i="1"/>
  <c r="D320" i="1"/>
  <c r="D342" i="1"/>
  <c r="D348" i="1"/>
  <c r="D369" i="1"/>
  <c r="D376" i="1"/>
  <c r="D393" i="1"/>
  <c r="D408" i="1"/>
  <c r="D435" i="1"/>
  <c r="D462" i="1"/>
  <c r="D486" i="1"/>
  <c r="D505" i="1"/>
  <c r="D518" i="1"/>
  <c r="D529" i="1"/>
  <c r="D542" i="1"/>
  <c r="D567" i="1"/>
  <c r="D573" i="1"/>
  <c r="D580" i="1"/>
  <c r="D587" i="1"/>
  <c r="D594" i="1"/>
  <c r="D611" i="1"/>
  <c r="D617" i="1"/>
  <c r="D642" i="1"/>
  <c r="D654" i="1"/>
  <c r="D691" i="1"/>
  <c r="D698" i="1"/>
  <c r="D761" i="1"/>
  <c r="D767" i="1"/>
  <c r="D779" i="1"/>
  <c r="G811" i="1"/>
  <c r="D811" i="1"/>
  <c r="D830" i="1"/>
  <c r="D849" i="1"/>
  <c r="D855" i="1"/>
  <c r="D861" i="1"/>
  <c r="D880" i="1"/>
  <c r="D892" i="1"/>
  <c r="D940" i="1"/>
  <c r="D959" i="1"/>
  <c r="D979" i="1"/>
  <c r="D986" i="1"/>
  <c r="D992" i="1"/>
  <c r="D21" i="1"/>
  <c r="D27" i="1"/>
  <c r="D47" i="1"/>
  <c r="D129" i="1"/>
  <c r="D158" i="1"/>
  <c r="D164" i="1"/>
  <c r="D180" i="1"/>
  <c r="D214" i="1"/>
  <c r="D226" i="1"/>
  <c r="G245" i="1"/>
  <c r="D245" i="1"/>
  <c r="D257" i="1"/>
  <c r="D269" i="1"/>
  <c r="D288" i="1"/>
  <c r="D343" i="1"/>
  <c r="D370" i="1"/>
  <c r="D377" i="1"/>
  <c r="D387" i="1"/>
  <c r="D401" i="1"/>
  <c r="D409" i="1"/>
  <c r="D416" i="1"/>
  <c r="D436" i="1"/>
  <c r="G443" i="1"/>
  <c r="D443" i="1"/>
  <c r="D457" i="1"/>
  <c r="D463" i="1"/>
  <c r="D487" i="1"/>
  <c r="D506" i="1"/>
  <c r="D530" i="1"/>
  <c r="D543" i="1"/>
  <c r="D588" i="1"/>
  <c r="D606" i="1"/>
  <c r="D630" i="1"/>
  <c r="D655" i="1"/>
  <c r="D678" i="1"/>
  <c r="D692" i="1"/>
  <c r="G699" i="1"/>
  <c r="D699" i="1"/>
  <c r="D709" i="1"/>
  <c r="G714" i="1"/>
  <c r="D714" i="1"/>
  <c r="D736" i="1"/>
  <c r="D750" i="1"/>
  <c r="G762" i="1"/>
  <c r="D762" i="1"/>
  <c r="G780" i="1"/>
  <c r="D780" i="1"/>
  <c r="D812" i="1"/>
  <c r="D831" i="1"/>
  <c r="D856" i="1"/>
  <c r="D862" i="1"/>
  <c r="D900" i="1"/>
  <c r="G906" i="1"/>
  <c r="D906" i="1"/>
  <c r="D941" i="1"/>
  <c r="D960" i="1"/>
  <c r="D974" i="1"/>
  <c r="D980" i="1"/>
  <c r="G987" i="1"/>
  <c r="D987" i="1"/>
  <c r="D993" i="1"/>
  <c r="S787" i="1"/>
  <c r="Q869" i="1"/>
  <c r="S987" i="1"/>
  <c r="Q731" i="1"/>
  <c r="S731" i="1"/>
  <c r="S701" i="1"/>
  <c r="Q701" i="1"/>
  <c r="Q389" i="1"/>
  <c r="S389" i="1"/>
  <c r="Q109" i="1"/>
  <c r="S109" i="1"/>
  <c r="Q41" i="1"/>
  <c r="S41" i="1"/>
  <c r="S277" i="1"/>
  <c r="Q277" i="1"/>
  <c r="Q807" i="1"/>
  <c r="S807" i="1"/>
  <c r="S405" i="1"/>
  <c r="Q597" i="1"/>
  <c r="S597" i="1"/>
  <c r="Q381" i="1"/>
  <c r="S381" i="1"/>
  <c r="Q413" i="1"/>
  <c r="S413" i="1"/>
  <c r="S323" i="1"/>
  <c r="Q323" i="1"/>
  <c r="S61" i="1"/>
  <c r="S285" i="1"/>
  <c r="Q481" i="1"/>
  <c r="S481" i="1"/>
  <c r="Q859" i="1"/>
  <c r="S777" i="1"/>
  <c r="Q777" i="1"/>
  <c r="S565" i="1"/>
  <c r="Q565" i="1"/>
  <c r="S509" i="1"/>
  <c r="Q509" i="1"/>
  <c r="G36" i="1"/>
  <c r="G125" i="1"/>
  <c r="G266" i="1"/>
  <c r="G483" i="1"/>
  <c r="G317" i="1"/>
  <c r="G810" i="1"/>
  <c r="G118" i="1"/>
  <c r="G138" i="1"/>
  <c r="G246" i="1"/>
  <c r="G378" i="1"/>
  <c r="G600" i="1"/>
  <c r="G612" i="1"/>
  <c r="G637" i="1"/>
  <c r="G648" i="1"/>
  <c r="G783" i="1"/>
  <c r="G152" i="1"/>
  <c r="G202" i="1"/>
  <c r="G963" i="1"/>
  <c r="G895" i="1"/>
  <c r="G146" i="1"/>
  <c r="G240" i="1"/>
  <c r="G265" i="1"/>
  <c r="G601" i="1"/>
  <c r="G684" i="1"/>
  <c r="G865" i="1"/>
  <c r="G872" i="1"/>
  <c r="G989" i="1"/>
  <c r="S445" i="1"/>
  <c r="Q445" i="1"/>
  <c r="G221" i="1"/>
  <c r="G253" i="1"/>
  <c r="G278" i="1"/>
  <c r="G472" i="1"/>
  <c r="G969" i="1"/>
  <c r="G30" i="1"/>
  <c r="G44" i="1"/>
  <c r="G84" i="1"/>
  <c r="G92" i="1"/>
  <c r="G466" i="1"/>
  <c r="G496" i="1"/>
  <c r="G502" i="1"/>
  <c r="G515" i="1"/>
  <c r="G958" i="1"/>
  <c r="G77" i="1"/>
  <c r="G196" i="1"/>
  <c r="G405" i="1"/>
  <c r="G91" i="1"/>
  <c r="G644" i="1"/>
  <c r="G31" i="1"/>
  <c r="G85" i="1"/>
  <c r="G107" i="1"/>
  <c r="G420" i="1"/>
  <c r="G447" i="1"/>
  <c r="G497" i="1"/>
  <c r="G503" i="1"/>
  <c r="G516" i="1"/>
  <c r="G522" i="1"/>
  <c r="G338" i="1"/>
  <c r="G721" i="1"/>
  <c r="G83" i="1"/>
  <c r="G650" i="1"/>
  <c r="Q821" i="1"/>
  <c r="S821" i="1"/>
  <c r="G140" i="1"/>
  <c r="G553" i="1"/>
  <c r="G585" i="1"/>
  <c r="G899" i="1"/>
  <c r="G911" i="1"/>
  <c r="G932" i="1"/>
  <c r="G157" i="1"/>
  <c r="G736" i="1"/>
  <c r="G965" i="1"/>
  <c r="G527" i="1"/>
  <c r="G658" i="1"/>
  <c r="G678" i="1"/>
  <c r="Q971" i="1"/>
  <c r="S971" i="1"/>
  <c r="S845" i="1"/>
  <c r="Q845" i="1"/>
  <c r="G136" i="1"/>
  <c r="G334" i="1"/>
  <c r="G105" i="1"/>
  <c r="G478" i="1"/>
  <c r="G514" i="1"/>
  <c r="G656" i="1"/>
  <c r="G171" i="1"/>
  <c r="G191" i="1"/>
  <c r="G237" i="1"/>
  <c r="G354" i="1"/>
  <c r="G407" i="1"/>
  <c r="G652" i="1"/>
  <c r="G924" i="1"/>
  <c r="G939" i="1"/>
  <c r="G972" i="1"/>
  <c r="G750" i="1"/>
  <c r="G283" i="1"/>
  <c r="G845" i="1"/>
  <c r="G565" i="1"/>
  <c r="G345" i="1"/>
  <c r="G375" i="1"/>
  <c r="S923" i="1"/>
  <c r="Q923" i="1"/>
  <c r="Q532" i="1"/>
  <c r="S532" i="1"/>
  <c r="G40" i="1"/>
  <c r="G60" i="1"/>
  <c r="G81" i="1"/>
  <c r="G308" i="1"/>
  <c r="G321" i="1"/>
  <c r="G356" i="1"/>
  <c r="G46" i="1"/>
  <c r="G350" i="1"/>
  <c r="G415" i="1"/>
  <c r="G316" i="1"/>
  <c r="G579" i="1"/>
  <c r="G688" i="1"/>
  <c r="G887" i="1"/>
  <c r="G396" i="1"/>
  <c r="J7" i="15"/>
  <c r="G7" i="15"/>
  <c r="I7" i="15" s="1"/>
  <c r="L7" i="15" s="1"/>
  <c r="S763" i="1"/>
  <c r="Q755" i="1"/>
  <c r="S811" i="1"/>
  <c r="S955" i="1"/>
  <c r="Q829" i="1"/>
  <c r="Q275" i="1"/>
  <c r="S309" i="1"/>
  <c r="Q309" i="1"/>
  <c r="S245" i="1"/>
  <c r="Q30" i="1"/>
  <c r="S30" i="1"/>
  <c r="Q649" i="1"/>
  <c r="S649" i="1"/>
  <c r="G212" i="1"/>
  <c r="G260" i="1"/>
  <c r="G388" i="1"/>
  <c r="G452" i="1"/>
  <c r="G531" i="1"/>
  <c r="G555" i="1"/>
  <c r="G561" i="1"/>
  <c r="G566" i="1"/>
  <c r="G576" i="1"/>
  <c r="G224" i="1"/>
  <c r="G812" i="1"/>
  <c r="G785" i="1"/>
  <c r="S889" i="1"/>
  <c r="Q889" i="1"/>
  <c r="Q651" i="1"/>
  <c r="S651" i="1"/>
  <c r="G412" i="1"/>
  <c r="G23" i="1"/>
  <c r="G722" i="1"/>
  <c r="G748" i="1"/>
  <c r="S969" i="1"/>
  <c r="G194" i="1"/>
  <c r="G441" i="1"/>
  <c r="S645" i="1"/>
  <c r="Q645" i="1"/>
  <c r="S421" i="1"/>
  <c r="Q421" i="1"/>
  <c r="G172" i="1"/>
  <c r="Q827" i="1"/>
  <c r="S827" i="1"/>
  <c r="G536" i="1"/>
  <c r="G33" i="1"/>
  <c r="G902" i="1"/>
  <c r="S868" i="1"/>
  <c r="Q868" i="1"/>
  <c r="G291" i="1"/>
  <c r="G399" i="1"/>
  <c r="S440" i="1"/>
  <c r="G647" i="1"/>
  <c r="G667" i="1"/>
  <c r="G707" i="1"/>
  <c r="S615" i="1"/>
  <c r="Q615" i="1"/>
  <c r="Q547" i="1"/>
  <c r="S547" i="1"/>
  <c r="G35" i="1"/>
  <c r="G42" i="1"/>
  <c r="G116" i="1"/>
  <c r="G798" i="1"/>
  <c r="G820" i="1"/>
  <c r="G927" i="1"/>
  <c r="G945" i="1"/>
  <c r="G468" i="1"/>
  <c r="G743" i="1"/>
  <c r="G653" i="1"/>
  <c r="G769" i="1"/>
  <c r="G775" i="1"/>
  <c r="G627" i="1"/>
  <c r="G51" i="1"/>
  <c r="G725" i="1"/>
  <c r="G738" i="1"/>
  <c r="G773" i="1"/>
  <c r="G799" i="1"/>
  <c r="G814" i="1"/>
  <c r="G888" i="1"/>
  <c r="G154" i="1"/>
  <c r="G629" i="1"/>
  <c r="G340" i="1"/>
  <c r="G930" i="1"/>
  <c r="G64" i="1"/>
  <c r="G126" i="1"/>
  <c r="G559" i="1"/>
  <c r="G727" i="1"/>
  <c r="G867" i="1"/>
  <c r="G98" i="1"/>
  <c r="G50" i="1"/>
  <c r="G501" i="1"/>
  <c r="G88" i="1"/>
  <c r="G66" i="1"/>
  <c r="G130" i="1"/>
  <c r="G403" i="1"/>
  <c r="G633" i="1"/>
  <c r="G176" i="1"/>
  <c r="G80" i="1"/>
  <c r="G557" i="1"/>
  <c r="H10" i="17" l="1"/>
  <c r="I9" i="17"/>
  <c r="D8" i="17"/>
  <c r="E8" i="17" s="1"/>
  <c r="F8" i="17" s="1"/>
  <c r="A10" i="17"/>
  <c r="B9" i="17"/>
  <c r="A15" i="1"/>
  <c r="F14" i="1"/>
  <c r="R15" i="1"/>
  <c r="T17" i="1"/>
  <c r="U17" i="1" s="1"/>
  <c r="T14" i="1"/>
  <c r="U14" i="1" s="1"/>
  <c r="T15" i="1"/>
  <c r="U15" i="1" s="1"/>
  <c r="Q545" i="1"/>
  <c r="T13" i="1"/>
  <c r="U13" i="1" s="1"/>
  <c r="S793" i="1"/>
  <c r="Q327" i="1"/>
  <c r="Q527" i="1"/>
  <c r="S931" i="1"/>
  <c r="Q791" i="1"/>
  <c r="Q414" i="1"/>
  <c r="S990" i="1"/>
  <c r="S525" i="1"/>
  <c r="S271" i="1"/>
  <c r="Q957" i="1"/>
  <c r="S456" i="1"/>
  <c r="Q795" i="1"/>
  <c r="Q410" i="1"/>
  <c r="Q879" i="1"/>
  <c r="Q205" i="1"/>
  <c r="Q471" i="1"/>
  <c r="S780" i="1"/>
  <c r="Q521" i="1"/>
  <c r="Q665" i="1"/>
  <c r="Q210" i="1"/>
  <c r="S315" i="1"/>
  <c r="S831" i="1"/>
  <c r="Q318" i="1"/>
  <c r="Q743" i="1"/>
  <c r="Q449" i="1"/>
  <c r="Q903" i="1"/>
  <c r="Q553" i="1"/>
  <c r="Q313" i="1"/>
  <c r="Q252" i="1"/>
  <c r="S708" i="1"/>
  <c r="Q581" i="1"/>
  <c r="S683" i="1"/>
  <c r="Q675" i="1"/>
  <c r="Q465" i="1"/>
  <c r="Q936" i="1"/>
  <c r="Q82" i="1"/>
  <c r="Q134" i="1"/>
  <c r="S928" i="1"/>
  <c r="S337" i="1"/>
  <c r="Q884" i="1"/>
  <c r="Q124" i="1"/>
  <c r="Q965" i="1"/>
  <c r="Q756" i="1"/>
  <c r="S346" i="1"/>
  <c r="S489" i="1"/>
  <c r="Q960" i="1"/>
  <c r="Q238" i="1"/>
  <c r="Q366" i="1"/>
  <c r="S66" i="1"/>
  <c r="Q976" i="1"/>
  <c r="S340" i="1"/>
  <c r="S430" i="1"/>
  <c r="Q73" i="1"/>
  <c r="S881" i="1"/>
  <c r="Q375" i="1"/>
  <c r="Q904" i="1"/>
  <c r="S835" i="1"/>
  <c r="Q418" i="1"/>
  <c r="P490" i="1"/>
  <c r="Q490" i="1" s="1"/>
  <c r="P721" i="1"/>
  <c r="S721" i="1" s="1"/>
  <c r="R488" i="1"/>
  <c r="P754" i="1"/>
  <c r="Q754" i="1" s="1"/>
  <c r="P266" i="1"/>
  <c r="S266" i="1" s="1"/>
  <c r="R512" i="1"/>
  <c r="P808" i="1"/>
  <c r="Q808" i="1" s="1"/>
  <c r="P870" i="1"/>
  <c r="S870" i="1" s="1"/>
  <c r="P646" i="1"/>
  <c r="S646" i="1" s="1"/>
  <c r="P398" i="1"/>
  <c r="S398" i="1" s="1"/>
  <c r="R186" i="1"/>
  <c r="R90" i="1"/>
  <c r="R321" i="1"/>
  <c r="P856" i="1"/>
  <c r="S856" i="1" s="1"/>
  <c r="P377" i="1"/>
  <c r="Q377" i="1" s="1"/>
  <c r="P930" i="1"/>
  <c r="S930" i="1" s="1"/>
  <c r="P401" i="1"/>
  <c r="S401" i="1" s="1"/>
  <c r="P738" i="1"/>
  <c r="Q738" i="1" s="1"/>
  <c r="P466" i="1"/>
  <c r="Q466" i="1" s="1"/>
  <c r="P616" i="1"/>
  <c r="S616" i="1" s="1"/>
  <c r="P55" i="1"/>
  <c r="S55" i="1" s="1"/>
  <c r="R929" i="1"/>
  <c r="R992" i="1"/>
  <c r="P330" i="1"/>
  <c r="S330" i="1" s="1"/>
  <c r="R49" i="1"/>
  <c r="R136" i="1"/>
  <c r="P566" i="1"/>
  <c r="S566" i="1" s="1"/>
  <c r="P953" i="1"/>
  <c r="S953" i="1" s="1"/>
  <c r="P64" i="1"/>
  <c r="Q64" i="1" s="1"/>
  <c r="P842" i="1"/>
  <c r="S842" i="1" s="1"/>
  <c r="Q860" i="1"/>
  <c r="S53" i="1"/>
  <c r="Q224" i="1"/>
  <c r="S50" i="1"/>
  <c r="R536" i="1"/>
  <c r="R816" i="1"/>
  <c r="R880" i="1"/>
  <c r="R936" i="1"/>
  <c r="R818" i="1"/>
  <c r="P722" i="1"/>
  <c r="S722" i="1" s="1"/>
  <c r="P578" i="1"/>
  <c r="S578" i="1" s="1"/>
  <c r="P98" i="1"/>
  <c r="S98" i="1" s="1"/>
  <c r="R273" i="1"/>
  <c r="R169" i="1"/>
  <c r="R105" i="1"/>
  <c r="P896" i="1"/>
  <c r="Q896" i="1" s="1"/>
  <c r="R384" i="1"/>
  <c r="P72" i="1"/>
  <c r="S72" i="1" s="1"/>
  <c r="P934" i="1"/>
  <c r="S934" i="1" s="1"/>
  <c r="P598" i="1"/>
  <c r="S598" i="1" s="1"/>
  <c r="P280" i="1"/>
  <c r="S280" i="1" s="1"/>
  <c r="R768" i="1"/>
  <c r="R250" i="1"/>
  <c r="P985" i="1"/>
  <c r="Q985" i="1" s="1"/>
  <c r="R80" i="1"/>
  <c r="R249" i="1"/>
  <c r="P253" i="1"/>
  <c r="S253" i="1" s="1"/>
  <c r="P759" i="1"/>
  <c r="S759" i="1" s="1"/>
  <c r="P559" i="1"/>
  <c r="P843" i="1"/>
  <c r="Q843" i="1" s="1"/>
  <c r="R190" i="1"/>
  <c r="P89" i="1"/>
  <c r="S89" i="1" s="1"/>
  <c r="P144" i="1"/>
  <c r="Q144" i="1" s="1"/>
  <c r="P706" i="1"/>
  <c r="S706" i="1" s="1"/>
  <c r="R705" i="1"/>
  <c r="P776" i="1"/>
  <c r="Q776" i="1" s="1"/>
  <c r="P712" i="1"/>
  <c r="S712" i="1" s="1"/>
  <c r="P640" i="1"/>
  <c r="S640" i="1" s="1"/>
  <c r="P568" i="1"/>
  <c r="S568" i="1" s="1"/>
  <c r="P662" i="1"/>
  <c r="Q662" i="1" s="1"/>
  <c r="R390" i="1"/>
  <c r="R546" i="1"/>
  <c r="R58" i="1"/>
  <c r="R425" i="1"/>
  <c r="P442" i="1"/>
  <c r="Q442" i="1" s="1"/>
  <c r="R354" i="1"/>
  <c r="R258" i="1"/>
  <c r="R117" i="1"/>
  <c r="P774" i="1"/>
  <c r="Q774" i="1" s="1"/>
  <c r="S425" i="1"/>
  <c r="P350" i="1"/>
  <c r="S350" i="1" s="1"/>
  <c r="R449" i="1"/>
  <c r="P480" i="1"/>
  <c r="Q480" i="1" s="1"/>
  <c r="P694" i="1"/>
  <c r="Q694" i="1" s="1"/>
  <c r="R366" i="1"/>
  <c r="P342" i="1"/>
  <c r="S342" i="1" s="1"/>
  <c r="R450" i="1"/>
  <c r="R376" i="1"/>
  <c r="R312" i="1"/>
  <c r="P897" i="1"/>
  <c r="Q897" i="1" s="1"/>
  <c r="R129" i="1"/>
  <c r="S929" i="1"/>
  <c r="S254" i="1"/>
  <c r="Q518" i="1"/>
  <c r="P593" i="1"/>
  <c r="S593" i="1" s="1"/>
  <c r="P194" i="1"/>
  <c r="S194" i="1" s="1"/>
  <c r="R104" i="1"/>
  <c r="P654" i="1"/>
  <c r="Q654" i="1" s="1"/>
  <c r="R206" i="1"/>
  <c r="P182" i="1"/>
  <c r="Q182" i="1" s="1"/>
  <c r="P272" i="1"/>
  <c r="S272" i="1" s="1"/>
  <c r="R873" i="1"/>
  <c r="R938" i="1"/>
  <c r="R700" i="1"/>
  <c r="R825" i="1"/>
  <c r="P416" i="1"/>
  <c r="S416" i="1" s="1"/>
  <c r="R984" i="1"/>
  <c r="P785" i="1"/>
  <c r="Q785" i="1" s="1"/>
  <c r="P905" i="1"/>
  <c r="S905" i="1" s="1"/>
  <c r="P846" i="1"/>
  <c r="Q846" i="1" s="1"/>
  <c r="P622" i="1"/>
  <c r="Q622" i="1" s="1"/>
  <c r="P406" i="1"/>
  <c r="Q406" i="1" s="1"/>
  <c r="P792" i="1"/>
  <c r="Q792" i="1" s="1"/>
  <c r="S165" i="1"/>
  <c r="S273" i="1"/>
  <c r="R794" i="1"/>
  <c r="R858" i="1"/>
  <c r="P912" i="1"/>
  <c r="S912" i="1" s="1"/>
  <c r="P328" i="1"/>
  <c r="Q328" i="1" s="1"/>
  <c r="P642" i="1"/>
  <c r="S642" i="1" s="1"/>
  <c r="R138" i="1"/>
  <c r="P790" i="1"/>
  <c r="Q790" i="1" s="1"/>
  <c r="P686" i="1"/>
  <c r="Q686" i="1" s="1"/>
  <c r="P614" i="1"/>
  <c r="S614" i="1" s="1"/>
  <c r="R238" i="1"/>
  <c r="R193" i="1"/>
  <c r="P108" i="1"/>
  <c r="S108" i="1" s="1"/>
  <c r="Q339" i="1"/>
  <c r="S863" i="1"/>
  <c r="S551" i="1"/>
  <c r="Q613" i="1"/>
  <c r="Q221" i="1"/>
  <c r="Q295" i="1"/>
  <c r="Q534" i="1"/>
  <c r="S305" i="1"/>
  <c r="Q333" i="1"/>
  <c r="S302" i="1"/>
  <c r="Q201" i="1"/>
  <c r="Q226" i="1"/>
  <c r="S529" i="1"/>
  <c r="S446" i="1"/>
  <c r="S354" i="1"/>
  <c r="Q825" i="1"/>
  <c r="S45" i="1"/>
  <c r="Q36" i="1"/>
  <c r="S149" i="1"/>
  <c r="S360" i="1"/>
  <c r="Q43" i="1"/>
  <c r="S596" i="1"/>
  <c r="S764" i="1"/>
  <c r="Q992" i="1"/>
  <c r="Q382" i="1"/>
  <c r="R799" i="1"/>
  <c r="P799" i="1"/>
  <c r="Q799" i="1" s="1"/>
  <c r="R671" i="1"/>
  <c r="P671" i="1"/>
  <c r="S671" i="1" s="1"/>
  <c r="R463" i="1"/>
  <c r="P463" i="1"/>
  <c r="S463" i="1" s="1"/>
  <c r="P143" i="1"/>
  <c r="S143" i="1" s="1"/>
  <c r="R143" i="1"/>
  <c r="P39" i="1"/>
  <c r="S39" i="1" s="1"/>
  <c r="R39" i="1"/>
  <c r="R638" i="1"/>
  <c r="P638" i="1"/>
  <c r="S638" i="1" s="1"/>
  <c r="P470" i="1"/>
  <c r="R470" i="1"/>
  <c r="P294" i="1"/>
  <c r="R294" i="1"/>
  <c r="P877" i="1"/>
  <c r="R877" i="1"/>
  <c r="R725" i="1"/>
  <c r="P725" i="1"/>
  <c r="R573" i="1"/>
  <c r="P573" i="1"/>
  <c r="R493" i="1"/>
  <c r="P493" i="1"/>
  <c r="P325" i="1"/>
  <c r="R325" i="1"/>
  <c r="R189" i="1"/>
  <c r="P189" i="1"/>
  <c r="S189" i="1" s="1"/>
  <c r="P69" i="1"/>
  <c r="R69" i="1"/>
  <c r="R947" i="1"/>
  <c r="P947" i="1"/>
  <c r="R899" i="1"/>
  <c r="P899" i="1"/>
  <c r="R851" i="1"/>
  <c r="P851" i="1"/>
  <c r="P779" i="1"/>
  <c r="R779" i="1"/>
  <c r="R723" i="1"/>
  <c r="P723" i="1"/>
  <c r="R667" i="1"/>
  <c r="P667" i="1"/>
  <c r="S667" i="1" s="1"/>
  <c r="P627" i="1"/>
  <c r="Q627" i="1" s="1"/>
  <c r="R627" i="1"/>
  <c r="R595" i="1"/>
  <c r="P595" i="1"/>
  <c r="S595" i="1" s="1"/>
  <c r="P555" i="1"/>
  <c r="R555" i="1"/>
  <c r="R507" i="1"/>
  <c r="P507" i="1"/>
  <c r="S507" i="1" s="1"/>
  <c r="P475" i="1"/>
  <c r="R475" i="1"/>
  <c r="P411" i="1"/>
  <c r="Q411" i="1" s="1"/>
  <c r="R411" i="1"/>
  <c r="R379" i="1"/>
  <c r="P379" i="1"/>
  <c r="S379" i="1" s="1"/>
  <c r="R307" i="1"/>
  <c r="P307" i="1"/>
  <c r="S307" i="1" s="1"/>
  <c r="R251" i="1"/>
  <c r="P251" i="1"/>
  <c r="R203" i="1"/>
  <c r="P203" i="1"/>
  <c r="P171" i="1"/>
  <c r="R171" i="1"/>
  <c r="P139" i="1"/>
  <c r="S139" i="1" s="1"/>
  <c r="R139" i="1"/>
  <c r="R107" i="1"/>
  <c r="P107" i="1"/>
  <c r="Q107" i="1" s="1"/>
  <c r="R67" i="1"/>
  <c r="P67" i="1"/>
  <c r="Q67" i="1" s="1"/>
  <c r="P27" i="1"/>
  <c r="R27" i="1"/>
  <c r="P806" i="1"/>
  <c r="S806" i="1" s="1"/>
  <c r="P57" i="1"/>
  <c r="Q57" i="1" s="1"/>
  <c r="P838" i="1"/>
  <c r="Q838" i="1" s="1"/>
  <c r="P126" i="1"/>
  <c r="Q126" i="1" s="1"/>
  <c r="R353" i="1"/>
  <c r="P146" i="1"/>
  <c r="S146" i="1" s="1"/>
  <c r="R663" i="1"/>
  <c r="R743" i="1"/>
  <c r="R956" i="1"/>
  <c r="P956" i="1"/>
  <c r="Q956" i="1" s="1"/>
  <c r="R924" i="1"/>
  <c r="P924" i="1"/>
  <c r="S924" i="1" s="1"/>
  <c r="P892" i="1"/>
  <c r="R892" i="1"/>
  <c r="P836" i="1"/>
  <c r="R836" i="1"/>
  <c r="R788" i="1"/>
  <c r="P788" i="1"/>
  <c r="P732" i="1"/>
  <c r="S732" i="1" s="1"/>
  <c r="R732" i="1"/>
  <c r="P692" i="1"/>
  <c r="R692" i="1"/>
  <c r="R652" i="1"/>
  <c r="P652" i="1"/>
  <c r="Q652" i="1" s="1"/>
  <c r="R604" i="1"/>
  <c r="P604" i="1"/>
  <c r="R548" i="1"/>
  <c r="P548" i="1"/>
  <c r="R484" i="1"/>
  <c r="P484" i="1"/>
  <c r="S484" i="1" s="1"/>
  <c r="P452" i="1"/>
  <c r="R452" i="1"/>
  <c r="P420" i="1"/>
  <c r="R420" i="1"/>
  <c r="P388" i="1"/>
  <c r="R388" i="1"/>
  <c r="P332" i="1"/>
  <c r="S332" i="1" s="1"/>
  <c r="R332" i="1"/>
  <c r="R292" i="1"/>
  <c r="P292" i="1"/>
  <c r="S292" i="1" s="1"/>
  <c r="R244" i="1"/>
  <c r="P244" i="1"/>
  <c r="R204" i="1"/>
  <c r="P204" i="1"/>
  <c r="Q204" i="1" s="1"/>
  <c r="R164" i="1"/>
  <c r="P164" i="1"/>
  <c r="R116" i="1"/>
  <c r="P116" i="1"/>
  <c r="S116" i="1" s="1"/>
  <c r="P84" i="1"/>
  <c r="S84" i="1" s="1"/>
  <c r="R84" i="1"/>
  <c r="R44" i="1"/>
  <c r="P44" i="1"/>
  <c r="Q44" i="1" s="1"/>
  <c r="R160" i="1"/>
  <c r="P160" i="1"/>
  <c r="S160" i="1" s="1"/>
  <c r="R920" i="1"/>
  <c r="P920" i="1"/>
  <c r="Q920" i="1" s="1"/>
  <c r="R592" i="1"/>
  <c r="P592" i="1"/>
  <c r="Q592" i="1" s="1"/>
  <c r="P88" i="1"/>
  <c r="Q88" i="1" s="1"/>
  <c r="R88" i="1"/>
  <c r="P911" i="1"/>
  <c r="S911" i="1" s="1"/>
  <c r="R911" i="1"/>
  <c r="R647" i="1"/>
  <c r="P647" i="1"/>
  <c r="P503" i="1"/>
  <c r="S503" i="1" s="1"/>
  <c r="R503" i="1"/>
  <c r="P263" i="1"/>
  <c r="S263" i="1" s="1"/>
  <c r="R263" i="1"/>
  <c r="P111" i="1"/>
  <c r="S111" i="1" s="1"/>
  <c r="R111" i="1"/>
  <c r="P486" i="1"/>
  <c r="R486" i="1"/>
  <c r="P214" i="1"/>
  <c r="R214" i="1"/>
  <c r="R981" i="1"/>
  <c r="P981" i="1"/>
  <c r="R781" i="1"/>
  <c r="P781" i="1"/>
  <c r="R661" i="1"/>
  <c r="P661" i="1"/>
  <c r="R485" i="1"/>
  <c r="P485" i="1"/>
  <c r="R181" i="1"/>
  <c r="P181" i="1"/>
  <c r="S181" i="1" s="1"/>
  <c r="R21" i="1"/>
  <c r="P21" i="1"/>
  <c r="R922" i="1"/>
  <c r="P922" i="1"/>
  <c r="S922" i="1" s="1"/>
  <c r="R682" i="1"/>
  <c r="P682" i="1"/>
  <c r="Q682" i="1" s="1"/>
  <c r="R570" i="1"/>
  <c r="P570" i="1"/>
  <c r="S570" i="1" s="1"/>
  <c r="P538" i="1"/>
  <c r="R538" i="1"/>
  <c r="R506" i="1"/>
  <c r="P506" i="1"/>
  <c r="R434" i="1"/>
  <c r="P434" i="1"/>
  <c r="S434" i="1" s="1"/>
  <c r="R394" i="1"/>
  <c r="P394" i="1"/>
  <c r="S394" i="1" s="1"/>
  <c r="R362" i="1"/>
  <c r="P362" i="1"/>
  <c r="Q362" i="1" s="1"/>
  <c r="R274" i="1"/>
  <c r="P274" i="1"/>
  <c r="Q274" i="1" s="1"/>
  <c r="R234" i="1"/>
  <c r="P234" i="1"/>
  <c r="S234" i="1" s="1"/>
  <c r="P106" i="1"/>
  <c r="S106" i="1" s="1"/>
  <c r="R106" i="1"/>
  <c r="R26" i="1"/>
  <c r="P26" i="1"/>
  <c r="S26" i="1" s="1"/>
  <c r="R872" i="1"/>
  <c r="P872" i="1"/>
  <c r="S872" i="1" s="1"/>
  <c r="R472" i="1"/>
  <c r="P472" i="1"/>
  <c r="S472" i="1" s="1"/>
  <c r="P895" i="1"/>
  <c r="R895" i="1"/>
  <c r="R751" i="1"/>
  <c r="P751" i="1"/>
  <c r="P575" i="1"/>
  <c r="R575" i="1"/>
  <c r="P87" i="1"/>
  <c r="R87" i="1"/>
  <c r="R926" i="1"/>
  <c r="P926" i="1"/>
  <c r="S926" i="1" s="1"/>
  <c r="R118" i="1"/>
  <c r="P118" i="1"/>
  <c r="S118" i="1" s="1"/>
  <c r="R989" i="1"/>
  <c r="P989" i="1"/>
  <c r="R805" i="1"/>
  <c r="P805" i="1"/>
  <c r="P461" i="1"/>
  <c r="R461" i="1"/>
  <c r="P213" i="1"/>
  <c r="R213" i="1"/>
  <c r="R29" i="1"/>
  <c r="P29" i="1"/>
  <c r="R961" i="1"/>
  <c r="P961" i="1"/>
  <c r="Q961" i="1" s="1"/>
  <c r="R841" i="1"/>
  <c r="P841" i="1"/>
  <c r="Q841" i="1" s="1"/>
  <c r="P801" i="1"/>
  <c r="R801" i="1"/>
  <c r="R689" i="1"/>
  <c r="P689" i="1"/>
  <c r="Q689" i="1" s="1"/>
  <c r="P633" i="1"/>
  <c r="R633" i="1"/>
  <c r="R537" i="1"/>
  <c r="P537" i="1"/>
  <c r="Q537" i="1" s="1"/>
  <c r="P497" i="1"/>
  <c r="Q497" i="1" s="1"/>
  <c r="R497" i="1"/>
  <c r="P393" i="1"/>
  <c r="Q393" i="1" s="1"/>
  <c r="R393" i="1"/>
  <c r="R297" i="1"/>
  <c r="P297" i="1"/>
  <c r="Q297" i="1" s="1"/>
  <c r="P257" i="1"/>
  <c r="S257" i="1" s="1"/>
  <c r="R257" i="1"/>
  <c r="R217" i="1"/>
  <c r="P217" i="1"/>
  <c r="Q217" i="1" s="1"/>
  <c r="S169" i="1"/>
  <c r="Q169" i="1"/>
  <c r="S105" i="1"/>
  <c r="Q105" i="1"/>
  <c r="P17" i="1"/>
  <c r="R17" i="1"/>
  <c r="R888" i="1"/>
  <c r="P888" i="1"/>
  <c r="Q888" i="1" s="1"/>
  <c r="P432" i="1"/>
  <c r="Q432" i="1" s="1"/>
  <c r="R432" i="1"/>
  <c r="P288" i="1"/>
  <c r="Q288" i="1" s="1"/>
  <c r="R288" i="1"/>
  <c r="P96" i="1"/>
  <c r="S96" i="1" s="1"/>
  <c r="R96" i="1"/>
  <c r="P839" i="1"/>
  <c r="Q839" i="1" s="1"/>
  <c r="R839" i="1"/>
  <c r="R367" i="1"/>
  <c r="P367" i="1"/>
  <c r="S367" i="1" s="1"/>
  <c r="R223" i="1"/>
  <c r="P223" i="1"/>
  <c r="Q223" i="1" s="1"/>
  <c r="R31" i="1"/>
  <c r="P31" i="1"/>
  <c r="P558" i="1"/>
  <c r="R558" i="1"/>
  <c r="P861" i="1"/>
  <c r="R861" i="1"/>
  <c r="P773" i="1"/>
  <c r="R773" i="1"/>
  <c r="R653" i="1"/>
  <c r="P653" i="1"/>
  <c r="R341" i="1"/>
  <c r="P341" i="1"/>
  <c r="S341" i="1" s="1"/>
  <c r="P141" i="1"/>
  <c r="R141" i="1"/>
  <c r="R704" i="1"/>
  <c r="P726" i="1"/>
  <c r="Q726" i="1" s="1"/>
  <c r="P582" i="1"/>
  <c r="Q582" i="1" s="1"/>
  <c r="P454" i="1"/>
  <c r="S454" i="1" s="1"/>
  <c r="R326" i="1"/>
  <c r="R191" i="1"/>
  <c r="P191" i="1"/>
  <c r="P358" i="1"/>
  <c r="R358" i="1"/>
  <c r="R14" i="1"/>
  <c r="P14" i="1"/>
  <c r="R669" i="1"/>
  <c r="P669" i="1"/>
  <c r="R365" i="1"/>
  <c r="P365" i="1"/>
  <c r="S365" i="1" s="1"/>
  <c r="P125" i="1"/>
  <c r="Q125" i="1" s="1"/>
  <c r="R125" i="1"/>
  <c r="P915" i="1"/>
  <c r="R915" i="1"/>
  <c r="R803" i="1"/>
  <c r="P803" i="1"/>
  <c r="Q803" i="1" s="1"/>
  <c r="R707" i="1"/>
  <c r="P707" i="1"/>
  <c r="P611" i="1"/>
  <c r="S611" i="1" s="1"/>
  <c r="R611" i="1"/>
  <c r="R531" i="1"/>
  <c r="P531" i="1"/>
  <c r="S531" i="1" s="1"/>
  <c r="P459" i="1"/>
  <c r="R459" i="1"/>
  <c r="R355" i="1"/>
  <c r="P355" i="1"/>
  <c r="R227" i="1"/>
  <c r="P227" i="1"/>
  <c r="R155" i="1"/>
  <c r="P155" i="1"/>
  <c r="Q155" i="1" s="1"/>
  <c r="P83" i="1"/>
  <c r="Q83" i="1" s="1"/>
  <c r="R83" i="1"/>
  <c r="P753" i="1"/>
  <c r="S753" i="1" s="1"/>
  <c r="R66" i="1"/>
  <c r="R302" i="1"/>
  <c r="P278" i="1"/>
  <c r="S278" i="1" s="1"/>
  <c r="R795" i="1"/>
  <c r="R927" i="1"/>
  <c r="P927" i="1"/>
  <c r="Q927" i="1" s="1"/>
  <c r="R623" i="1"/>
  <c r="P623" i="1"/>
  <c r="S623" i="1" s="1"/>
  <c r="R95" i="1"/>
  <c r="P95" i="1"/>
  <c r="P526" i="1"/>
  <c r="R526" i="1"/>
  <c r="P198" i="1"/>
  <c r="R198" i="1"/>
  <c r="R789" i="1"/>
  <c r="P789" i="1"/>
  <c r="R533" i="1"/>
  <c r="P533" i="1"/>
  <c r="R269" i="1"/>
  <c r="P269" i="1"/>
  <c r="S269" i="1" s="1"/>
  <c r="R979" i="1"/>
  <c r="P979" i="1"/>
  <c r="P883" i="1"/>
  <c r="R883" i="1"/>
  <c r="R747" i="1"/>
  <c r="P747" i="1"/>
  <c r="R643" i="1"/>
  <c r="P643" i="1"/>
  <c r="R579" i="1"/>
  <c r="P579" i="1"/>
  <c r="Q579" i="1" s="1"/>
  <c r="P491" i="1"/>
  <c r="Q491" i="1" s="1"/>
  <c r="R491" i="1"/>
  <c r="R395" i="1"/>
  <c r="P395" i="1"/>
  <c r="Q395" i="1" s="1"/>
  <c r="P291" i="1"/>
  <c r="S291" i="1" s="1"/>
  <c r="R291" i="1"/>
  <c r="R187" i="1"/>
  <c r="P187" i="1"/>
  <c r="S187" i="1" s="1"/>
  <c r="R123" i="1"/>
  <c r="P123" i="1"/>
  <c r="Q123" i="1" s="1"/>
  <c r="P51" i="1"/>
  <c r="S51" i="1" s="1"/>
  <c r="R51" i="1"/>
  <c r="R855" i="1"/>
  <c r="P855" i="1"/>
  <c r="P711" i="1"/>
  <c r="S711" i="1" s="1"/>
  <c r="R711" i="1"/>
  <c r="P487" i="1"/>
  <c r="Q487" i="1" s="1"/>
  <c r="R487" i="1"/>
  <c r="P167" i="1"/>
  <c r="S167" i="1" s="1"/>
  <c r="R167" i="1"/>
  <c r="R71" i="1"/>
  <c r="P71" i="1"/>
  <c r="Q71" i="1" s="1"/>
  <c r="R702" i="1"/>
  <c r="P702" i="1"/>
  <c r="Q702" i="1" s="1"/>
  <c r="P502" i="1"/>
  <c r="R502" i="1"/>
  <c r="P909" i="1"/>
  <c r="R909" i="1"/>
  <c r="R757" i="1"/>
  <c r="P757" i="1"/>
  <c r="R637" i="1"/>
  <c r="P637" i="1"/>
  <c r="R517" i="1"/>
  <c r="P517" i="1"/>
  <c r="P357" i="1"/>
  <c r="R357" i="1"/>
  <c r="P93" i="1"/>
  <c r="R93" i="1"/>
  <c r="P963" i="1"/>
  <c r="R963" i="1"/>
  <c r="R907" i="1"/>
  <c r="P907" i="1"/>
  <c r="P867" i="1"/>
  <c r="R867" i="1"/>
  <c r="R739" i="1"/>
  <c r="P739" i="1"/>
  <c r="R691" i="1"/>
  <c r="P691" i="1"/>
  <c r="R635" i="1"/>
  <c r="P635" i="1"/>
  <c r="Q635" i="1" s="1"/>
  <c r="R603" i="1"/>
  <c r="P603" i="1"/>
  <c r="P571" i="1"/>
  <c r="R571" i="1"/>
  <c r="P515" i="1"/>
  <c r="R515" i="1"/>
  <c r="P483" i="1"/>
  <c r="R483" i="1"/>
  <c r="P435" i="1"/>
  <c r="R435" i="1"/>
  <c r="R387" i="1"/>
  <c r="P387" i="1"/>
  <c r="S387" i="1" s="1"/>
  <c r="P331" i="1"/>
  <c r="S331" i="1" s="1"/>
  <c r="R331" i="1"/>
  <c r="P267" i="1"/>
  <c r="S267" i="1" s="1"/>
  <c r="R267" i="1"/>
  <c r="P211" i="1"/>
  <c r="S211" i="1" s="1"/>
  <c r="R211" i="1"/>
  <c r="P179" i="1"/>
  <c r="S179" i="1" s="1"/>
  <c r="R179" i="1"/>
  <c r="R147" i="1"/>
  <c r="P147" i="1"/>
  <c r="S147" i="1" s="1"/>
  <c r="R115" i="1"/>
  <c r="P115" i="1"/>
  <c r="S115" i="1" s="1"/>
  <c r="R75" i="1"/>
  <c r="P75" i="1"/>
  <c r="P35" i="1"/>
  <c r="R35" i="1"/>
  <c r="R954" i="1"/>
  <c r="P610" i="1"/>
  <c r="S610" i="1" s="1"/>
  <c r="P40" i="1"/>
  <c r="S40" i="1" s="1"/>
  <c r="P918" i="1"/>
  <c r="Q918" i="1" s="1"/>
  <c r="P94" i="1"/>
  <c r="Q94" i="1" s="1"/>
  <c r="P720" i="1"/>
  <c r="Q720" i="1" s="1"/>
  <c r="R400" i="1"/>
  <c r="P391" i="1"/>
  <c r="Q391" i="1" s="1"/>
  <c r="P505" i="1"/>
  <c r="S505" i="1" s="1"/>
  <c r="P240" i="1"/>
  <c r="S240" i="1" s="1"/>
  <c r="R904" i="1"/>
  <c r="P594" i="1"/>
  <c r="Q594" i="1" s="1"/>
  <c r="P293" i="1"/>
  <c r="S293" i="1" s="1"/>
  <c r="R45" i="1"/>
  <c r="P180" i="1"/>
  <c r="S180" i="1" s="1"/>
  <c r="P620" i="1"/>
  <c r="S620" i="1" s="1"/>
  <c r="P476" i="1"/>
  <c r="S476" i="1" s="1"/>
  <c r="R316" i="1"/>
  <c r="P511" i="1"/>
  <c r="P439" i="1"/>
  <c r="Q439" i="1" s="1"/>
  <c r="P119" i="1"/>
  <c r="S119" i="1" s="1"/>
  <c r="R970" i="1"/>
  <c r="R716" i="1"/>
  <c r="P948" i="1"/>
  <c r="R948" i="1"/>
  <c r="R916" i="1"/>
  <c r="P916" i="1"/>
  <c r="Q916" i="1" s="1"/>
  <c r="R876" i="1"/>
  <c r="P876" i="1"/>
  <c r="S876" i="1" s="1"/>
  <c r="P820" i="1"/>
  <c r="Q820" i="1" s="1"/>
  <c r="R820" i="1"/>
  <c r="R724" i="1"/>
  <c r="P724" i="1"/>
  <c r="S724" i="1" s="1"/>
  <c r="R636" i="1"/>
  <c r="P636" i="1"/>
  <c r="Q636" i="1" s="1"/>
  <c r="R524" i="1"/>
  <c r="P524" i="1"/>
  <c r="S524" i="1" s="1"/>
  <c r="R444" i="1"/>
  <c r="P444" i="1"/>
  <c r="Q444" i="1" s="1"/>
  <c r="R412" i="1"/>
  <c r="P412" i="1"/>
  <c r="S412" i="1" s="1"/>
  <c r="R356" i="1"/>
  <c r="P356" i="1"/>
  <c r="Q356" i="1" s="1"/>
  <c r="R284" i="1"/>
  <c r="P284" i="1"/>
  <c r="Q284" i="1" s="1"/>
  <c r="R236" i="1"/>
  <c r="P236" i="1"/>
  <c r="Q236" i="1" s="1"/>
  <c r="R156" i="1"/>
  <c r="P156" i="1"/>
  <c r="Q156" i="1" s="1"/>
  <c r="P68" i="1"/>
  <c r="Q68" i="1" s="1"/>
  <c r="R68" i="1"/>
  <c r="R975" i="1"/>
  <c r="P975" i="1"/>
  <c r="Q975" i="1" s="1"/>
  <c r="R887" i="1"/>
  <c r="P887" i="1"/>
  <c r="P735" i="1"/>
  <c r="Q735" i="1" s="1"/>
  <c r="R735" i="1"/>
  <c r="P567" i="1"/>
  <c r="S567" i="1" s="1"/>
  <c r="R567" i="1"/>
  <c r="R286" i="1"/>
  <c r="P286" i="1"/>
  <c r="P949" i="1"/>
  <c r="R949" i="1"/>
  <c r="P749" i="1"/>
  <c r="R749" i="1"/>
  <c r="P629" i="1"/>
  <c r="R629" i="1"/>
  <c r="R349" i="1"/>
  <c r="P349" i="1"/>
  <c r="R562" i="1"/>
  <c r="P562" i="1"/>
  <c r="R458" i="1"/>
  <c r="P458" i="1"/>
  <c r="R386" i="1"/>
  <c r="P386" i="1"/>
  <c r="Q386" i="1" s="1"/>
  <c r="P322" i="1"/>
  <c r="Q322" i="1" s="1"/>
  <c r="R322" i="1"/>
  <c r="R871" i="1"/>
  <c r="P871" i="1"/>
  <c r="S871" i="1" s="1"/>
  <c r="P719" i="1"/>
  <c r="R719" i="1"/>
  <c r="P359" i="1"/>
  <c r="Q359" i="1" s="1"/>
  <c r="R359" i="1"/>
  <c r="R494" i="1"/>
  <c r="P494" i="1"/>
  <c r="P86" i="1"/>
  <c r="R86" i="1"/>
  <c r="P973" i="1"/>
  <c r="R973" i="1"/>
  <c r="R765" i="1"/>
  <c r="P765" i="1"/>
  <c r="P437" i="1"/>
  <c r="R437" i="1"/>
  <c r="R865" i="1"/>
  <c r="P865" i="1"/>
  <c r="R745" i="1"/>
  <c r="P745" i="1"/>
  <c r="P713" i="1"/>
  <c r="R713" i="1"/>
  <c r="R681" i="1"/>
  <c r="P681" i="1"/>
  <c r="P617" i="1"/>
  <c r="R617" i="1"/>
  <c r="P585" i="1"/>
  <c r="R585" i="1"/>
  <c r="R457" i="1"/>
  <c r="P457" i="1"/>
  <c r="P345" i="1"/>
  <c r="S345" i="1" s="1"/>
  <c r="R345" i="1"/>
  <c r="P281" i="1"/>
  <c r="S281" i="1" s="1"/>
  <c r="R281" i="1"/>
  <c r="R153" i="1"/>
  <c r="P153" i="1"/>
  <c r="Q153" i="1" s="1"/>
  <c r="R176" i="1"/>
  <c r="P176" i="1"/>
  <c r="Q176" i="1" s="1"/>
  <c r="R767" i="1"/>
  <c r="P767" i="1"/>
  <c r="Q767" i="1" s="1"/>
  <c r="P639" i="1"/>
  <c r="R639" i="1"/>
  <c r="R455" i="1"/>
  <c r="P455" i="1"/>
  <c r="R343" i="1"/>
  <c r="P343" i="1"/>
  <c r="S343" i="1" s="1"/>
  <c r="P207" i="1"/>
  <c r="R207" i="1"/>
  <c r="R982" i="1"/>
  <c r="P982" i="1"/>
  <c r="R422" i="1"/>
  <c r="P422" i="1"/>
  <c r="R837" i="1"/>
  <c r="P837" i="1"/>
  <c r="P741" i="1"/>
  <c r="R741" i="1"/>
  <c r="P589" i="1"/>
  <c r="R589" i="1"/>
  <c r="P77" i="1"/>
  <c r="S77" i="1" s="1"/>
  <c r="R77" i="1"/>
  <c r="P946" i="1"/>
  <c r="Q946" i="1" s="1"/>
  <c r="R385" i="1"/>
  <c r="P832" i="1"/>
  <c r="S832" i="1" s="1"/>
  <c r="R224" i="1"/>
  <c r="R518" i="1"/>
  <c r="R382" i="1"/>
  <c r="R254" i="1"/>
  <c r="P634" i="1"/>
  <c r="Q634" i="1" s="1"/>
  <c r="R529" i="1"/>
  <c r="P866" i="1"/>
  <c r="S866" i="1" s="1"/>
  <c r="P784" i="1"/>
  <c r="Q784" i="1" s="1"/>
  <c r="R584" i="1"/>
  <c r="P952" i="1"/>
  <c r="Q952" i="1" s="1"/>
  <c r="P552" i="1"/>
  <c r="Q552" i="1" s="1"/>
  <c r="P496" i="1"/>
  <c r="S496" i="1" s="1"/>
  <c r="P588" i="1"/>
  <c r="P684" i="1"/>
  <c r="Q684" i="1" s="1"/>
  <c r="R252" i="1"/>
  <c r="R935" i="1"/>
  <c r="P599" i="1"/>
  <c r="S599" i="1" s="1"/>
  <c r="P940" i="1"/>
  <c r="R980" i="1"/>
  <c r="P980" i="1"/>
  <c r="Q980" i="1" s="1"/>
  <c r="R908" i="1"/>
  <c r="P908" i="1"/>
  <c r="Q908" i="1" s="1"/>
  <c r="P804" i="1"/>
  <c r="R804" i="1"/>
  <c r="R748" i="1"/>
  <c r="P748" i="1"/>
  <c r="S748" i="1" s="1"/>
  <c r="P676" i="1"/>
  <c r="S676" i="1" s="1"/>
  <c r="R676" i="1"/>
  <c r="P516" i="1"/>
  <c r="S516" i="1" s="1"/>
  <c r="R516" i="1"/>
  <c r="R468" i="1"/>
  <c r="P468" i="1"/>
  <c r="R404" i="1"/>
  <c r="P404" i="1"/>
  <c r="R348" i="1"/>
  <c r="P348" i="1"/>
  <c r="R308" i="1"/>
  <c r="P308" i="1"/>
  <c r="Q308" i="1" s="1"/>
  <c r="R260" i="1"/>
  <c r="P260" i="1"/>
  <c r="R228" i="1"/>
  <c r="P228" i="1"/>
  <c r="S228" i="1" s="1"/>
  <c r="R148" i="1"/>
  <c r="P148" i="1"/>
  <c r="Q148" i="1" s="1"/>
  <c r="R100" i="1"/>
  <c r="P100" i="1"/>
  <c r="Q100" i="1" s="1"/>
  <c r="P60" i="1"/>
  <c r="Q60" i="1" s="1"/>
  <c r="R60" i="1"/>
  <c r="R28" i="1"/>
  <c r="P28" i="1"/>
  <c r="R760" i="1"/>
  <c r="P760" i="1"/>
  <c r="Q760" i="1" s="1"/>
  <c r="R959" i="1"/>
  <c r="P959" i="1"/>
  <c r="S959" i="1" s="1"/>
  <c r="R823" i="1"/>
  <c r="P823" i="1"/>
  <c r="Q823" i="1" s="1"/>
  <c r="P703" i="1"/>
  <c r="Q703" i="1" s="1"/>
  <c r="R703" i="1"/>
  <c r="R543" i="1"/>
  <c r="P543" i="1"/>
  <c r="S543" i="1" s="1"/>
  <c r="R407" i="1"/>
  <c r="P407" i="1"/>
  <c r="P199" i="1"/>
  <c r="Q199" i="1" s="1"/>
  <c r="R199" i="1"/>
  <c r="P47" i="1"/>
  <c r="S47" i="1" s="1"/>
  <c r="R47" i="1"/>
  <c r="R542" i="1"/>
  <c r="P542" i="1"/>
  <c r="R925" i="1"/>
  <c r="P925" i="1"/>
  <c r="P717" i="1"/>
  <c r="R717" i="1"/>
  <c r="R605" i="1"/>
  <c r="P605" i="1"/>
  <c r="R237" i="1"/>
  <c r="P237" i="1"/>
  <c r="S237" i="1" s="1"/>
  <c r="P986" i="1"/>
  <c r="Q986" i="1" s="1"/>
  <c r="R986" i="1"/>
  <c r="P890" i="1"/>
  <c r="Q890" i="1" s="1"/>
  <c r="R890" i="1"/>
  <c r="R834" i="1"/>
  <c r="P834" i="1"/>
  <c r="S834" i="1" s="1"/>
  <c r="R666" i="1"/>
  <c r="P666" i="1"/>
  <c r="Q666" i="1" s="1"/>
  <c r="R554" i="1"/>
  <c r="P554" i="1"/>
  <c r="R522" i="1"/>
  <c r="P522" i="1"/>
  <c r="S522" i="1" s="1"/>
  <c r="R306" i="1"/>
  <c r="P306" i="1"/>
  <c r="R162" i="1"/>
  <c r="P162" i="1"/>
  <c r="S162" i="1" s="1"/>
  <c r="P130" i="1"/>
  <c r="R130" i="1"/>
  <c r="R951" i="1"/>
  <c r="P951" i="1"/>
  <c r="R847" i="1"/>
  <c r="P847" i="1"/>
  <c r="S847" i="1" s="1"/>
  <c r="P631" i="1"/>
  <c r="Q631" i="1" s="1"/>
  <c r="R631" i="1"/>
  <c r="P447" i="1"/>
  <c r="S447" i="1" s="1"/>
  <c r="R447" i="1"/>
  <c r="R159" i="1"/>
  <c r="P159" i="1"/>
  <c r="Q159" i="1" s="1"/>
  <c r="R23" i="1"/>
  <c r="P23" i="1"/>
  <c r="S23" i="1" s="1"/>
  <c r="P462" i="1"/>
  <c r="R462" i="1"/>
  <c r="R941" i="1"/>
  <c r="P941" i="1"/>
  <c r="R733" i="1"/>
  <c r="P733" i="1"/>
  <c r="R133" i="1"/>
  <c r="P133" i="1"/>
  <c r="S133" i="1" s="1"/>
  <c r="P857" i="1"/>
  <c r="R857" i="1"/>
  <c r="R817" i="1"/>
  <c r="P817" i="1"/>
  <c r="Q817" i="1" s="1"/>
  <c r="P609" i="1"/>
  <c r="Q609" i="1" s="1"/>
  <c r="R609" i="1"/>
  <c r="P409" i="1"/>
  <c r="Q409" i="1" s="1"/>
  <c r="R409" i="1"/>
  <c r="P81" i="1"/>
  <c r="S81" i="1" s="1"/>
  <c r="R81" i="1"/>
  <c r="P33" i="1"/>
  <c r="Q33" i="1" s="1"/>
  <c r="R33" i="1"/>
  <c r="P152" i="1"/>
  <c r="S152" i="1" s="1"/>
  <c r="R152" i="1"/>
  <c r="P727" i="1"/>
  <c r="Q727" i="1" s="1"/>
  <c r="R727" i="1"/>
  <c r="P607" i="1"/>
  <c r="R607" i="1"/>
  <c r="R423" i="1"/>
  <c r="P423" i="1"/>
  <c r="S423" i="1" s="1"/>
  <c r="R279" i="1"/>
  <c r="P279" i="1"/>
  <c r="R135" i="1"/>
  <c r="P135" i="1"/>
  <c r="Q135" i="1" s="1"/>
  <c r="R966" i="1"/>
  <c r="P966" i="1"/>
  <c r="R510" i="1"/>
  <c r="P510" i="1"/>
  <c r="P917" i="1"/>
  <c r="R917" i="1"/>
  <c r="R813" i="1"/>
  <c r="P813" i="1"/>
  <c r="R709" i="1"/>
  <c r="P709" i="1"/>
  <c r="P501" i="1"/>
  <c r="R501" i="1"/>
  <c r="R197" i="1"/>
  <c r="P197" i="1"/>
  <c r="P37" i="1"/>
  <c r="R37" i="1"/>
  <c r="P408" i="1"/>
  <c r="S408" i="1" s="1"/>
  <c r="R898" i="1"/>
  <c r="R688" i="1"/>
  <c r="R521" i="1"/>
  <c r="P417" i="1"/>
  <c r="S417" i="1" s="1"/>
  <c r="P241" i="1"/>
  <c r="Q241" i="1" s="1"/>
  <c r="R534" i="1"/>
  <c r="P602" i="1"/>
  <c r="Q602" i="1" s="1"/>
  <c r="P185" i="1"/>
  <c r="Q185" i="1" s="1"/>
  <c r="R976" i="1"/>
  <c r="P392" i="1"/>
  <c r="Q392" i="1" s="1"/>
  <c r="R128" i="1"/>
  <c r="R994" i="1"/>
  <c r="R960" i="1"/>
  <c r="P658" i="1"/>
  <c r="S658" i="1" s="1"/>
  <c r="P530" i="1"/>
  <c r="S530" i="1" s="1"/>
  <c r="R881" i="1"/>
  <c r="P229" i="1"/>
  <c r="Q229" i="1" s="1"/>
  <c r="R205" i="1"/>
  <c r="R53" i="1"/>
  <c r="P79" i="1"/>
  <c r="R852" i="1"/>
  <c r="P474" i="1"/>
  <c r="P972" i="1"/>
  <c r="R972" i="1"/>
  <c r="R900" i="1"/>
  <c r="P900" i="1"/>
  <c r="R796" i="1"/>
  <c r="P796" i="1"/>
  <c r="Q796" i="1" s="1"/>
  <c r="P668" i="1"/>
  <c r="R668" i="1"/>
  <c r="R580" i="1"/>
  <c r="P580" i="1"/>
  <c r="S580" i="1" s="1"/>
  <c r="P500" i="1"/>
  <c r="S500" i="1" s="1"/>
  <c r="R500" i="1"/>
  <c r="P460" i="1"/>
  <c r="S460" i="1" s="1"/>
  <c r="R460" i="1"/>
  <c r="R300" i="1"/>
  <c r="P300" i="1"/>
  <c r="Q300" i="1" s="1"/>
  <c r="P212" i="1"/>
  <c r="R212" i="1"/>
  <c r="P172" i="1"/>
  <c r="Q172" i="1" s="1"/>
  <c r="R172" i="1"/>
  <c r="P132" i="1"/>
  <c r="Q132" i="1" s="1"/>
  <c r="R132" i="1"/>
  <c r="P92" i="1"/>
  <c r="Q92" i="1" s="1"/>
  <c r="R92" i="1"/>
  <c r="P52" i="1"/>
  <c r="Q52" i="1" s="1"/>
  <c r="R52" i="1"/>
  <c r="R20" i="1"/>
  <c r="P20" i="1"/>
  <c r="R624" i="1"/>
  <c r="P624" i="1"/>
  <c r="Q624" i="1" s="1"/>
  <c r="P424" i="1"/>
  <c r="S424" i="1" s="1"/>
  <c r="R424" i="1"/>
  <c r="R783" i="1"/>
  <c r="P783" i="1"/>
  <c r="P679" i="1"/>
  <c r="R679" i="1"/>
  <c r="R519" i="1"/>
  <c r="P519" i="1"/>
  <c r="P335" i="1"/>
  <c r="R335" i="1"/>
  <c r="P175" i="1"/>
  <c r="Q175" i="1" s="1"/>
  <c r="R175" i="1"/>
  <c r="P950" i="1"/>
  <c r="R950" i="1"/>
  <c r="R22" i="1"/>
  <c r="P22" i="1"/>
  <c r="R893" i="1"/>
  <c r="P893" i="1"/>
  <c r="P685" i="1"/>
  <c r="R685" i="1"/>
  <c r="P549" i="1"/>
  <c r="R549" i="1"/>
  <c r="P85" i="1"/>
  <c r="R85" i="1"/>
  <c r="R698" i="1"/>
  <c r="P698" i="1"/>
  <c r="S698" i="1" s="1"/>
  <c r="R338" i="1"/>
  <c r="P338" i="1"/>
  <c r="S338" i="1" s="1"/>
  <c r="P282" i="1"/>
  <c r="S282" i="1" s="1"/>
  <c r="R282" i="1"/>
  <c r="P114" i="1"/>
  <c r="Q114" i="1" s="1"/>
  <c r="R114" i="1"/>
  <c r="R74" i="1"/>
  <c r="P74" i="1"/>
  <c r="S74" i="1" s="1"/>
  <c r="P919" i="1"/>
  <c r="S919" i="1" s="1"/>
  <c r="R919" i="1"/>
  <c r="R815" i="1"/>
  <c r="P815" i="1"/>
  <c r="P415" i="1"/>
  <c r="R415" i="1"/>
  <c r="R127" i="1"/>
  <c r="P127" i="1"/>
  <c r="Q127" i="1" s="1"/>
  <c r="P974" i="1"/>
  <c r="R974" i="1"/>
  <c r="P150" i="1"/>
  <c r="R150" i="1"/>
  <c r="P933" i="1"/>
  <c r="R933" i="1"/>
  <c r="R541" i="1"/>
  <c r="P541" i="1"/>
  <c r="R261" i="1"/>
  <c r="P261" i="1"/>
  <c r="Q261" i="1" s="1"/>
  <c r="P977" i="1"/>
  <c r="R977" i="1"/>
  <c r="R729" i="1"/>
  <c r="P729" i="1"/>
  <c r="P697" i="1"/>
  <c r="R697" i="1"/>
  <c r="P369" i="1"/>
  <c r="R369" i="1"/>
  <c r="P233" i="1"/>
  <c r="S233" i="1" s="1"/>
  <c r="R233" i="1"/>
  <c r="R25" i="1"/>
  <c r="P25" i="1"/>
  <c r="P695" i="1"/>
  <c r="Q695" i="1" s="1"/>
  <c r="R695" i="1"/>
  <c r="P583" i="1"/>
  <c r="R583" i="1"/>
  <c r="R399" i="1"/>
  <c r="P399" i="1"/>
  <c r="Q399" i="1" s="1"/>
  <c r="P255" i="1"/>
  <c r="S255" i="1" s="1"/>
  <c r="R255" i="1"/>
  <c r="P63" i="1"/>
  <c r="Q63" i="1" s="1"/>
  <c r="R63" i="1"/>
  <c r="R942" i="1"/>
  <c r="P942" i="1"/>
  <c r="P478" i="1"/>
  <c r="R478" i="1"/>
  <c r="R885" i="1"/>
  <c r="P885" i="1"/>
  <c r="R797" i="1"/>
  <c r="P797" i="1"/>
  <c r="P677" i="1"/>
  <c r="R677" i="1"/>
  <c r="P477" i="1"/>
  <c r="R477" i="1"/>
  <c r="P13" i="1"/>
  <c r="R13" i="1"/>
  <c r="P561" i="1"/>
  <c r="S561" i="1" s="1"/>
  <c r="R674" i="1"/>
  <c r="P32" i="1"/>
  <c r="S32" i="1" s="1"/>
  <c r="R426" i="1"/>
  <c r="R42" i="1"/>
  <c r="R448" i="1"/>
  <c r="R192" i="1"/>
  <c r="R446" i="1"/>
  <c r="P374" i="1"/>
  <c r="S374" i="1" s="1"/>
  <c r="R318" i="1"/>
  <c r="P246" i="1"/>
  <c r="S246" i="1" s="1"/>
  <c r="R46" i="1"/>
  <c r="R154" i="1"/>
  <c r="P824" i="1"/>
  <c r="Q824" i="1" s="1"/>
  <c r="P601" i="1"/>
  <c r="S601" i="1" s="1"/>
  <c r="P761" i="1"/>
  <c r="S761" i="1" s="1"/>
  <c r="P945" i="1"/>
  <c r="Q945" i="1" s="1"/>
  <c r="P993" i="1"/>
  <c r="Q993" i="1" s="1"/>
  <c r="R482" i="1"/>
  <c r="R737" i="1"/>
  <c r="R648" i="1"/>
  <c r="R928" i="1"/>
  <c r="P626" i="1"/>
  <c r="S626" i="1" s="1"/>
  <c r="R226" i="1"/>
  <c r="P464" i="1"/>
  <c r="Q464" i="1" s="1"/>
  <c r="R120" i="1"/>
  <c r="R612" i="1"/>
  <c r="R188" i="1"/>
  <c r="P436" i="1"/>
  <c r="S436" i="1" s="1"/>
  <c r="R231" i="1"/>
  <c r="R131" i="1"/>
  <c r="R932" i="1"/>
  <c r="P932" i="1"/>
  <c r="S932" i="1" s="1"/>
  <c r="R844" i="1"/>
  <c r="P844" i="1"/>
  <c r="R740" i="1"/>
  <c r="P740" i="1"/>
  <c r="S740" i="1" s="1"/>
  <c r="P428" i="1"/>
  <c r="R428" i="1"/>
  <c r="S385" i="1"/>
  <c r="S852" i="1"/>
  <c r="P775" i="1"/>
  <c r="S775" i="1" s="1"/>
  <c r="R775" i="1"/>
  <c r="P655" i="1"/>
  <c r="Q655" i="1" s="1"/>
  <c r="R655" i="1"/>
  <c r="P239" i="1"/>
  <c r="S239" i="1" s="1"/>
  <c r="R239" i="1"/>
  <c r="P70" i="1"/>
  <c r="R70" i="1"/>
  <c r="P853" i="1"/>
  <c r="R853" i="1"/>
  <c r="P693" i="1"/>
  <c r="R693" i="1"/>
  <c r="P557" i="1"/>
  <c r="R557" i="1"/>
  <c r="R429" i="1"/>
  <c r="P429" i="1"/>
  <c r="P301" i="1"/>
  <c r="R301" i="1"/>
  <c r="R157" i="1"/>
  <c r="P157" i="1"/>
  <c r="S157" i="1" s="1"/>
  <c r="R939" i="1"/>
  <c r="P939" i="1"/>
  <c r="P891" i="1"/>
  <c r="R891" i="1"/>
  <c r="R771" i="1"/>
  <c r="P771" i="1"/>
  <c r="P715" i="1"/>
  <c r="R715" i="1"/>
  <c r="R659" i="1"/>
  <c r="P659" i="1"/>
  <c r="Q659" i="1" s="1"/>
  <c r="P619" i="1"/>
  <c r="R619" i="1"/>
  <c r="R587" i="1"/>
  <c r="P587" i="1"/>
  <c r="R539" i="1"/>
  <c r="P539" i="1"/>
  <c r="Q539" i="1" s="1"/>
  <c r="R499" i="1"/>
  <c r="P499" i="1"/>
  <c r="S499" i="1" s="1"/>
  <c r="P467" i="1"/>
  <c r="R467" i="1"/>
  <c r="R403" i="1"/>
  <c r="P403" i="1"/>
  <c r="Q403" i="1" s="1"/>
  <c r="P363" i="1"/>
  <c r="S363" i="1" s="1"/>
  <c r="R363" i="1"/>
  <c r="P299" i="1"/>
  <c r="R299" i="1"/>
  <c r="P235" i="1"/>
  <c r="Q235" i="1" s="1"/>
  <c r="R235" i="1"/>
  <c r="P195" i="1"/>
  <c r="R195" i="1"/>
  <c r="R163" i="1"/>
  <c r="P163" i="1"/>
  <c r="S163" i="1" s="1"/>
  <c r="R99" i="1"/>
  <c r="P99" i="1"/>
  <c r="S99" i="1" s="1"/>
  <c r="R59" i="1"/>
  <c r="P59" i="1"/>
  <c r="S59" i="1" s="1"/>
  <c r="P19" i="1"/>
  <c r="R19" i="1"/>
  <c r="R201" i="1"/>
  <c r="R73" i="1"/>
  <c r="P864" i="1"/>
  <c r="S864" i="1" s="1"/>
  <c r="P862" i="1"/>
  <c r="S862" i="1" s="1"/>
  <c r="P830" i="1"/>
  <c r="S830" i="1" s="1"/>
  <c r="P798" i="1"/>
  <c r="S798" i="1" s="1"/>
  <c r="P670" i="1"/>
  <c r="S670" i="1" s="1"/>
  <c r="P606" i="1"/>
  <c r="S606" i="1" s="1"/>
  <c r="R418" i="1"/>
  <c r="R218" i="1"/>
  <c r="R112" i="1"/>
  <c r="R370" i="1"/>
  <c r="R210" i="1"/>
  <c r="R50" i="1"/>
  <c r="R769" i="1"/>
  <c r="R665" i="1"/>
  <c r="P770" i="1"/>
  <c r="S770" i="1" s="1"/>
  <c r="R313" i="1"/>
  <c r="R173" i="1"/>
  <c r="R149" i="1"/>
  <c r="R340" i="1"/>
  <c r="R596" i="1"/>
  <c r="R36" i="1"/>
  <c r="R764" i="1"/>
  <c r="Q231" i="1"/>
  <c r="Q983" i="1"/>
  <c r="Q954" i="1"/>
  <c r="S151" i="1"/>
  <c r="Q443" i="1"/>
  <c r="Q964" i="1"/>
  <c r="S967" i="1"/>
  <c r="Q812" i="1"/>
  <c r="S914" i="1"/>
  <c r="S632" i="1"/>
  <c r="S220" i="1"/>
  <c r="Q215" i="1"/>
  <c r="Q196" i="1"/>
  <c r="S772" i="1"/>
  <c r="S441" i="1"/>
  <c r="S849" i="1"/>
  <c r="S556" i="1"/>
  <c r="S431" i="1"/>
  <c r="Q380" i="1"/>
  <c r="Q802" i="1"/>
  <c r="S268" i="1"/>
  <c r="Q910" i="1"/>
  <c r="S287" i="1"/>
  <c r="S943" i="1"/>
  <c r="S716" i="1"/>
  <c r="S316" i="1"/>
  <c r="S128" i="1"/>
  <c r="S347" i="1"/>
  <c r="S782" i="1"/>
  <c r="Q700" i="1"/>
  <c r="S663" i="1"/>
  <c r="S495" i="1"/>
  <c r="S696" i="1"/>
  <c r="Q173" i="1"/>
  <c r="Q178" i="1"/>
  <c r="Q364" i="1"/>
  <c r="S699" i="1"/>
  <c r="S396" i="1"/>
  <c r="Q311" i="1"/>
  <c r="S523" i="1"/>
  <c r="S324" i="1"/>
  <c r="Q590" i="1"/>
  <c r="S319" i="1"/>
  <c r="Q310" i="1"/>
  <c r="S188" i="1"/>
  <c r="S91" i="1"/>
  <c r="Q641" i="1"/>
  <c r="S451" i="1"/>
  <c r="S718" i="1"/>
  <c r="Q76" i="1"/>
  <c r="Q564" i="1"/>
  <c r="Q140" i="1"/>
  <c r="S563" i="1"/>
  <c r="Q848" i="1"/>
  <c r="Q873" i="1"/>
  <c r="Q988" i="1"/>
  <c r="Q536" i="1"/>
  <c r="S540" i="1"/>
  <c r="S535" i="1"/>
  <c r="S351" i="1"/>
  <c r="Q113" i="1"/>
  <c r="Q183" i="1"/>
  <c r="S101" i="1"/>
  <c r="Q276" i="1"/>
  <c r="Q427" i="1"/>
  <c r="Q612" i="1"/>
  <c r="Q372" i="1"/>
  <c r="Q752" i="1"/>
  <c r="Q102" i="1"/>
  <c r="Q290" i="1"/>
  <c r="S131" i="1"/>
  <c r="S508" i="1"/>
  <c r="Q878" i="1"/>
  <c r="S15" i="1"/>
  <c r="Q970" i="1"/>
  <c r="S243" i="1"/>
  <c r="Q371" i="1"/>
  <c r="Q329" i="1"/>
  <c r="S814" i="1"/>
  <c r="Q259" i="1"/>
  <c r="S219" i="1"/>
  <c r="Q828" i="1"/>
  <c r="S591" i="1"/>
  <c r="S991" i="1"/>
  <c r="S572" i="1"/>
  <c r="Q48" i="1"/>
  <c r="S303" i="1"/>
  <c r="Q882" i="1"/>
  <c r="Q935" i="1"/>
  <c r="Q138" i="1"/>
  <c r="S117" i="1"/>
  <c r="Q660" i="1"/>
  <c r="S750" i="1"/>
  <c r="S937" i="1"/>
  <c r="S479" i="1"/>
  <c r="S482" i="1"/>
  <c r="S687" i="1"/>
  <c r="Q576" i="1"/>
  <c r="Q644" i="1"/>
  <c r="Q103" i="1"/>
  <c r="S97" i="1"/>
  <c r="Q628" i="1"/>
  <c r="Q492" i="1"/>
  <c r="S247" i="1"/>
  <c r="Q383" i="1"/>
  <c r="Q232" i="1"/>
  <c r="Q400" i="1"/>
  <c r="Q161" i="1"/>
  <c r="S270" i="1"/>
  <c r="Q786" i="1"/>
  <c r="Q736" i="1"/>
  <c r="Q680" i="1"/>
  <c r="S250" i="1"/>
  <c r="S625" i="1"/>
  <c r="S256" i="1"/>
  <c r="Q906" i="1"/>
  <c r="Q184" i="1"/>
  <c r="Q498" i="1"/>
  <c r="Q902" i="1"/>
  <c r="S690" i="1"/>
  <c r="Q898" i="1"/>
  <c r="Q248" i="1"/>
  <c r="S630" i="1"/>
  <c r="Q58" i="1"/>
  <c r="S850" i="1"/>
  <c r="Q710" i="1"/>
  <c r="Q584" i="1"/>
  <c r="S120" i="1"/>
  <c r="Q438" i="1"/>
  <c r="S145" i="1"/>
  <c r="S656" i="1"/>
  <c r="S142" i="1"/>
  <c r="Q216" i="1"/>
  <c r="S678" i="1"/>
  <c r="S353" i="1"/>
  <c r="Q504" i="1"/>
  <c r="Q833" i="1"/>
  <c r="S90" i="1"/>
  <c r="S334" i="1"/>
  <c r="Q810" i="1"/>
  <c r="Q402" i="1"/>
  <c r="S742" i="1"/>
  <c r="S304" i="1"/>
  <c r="Q513" i="1"/>
  <c r="S370" i="1"/>
  <c r="Q762" i="1"/>
  <c r="Q24" i="1"/>
  <c r="S262" i="1"/>
  <c r="S886" i="1"/>
  <c r="S230" i="1"/>
  <c r="Q714" i="1"/>
  <c r="S121" i="1"/>
  <c r="S574" i="1"/>
  <c r="Q264" i="1"/>
  <c r="S586" i="1"/>
  <c r="Q768" i="1"/>
  <c r="Q674" i="1"/>
  <c r="S938" i="1"/>
  <c r="Q136" i="1"/>
  <c r="Q242" i="1"/>
  <c r="Q202" i="1"/>
  <c r="S200" i="1"/>
  <c r="S546" i="1"/>
  <c r="S734" i="1"/>
  <c r="Q218" i="1"/>
  <c r="Q794" i="1"/>
  <c r="S320" i="1"/>
  <c r="Q321" i="1"/>
  <c r="Q978" i="1"/>
  <c r="S822" i="1"/>
  <c r="Q826" i="1"/>
  <c r="S968" i="1"/>
  <c r="S344" i="1"/>
  <c r="S336" i="1"/>
  <c r="Q984" i="1"/>
  <c r="Q384" i="1"/>
  <c r="Q326" i="1"/>
  <c r="S840" i="1"/>
  <c r="S177" i="1"/>
  <c r="S818" i="1"/>
  <c r="Q265" i="1"/>
  <c r="S778" i="1"/>
  <c r="Q249" i="1"/>
  <c r="Q112" i="1"/>
  <c r="S368" i="1"/>
  <c r="S42" i="1"/>
  <c r="Q672" i="1"/>
  <c r="S648" i="1"/>
  <c r="Q376" i="1"/>
  <c r="Q854" i="1"/>
  <c r="S758" i="1"/>
  <c r="S448" i="1"/>
  <c r="Q657" i="1"/>
  <c r="Q512" i="1"/>
  <c r="S154" i="1"/>
  <c r="Q426" i="1"/>
  <c r="S312" i="1"/>
  <c r="S34" i="1"/>
  <c r="Q746" i="1"/>
  <c r="S874" i="1"/>
  <c r="S705" i="1"/>
  <c r="Q704" i="1"/>
  <c r="S54" i="1"/>
  <c r="Q488" i="1"/>
  <c r="Q56" i="1"/>
  <c r="S225" i="1"/>
  <c r="S190" i="1"/>
  <c r="S222" i="1"/>
  <c r="S193" i="1"/>
  <c r="Q514" i="1"/>
  <c r="Q78" i="1"/>
  <c r="Q560" i="1"/>
  <c r="Q744" i="1"/>
  <c r="S110" i="1"/>
  <c r="Q816" i="1"/>
  <c r="S577" i="1"/>
  <c r="Q258" i="1"/>
  <c r="Q170" i="1"/>
  <c r="Q528" i="1"/>
  <c r="Q608" i="1"/>
  <c r="Q766" i="1"/>
  <c r="S65" i="1"/>
  <c r="Q520" i="1"/>
  <c r="S737" i="1"/>
  <c r="S894" i="1"/>
  <c r="S544" i="1"/>
  <c r="S618" i="1"/>
  <c r="S361" i="1"/>
  <c r="S168" i="1"/>
  <c r="Q809" i="1"/>
  <c r="Q314" i="1"/>
  <c r="S800" i="1"/>
  <c r="Q673" i="1"/>
  <c r="Q688" i="1"/>
  <c r="S192" i="1"/>
  <c r="Q913" i="1"/>
  <c r="S730" i="1"/>
  <c r="S664" i="1"/>
  <c r="S49" i="1"/>
  <c r="Q769" i="1"/>
  <c r="Q728" i="1"/>
  <c r="S104" i="1"/>
  <c r="S289" i="1"/>
  <c r="Q390" i="1"/>
  <c r="Q433" i="1"/>
  <c r="Q352" i="1"/>
  <c r="S650" i="1"/>
  <c r="S209" i="1"/>
  <c r="Q298" i="1"/>
  <c r="S46" i="1"/>
  <c r="S158" i="1"/>
  <c r="S450" i="1"/>
  <c r="S880" i="1"/>
  <c r="Q174" i="1"/>
  <c r="S600" i="1"/>
  <c r="Q569" i="1"/>
  <c r="S129" i="1"/>
  <c r="S944" i="1"/>
  <c r="Q62" i="1"/>
  <c r="Q378" i="1"/>
  <c r="S296" i="1"/>
  <c r="S858" i="1"/>
  <c r="Q994" i="1"/>
  <c r="S921" i="1"/>
  <c r="Q122" i="1"/>
  <c r="Q473" i="1"/>
  <c r="Q206" i="1"/>
  <c r="S208" i="1"/>
  <c r="S80" i="1"/>
  <c r="Q186" i="1"/>
  <c r="X997" i="1"/>
  <c r="N5" i="1" s="1"/>
  <c r="N7" i="1"/>
  <c r="Q7" i="1"/>
  <c r="X996" i="1"/>
  <c r="N4" i="1" s="1"/>
  <c r="X995" i="1"/>
  <c r="N6" i="1" s="1"/>
  <c r="N8" i="1"/>
  <c r="W12" i="1"/>
  <c r="V12" i="1"/>
  <c r="V995" i="1" s="1"/>
  <c r="F7" i="15"/>
  <c r="K7" i="15" s="1"/>
  <c r="U20" i="1"/>
  <c r="B10" i="17" l="1"/>
  <c r="I10" i="17"/>
  <c r="H11" i="17"/>
  <c r="A11" i="17"/>
  <c r="D9" i="17"/>
  <c r="E9" i="17" s="1"/>
  <c r="F9" i="17" s="1"/>
  <c r="A16" i="1"/>
  <c r="F15" i="1"/>
  <c r="S155" i="1"/>
  <c r="Q724" i="1"/>
  <c r="S820" i="1"/>
  <c r="Q640" i="1"/>
  <c r="S846" i="1"/>
  <c r="S444" i="1"/>
  <c r="S490" i="1"/>
  <c r="Q280" i="1"/>
  <c r="S466" i="1"/>
  <c r="Q834" i="1"/>
  <c r="S654" i="1"/>
  <c r="S790" i="1"/>
  <c r="S592" i="1"/>
  <c r="Q712" i="1"/>
  <c r="Q872" i="1"/>
  <c r="Q408" i="1"/>
  <c r="S406" i="1"/>
  <c r="S694" i="1"/>
  <c r="Q934" i="1"/>
  <c r="Q642" i="1"/>
  <c r="Q870" i="1"/>
  <c r="Q81" i="1"/>
  <c r="Q871" i="1"/>
  <c r="Q189" i="1"/>
  <c r="Q953" i="1"/>
  <c r="Q412" i="1"/>
  <c r="Q108" i="1"/>
  <c r="Q505" i="1"/>
  <c r="S838" i="1"/>
  <c r="Q96" i="1"/>
  <c r="Q616" i="1"/>
  <c r="S686" i="1"/>
  <c r="Q476" i="1"/>
  <c r="S582" i="1"/>
  <c r="S754" i="1"/>
  <c r="S631" i="1"/>
  <c r="Q331" i="1"/>
  <c r="Q711" i="1"/>
  <c r="S843" i="1"/>
  <c r="Q72" i="1"/>
  <c r="S399" i="1"/>
  <c r="Q342" i="1"/>
  <c r="Q253" i="1"/>
  <c r="S480" i="1"/>
  <c r="S824" i="1"/>
  <c r="S896" i="1"/>
  <c r="Q646" i="1"/>
  <c r="S411" i="1"/>
  <c r="Q566" i="1"/>
  <c r="Q568" i="1"/>
  <c r="Q856" i="1"/>
  <c r="Q416" i="1"/>
  <c r="S442" i="1"/>
  <c r="S64" i="1"/>
  <c r="Q578" i="1"/>
  <c r="Q721" i="1"/>
  <c r="S377" i="1"/>
  <c r="S125" i="1"/>
  <c r="Q379" i="1"/>
  <c r="Q55" i="1"/>
  <c r="Q179" i="1"/>
  <c r="S439" i="1"/>
  <c r="S985" i="1"/>
  <c r="Q401" i="1"/>
  <c r="Q266" i="1"/>
  <c r="Q350" i="1"/>
  <c r="S808" i="1"/>
  <c r="Q671" i="1"/>
  <c r="S356" i="1"/>
  <c r="S738" i="1"/>
  <c r="Q670" i="1"/>
  <c r="Q698" i="1"/>
  <c r="Q180" i="1"/>
  <c r="Q239" i="1"/>
  <c r="S127" i="1"/>
  <c r="Q278" i="1"/>
  <c r="S792" i="1"/>
  <c r="Q194" i="1"/>
  <c r="Q74" i="1"/>
  <c r="S662" i="1"/>
  <c r="S776" i="1"/>
  <c r="S993" i="1"/>
  <c r="S727" i="1"/>
  <c r="S236" i="1"/>
  <c r="Q775" i="1"/>
  <c r="Q332" i="1"/>
  <c r="Q272" i="1"/>
  <c r="S300" i="1"/>
  <c r="Q139" i="1"/>
  <c r="Q806" i="1"/>
  <c r="S897" i="1"/>
  <c r="Q398" i="1"/>
  <c r="Q330" i="1"/>
  <c r="Q706" i="1"/>
  <c r="Q89" i="1"/>
  <c r="Q503" i="1"/>
  <c r="S636" i="1"/>
  <c r="Q658" i="1"/>
  <c r="S392" i="1"/>
  <c r="S409" i="1"/>
  <c r="Q911" i="1"/>
  <c r="Q84" i="1"/>
  <c r="S622" i="1"/>
  <c r="Q905" i="1"/>
  <c r="S328" i="1"/>
  <c r="Q722" i="1"/>
  <c r="Q759" i="1"/>
  <c r="S703" i="1"/>
  <c r="Q47" i="1"/>
  <c r="S288" i="1"/>
  <c r="Q598" i="1"/>
  <c r="Q39" i="1"/>
  <c r="Q842" i="1"/>
  <c r="Q98" i="1"/>
  <c r="Q930" i="1"/>
  <c r="Q761" i="1"/>
  <c r="S767" i="1"/>
  <c r="Q291" i="1"/>
  <c r="Q434" i="1"/>
  <c r="Q599" i="1"/>
  <c r="Q23" i="1"/>
  <c r="Q770" i="1"/>
  <c r="Q472" i="1"/>
  <c r="Q234" i="1"/>
  <c r="Q157" i="1"/>
  <c r="Q595" i="1"/>
  <c r="S774" i="1"/>
  <c r="S297" i="1"/>
  <c r="S726" i="1"/>
  <c r="Q363" i="1"/>
  <c r="S135" i="1"/>
  <c r="Q77" i="1"/>
  <c r="S464" i="1"/>
  <c r="S126" i="1"/>
  <c r="Q593" i="1"/>
  <c r="S223" i="1"/>
  <c r="Q282" i="1"/>
  <c r="Q307" i="1"/>
  <c r="Q32" i="1"/>
  <c r="Q614" i="1"/>
  <c r="S702" i="1"/>
  <c r="Q638" i="1"/>
  <c r="Q163" i="1"/>
  <c r="S785" i="1"/>
  <c r="S559" i="1"/>
  <c r="Q559" i="1"/>
  <c r="Q345" i="1"/>
  <c r="Q118" i="1"/>
  <c r="S144" i="1"/>
  <c r="Q133" i="1"/>
  <c r="Q623" i="1"/>
  <c r="Q463" i="1"/>
  <c r="S682" i="1"/>
  <c r="S182" i="1"/>
  <c r="Q912" i="1"/>
  <c r="Q281" i="1"/>
  <c r="S537" i="1"/>
  <c r="S71" i="1"/>
  <c r="S393" i="1"/>
  <c r="S60" i="1"/>
  <c r="Q167" i="1"/>
  <c r="S362" i="1"/>
  <c r="S841" i="1"/>
  <c r="S975" i="1"/>
  <c r="Q610" i="1"/>
  <c r="S107" i="1"/>
  <c r="S799" i="1"/>
  <c r="Q181" i="1"/>
  <c r="Q293" i="1"/>
  <c r="S94" i="1"/>
  <c r="S624" i="1"/>
  <c r="Q146" i="1"/>
  <c r="Q143" i="1"/>
  <c r="S908" i="1"/>
  <c r="Q667" i="1"/>
  <c r="S391" i="1"/>
  <c r="S980" i="1"/>
  <c r="S68" i="1"/>
  <c r="Q119" i="1"/>
  <c r="S284" i="1"/>
  <c r="Q507" i="1"/>
  <c r="S432" i="1"/>
  <c r="S229" i="1"/>
  <c r="Q530" i="1"/>
  <c r="S176" i="1"/>
  <c r="S666" i="1"/>
  <c r="S123" i="1"/>
  <c r="Q269" i="1"/>
  <c r="S956" i="1"/>
  <c r="Q387" i="1"/>
  <c r="Q876" i="1"/>
  <c r="Q211" i="1"/>
  <c r="Q240" i="1"/>
  <c r="Q543" i="1"/>
  <c r="Q417" i="1"/>
  <c r="S961" i="1"/>
  <c r="S952" i="1"/>
  <c r="S57" i="1"/>
  <c r="Q926" i="1"/>
  <c r="S927" i="1"/>
  <c r="Q924" i="1"/>
  <c r="Q51" i="1"/>
  <c r="Q228" i="1"/>
  <c r="S735" i="1"/>
  <c r="S594" i="1"/>
  <c r="Q522" i="1"/>
  <c r="Q862" i="1"/>
  <c r="S322" i="1"/>
  <c r="Q424" i="1"/>
  <c r="Q367" i="1"/>
  <c r="Q116" i="1"/>
  <c r="S100" i="1"/>
  <c r="Q115" i="1"/>
  <c r="Q496" i="1"/>
  <c r="S44" i="1"/>
  <c r="S132" i="1"/>
  <c r="S52" i="1"/>
  <c r="S539" i="1"/>
  <c r="S684" i="1"/>
  <c r="Q500" i="1"/>
  <c r="Q620" i="1"/>
  <c r="Q147" i="1"/>
  <c r="Q292" i="1"/>
  <c r="Q847" i="1"/>
  <c r="Q162" i="1"/>
  <c r="Q748" i="1"/>
  <c r="Q611" i="1"/>
  <c r="S83" i="1"/>
  <c r="S241" i="1"/>
  <c r="S217" i="1"/>
  <c r="Q606" i="1"/>
  <c r="S918" i="1"/>
  <c r="Q570" i="1"/>
  <c r="Q753" i="1"/>
  <c r="S308" i="1"/>
  <c r="S579" i="1"/>
  <c r="Q567" i="1"/>
  <c r="Q246" i="1"/>
  <c r="Q484" i="1"/>
  <c r="Q341" i="1"/>
  <c r="Q187" i="1"/>
  <c r="Q26" i="1"/>
  <c r="S720" i="1"/>
  <c r="S689" i="1"/>
  <c r="S695" i="1"/>
  <c r="S395" i="1"/>
  <c r="S817" i="1"/>
  <c r="Q959" i="1"/>
  <c r="Q922" i="1"/>
  <c r="S888" i="1"/>
  <c r="S920" i="1"/>
  <c r="S114" i="1"/>
  <c r="S784" i="1"/>
  <c r="Q832" i="1"/>
  <c r="Q160" i="1"/>
  <c r="Q394" i="1"/>
  <c r="S602" i="1"/>
  <c r="S359" i="1"/>
  <c r="Q423" i="1"/>
  <c r="S204" i="1"/>
  <c r="Q499" i="1"/>
  <c r="S652" i="1"/>
  <c r="S67" i="1"/>
  <c r="Q99" i="1"/>
  <c r="Q919" i="1"/>
  <c r="S63" i="1"/>
  <c r="Q460" i="1"/>
  <c r="S760" i="1"/>
  <c r="S274" i="1"/>
  <c r="S946" i="1"/>
  <c r="Q601" i="1"/>
  <c r="Q626" i="1"/>
  <c r="Q237" i="1"/>
  <c r="S148" i="1"/>
  <c r="S659" i="1"/>
  <c r="Q255" i="1"/>
  <c r="Q454" i="1"/>
  <c r="S159" i="1"/>
  <c r="Q436" i="1"/>
  <c r="S635" i="1"/>
  <c r="Q697" i="1"/>
  <c r="S697" i="1"/>
  <c r="S335" i="1"/>
  <c r="Q335" i="1"/>
  <c r="Q668" i="1"/>
  <c r="S668" i="1"/>
  <c r="Q197" i="1"/>
  <c r="S197" i="1"/>
  <c r="S279" i="1"/>
  <c r="Q279" i="1"/>
  <c r="S733" i="1"/>
  <c r="Q733" i="1"/>
  <c r="S951" i="1"/>
  <c r="Q951" i="1"/>
  <c r="S260" i="1"/>
  <c r="Q260" i="1"/>
  <c r="Q468" i="1"/>
  <c r="S468" i="1"/>
  <c r="Q741" i="1"/>
  <c r="S741" i="1"/>
  <c r="Q207" i="1"/>
  <c r="S207" i="1"/>
  <c r="S437" i="1"/>
  <c r="Q437" i="1"/>
  <c r="Q949" i="1"/>
  <c r="S949" i="1"/>
  <c r="S75" i="1"/>
  <c r="Q75" i="1"/>
  <c r="S603" i="1"/>
  <c r="Q603" i="1"/>
  <c r="S747" i="1"/>
  <c r="Q747" i="1"/>
  <c r="S533" i="1"/>
  <c r="Q533" i="1"/>
  <c r="S95" i="1"/>
  <c r="Q95" i="1"/>
  <c r="S358" i="1"/>
  <c r="Q358" i="1"/>
  <c r="Q29" i="1"/>
  <c r="S29" i="1"/>
  <c r="Q989" i="1"/>
  <c r="S989" i="1"/>
  <c r="Q506" i="1"/>
  <c r="S506" i="1"/>
  <c r="Q661" i="1"/>
  <c r="S661" i="1"/>
  <c r="S647" i="1"/>
  <c r="Q647" i="1"/>
  <c r="S723" i="1"/>
  <c r="Q723" i="1"/>
  <c r="Q947" i="1"/>
  <c r="S947" i="1"/>
  <c r="S493" i="1"/>
  <c r="Q493" i="1"/>
  <c r="Q294" i="1"/>
  <c r="S294" i="1"/>
  <c r="Q798" i="1"/>
  <c r="Q111" i="1"/>
  <c r="Q467" i="1"/>
  <c r="S467" i="1"/>
  <c r="S619" i="1"/>
  <c r="Q619" i="1"/>
  <c r="Q891" i="1"/>
  <c r="S891" i="1"/>
  <c r="Q70" i="1"/>
  <c r="S70" i="1"/>
  <c r="Q885" i="1"/>
  <c r="S885" i="1"/>
  <c r="S25" i="1"/>
  <c r="Q25" i="1"/>
  <c r="Q729" i="1"/>
  <c r="S729" i="1"/>
  <c r="Q22" i="1"/>
  <c r="S22" i="1"/>
  <c r="Q519" i="1"/>
  <c r="S519" i="1"/>
  <c r="S79" i="1"/>
  <c r="Q79" i="1"/>
  <c r="Q917" i="1"/>
  <c r="S917" i="1"/>
  <c r="Q717" i="1"/>
  <c r="S717" i="1"/>
  <c r="Q804" i="1"/>
  <c r="S804" i="1"/>
  <c r="Q837" i="1"/>
  <c r="S837" i="1"/>
  <c r="S457" i="1"/>
  <c r="Q457" i="1"/>
  <c r="S765" i="1"/>
  <c r="Q765" i="1"/>
  <c r="Q349" i="1"/>
  <c r="S349" i="1"/>
  <c r="Q286" i="1"/>
  <c r="S286" i="1"/>
  <c r="Q435" i="1"/>
  <c r="S435" i="1"/>
  <c r="Q867" i="1"/>
  <c r="S867" i="1"/>
  <c r="Q357" i="1"/>
  <c r="S357" i="1"/>
  <c r="S909" i="1"/>
  <c r="Q909" i="1"/>
  <c r="S355" i="1"/>
  <c r="Q355" i="1"/>
  <c r="S707" i="1"/>
  <c r="Q707" i="1"/>
  <c r="S191" i="1"/>
  <c r="Q191" i="1"/>
  <c r="S141" i="1"/>
  <c r="Q141" i="1"/>
  <c r="S861" i="1"/>
  <c r="Q861" i="1"/>
  <c r="S575" i="1"/>
  <c r="Q575" i="1"/>
  <c r="S486" i="1"/>
  <c r="Q486" i="1"/>
  <c r="Q452" i="1"/>
  <c r="S452" i="1"/>
  <c r="Q836" i="1"/>
  <c r="S836" i="1"/>
  <c r="Q27" i="1"/>
  <c r="S27" i="1"/>
  <c r="S171" i="1"/>
  <c r="Q171" i="1"/>
  <c r="S555" i="1"/>
  <c r="Q555" i="1"/>
  <c r="Q866" i="1"/>
  <c r="Q830" i="1"/>
  <c r="S609" i="1"/>
  <c r="Q561" i="1"/>
  <c r="Q40" i="1"/>
  <c r="S386" i="1"/>
  <c r="S261" i="1"/>
  <c r="Q580" i="1"/>
  <c r="Q524" i="1"/>
  <c r="S627" i="1"/>
  <c r="Q59" i="1"/>
  <c r="Q740" i="1"/>
  <c r="Q343" i="1"/>
  <c r="S175" i="1"/>
  <c r="S403" i="1"/>
  <c r="Q939" i="1"/>
  <c r="S939" i="1"/>
  <c r="S13" i="1"/>
  <c r="Q13" i="1"/>
  <c r="Q933" i="1"/>
  <c r="S933" i="1"/>
  <c r="Q415" i="1"/>
  <c r="S415" i="1"/>
  <c r="Q85" i="1"/>
  <c r="S85" i="1"/>
  <c r="Q510" i="1"/>
  <c r="S510" i="1"/>
  <c r="S941" i="1"/>
  <c r="Q941" i="1"/>
  <c r="Q554" i="1"/>
  <c r="S554" i="1"/>
  <c r="S925" i="1"/>
  <c r="Q925" i="1"/>
  <c r="Q407" i="1"/>
  <c r="S407" i="1"/>
  <c r="S713" i="1"/>
  <c r="Q713" i="1"/>
  <c r="S907" i="1"/>
  <c r="Q907" i="1"/>
  <c r="Q517" i="1"/>
  <c r="S517" i="1"/>
  <c r="S789" i="1"/>
  <c r="Q789" i="1"/>
  <c r="S751" i="1"/>
  <c r="Q751" i="1"/>
  <c r="S21" i="1"/>
  <c r="Q21" i="1"/>
  <c r="S781" i="1"/>
  <c r="Q781" i="1"/>
  <c r="S164" i="1"/>
  <c r="Q164" i="1"/>
  <c r="Q203" i="1"/>
  <c r="S203" i="1"/>
  <c r="Q573" i="1"/>
  <c r="S573" i="1"/>
  <c r="S779" i="1"/>
  <c r="Q779" i="1"/>
  <c r="S69" i="1"/>
  <c r="Q69" i="1"/>
  <c r="S470" i="1"/>
  <c r="Q470" i="1"/>
  <c r="S945" i="1"/>
  <c r="S483" i="1"/>
  <c r="Q483" i="1"/>
  <c r="Q801" i="1"/>
  <c r="S801" i="1"/>
  <c r="S692" i="1"/>
  <c r="Q692" i="1"/>
  <c r="S892" i="1"/>
  <c r="Q892" i="1"/>
  <c r="Q864" i="1"/>
  <c r="Q152" i="1"/>
  <c r="Q516" i="1"/>
  <c r="S655" i="1"/>
  <c r="Q477" i="1"/>
  <c r="S477" i="1"/>
  <c r="S478" i="1"/>
  <c r="Q478" i="1"/>
  <c r="Q977" i="1"/>
  <c r="S977" i="1"/>
  <c r="Q150" i="1"/>
  <c r="S150" i="1"/>
  <c r="Q549" i="1"/>
  <c r="S549" i="1"/>
  <c r="Q950" i="1"/>
  <c r="S950" i="1"/>
  <c r="Q679" i="1"/>
  <c r="S679" i="1"/>
  <c r="Q709" i="1"/>
  <c r="S709" i="1"/>
  <c r="Q966" i="1"/>
  <c r="S966" i="1"/>
  <c r="Q542" i="1"/>
  <c r="S542" i="1"/>
  <c r="S348" i="1"/>
  <c r="Q348" i="1"/>
  <c r="S585" i="1"/>
  <c r="Q585" i="1"/>
  <c r="S973" i="1"/>
  <c r="Q973" i="1"/>
  <c r="S719" i="1"/>
  <c r="Q719" i="1"/>
  <c r="Q629" i="1"/>
  <c r="S629" i="1"/>
  <c r="Q691" i="1"/>
  <c r="S691" i="1"/>
  <c r="Q637" i="1"/>
  <c r="S637" i="1"/>
  <c r="S979" i="1"/>
  <c r="Q979" i="1"/>
  <c r="Q459" i="1"/>
  <c r="S459" i="1"/>
  <c r="S653" i="1"/>
  <c r="Q653" i="1"/>
  <c r="Q31" i="1"/>
  <c r="S31" i="1"/>
  <c r="S981" i="1"/>
  <c r="Q981" i="1"/>
  <c r="Q548" i="1"/>
  <c r="S548" i="1"/>
  <c r="Q251" i="1"/>
  <c r="S251" i="1"/>
  <c r="Q851" i="1"/>
  <c r="S851" i="1"/>
  <c r="Q725" i="1"/>
  <c r="S725" i="1"/>
  <c r="Q429" i="1"/>
  <c r="S429" i="1"/>
  <c r="Q374" i="1"/>
  <c r="Q557" i="1"/>
  <c r="S557" i="1"/>
  <c r="S501" i="1"/>
  <c r="Q501" i="1"/>
  <c r="Q130" i="1"/>
  <c r="S130" i="1"/>
  <c r="Q455" i="1"/>
  <c r="S455" i="1"/>
  <c r="S745" i="1"/>
  <c r="Q745" i="1"/>
  <c r="Q502" i="1"/>
  <c r="S502" i="1"/>
  <c r="S669" i="1"/>
  <c r="Q669" i="1"/>
  <c r="Q213" i="1"/>
  <c r="S213" i="1"/>
  <c r="S153" i="1"/>
  <c r="S491" i="1"/>
  <c r="Q267" i="1"/>
  <c r="Q715" i="1"/>
  <c r="S715" i="1"/>
  <c r="S693" i="1"/>
  <c r="Q693" i="1"/>
  <c r="S942" i="1"/>
  <c r="Q942" i="1"/>
  <c r="Q607" i="1"/>
  <c r="S607" i="1"/>
  <c r="Q857" i="1"/>
  <c r="S857" i="1"/>
  <c r="S462" i="1"/>
  <c r="Q462" i="1"/>
  <c r="Q982" i="1"/>
  <c r="S982" i="1"/>
  <c r="S865" i="1"/>
  <c r="Q865" i="1"/>
  <c r="S515" i="1"/>
  <c r="Q515" i="1"/>
  <c r="Q963" i="1"/>
  <c r="S963" i="1"/>
  <c r="Q198" i="1"/>
  <c r="S198" i="1"/>
  <c r="S14" i="1"/>
  <c r="Q14" i="1"/>
  <c r="Q895" i="1"/>
  <c r="S895" i="1"/>
  <c r="Q388" i="1"/>
  <c r="S388" i="1"/>
  <c r="S475" i="1"/>
  <c r="Q475" i="1"/>
  <c r="Q257" i="1"/>
  <c r="S185" i="1"/>
  <c r="S890" i="1"/>
  <c r="S497" i="1"/>
  <c r="Q106" i="1"/>
  <c r="S33" i="1"/>
  <c r="Q263" i="1"/>
  <c r="S634" i="1"/>
  <c r="Q365" i="1"/>
  <c r="S92" i="1"/>
  <c r="Q447" i="1"/>
  <c r="S235" i="1"/>
  <c r="Q338" i="1"/>
  <c r="S986" i="1"/>
  <c r="S552" i="1"/>
  <c r="Q732" i="1"/>
  <c r="Q587" i="1"/>
  <c r="S587" i="1"/>
  <c r="S771" i="1"/>
  <c r="Q771" i="1"/>
  <c r="Q844" i="1"/>
  <c r="S844" i="1"/>
  <c r="Q677" i="1"/>
  <c r="S677" i="1"/>
  <c r="Q583" i="1"/>
  <c r="S583" i="1"/>
  <c r="Q369" i="1"/>
  <c r="S369" i="1"/>
  <c r="Q974" i="1"/>
  <c r="S974" i="1"/>
  <c r="S685" i="1"/>
  <c r="Q685" i="1"/>
  <c r="S212" i="1"/>
  <c r="Q212" i="1"/>
  <c r="S972" i="1"/>
  <c r="Q972" i="1"/>
  <c r="Q813" i="1"/>
  <c r="S813" i="1"/>
  <c r="Q306" i="1"/>
  <c r="S306" i="1"/>
  <c r="Q605" i="1"/>
  <c r="S605" i="1"/>
  <c r="S28" i="1"/>
  <c r="Q28" i="1"/>
  <c r="S404" i="1"/>
  <c r="Q404" i="1"/>
  <c r="Q940" i="1"/>
  <c r="S940" i="1"/>
  <c r="S589" i="1"/>
  <c r="Q589" i="1"/>
  <c r="Q639" i="1"/>
  <c r="S639" i="1"/>
  <c r="S617" i="1"/>
  <c r="Q617" i="1"/>
  <c r="S86" i="1"/>
  <c r="Q86" i="1"/>
  <c r="S749" i="1"/>
  <c r="Q749" i="1"/>
  <c r="S948" i="1"/>
  <c r="Q948" i="1"/>
  <c r="Q739" i="1"/>
  <c r="S739" i="1"/>
  <c r="Q757" i="1"/>
  <c r="S757" i="1"/>
  <c r="Q855" i="1"/>
  <c r="S855" i="1"/>
  <c r="Q643" i="1"/>
  <c r="S643" i="1"/>
  <c r="S915" i="1"/>
  <c r="Q915" i="1"/>
  <c r="S805" i="1"/>
  <c r="Q805" i="1"/>
  <c r="S485" i="1"/>
  <c r="Q485" i="1"/>
  <c r="Q244" i="1"/>
  <c r="S244" i="1"/>
  <c r="S604" i="1"/>
  <c r="Q604" i="1"/>
  <c r="S788" i="1"/>
  <c r="Q788" i="1"/>
  <c r="S899" i="1"/>
  <c r="Q899" i="1"/>
  <c r="S299" i="1"/>
  <c r="Q299" i="1"/>
  <c r="Q428" i="1"/>
  <c r="S428" i="1"/>
  <c r="Q815" i="1"/>
  <c r="S815" i="1"/>
  <c r="Q20" i="1"/>
  <c r="S20" i="1"/>
  <c r="S900" i="1"/>
  <c r="Q900" i="1"/>
  <c r="Q588" i="1"/>
  <c r="S588" i="1"/>
  <c r="Q422" i="1"/>
  <c r="S422" i="1"/>
  <c r="S511" i="1"/>
  <c r="Q511" i="1"/>
  <c r="Q883" i="1"/>
  <c r="S883" i="1"/>
  <c r="S558" i="1"/>
  <c r="Q558" i="1"/>
  <c r="S538" i="1"/>
  <c r="Q538" i="1"/>
  <c r="S487" i="1"/>
  <c r="S783" i="1"/>
  <c r="Q783" i="1"/>
  <c r="Q458" i="1"/>
  <c r="S458" i="1"/>
  <c r="Q17" i="1"/>
  <c r="S17" i="1"/>
  <c r="S461" i="1"/>
  <c r="Q461" i="1"/>
  <c r="Q233" i="1"/>
  <c r="S803" i="1"/>
  <c r="S916" i="1"/>
  <c r="Q531" i="1"/>
  <c r="S88" i="1"/>
  <c r="S839" i="1"/>
  <c r="S156" i="1"/>
  <c r="S823" i="1"/>
  <c r="Q676" i="1"/>
  <c r="Q932" i="1"/>
  <c r="S199" i="1"/>
  <c r="S172" i="1"/>
  <c r="S796" i="1"/>
  <c r="Q19" i="1"/>
  <c r="S19" i="1"/>
  <c r="Q195" i="1"/>
  <c r="S195" i="1"/>
  <c r="S301" i="1"/>
  <c r="Q301" i="1"/>
  <c r="Q853" i="1"/>
  <c r="S853" i="1"/>
  <c r="S797" i="1"/>
  <c r="Q797" i="1"/>
  <c r="S541" i="1"/>
  <c r="Q541" i="1"/>
  <c r="Q893" i="1"/>
  <c r="S893" i="1"/>
  <c r="S474" i="1"/>
  <c r="Q474" i="1"/>
  <c r="Q37" i="1"/>
  <c r="S37" i="1"/>
  <c r="Q681" i="1"/>
  <c r="S681" i="1"/>
  <c r="Q494" i="1"/>
  <c r="S494" i="1"/>
  <c r="S562" i="1"/>
  <c r="Q562" i="1"/>
  <c r="S887" i="1"/>
  <c r="Q887" i="1"/>
  <c r="S35" i="1"/>
  <c r="Q35" i="1"/>
  <c r="Q571" i="1"/>
  <c r="S571" i="1"/>
  <c r="S93" i="1"/>
  <c r="Q93" i="1"/>
  <c r="S526" i="1"/>
  <c r="Q526" i="1"/>
  <c r="Q227" i="1"/>
  <c r="S227" i="1"/>
  <c r="Q773" i="1"/>
  <c r="S773" i="1"/>
  <c r="S633" i="1"/>
  <c r="Q633" i="1"/>
  <c r="Q87" i="1"/>
  <c r="S87" i="1"/>
  <c r="Q214" i="1"/>
  <c r="S214" i="1"/>
  <c r="S420" i="1"/>
  <c r="Q420" i="1"/>
  <c r="S325" i="1"/>
  <c r="Q325" i="1"/>
  <c r="S877" i="1"/>
  <c r="Q877" i="1"/>
  <c r="Q8" i="1"/>
  <c r="W995" i="1"/>
  <c r="P5" i="1" s="1"/>
  <c r="B11" i="17" l="1"/>
  <c r="A12" i="17"/>
  <c r="H12" i="17"/>
  <c r="D10" i="17"/>
  <c r="E10" i="17" s="1"/>
  <c r="F10" i="17" s="1"/>
  <c r="I11" i="17"/>
  <c r="A17" i="1"/>
  <c r="F16" i="1"/>
  <c r="P6" i="1"/>
  <c r="D11" i="17" l="1"/>
  <c r="E11" i="17" s="1"/>
  <c r="F11" i="17" s="1"/>
  <c r="H13" i="17"/>
  <c r="B12" i="17"/>
  <c r="A13" i="17"/>
  <c r="I12" i="17"/>
  <c r="A18" i="1"/>
  <c r="F18" i="1" s="1"/>
  <c r="F17" i="1"/>
  <c r="I13" i="17" l="1"/>
  <c r="D12" i="17"/>
  <c r="E12" i="17" s="1"/>
  <c r="F12" i="17" s="1"/>
  <c r="H14" i="17"/>
  <c r="A14" i="17"/>
  <c r="B13" i="17"/>
  <c r="R12" i="1"/>
  <c r="P12" i="1"/>
  <c r="T12" i="1"/>
  <c r="Y12" i="1" s="1"/>
  <c r="Y13" i="1" s="1"/>
  <c r="Y14" i="1" s="1"/>
  <c r="Y15" i="1" s="1"/>
  <c r="H15" i="17" l="1"/>
  <c r="D13" i="17"/>
  <c r="E13" i="17" s="1"/>
  <c r="F13" i="17" s="1"/>
  <c r="B14" i="17"/>
  <c r="A15" i="17"/>
  <c r="I14" i="17"/>
  <c r="S12" i="1"/>
  <c r="Q12" i="1"/>
  <c r="U12" i="1"/>
  <c r="H16" i="17" l="1"/>
  <c r="B15" i="17"/>
  <c r="A16" i="17"/>
  <c r="D14" i="17"/>
  <c r="E14" i="17" s="1"/>
  <c r="F14" i="17" s="1"/>
  <c r="I15" i="17"/>
  <c r="E3" i="17"/>
  <c r="F3" i="17" s="1"/>
  <c r="E2" i="17"/>
  <c r="F2" i="17" s="1"/>
  <c r="R16" i="1"/>
  <c r="P16" i="1"/>
  <c r="T16" i="1"/>
  <c r="H17" i="17" l="1"/>
  <c r="D15" i="17"/>
  <c r="E15" i="17" s="1"/>
  <c r="F15" i="17" s="1"/>
  <c r="A17" i="17"/>
  <c r="I16" i="17"/>
  <c r="B16" i="17"/>
  <c r="S16" i="1"/>
  <c r="Q16" i="1"/>
  <c r="U16" i="1"/>
  <c r="Y16" i="1"/>
  <c r="Y17" i="1" s="1"/>
  <c r="R18" i="1"/>
  <c r="P18" i="1"/>
  <c r="Q18" i="1" s="1"/>
  <c r="T18" i="1"/>
  <c r="T996" i="1" s="1"/>
  <c r="I6" i="1" s="1"/>
  <c r="H18" i="17" l="1"/>
  <c r="A18" i="17"/>
  <c r="D16" i="17"/>
  <c r="E16" i="17" s="1"/>
  <c r="F16" i="17" s="1"/>
  <c r="B17" i="17"/>
  <c r="I17" i="17"/>
  <c r="Y18" i="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T995" i="1"/>
  <c r="I8" i="1" s="1"/>
  <c r="P4" i="1" s="1"/>
  <c r="T997" i="1"/>
  <c r="I7" i="1" s="1"/>
  <c r="U18" i="1"/>
  <c r="S18" i="1"/>
  <c r="H19" i="17" l="1"/>
  <c r="A19" i="17"/>
  <c r="I18" i="17"/>
  <c r="D17" i="17"/>
  <c r="E17" i="17" s="1"/>
  <c r="F17" i="17" s="1"/>
  <c r="B18" i="17"/>
  <c r="I5" i="1"/>
  <c r="D6" i="1" s="1"/>
  <c r="D2" i="1" s="1"/>
  <c r="A20" i="17" l="1"/>
  <c r="I19" i="17"/>
  <c r="H20" i="17"/>
  <c r="B19" i="17"/>
  <c r="D18" i="17"/>
  <c r="E18" i="17" s="1"/>
  <c r="F18" i="17" s="1"/>
  <c r="A21" i="17" l="1"/>
  <c r="I20" i="17"/>
  <c r="H21" i="17"/>
  <c r="D19" i="17"/>
  <c r="E19" i="17" s="1"/>
  <c r="F19" i="17" s="1"/>
  <c r="B20" i="17"/>
  <c r="D20" i="17" l="1"/>
  <c r="E20" i="17" s="1"/>
  <c r="F20" i="17" s="1"/>
  <c r="B21" i="17"/>
  <c r="H22" i="17"/>
  <c r="A22" i="17"/>
  <c r="I21" i="17"/>
  <c r="B22" i="17" l="1"/>
  <c r="D21" i="17"/>
  <c r="E21" i="17" s="1"/>
  <c r="F21" i="17" s="1"/>
  <c r="H23" i="17"/>
  <c r="I22" i="17"/>
  <c r="A23" i="17"/>
  <c r="I23" i="17" l="1"/>
  <c r="D22" i="17"/>
  <c r="E22" i="17" s="1"/>
  <c r="F22" i="17" s="1"/>
  <c r="H24" i="17"/>
  <c r="B23" i="17"/>
  <c r="A24" i="17"/>
  <c r="B24" i="17" l="1"/>
  <c r="A25" i="17"/>
  <c r="H25" i="17"/>
  <c r="D23" i="17"/>
  <c r="E23" i="17" s="1"/>
  <c r="F23" i="17" s="1"/>
  <c r="I24" i="17"/>
  <c r="I25" i="17" l="1"/>
  <c r="B25" i="17"/>
  <c r="A26" i="17"/>
  <c r="D24" i="17"/>
  <c r="E24" i="17" s="1"/>
  <c r="F24" i="17" s="1"/>
  <c r="H26" i="17"/>
  <c r="I26" i="17" l="1"/>
  <c r="D25" i="17"/>
  <c r="E25" i="17" s="1"/>
  <c r="F25" i="17" s="1"/>
  <c r="H27" i="17"/>
  <c r="A27" i="17"/>
  <c r="B26" i="17"/>
  <c r="I27" i="17" l="1"/>
  <c r="B27" i="17"/>
  <c r="H28" i="17"/>
  <c r="D26" i="17"/>
  <c r="E26" i="17" s="1"/>
  <c r="F26" i="17" s="1"/>
  <c r="A28" i="17"/>
  <c r="B28" i="17" l="1"/>
  <c r="I28" i="17"/>
  <c r="H29" i="17"/>
  <c r="D27" i="17"/>
  <c r="E27" i="17" s="1"/>
  <c r="F27" i="17" s="1"/>
  <c r="A29" i="17"/>
  <c r="A30" i="17" l="1"/>
  <c r="I29" i="17"/>
  <c r="H30" i="17"/>
  <c r="B29" i="17"/>
  <c r="D28" i="17"/>
  <c r="E28" i="17" s="1"/>
  <c r="F28" i="17" s="1"/>
  <c r="I30" i="17" l="1"/>
  <c r="A31" i="17"/>
  <c r="D29" i="17"/>
  <c r="E29" i="17" s="1"/>
  <c r="F29" i="17" s="1"/>
  <c r="B30" i="17"/>
  <c r="H31" i="17"/>
  <c r="A32" i="17" l="1"/>
  <c r="B31" i="17"/>
  <c r="D30" i="17"/>
  <c r="E30" i="17" s="1"/>
  <c r="F30" i="17" s="1"/>
  <c r="I31" i="17"/>
  <c r="H32" i="17"/>
  <c r="D31" i="17" l="1"/>
  <c r="E31" i="17" s="1"/>
  <c r="F31" i="17" s="1"/>
  <c r="A33" i="17"/>
  <c r="I32" i="17"/>
  <c r="H33" i="17"/>
  <c r="B32" i="17"/>
  <c r="I33" i="17" l="1"/>
  <c r="H34" i="17"/>
  <c r="D32" i="17"/>
  <c r="E32" i="17" s="1"/>
  <c r="F32" i="17" s="1"/>
  <c r="B33" i="17"/>
  <c r="A34" i="17"/>
  <c r="I34" i="17" l="1"/>
  <c r="A35" i="17"/>
  <c r="H35" i="17"/>
  <c r="D33" i="17"/>
  <c r="E33" i="17" s="1"/>
  <c r="F33" i="17" s="1"/>
  <c r="B34" i="17"/>
  <c r="I35" i="17" l="1"/>
  <c r="A36" i="17"/>
  <c r="B35" i="17"/>
  <c r="H36" i="17"/>
  <c r="D34" i="17"/>
  <c r="E34" i="17" s="1"/>
  <c r="F34" i="17" s="1"/>
  <c r="I36" i="17" l="1"/>
  <c r="B36" i="17"/>
  <c r="H37" i="17"/>
  <c r="A37" i="17"/>
  <c r="D35" i="17"/>
  <c r="E35" i="17" s="1"/>
  <c r="F35" i="17" s="1"/>
  <c r="D36" i="17" l="1"/>
  <c r="E36" i="17" s="1"/>
  <c r="F36" i="17" s="1"/>
  <c r="B37" i="17"/>
  <c r="A38" i="17"/>
  <c r="I37" i="17"/>
  <c r="H38" i="17"/>
  <c r="I38" i="17" l="1"/>
  <c r="A39" i="17"/>
  <c r="D37" i="17"/>
  <c r="E37" i="17" s="1"/>
  <c r="F37" i="17" s="1"/>
  <c r="B38" i="17"/>
  <c r="H39" i="17"/>
  <c r="I39" i="17" l="1"/>
  <c r="D38" i="17"/>
  <c r="E38" i="17" s="1"/>
  <c r="F38" i="17" s="1"/>
  <c r="B39" i="17"/>
  <c r="H40" i="17"/>
  <c r="A40" i="17"/>
  <c r="A41" i="17" l="1"/>
  <c r="D39" i="17"/>
  <c r="E39" i="17" s="1"/>
  <c r="F39" i="17" s="1"/>
  <c r="H41" i="17"/>
  <c r="I40" i="17"/>
  <c r="B40" i="17"/>
  <c r="I41" i="17" l="1"/>
  <c r="A42" i="17"/>
  <c r="B41" i="17"/>
  <c r="D40" i="17"/>
  <c r="E40" i="17" s="1"/>
  <c r="F40" i="17" s="1"/>
  <c r="H42" i="17"/>
  <c r="A43" i="17" l="1"/>
  <c r="I42" i="17"/>
  <c r="B42" i="17"/>
  <c r="H43" i="17"/>
  <c r="D41" i="17"/>
  <c r="E41" i="17" s="1"/>
  <c r="F41" i="17" s="1"/>
  <c r="D42" i="17" l="1"/>
  <c r="E42" i="17" s="1"/>
  <c r="F42" i="17" s="1"/>
  <c r="B43" i="17"/>
  <c r="A44" i="17"/>
  <c r="I43" i="17"/>
  <c r="H44" i="17"/>
  <c r="D43" i="17" l="1"/>
  <c r="E43" i="17" s="1"/>
  <c r="F43" i="17" s="1"/>
  <c r="H45" i="17"/>
  <c r="B44" i="17"/>
  <c r="A45" i="17"/>
  <c r="I44" i="17"/>
  <c r="D44" i="17" l="1"/>
  <c r="E44" i="17" s="1"/>
  <c r="F44" i="17" s="1"/>
  <c r="I45" i="17"/>
  <c r="A46" i="17"/>
  <c r="H46" i="17"/>
  <c r="B45" i="17"/>
  <c r="B46" i="17" l="1"/>
  <c r="D45" i="17"/>
  <c r="E45" i="17" s="1"/>
  <c r="F45" i="17" s="1"/>
  <c r="I46" i="17"/>
  <c r="H47" i="17"/>
  <c r="A47" i="17"/>
  <c r="A48" i="17" l="1"/>
  <c r="H48" i="17"/>
  <c r="D46" i="17"/>
  <c r="E46" i="17" s="1"/>
  <c r="F46" i="17" s="1"/>
  <c r="I47" i="17"/>
  <c r="B47" i="17"/>
  <c r="A49" i="17" l="1"/>
  <c r="I48" i="17"/>
  <c r="B48" i="17"/>
  <c r="D47" i="17"/>
  <c r="E47" i="17" s="1"/>
  <c r="F47" i="17" s="1"/>
  <c r="H49" i="17"/>
  <c r="B49" i="17" l="1"/>
  <c r="A50" i="17"/>
  <c r="H50" i="17"/>
  <c r="I49" i="17"/>
  <c r="D48" i="17"/>
  <c r="E48" i="17" s="1"/>
  <c r="F48" i="17" s="1"/>
  <c r="H51" i="17" l="1"/>
  <c r="D49" i="17"/>
  <c r="E49" i="17" s="1"/>
  <c r="F49" i="17" s="1"/>
  <c r="A51" i="17"/>
  <c r="B50" i="17"/>
  <c r="I50" i="17"/>
  <c r="B51" i="17" l="1"/>
  <c r="I51" i="17"/>
  <c r="A52" i="17"/>
  <c r="D50" i="17"/>
  <c r="E50" i="17" s="1"/>
  <c r="F50" i="17" s="1"/>
  <c r="H52" i="17"/>
  <c r="A53" i="17" l="1"/>
  <c r="B52" i="17"/>
  <c r="H53" i="17"/>
  <c r="D51" i="17"/>
  <c r="E51" i="17" s="1"/>
  <c r="F51" i="17" s="1"/>
  <c r="I52" i="17"/>
  <c r="H54" i="17" l="1"/>
  <c r="D52" i="17"/>
  <c r="E52" i="17" s="1"/>
  <c r="F52" i="17" s="1"/>
  <c r="B53" i="17"/>
  <c r="A54" i="17"/>
  <c r="I53" i="17"/>
  <c r="B54" i="17" l="1"/>
  <c r="H55" i="17"/>
  <c r="I54" i="17"/>
  <c r="D53" i="17"/>
  <c r="E53" i="17" s="1"/>
  <c r="F53" i="17" s="1"/>
  <c r="A55" i="17"/>
  <c r="B55" i="17" l="1"/>
  <c r="A56" i="17"/>
  <c r="D54" i="17"/>
  <c r="E54" i="17" s="1"/>
  <c r="F54" i="17" s="1"/>
  <c r="I55" i="17"/>
  <c r="H56" i="17"/>
  <c r="A57" i="17" l="1"/>
  <c r="B56" i="17"/>
  <c r="I56" i="17"/>
  <c r="D55" i="17"/>
  <c r="E55" i="17" s="1"/>
  <c r="F55" i="17" s="1"/>
  <c r="H57" i="17"/>
  <c r="H58" i="17" l="1"/>
  <c r="D56" i="17"/>
  <c r="E56" i="17" s="1"/>
  <c r="F56" i="17" s="1"/>
  <c r="B57" i="17"/>
  <c r="A58" i="17"/>
  <c r="I57" i="17"/>
  <c r="D57" i="17" l="1"/>
  <c r="E57" i="17" s="1"/>
  <c r="F57" i="17" s="1"/>
  <c r="H59" i="17"/>
  <c r="I58" i="17"/>
  <c r="B58" i="17"/>
  <c r="A59" i="17"/>
  <c r="D58" i="17" l="1"/>
  <c r="E58" i="17" s="1"/>
  <c r="F58" i="17" s="1"/>
  <c r="H60" i="17"/>
  <c r="B59" i="17"/>
  <c r="A60" i="17"/>
  <c r="I59" i="17"/>
  <c r="A61" i="17" l="1"/>
  <c r="H61" i="17"/>
  <c r="D59" i="17"/>
  <c r="E59" i="17" s="1"/>
  <c r="F59" i="17" s="1"/>
  <c r="B60" i="17"/>
  <c r="I60" i="17"/>
  <c r="H62" i="17" l="1"/>
  <c r="I61" i="17"/>
  <c r="B61" i="17"/>
  <c r="A62" i="17"/>
  <c r="D60" i="17"/>
  <c r="E60" i="17" s="1"/>
  <c r="F60" i="17" s="1"/>
  <c r="H63" i="17" l="1"/>
  <c r="D61" i="17"/>
  <c r="E61" i="17" s="1"/>
  <c r="F61" i="17" s="1"/>
  <c r="I62" i="17"/>
  <c r="B62" i="17"/>
  <c r="A63" i="17"/>
  <c r="A64" i="17" l="1"/>
  <c r="H64" i="17"/>
  <c r="D62" i="17"/>
  <c r="E62" i="17" s="1"/>
  <c r="F62" i="17" s="1"/>
  <c r="B63" i="17"/>
  <c r="I63" i="17"/>
  <c r="B64" i="17" l="1"/>
  <c r="A65" i="17"/>
  <c r="H65" i="17"/>
  <c r="D63" i="17"/>
  <c r="E63" i="17" s="1"/>
  <c r="F63" i="17" s="1"/>
  <c r="I64" i="17"/>
  <c r="B65" i="17" l="1"/>
  <c r="H66" i="17"/>
  <c r="I65" i="17"/>
  <c r="D64" i="17"/>
  <c r="E64" i="17" s="1"/>
  <c r="F64" i="17" s="1"/>
  <c r="A66" i="17"/>
  <c r="H67" i="17" l="1"/>
  <c r="D65" i="17"/>
  <c r="E65" i="17" s="1"/>
  <c r="F65" i="17" s="1"/>
  <c r="B66" i="17"/>
  <c r="A67" i="17"/>
  <c r="I66" i="17"/>
  <c r="A68" i="17" l="1"/>
  <c r="D66" i="17"/>
  <c r="E66" i="17" s="1"/>
  <c r="F66" i="17" s="1"/>
  <c r="H68" i="17"/>
  <c r="I67" i="17"/>
  <c r="B67" i="17"/>
  <c r="B68" i="17" l="1"/>
  <c r="A69" i="17"/>
  <c r="H69" i="17"/>
  <c r="D67" i="17"/>
  <c r="E67" i="17" s="1"/>
  <c r="F67" i="17" s="1"/>
  <c r="I68" i="17"/>
  <c r="H70" i="17" l="1"/>
  <c r="B69" i="17"/>
  <c r="D68" i="17"/>
  <c r="E68" i="17" s="1"/>
  <c r="F68" i="17" s="1"/>
  <c r="I69" i="17"/>
  <c r="A70" i="17"/>
  <c r="H71" i="17" l="1"/>
  <c r="D69" i="17"/>
  <c r="E69" i="17" s="1"/>
  <c r="F69" i="17" s="1"/>
  <c r="B70" i="17"/>
  <c r="A71" i="17"/>
  <c r="I70" i="17"/>
  <c r="D70" i="17" l="1"/>
  <c r="E70" i="17" s="1"/>
  <c r="F70" i="17" s="1"/>
  <c r="H72" i="17"/>
  <c r="B71" i="17"/>
  <c r="A72" i="17"/>
  <c r="I71" i="17"/>
  <c r="D71" i="17" l="1"/>
  <c r="E71" i="17" s="1"/>
  <c r="F71" i="17" s="1"/>
  <c r="A73" i="17"/>
  <c r="H73" i="17"/>
  <c r="I72" i="17"/>
  <c r="B72" i="17"/>
  <c r="H74" i="17" l="1"/>
  <c r="B73" i="17"/>
  <c r="I73" i="17"/>
  <c r="A74" i="17"/>
  <c r="D72" i="17"/>
  <c r="E72" i="17" s="1"/>
  <c r="F72" i="17" s="1"/>
  <c r="D73" i="17" l="1"/>
  <c r="E73" i="17" s="1"/>
  <c r="F73" i="17" s="1"/>
  <c r="H75" i="17"/>
  <c r="I74" i="17"/>
  <c r="B74" i="17"/>
  <c r="A75" i="17"/>
  <c r="D74" i="17" l="1"/>
  <c r="E74" i="17" s="1"/>
  <c r="F74" i="17" s="1"/>
  <c r="I75" i="17"/>
  <c r="B75" i="17"/>
  <c r="A76" i="17"/>
  <c r="H76" i="17"/>
  <c r="A77" i="17" l="1"/>
  <c r="D75" i="17"/>
  <c r="E75" i="17" s="1"/>
  <c r="F75" i="17" s="1"/>
  <c r="I76" i="17"/>
  <c r="B76" i="17"/>
  <c r="H77" i="17"/>
  <c r="H78" i="17" l="1"/>
  <c r="I77" i="17"/>
  <c r="A78" i="17"/>
  <c r="B77" i="17"/>
  <c r="D76" i="17"/>
  <c r="E76" i="17" s="1"/>
  <c r="F76" i="17" s="1"/>
  <c r="H79" i="17" l="1"/>
  <c r="A79" i="17"/>
  <c r="D77" i="17"/>
  <c r="E77" i="17" s="1"/>
  <c r="F77" i="17" s="1"/>
  <c r="I78" i="17"/>
  <c r="B78" i="17"/>
  <c r="D78" i="17" l="1"/>
  <c r="E78" i="17" s="1"/>
  <c r="F78" i="17" s="1"/>
  <c r="H80" i="17"/>
  <c r="B79" i="17"/>
  <c r="A80" i="17"/>
  <c r="I79" i="17"/>
  <c r="B80" i="17" l="1"/>
  <c r="H81" i="17"/>
  <c r="A81" i="17"/>
  <c r="D79" i="17"/>
  <c r="E79" i="17" s="1"/>
  <c r="F79" i="17" s="1"/>
  <c r="I80" i="17"/>
  <c r="A82" i="17" l="1"/>
  <c r="I81" i="17"/>
  <c r="H82" i="17"/>
  <c r="B81" i="17"/>
  <c r="D80" i="17"/>
  <c r="E80" i="17" s="1"/>
  <c r="F80" i="17" s="1"/>
  <c r="H83" i="17" l="1"/>
  <c r="I82" i="17"/>
  <c r="B82" i="17"/>
  <c r="A83" i="17"/>
  <c r="D81" i="17"/>
  <c r="E81" i="17" s="1"/>
  <c r="F81" i="17" s="1"/>
  <c r="D82" i="17" l="1"/>
  <c r="E82" i="17" s="1"/>
  <c r="F82" i="17" s="1"/>
  <c r="A84" i="17"/>
  <c r="I83" i="17"/>
  <c r="B83" i="17"/>
  <c r="H84" i="17"/>
  <c r="D83" i="17" l="1"/>
  <c r="E83" i="17" s="1"/>
  <c r="F83" i="17" s="1"/>
  <c r="H85" i="17"/>
  <c r="B84" i="17"/>
  <c r="I84" i="17"/>
  <c r="A85" i="17"/>
  <c r="D84" i="17" l="1"/>
  <c r="E84" i="17" s="1"/>
  <c r="F84" i="17" s="1"/>
  <c r="H86" i="17"/>
  <c r="B85" i="17"/>
  <c r="A86" i="17"/>
  <c r="I85" i="17"/>
  <c r="D85" i="17" l="1"/>
  <c r="E85" i="17" s="1"/>
  <c r="F85" i="17" s="1"/>
  <c r="A87" i="17"/>
  <c r="H87" i="17"/>
  <c r="B86" i="17"/>
  <c r="I86" i="17"/>
  <c r="B87" i="17" l="1"/>
  <c r="H88" i="17"/>
  <c r="I87" i="17"/>
  <c r="A88" i="17"/>
  <c r="D86" i="17"/>
  <c r="E86" i="17" s="1"/>
  <c r="F86" i="17" s="1"/>
  <c r="H89" i="17" l="1"/>
  <c r="A89" i="17"/>
  <c r="B88" i="17"/>
  <c r="D87" i="17"/>
  <c r="E87" i="17" s="1"/>
  <c r="F87" i="17" s="1"/>
  <c r="I88" i="17"/>
  <c r="B89" i="17" l="1"/>
  <c r="A90" i="17"/>
  <c r="D88" i="17"/>
  <c r="E88" i="17" s="1"/>
  <c r="F88" i="17" s="1"/>
  <c r="H90" i="17"/>
  <c r="I89" i="17"/>
  <c r="B90" i="17" l="1"/>
  <c r="I90" i="17"/>
  <c r="D89" i="17"/>
  <c r="E89" i="17" s="1"/>
  <c r="F89" i="17" s="1"/>
  <c r="H91" i="17"/>
  <c r="A91" i="17"/>
  <c r="D90" i="17" l="1"/>
  <c r="E90" i="17" s="1"/>
  <c r="F90" i="17" s="1"/>
  <c r="I91" i="17"/>
  <c r="H92" i="17"/>
  <c r="B91" i="17"/>
  <c r="A92" i="17"/>
  <c r="D91" i="17" l="1"/>
  <c r="E91" i="17" s="1"/>
  <c r="F91" i="17" s="1"/>
  <c r="I92" i="17"/>
  <c r="B92" i="17"/>
  <c r="H93" i="17"/>
  <c r="A93" i="17"/>
  <c r="D92" i="17" l="1"/>
  <c r="E92" i="17" s="1"/>
  <c r="F92" i="17" s="1"/>
  <c r="A94" i="17"/>
  <c r="I93" i="17"/>
  <c r="H94" i="17"/>
  <c r="B93" i="17"/>
  <c r="D93" i="17" l="1"/>
  <c r="E93" i="17" s="1"/>
  <c r="F93" i="17" s="1"/>
  <c r="A95" i="17"/>
  <c r="H95" i="17"/>
  <c r="B94" i="17"/>
  <c r="I94" i="17"/>
  <c r="B95" i="17" l="1"/>
  <c r="D94" i="17"/>
  <c r="E94" i="17" s="1"/>
  <c r="F94" i="17" s="1"/>
  <c r="H96" i="17"/>
  <c r="I95" i="17"/>
  <c r="A96" i="17"/>
  <c r="A97" i="17" l="1"/>
  <c r="B96" i="17"/>
  <c r="D95" i="17"/>
  <c r="E95" i="17" s="1"/>
  <c r="F95" i="17" s="1"/>
  <c r="H97" i="17"/>
  <c r="I96" i="17"/>
  <c r="B97" i="17" l="1"/>
  <c r="A98" i="17"/>
  <c r="D96" i="17"/>
  <c r="E96" i="17" s="1"/>
  <c r="F96" i="17" s="1"/>
  <c r="H98" i="17"/>
  <c r="I97" i="17"/>
  <c r="B98" i="17" l="1"/>
  <c r="H99" i="17"/>
  <c r="A99" i="17"/>
  <c r="I98" i="17"/>
  <c r="D97" i="17"/>
  <c r="E97" i="17" s="1"/>
  <c r="F97" i="17" s="1"/>
  <c r="D98" i="17" l="1"/>
  <c r="E98" i="17" s="1"/>
  <c r="F98" i="17" s="1"/>
  <c r="I99" i="17"/>
  <c r="H100" i="17"/>
  <c r="A100" i="17"/>
  <c r="B99" i="17"/>
  <c r="H101" i="17" l="1"/>
  <c r="D99" i="17"/>
  <c r="E99" i="17" s="1"/>
  <c r="F99" i="17" s="1"/>
  <c r="I100" i="17"/>
  <c r="A101" i="17"/>
  <c r="B100" i="17"/>
  <c r="D100" i="17" l="1"/>
  <c r="E100" i="17" s="1"/>
  <c r="F100" i="17" s="1"/>
  <c r="A102" i="17"/>
  <c r="H102" i="17"/>
  <c r="B101" i="17"/>
  <c r="I101" i="17"/>
  <c r="A103" i="17" l="1"/>
  <c r="I102" i="17"/>
  <c r="B102" i="17"/>
  <c r="D101" i="17"/>
  <c r="E101" i="17" s="1"/>
  <c r="F101" i="17" s="1"/>
  <c r="H103" i="17"/>
  <c r="B103" i="17" l="1"/>
  <c r="A104" i="17"/>
  <c r="H104" i="17"/>
  <c r="I103" i="17"/>
  <c r="D102" i="17"/>
  <c r="E102" i="17" s="1"/>
  <c r="F102" i="17" s="1"/>
  <c r="A105" i="17" l="1"/>
  <c r="B104" i="17"/>
  <c r="D103" i="17"/>
  <c r="E103" i="17" s="1"/>
  <c r="F103" i="17" s="1"/>
  <c r="H105" i="17"/>
  <c r="I104" i="17"/>
  <c r="B105" i="17" l="1"/>
  <c r="I105" i="17"/>
  <c r="D104" i="17"/>
  <c r="E104" i="17" s="1"/>
  <c r="F104" i="17" s="1"/>
  <c r="H106" i="17"/>
  <c r="A106" i="17"/>
  <c r="B106" i="17" l="1"/>
  <c r="H107" i="17"/>
  <c r="I106" i="17"/>
  <c r="D105" i="17"/>
  <c r="E105" i="17" s="1"/>
  <c r="F105" i="17" s="1"/>
  <c r="A107" i="17"/>
  <c r="A108" i="17" l="1"/>
  <c r="I107" i="17"/>
  <c r="H108" i="17"/>
  <c r="B107" i="17"/>
  <c r="D106" i="17"/>
  <c r="E106" i="17" s="1"/>
  <c r="F106" i="17" s="1"/>
  <c r="D107" i="17" l="1"/>
  <c r="E107" i="17" s="1"/>
  <c r="F107" i="17" s="1"/>
  <c r="A109" i="17"/>
  <c r="I108" i="17"/>
  <c r="B108" i="17"/>
  <c r="H109" i="17"/>
  <c r="D108" i="17" l="1"/>
  <c r="E108" i="17" s="1"/>
  <c r="F108" i="17" s="1"/>
  <c r="H110" i="17"/>
  <c r="B109" i="17"/>
  <c r="A110" i="17"/>
  <c r="I109" i="17"/>
  <c r="A111" i="17" l="1"/>
  <c r="H111" i="17"/>
  <c r="D109" i="17"/>
  <c r="E109" i="17" s="1"/>
  <c r="F109" i="17" s="1"/>
  <c r="B110" i="17"/>
  <c r="I110" i="17"/>
  <c r="B111" i="17" l="1"/>
  <c r="H112" i="17"/>
  <c r="A112" i="17"/>
  <c r="I111" i="17"/>
  <c r="D110" i="17"/>
  <c r="E110" i="17" s="1"/>
  <c r="F110" i="17" s="1"/>
  <c r="D111" i="17" l="1"/>
  <c r="E111" i="17" s="1"/>
  <c r="F111" i="17" s="1"/>
  <c r="B112" i="17"/>
  <c r="H113" i="17"/>
  <c r="A113" i="17"/>
  <c r="I112" i="17"/>
  <c r="B113" i="17" l="1"/>
  <c r="H114" i="17"/>
  <c r="I113" i="17"/>
  <c r="D112" i="17"/>
  <c r="E112" i="17" s="1"/>
  <c r="F112" i="17" s="1"/>
  <c r="A114" i="17"/>
  <c r="H115" i="17" l="1"/>
  <c r="B114" i="17"/>
  <c r="A115" i="17"/>
  <c r="D113" i="17"/>
  <c r="E113" i="17" s="1"/>
  <c r="F113" i="17" s="1"/>
  <c r="I114" i="17"/>
  <c r="A116" i="17" l="1"/>
  <c r="D114" i="17"/>
  <c r="E114" i="17" s="1"/>
  <c r="F114" i="17" s="1"/>
  <c r="H116" i="17"/>
  <c r="B115" i="17"/>
  <c r="I115" i="17"/>
  <c r="D115" i="17" l="1"/>
  <c r="E115" i="17" s="1"/>
  <c r="F115" i="17" s="1"/>
  <c r="B116" i="17"/>
  <c r="H117" i="17"/>
  <c r="A117" i="17"/>
  <c r="I116" i="17"/>
  <c r="A118" i="17" l="1"/>
  <c r="D116" i="17"/>
  <c r="E116" i="17" s="1"/>
  <c r="F116" i="17" s="1"/>
  <c r="H118" i="17"/>
  <c r="I117" i="17"/>
  <c r="B117" i="17"/>
  <c r="A119" i="17" l="1"/>
  <c r="D117" i="17"/>
  <c r="E117" i="17" s="1"/>
  <c r="F117" i="17" s="1"/>
  <c r="I118" i="17"/>
  <c r="B118" i="17"/>
  <c r="H119" i="17"/>
  <c r="H120" i="17" l="1"/>
  <c r="B119" i="17"/>
  <c r="A120" i="17"/>
  <c r="I119" i="17"/>
  <c r="D118" i="17"/>
  <c r="E118" i="17" s="1"/>
  <c r="F118" i="17" s="1"/>
  <c r="H121" i="17" l="1"/>
  <c r="I120" i="17"/>
  <c r="B120" i="17"/>
  <c r="D119" i="17"/>
  <c r="E119" i="17" s="1"/>
  <c r="F119" i="17" s="1"/>
  <c r="A121" i="17"/>
  <c r="B121" i="17" l="1"/>
  <c r="H122" i="17"/>
  <c r="A122" i="17"/>
  <c r="D120" i="17"/>
  <c r="E120" i="17" s="1"/>
  <c r="F120" i="17" s="1"/>
  <c r="I121" i="17"/>
  <c r="H123" i="17" l="1"/>
  <c r="I122" i="17"/>
  <c r="D121" i="17"/>
  <c r="E121" i="17" s="1"/>
  <c r="F121" i="17" s="1"/>
  <c r="B122" i="17"/>
  <c r="A123" i="17"/>
  <c r="A124" i="17" l="1"/>
  <c r="H124" i="17"/>
  <c r="B123" i="17"/>
  <c r="D122" i="17"/>
  <c r="E122" i="17" s="1"/>
  <c r="F122" i="17" s="1"/>
  <c r="I123" i="17"/>
  <c r="A125" i="17" l="1"/>
  <c r="B124" i="17"/>
  <c r="H125" i="17"/>
  <c r="I124" i="17"/>
  <c r="D123" i="17"/>
  <c r="E123" i="17" s="1"/>
  <c r="F123" i="17" s="1"/>
  <c r="A126" i="17" l="1"/>
  <c r="H126" i="17"/>
  <c r="B125" i="17"/>
  <c r="D124" i="17"/>
  <c r="E124" i="17" s="1"/>
  <c r="F124" i="17" s="1"/>
  <c r="I125" i="17"/>
  <c r="I126" i="17" l="1"/>
  <c r="B126" i="17"/>
  <c r="D125" i="17"/>
  <c r="D126" i="17" l="1"/>
  <c r="E126" i="17" s="1"/>
  <c r="F126" i="17" s="1"/>
  <c r="E125" i="17"/>
  <c r="F125" i="17" s="1"/>
</calcChain>
</file>

<file path=xl/sharedStrings.xml><?xml version="1.0" encoding="utf-8"?>
<sst xmlns="http://schemas.openxmlformats.org/spreadsheetml/2006/main" count="202" uniqueCount="178">
  <si>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</si>
  <si>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</si>
  <si>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</si>
  <si>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</si>
  <si>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</si>
  <si>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</si>
  <si>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</si>
  <si>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</si>
  <si>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</si>
  <si>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</si>
  <si>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</si>
  <si>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</si>
  <si>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</si>
  <si>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</si>
  <si>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</si>
  <si>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</si>
  <si>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</si>
  <si>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</si>
  <si>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</si>
  <si>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</si>
  <si>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</si>
  <si>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</si>
  <si>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</si>
  <si>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</si>
  <si>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</si>
  <si>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</si>
  <si>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</si>
  <si>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</si>
  <si>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</si>
  <si>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</si>
  <si>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</si>
  <si>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</si>
  <si>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</si>
  <si>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</si>
  <si>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</si>
  <si>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</si>
  <si>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</si>
  <si>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</si>
  <si>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</si>
  <si>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</si>
  <si>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</si>
  <si>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</si>
  <si>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</si>
  <si>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</si>
  <si>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</si>
  <si>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</si>
  <si>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</si>
  <si>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</si>
  <si>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</si>
  <si>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</si>
  <si>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</si>
  <si>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</si>
  <si>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</si>
  <si>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</si>
  <si>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</si>
  <si>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</si>
  <si>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</si>
  <si>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</si>
  <si>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</si>
  <si>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</si>
  <si>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</si>
  <si>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</si>
  <si>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</si>
  <si>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</si>
  <si>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</si>
  <si>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</si>
  <si>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</si>
  <si>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</si>
  <si>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</si>
  <si>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</si>
  <si>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</si>
  <si>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</si>
  <si>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</si>
  <si>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</si>
  <si>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</si>
  <si>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</si>
  <si>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</si>
  <si>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</si>
  <si>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</si>
  <si>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</si>
  <si>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</si>
  <si>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</si>
  <si>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</si>
  <si>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</si>
  <si>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</si>
  <si>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</si>
  <si>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</si>
  <si>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</si>
  <si>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</si>
  <si>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</si>
  <si>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</si>
  <si>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</si>
  <si>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</si>
  <si>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</si>
  <si>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</si>
  <si>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</si>
  <si>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</si>
  <si>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</si>
  <si>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</si>
  <si>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</si>
  <si>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</si>
  <si>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</si>
  <si>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</si>
  <si>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</si>
  <si>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</si>
  <si>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</si>
  <si>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</si>
  <si>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</si>
  <si>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</si>
  <si>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</si>
  <si>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</si>
  <si>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</si>
  <si>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</si>
  <si>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</si>
  <si>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</si>
  <si>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Days</t>
  </si>
  <si>
    <t>Pips / Day</t>
  </si>
  <si>
    <t>$ / Day</t>
  </si>
  <si>
    <t>Milestones</t>
  </si>
  <si>
    <t>Largest Profit Pips</t>
    <phoneticPr fontId="1" type="noConversion"/>
  </si>
  <si>
    <t>Largest Loss Pips</t>
    <phoneticPr fontId="1" type="noConversion"/>
  </si>
  <si>
    <t xml:space="preserve">Date/Time Open  </t>
  </si>
  <si>
    <t>Date/Time Close</t>
  </si>
  <si>
    <t>Take Profits</t>
  </si>
  <si>
    <t>EURUSD</t>
  </si>
  <si>
    <t>Capital Balance</t>
  </si>
  <si>
    <t>Pair</t>
  </si>
  <si>
    <t>AUDUSD</t>
  </si>
  <si>
    <t>USDCAD</t>
  </si>
  <si>
    <t>USDCHF</t>
  </si>
  <si>
    <r>
      <t>Tip:</t>
    </r>
    <r>
      <rPr>
        <b/>
        <sz val="10"/>
        <color indexed="18"/>
        <rFont val="Arial"/>
        <family val="2"/>
      </rPr>
      <t xml:space="preserve"> when you deposit or withdraw funds take a record on this log</t>
    </r>
  </si>
  <si>
    <t>GBPUSD</t>
  </si>
  <si>
    <t>NZDUSD</t>
  </si>
  <si>
    <t>USDJPY</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</si>
  <si>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</si>
  <si>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</si>
  <si>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</si>
  <si>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</si>
  <si>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</si>
  <si>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</si>
  <si>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</si>
  <si>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</si>
  <si>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</si>
  <si>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智慧宝石</t>
  </si>
  <si>
    <t>Pips S/L</t>
  </si>
  <si>
    <t>财经日历</t>
  </si>
  <si>
    <t>求和项:Actual Profit/Loss</t>
  </si>
  <si>
    <t>定法！定心！善输！小错！</t>
  </si>
  <si>
    <t>下降趋势</t>
  </si>
  <si>
    <t>战胜心魔</t>
  </si>
  <si>
    <t>Trend</t>
  </si>
  <si>
    <t>上升趋势</t>
  </si>
  <si>
    <t>横向整理</t>
  </si>
  <si>
    <t>操作总结</t>
  </si>
  <si>
    <t/>
  </si>
  <si>
    <t>EURJPY</t>
  </si>
  <si>
    <t>GBPJPY</t>
  </si>
  <si>
    <t>M15 Trend</t>
  </si>
  <si>
    <t>% of Capital at Risk</t>
  </si>
  <si>
    <t xml:space="preserve">Rate of Return </t>
  </si>
  <si>
    <t>Lot</t>
  </si>
  <si>
    <t>Oanada  #</t>
  </si>
  <si>
    <t>Trade #</t>
  </si>
  <si>
    <t>戒急躁，控制风险，特别是盈利单后。</t>
  </si>
  <si>
    <t>计划你的交易，交易你的计划。</t>
  </si>
  <si>
    <t>相信你所看到的，不要让脑筋动了你的眼睛。</t>
  </si>
  <si>
    <t>错误的行为习惯</t>
  </si>
  <si>
    <t>不能亲自盯盘的时候没有设置追踪保护止损的习惯，常常让盈利单转变为亏损单。</t>
  </si>
  <si>
    <t>一个N字型就是一个波段，N字的两个端点即为临界点。</t>
  </si>
  <si>
    <t>守单过夜需要设置25点追踪保护止损。</t>
  </si>
  <si>
    <t>暂时离场休息观望也是一种重要的操作策略。</t>
  </si>
  <si>
    <t>只持有正确的仓位，否则赶紧平仓。</t>
  </si>
  <si>
    <t>顺着均线带所指的方向交易；背靠均线带45°趋势线突破建仓。一个赢利的单子，什么时候平保，什么时候最低赢利目标，止赢是不设的，这玩意完全就是断财路的设置，你要做的就是每日设好止损，然后有个最低赢利预期，亏损的单子好说，损掉就是了，止损是动态的!</t>
  </si>
  <si>
    <t>后位出场，截断亏损，让利润奔腾。</t>
  </si>
  <si>
    <t>逆势操作</t>
  </si>
  <si>
    <t>盈利单变亏损单</t>
  </si>
  <si>
    <t>急躁，没耐心</t>
  </si>
  <si>
    <t>累计</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</si>
</sst>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000"/>
    <numFmt numFmtId="174" formatCode="#,##0.00_ ;[Red]\-#,##0.00\ "/>
    <numFmt numFmtId="175" formatCode="0.0"/>
    <numFmt numFmtId="176" formatCode="[$-409]mmmm\ d\,\ yyyy;@"/>
    <numFmt numFmtId="177" formatCode="[$-1009]mmmm\ d\,\ yyyy;@"/>
    <numFmt numFmtId="178" formatCode="m/d/yy\ h:mm;@"/>
  </numFmts>
  <fonts count="47">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s>
  <fills count="14">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66CCFF"/>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274">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0" fontId="11" fillId="5" borderId="0" xfId="0" applyFont="1" applyFill="1" applyAlignment="1">
      <alignment horizontal="left" vertical="center"/>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70"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64"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64"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7"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74"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0" fontId="34" fillId="5" borderId="0" xfId="0" applyFont="1" applyFill="1" applyAlignment="1" applyProtection="1">
      <alignment horizontal="left"/>
    </xf>
    <xf numFmtId="171" fontId="38" fillId="5" borderId="0" xfId="0" applyNumberFormat="1" applyFont="1" applyFill="1" applyAlignment="1" applyProtection="1">
      <alignment horizontal="center" vertical="center"/>
    </xf>
    <xf numFmtId="171" fontId="39" fillId="5" borderId="0" xfId="0" applyNumberFormat="1" applyFont="1" applyFill="1" applyAlignment="1" applyProtection="1">
      <alignment horizontal="center" vertical="center"/>
    </xf>
    <xf numFmtId="0" fontId="41" fillId="2" borderId="0" xfId="0" applyFont="1" applyFill="1" applyBorder="1" applyProtection="1"/>
    <xf numFmtId="0" fontId="42" fillId="5" borderId="0" xfId="0" applyNumberFormat="1" applyFont="1" applyFill="1" applyAlignment="1" applyProtection="1">
      <alignment horizontal="left"/>
    </xf>
    <xf numFmtId="0" fontId="44" fillId="5" borderId="0" xfId="1" applyFont="1" applyFill="1" applyAlignment="1" applyProtection="1">
      <alignment horizontal="left"/>
    </xf>
    <xf numFmtId="0" fontId="45" fillId="4" borderId="0" xfId="0" applyFont="1" applyFill="1" applyAlignment="1" applyProtection="1">
      <alignment horizontal="center" vertical="center"/>
    </xf>
    <xf numFmtId="2" fontId="45" fillId="4" borderId="0" xfId="0" applyNumberFormat="1" applyFont="1" applyFill="1" applyAlignment="1" applyProtection="1">
      <alignment horizontal="center"/>
    </xf>
    <xf numFmtId="165"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xf>
    <xf numFmtId="0" fontId="45"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6"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0" fontId="4" fillId="9" borderId="0" xfId="0" applyFont="1" applyFill="1" applyProtection="1"/>
    <xf numFmtId="168" fontId="11" fillId="5" borderId="0" xfId="0" applyNumberFormat="1" applyFont="1" applyFill="1" applyAlignment="1" applyProtection="1">
      <alignment horizontal="left" vertical="center"/>
    </xf>
    <xf numFmtId="0" fontId="0" fillId="0" borderId="0" xfId="0" applyFont="1" applyFill="1" applyAlignment="1">
      <alignment horizontal="center"/>
    </xf>
    <xf numFmtId="175" fontId="0" fillId="0" borderId="0" xfId="0" applyNumberFormat="1" applyFont="1" applyFill="1" applyAlignment="1">
      <alignment horizontal="center"/>
    </xf>
    <xf numFmtId="172" fontId="0" fillId="0" borderId="0" xfId="0" applyNumberFormat="1" applyFont="1" applyAlignment="1">
      <alignment horizontal="center"/>
    </xf>
    <xf numFmtId="177" fontId="0" fillId="0" borderId="0" xfId="0" applyNumberFormat="1" applyFont="1"/>
    <xf numFmtId="172" fontId="0" fillId="0" borderId="0" xfId="0" applyNumberFormat="1" applyFont="1"/>
    <xf numFmtId="0" fontId="45" fillId="2" borderId="0" xfId="0" applyFont="1" applyFill="1" applyAlignment="1" applyProtection="1">
      <alignment horizontal="left"/>
    </xf>
    <xf numFmtId="0" fontId="3" fillId="2" borderId="0" xfId="0" applyFont="1" applyFill="1" applyBorder="1" applyAlignment="1" applyProtection="1">
      <alignment horizontal="center"/>
    </xf>
    <xf numFmtId="0" fontId="1" fillId="13" borderId="0" xfId="0" applyFont="1" applyFill="1" applyProtection="1"/>
    <xf numFmtId="178" fontId="45" fillId="4" borderId="0" xfId="0" applyNumberFormat="1" applyFont="1" applyFill="1" applyAlignment="1" applyProtection="1">
      <alignment horizontal="center"/>
    </xf>
    <xf numFmtId="172" fontId="0" fillId="0" borderId="0" xfId="0" applyNumberFormat="1" applyFont="1" applyFill="1" applyAlignment="1">
      <alignment horizontal="center"/>
    </xf>
    <xf numFmtId="172" fontId="0" fillId="0" borderId="0" xfId="0" applyNumberFormat="1" applyFont="1" applyFill="1"/>
    <xf numFmtId="176" fontId="0" fillId="0" borderId="0" xfId="0" applyNumberFormat="1" applyFont="1" applyFill="1"/>
    <xf numFmtId="0" fontId="16" fillId="0" borderId="0" xfId="0" applyFont="1" applyFill="1"/>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2" fillId="7" borderId="0" xfId="0" applyFont="1" applyFill="1" applyAlignment="1" applyProtection="1">
      <alignment horizontal="center"/>
    </xf>
    <xf numFmtId="0" fontId="0" fillId="0" borderId="0" xfId="0" applyAlignment="1">
      <alignment horizontal="center"/>
    </xf>
    <xf numFmtId="170"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164" fontId="10" fillId="5" borderId="0" xfId="0" applyNumberFormat="1" applyFont="1" applyFill="1" applyAlignment="1" applyProtection="1">
      <alignment horizontal="center" vertical="top"/>
    </xf>
    <xf numFmtId="0" fontId="28"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0" fontId="21" fillId="0" borderId="0" xfId="0" applyFont="1" applyAlignment="1" applyProtection="1">
      <alignment horizontal="center"/>
    </xf>
    <xf numFmtId="170" fontId="7" fillId="5" borderId="0" xfId="0" applyNumberFormat="1" applyFont="1" applyFill="1" applyAlignment="1" applyProtection="1">
      <alignment horizontal="left"/>
    </xf>
    <xf numFmtId="170" fontId="0" fillId="0" borderId="0" xfId="0" applyNumberFormat="1" applyAlignment="1" applyProtection="1">
      <alignment horizontal="left"/>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0" fillId="9" borderId="2" xfId="0" applyFont="1" applyFill="1" applyBorder="1" applyAlignment="1" applyProtection="1">
      <alignment horizontal="left" vertical="center"/>
    </xf>
    <xf numFmtId="0" fontId="40"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70" fontId="0" fillId="5" borderId="0" xfId="0" applyNumberFormat="1" applyFill="1" applyAlignment="1" applyProtection="1">
      <alignment horizontal="left" vertical="center"/>
    </xf>
    <xf numFmtId="0" fontId="0" fillId="5" borderId="0" xfId="0" applyFill="1" applyAlignment="1" applyProtection="1">
      <alignment horizontal="center" vertical="top"/>
    </xf>
    <xf numFmtId="0" fontId="40" fillId="9" borderId="3" xfId="0" applyFont="1" applyFill="1" applyBorder="1" applyAlignment="1" applyProtection="1">
      <alignment horizontal="left" vertical="center"/>
    </xf>
    <xf numFmtId="0" fontId="40"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170"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xf numFmtId="0" fontId="14" fillId="12" borderId="0" xfId="0" applyFont="1" applyFill="1" applyBorder="1"/>
    <xf numFmtId="0" fontId="13" fillId="5" borderId="0" xfId="0" applyFont="1" applyFill="1" applyBorder="1" applyAlignment="1">
      <alignment horizontal="right"/>
    </xf>
    <xf numFmtId="0" fontId="13" fillId="11" borderId="0" xfId="0" applyFont="1" applyFill="1" applyAlignment="1">
      <alignment horizontal="left"/>
    </xf>
    <xf numFmtId="0" fontId="16" fillId="11" borderId="0" xfId="0" applyFont="1" applyFill="1" applyAlignment="1">
      <alignment horizontal="left"/>
    </xf>
    <xf numFmtId="170" fontId="16" fillId="5" borderId="0" xfId="0" applyNumberFormat="1" applyFont="1" applyFill="1"/>
    <xf numFmtId="0" fontId="16" fillId="5" borderId="0" xfId="0" applyFont="1" applyFill="1" applyAlignment="1">
      <alignment horizontal="left"/>
    </xf>
    <xf numFmtId="0" fontId="14" fillId="12" borderId="0" xfId="0" applyFont="1" applyFill="1" applyAlignment="1">
      <alignment horizontal="left"/>
    </xf>
    <xf numFmtId="170" fontId="14" fillId="12" borderId="0" xfId="0" applyNumberFormat="1" applyFont="1" applyFill="1"/>
    <xf numFmtId="0" fontId="16" fillId="5" borderId="0" xfId="0" applyNumberFormat="1" applyFont="1" applyFill="1"/>
    <xf numFmtId="0" fontId="14" fillId="12" borderId="0" xfId="0" applyNumberFormat="1" applyFont="1" applyFill="1"/>
  </cellXfs>
  <cellStyles count="2">
    <cellStyle name="Hyperlink" xfId="1" builtinId="8"/>
    <cellStyle name="Normal" xfId="0" builtinId="0"/>
  </cellStyles>
  <dxfs count="196">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ont>
        <color auto="1"/>
      </font>
    </dxf>
    <dxf>
      <font>
        <sz val="10"/>
      </font>
    </dxf>
    <dxf>
      <font>
        <color auto="1"/>
      </font>
    </dxf>
    <dxf>
      <font>
        <color indexed="9"/>
      </font>
    </dxf>
    <dxf>
      <font>
        <color indexed="9"/>
      </font>
    </dxf>
    <dxf>
      <font>
        <color indexed="9"/>
      </font>
    </dxf>
    <dxf>
      <font>
        <name val="Arial"/>
        <scheme val="none"/>
      </font>
    </dxf>
    <dxf>
      <font>
        <color auto="1"/>
      </font>
    </dxf>
    <dxf>
      <font>
        <color indexed="9"/>
      </font>
    </dxf>
    <dxf>
      <numFmt numFmtId="170" formatCode="\$#,##0.00;[Red]\-\$#,##0.00"/>
    </dxf>
    <dxf>
      <fill>
        <patternFill patternType="none">
          <bgColor indexed="65"/>
        </patternFill>
      </fill>
    </dxf>
    <dxf>
      <fill>
        <patternFill patternType="solid">
          <bgColor indexed="22"/>
        </patternFill>
      </fill>
    </dxf>
    <dxf>
      <fill>
        <patternFill>
          <bgColor indexed="9"/>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ont>
        <color indexed="9"/>
      </font>
    </dxf>
    <dxf>
      <font>
        <color indexed="9"/>
      </font>
    </dxf>
    <dxf>
      <fill>
        <patternFill>
          <bgColor indexed="8"/>
        </patternFill>
      </fill>
    </dxf>
    <dxf>
      <fill>
        <patternFill>
          <bgColor indexed="8"/>
        </patternFill>
      </fill>
    </dxf>
    <dxf>
      <font>
        <name val="Arial"/>
        <scheme val="none"/>
      </font>
    </dxf>
    <dxf>
      <font>
        <color auto="1"/>
      </font>
    </dxf>
    <dxf>
      <font>
        <color indexed="9"/>
      </font>
    </dxf>
    <dxf>
      <numFmt numFmtId="170" formatCode="\$#,##0.00;[Red]\-\$#,##0.00"/>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70"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CCCCFF"/>
      <color rgb="FF333399"/>
      <color rgb="FF66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1303020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Tang, Junjie" refreshedDate="41675.554835300929"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Blank="1"/>
    </cacheField>
    <cacheField name="L/S" numFmtId="2">
      <sharedItems containsBlank="1"/>
    </cacheField>
    <cacheField name="Lots" numFmtId="2">
      <sharedItems/>
    </cacheField>
    <cacheField name="Pip Values(1 lots) " numFmtId="165">
      <sharedItems containsBlank="1"/>
    </cacheField>
    <cacheField name="S/L Price" numFmtId="173">
      <sharedItems containsNonDate="0" containsString="0" containsBlank="1"/>
    </cacheField>
    <cacheField name="Open Price" numFmtId="173">
      <sharedItems/>
    </cacheField>
    <cacheField name="S/W Price" numFmtId="173">
      <sharedItems/>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Tang, Junjie" refreshedDate="41675.554835532406"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Blank="1"/>
    </cacheField>
    <cacheField name="L/S" numFmtId="2">
      <sharedItems containsBlank="1"/>
    </cacheField>
    <cacheField name="Lots" numFmtId="2">
      <sharedItems/>
    </cacheField>
    <cacheField name="Pip Values(1 lots) " numFmtId="165">
      <sharedItems containsBlank="1"/>
    </cacheField>
    <cacheField name="S/L Price" numFmtId="173">
      <sharedItems containsNonDate="0" containsString="0" containsBlank="1"/>
    </cacheField>
    <cacheField name="Open Price" numFmtId="173">
      <sharedItems/>
    </cacheField>
    <cacheField name="S/W Price" numFmtId="173">
      <sharedItems/>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Tang, Junjie" refreshedDate="41675.554835648145"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Blank="1"/>
    </cacheField>
    <cacheField name="L/S" numFmtId="2">
      <sharedItems containsBlank="1"/>
    </cacheField>
    <cacheField name="Lots" numFmtId="2">
      <sharedItems/>
    </cacheField>
    <cacheField name="Pip Values(1 lots) " numFmtId="165">
      <sharedItems containsBlank="1"/>
    </cacheField>
    <cacheField name="S/L Price" numFmtId="173">
      <sharedItems containsNonDate="0" containsString="0" containsBlank="1"/>
    </cacheField>
    <cacheField name="Open Price" numFmtId="173">
      <sharedItems/>
    </cacheField>
    <cacheField name="S/W Price" numFmtId="173">
      <sharedItems/>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Tang, Junjie" refreshedDate="41675.554835763891"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Blank="1"/>
    </cacheField>
    <cacheField name="L/S" numFmtId="2">
      <sharedItems containsBlank="1"/>
    </cacheField>
    <cacheField name="Lots" numFmtId="2">
      <sharedItems/>
    </cacheField>
    <cacheField name="Pip Values(1 lots) " numFmtId="165">
      <sharedItems containsBlank="1"/>
    </cacheField>
    <cacheField name="S/L Price" numFmtId="173">
      <sharedItems containsNonDate="0" containsString="0" containsBlank="1"/>
    </cacheField>
    <cacheField name="Open Price" numFmtId="173">
      <sharedItems/>
    </cacheField>
    <cacheField name="S/W Price" numFmtId="173">
      <sharedItems/>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Tang, Junjie" refreshedDate="41675.554835995368"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Blank="1"/>
    </cacheField>
    <cacheField name="L/S" numFmtId="2">
      <sharedItems containsBlank="1"/>
    </cacheField>
    <cacheField name="Lots" numFmtId="2">
      <sharedItems/>
    </cacheField>
    <cacheField name="Pip Values(1 lots) " numFmtId="165">
      <sharedItems containsBlank="1"/>
    </cacheField>
    <cacheField name="S/L Price" numFmtId="173">
      <sharedItems containsNonDate="0" containsString="0" containsBlank="1"/>
    </cacheField>
    <cacheField name="Open Price" numFmtId="173">
      <sharedItems/>
    </cacheField>
    <cacheField name="S/W Price" numFmtId="173">
      <sharedItems/>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Tang, Junjie" refreshedDate="41675.554836226853"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Blank="1"/>
    </cacheField>
    <cacheField name="L/S" numFmtId="2">
      <sharedItems containsBlank="1"/>
    </cacheField>
    <cacheField name="Lots" numFmtId="2">
      <sharedItems/>
    </cacheField>
    <cacheField name="Pip Values(1 lots) " numFmtId="165">
      <sharedItems containsBlank="1"/>
    </cacheField>
    <cacheField name="S/L Price" numFmtId="173">
      <sharedItems containsNonDate="0" containsString="0" containsBlank="1"/>
    </cacheField>
    <cacheField name="Open Price" numFmtId="173">
      <sharedItems/>
    </cacheField>
    <cacheField name="S/W Price" numFmtId="173">
      <sharedItems/>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0" cacheId="55"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7:G11"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x="0"/>
        <item h="1"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i>
    <i t="blank">
      <x/>
    </i>
    <i t="grand">
      <x/>
    </i>
  </rowItems>
  <colItems count="1">
    <i/>
  </colItems>
  <dataFields count="1">
    <dataField name="求和项:Actual Profit/Loss" fld="19" baseField="0" baseItem="0" numFmtId="170"/>
  </dataFields>
  <formats count="18">
    <format dxfId="179">
      <pivotArea type="all" dataOnly="0" outline="0" fieldPosition="0"/>
    </format>
    <format dxfId="178">
      <pivotArea type="all" dataOnly="0" outline="0" fieldPosition="0"/>
    </format>
    <format dxfId="177">
      <pivotArea outline="0" fieldPosition="0"/>
    </format>
    <format dxfId="176">
      <pivotArea dataOnly="0" labelOnly="1" grandRow="1" fieldPosition="0"/>
    </format>
    <format dxfId="175">
      <pivotArea field="26" type="button" dataOnly="0" labelOnly="1" outline="0" axis="axisRow" fieldPosition="0"/>
    </format>
    <format dxfId="174">
      <pivotArea field="25" type="button" dataOnly="0" labelOnly="1" outline="0" axis="axisRow" fieldPosition="1"/>
    </format>
    <format dxfId="173">
      <pivotArea type="all" dataOnly="0" outline="0" fieldPosition="0"/>
    </format>
    <format dxfId="172">
      <pivotArea dataOnly="0" grandCol="1" outline="0" axis="axisCol" fieldPosition="0"/>
    </format>
    <format dxfId="171">
      <pivotArea grandRow="1" outline="0" fieldPosition="0"/>
    </format>
    <format dxfId="170">
      <pivotArea outline="0" fieldPosition="0">
        <references count="1">
          <reference field="4294967294" count="1">
            <x v="0"/>
          </reference>
        </references>
      </pivotArea>
    </format>
    <format dxfId="169">
      <pivotArea type="all" dataOnly="0" outline="0" fieldPosition="0"/>
    </format>
    <format dxfId="168">
      <pivotArea type="all" dataOnly="0" outline="0" fieldPosition="0"/>
    </format>
    <format dxfId="167">
      <pivotArea type="all" dataOnly="0" outline="0" fieldPosition="0"/>
    </format>
    <format dxfId="166">
      <pivotArea dataOnly="0" grandRow="1" fieldPosition="0"/>
    </format>
    <format dxfId="165">
      <pivotArea dataOnly="0" fieldPosition="0">
        <references count="1">
          <reference field="26" count="0" defaultSubtotal="1"/>
        </references>
      </pivotArea>
    </format>
    <format dxfId="164">
      <pivotArea field="25" type="button" dataOnly="0" labelOnly="1" outline="0" axis="axisRow" fieldPosition="1"/>
    </format>
    <format dxfId="163">
      <pivotArea dataOnly="0" labelOnly="1" fieldPosition="0">
        <references count="1">
          <reference field="26" count="0"/>
        </references>
      </pivotArea>
    </format>
    <format dxfId="162">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51"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7:C8"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h="1" x="0"/>
        <item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1">
    <i t="grand">
      <x/>
    </i>
  </rowItems>
  <colItems count="1">
    <i/>
  </colItems>
  <dataFields count="1">
    <dataField name="Actual Profit/Loss By Pips" fld="23" baseField="0" baseItem="0"/>
  </dataFields>
  <formats count="16">
    <format dxfId="195">
      <pivotArea type="all" dataOnly="0" outline="0" fieldPosition="0"/>
    </format>
    <format dxfId="194">
      <pivotArea type="all" dataOnly="0" outline="0" fieldPosition="0"/>
    </format>
    <format dxfId="193">
      <pivotArea type="all" dataOnly="0" outline="0" fieldPosition="0"/>
    </format>
    <format dxfId="192">
      <pivotArea outline="0" fieldPosition="0"/>
    </format>
    <format dxfId="191">
      <pivotArea type="all" dataOnly="0" outline="0" fieldPosition="0"/>
    </format>
    <format dxfId="190">
      <pivotArea dataOnly="0" grandRow="1" fieldPosition="0"/>
    </format>
    <format dxfId="189">
      <pivotArea dataOnly="0" labelOnly="1" grandRow="1" fieldPosition="0"/>
    </format>
    <format dxfId="188">
      <pivotArea dataOnly="0" fieldPosition="0">
        <references count="1">
          <reference field="26" count="0" defaultSubtotal="1"/>
        </references>
      </pivotArea>
    </format>
    <format dxfId="187">
      <pivotArea field="26" type="button" dataOnly="0" labelOnly="1" outline="0" axis="axisRow" fieldPosition="0"/>
    </format>
    <format dxfId="186">
      <pivotArea field="25" type="button" dataOnly="0" labelOnly="1" outline="0" axis="axisRow" fieldPosition="1"/>
    </format>
    <format dxfId="185">
      <pivotArea field="25" type="button" dataOnly="0" labelOnly="1" outline="0" axis="axisRow" fieldPosition="1"/>
    </format>
    <format dxfId="184">
      <pivotArea dataOnly="0" labelOnly="1" fieldPosition="0">
        <references count="1">
          <reference field="26" count="0"/>
        </references>
      </pivotArea>
    </format>
    <format dxfId="183">
      <pivotArea field="26" type="button" dataOnly="0" labelOnly="1" outline="0" axis="axisRow" fieldPosition="0"/>
    </format>
    <format dxfId="182">
      <pivotArea type="all" dataOnly="0" outline="0" fieldPosition="0"/>
    </format>
    <format dxfId="181">
      <pivotArea dataOnly="0" grandCol="1" outline="0" axis="axisCol" fieldPosition="0"/>
    </format>
    <format dxfId="180">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3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12"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x="0"/>
        <item h="1"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i>
    <i t="blank">
      <x/>
    </i>
    <i t="grand">
      <x/>
    </i>
  </rowItems>
  <colItems count="1">
    <i/>
  </colItems>
  <dataFields count="1">
    <dataField name="求和项:Actual Profit/Loss" fld="19" baseField="0" baseItem="0" numFmtId="170"/>
  </dataFields>
  <formats count="17">
    <format dxfId="145">
      <pivotArea type="all" dataOnly="0" outline="0" fieldPosition="0"/>
    </format>
    <format dxfId="144">
      <pivotArea type="all" dataOnly="0" outline="0" fieldPosition="0"/>
    </format>
    <format dxfId="143">
      <pivotArea type="all" dataOnly="0" outline="0" fieldPosition="0"/>
    </format>
    <format dxfId="142">
      <pivotArea outline="0" fieldPosition="0"/>
    </format>
    <format dxfId="141">
      <pivotArea type="all" dataOnly="0" outline="0" fieldPosition="0"/>
    </format>
    <format dxfId="140">
      <pivotArea dataOnly="0" grandRow="1" fieldPosition="0"/>
    </format>
    <format dxfId="139">
      <pivotArea dataOnly="0" labelOnly="1" grandRow="1" fieldPosition="0"/>
    </format>
    <format dxfId="138">
      <pivotArea dataOnly="0" fieldPosition="0">
        <references count="1">
          <reference field="26" count="0" defaultSubtotal="1"/>
        </references>
      </pivotArea>
    </format>
    <format dxfId="137">
      <pivotArea field="26" type="button" dataOnly="0" labelOnly="1" outline="0" axis="axisRow" fieldPosition="0"/>
    </format>
    <format dxfId="136">
      <pivotArea field="25" type="button" dataOnly="0" labelOnly="1" outline="0" axis="axisRow" fieldPosition="1"/>
    </format>
    <format dxfId="135">
      <pivotArea field="25" type="button" dataOnly="0" labelOnly="1" outline="0" axis="axisRow" fieldPosition="1"/>
    </format>
    <format dxfId="134">
      <pivotArea dataOnly="0" labelOnly="1" fieldPosition="0">
        <references count="1">
          <reference field="26" count="0"/>
        </references>
      </pivotArea>
    </format>
    <format dxfId="133">
      <pivotArea field="26" type="button" dataOnly="0" labelOnly="1" outline="0" axis="axisRow" fieldPosition="0"/>
    </format>
    <format dxfId="132">
      <pivotArea type="all" dataOnly="0" outline="0" fieldPosition="0"/>
    </format>
    <format dxfId="131">
      <pivotArea dataOnly="0" grandCol="1" outline="0" axis="axisCol" fieldPosition="0"/>
    </format>
    <format dxfId="130">
      <pivotArea grandRow="1" outline="0" fieldPosition="0"/>
    </format>
    <format dxfId="129">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5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9"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h="1" x="0"/>
        <item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1">
    <i t="grand">
      <x/>
    </i>
  </rowItems>
  <colItems count="1">
    <i/>
  </colItems>
  <dataFields count="1">
    <dataField name="Actual Profit/Loss By Pips" fld="23" baseField="0" baseItem="0"/>
  </dataFields>
  <formats count="16">
    <format dxfId="161">
      <pivotArea type="all" dataOnly="0" outline="0" fieldPosition="0"/>
    </format>
    <format dxfId="160">
      <pivotArea type="all" dataOnly="0" outline="0" fieldPosition="0"/>
    </format>
    <format dxfId="159">
      <pivotArea type="all" dataOnly="0" outline="0" fieldPosition="0"/>
    </format>
    <format dxfId="158">
      <pivotArea outline="0" fieldPosition="0"/>
    </format>
    <format dxfId="157">
      <pivotArea type="all" dataOnly="0" outline="0" fieldPosition="0"/>
    </format>
    <format dxfId="156">
      <pivotArea dataOnly="0" grandRow="1" fieldPosition="0"/>
    </format>
    <format dxfId="155">
      <pivotArea dataOnly="0" labelOnly="1" grandRow="1" fieldPosition="0"/>
    </format>
    <format dxfId="154">
      <pivotArea dataOnly="0" fieldPosition="0">
        <references count="1">
          <reference field="26" count="0" defaultSubtotal="1"/>
        </references>
      </pivotArea>
    </format>
    <format dxfId="153">
      <pivotArea field="26" type="button" dataOnly="0" labelOnly="1" outline="0" axis="axisRow" fieldPosition="0"/>
    </format>
    <format dxfId="152">
      <pivotArea field="25" type="button" dataOnly="0" labelOnly="1" outline="0" axis="axisRow" fieldPosition="1"/>
    </format>
    <format dxfId="151">
      <pivotArea field="25" type="button" dataOnly="0" labelOnly="1" outline="0" axis="axisRow" fieldPosition="1"/>
    </format>
    <format dxfId="150">
      <pivotArea dataOnly="0" labelOnly="1" fieldPosition="0">
        <references count="1">
          <reference field="26" count="0"/>
        </references>
      </pivotArea>
    </format>
    <format dxfId="149">
      <pivotArea field="26" type="button" dataOnly="0" labelOnly="1" outline="0" axis="axisRow" fieldPosition="0"/>
    </format>
    <format dxfId="148">
      <pivotArea type="all" dataOnly="0" outline="0" fieldPosition="0"/>
    </format>
    <format dxfId="147">
      <pivotArea dataOnly="0" grandCol="1" outline="0" axis="axisCol" fieldPosition="0"/>
    </format>
    <format dxfId="146">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47"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10"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3">
        <item x="0"/>
        <item x="1"/>
        <item t="default"/>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2">
    <i>
      <x/>
    </i>
    <i t="grand">
      <x/>
    </i>
  </rowItems>
  <colItems count="1">
    <i/>
  </colItems>
  <dataFields count="1">
    <dataField name="Actual Profit/Loss By Pips" fld="23" baseField="0" baseItem="0"/>
  </dataFields>
  <formats count="16">
    <format dxfId="113">
      <pivotArea type="all" dataOnly="0" outline="0" fieldPosition="0"/>
    </format>
    <format dxfId="112">
      <pivotArea type="all" dataOnly="0" outline="0" fieldPosition="0"/>
    </format>
    <format dxfId="111">
      <pivotArea type="all" dataOnly="0" outline="0" fieldPosition="0"/>
    </format>
    <format dxfId="110">
      <pivotArea outline="0" fieldPosition="0"/>
    </format>
    <format dxfId="109">
      <pivotArea type="all" dataOnly="0" outline="0" fieldPosition="0"/>
    </format>
    <format dxfId="108">
      <pivotArea dataOnly="0" grandRow="1" fieldPosition="0"/>
    </format>
    <format dxfId="107">
      <pivotArea dataOnly="0" labelOnly="1" grandRow="1" fieldPosition="0"/>
    </format>
    <format dxfId="106">
      <pivotArea dataOnly="0" fieldPosition="0">
        <references count="1">
          <reference field="26" count="0" defaultSubtotal="1"/>
        </references>
      </pivotArea>
    </format>
    <format dxfId="105">
      <pivotArea field="26" type="button" dataOnly="0" labelOnly="1" outline="0" axis="axisRow" fieldPosition="0"/>
    </format>
    <format dxfId="104">
      <pivotArea field="25" type="button" dataOnly="0" labelOnly="1" outline="0" fieldPosition="24"/>
    </format>
    <format dxfId="103">
      <pivotArea field="25" type="button" dataOnly="0" labelOnly="1" outline="0" fieldPosition="24"/>
    </format>
    <format dxfId="102">
      <pivotArea dataOnly="0" labelOnly="1" fieldPosition="0">
        <references count="1">
          <reference field="26" count="0"/>
        </references>
      </pivotArea>
    </format>
    <format dxfId="101">
      <pivotArea field="26" type="button" dataOnly="0" labelOnly="1" outline="0" axis="axisRow" fieldPosition="0"/>
    </format>
    <format dxfId="100">
      <pivotArea type="all" dataOnly="0" outline="0" fieldPosition="0"/>
    </format>
    <format dxfId="99">
      <pivotArea dataOnly="0" grandCol="1" outline="0" axis="axisCol" fieldPosition="0"/>
    </format>
    <format dxfId="98">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43"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10"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3">
        <item x="0"/>
        <item x="1"/>
        <item t="default"/>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2">
    <i>
      <x/>
    </i>
    <i t="grand">
      <x/>
    </i>
  </rowItems>
  <colItems count="1">
    <i/>
  </colItems>
  <dataFields count="1">
    <dataField name="求和项:Actual Profit/Loss" fld="19" baseField="0" baseItem="0" numFmtId="170"/>
  </dataFields>
  <formats count="15">
    <format dxfId="128">
      <pivotArea type="all" dataOnly="0" outline="0" fieldPosition="0"/>
    </format>
    <format dxfId="127">
      <pivotArea type="all" dataOnly="0" outline="0" fieldPosition="0"/>
    </format>
    <format dxfId="126">
      <pivotArea type="all" dataOnly="0" outline="0" fieldPosition="0"/>
    </format>
    <format dxfId="125">
      <pivotArea outline="0" fieldPosition="0"/>
    </format>
    <format dxfId="124">
      <pivotArea type="all" dataOnly="0" outline="0" fieldPosition="0"/>
    </format>
    <format dxfId="123">
      <pivotArea dataOnly="0" grandRow="1" fieldPosition="0"/>
    </format>
    <format dxfId="122">
      <pivotArea dataOnly="0" labelOnly="1" grandRow="1" fieldPosition="0"/>
    </format>
    <format dxfId="121">
      <pivotArea field="26" type="button" dataOnly="0" labelOnly="1" outline="0" axis="axisRow" fieldPosition="0"/>
    </format>
    <format dxfId="120">
      <pivotArea field="25" type="button" dataOnly="0" labelOnly="1" outline="0" fieldPosition="24"/>
    </format>
    <format dxfId="119">
      <pivotArea field="25" type="button" dataOnly="0" labelOnly="1" outline="0" fieldPosition="24"/>
    </format>
    <format dxfId="118">
      <pivotArea field="26" type="button" dataOnly="0" labelOnly="1" outline="0" axis="axisRow" fieldPosition="0"/>
    </format>
    <format dxfId="117">
      <pivotArea type="all" dataOnly="0" outline="0" fieldPosition="0"/>
    </format>
    <format dxfId="116">
      <pivotArea dataOnly="0" grandCol="1" outline="0" axis="axisCol" fieldPosition="0"/>
    </format>
    <format dxfId="115">
      <pivotArea grandRow="1" outline="0" fieldPosition="0"/>
    </format>
    <format dxfId="114">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www.dailyfx.com.hk/calendar/index.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2.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2.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2.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7" customWidth="1"/>
    <col min="2" max="2" width="91.8984375" style="58" customWidth="1"/>
    <col min="3" max="3" width="25.8984375" style="37" customWidth="1"/>
    <col min="4" max="4" width="38.09765625" style="37" customWidth="1"/>
    <col min="5" max="16384" width="38.097656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6.2">
      <c r="A7" s="69" t="s">
        <v>93</v>
      </c>
      <c r="B7" s="60" t="s">
        <v>68</v>
      </c>
    </row>
    <row r="9" spans="1:3" ht="16.2">
      <c r="A9" s="69" t="s">
        <v>94</v>
      </c>
      <c r="B9" s="62" t="s">
        <v>98</v>
      </c>
      <c r="C9" s="70"/>
    </row>
    <row r="10" spans="1:3">
      <c r="B10" s="64" t="s">
        <v>99</v>
      </c>
      <c r="C10" s="71"/>
    </row>
    <row r="11" spans="1:3">
      <c r="B11" s="64" t="s">
        <v>100</v>
      </c>
      <c r="C11" s="71"/>
    </row>
    <row r="12" spans="1:3">
      <c r="B12" s="63"/>
      <c r="C12" s="70"/>
    </row>
    <row r="13" spans="1:3">
      <c r="B13" s="64" t="s">
        <v>78</v>
      </c>
      <c r="C13" s="71"/>
    </row>
    <row r="14" spans="1:3">
      <c r="B14" s="64" t="s">
        <v>101</v>
      </c>
      <c r="C14" s="71"/>
    </row>
    <row r="15" spans="1:3">
      <c r="B15" s="64" t="s">
        <v>102</v>
      </c>
      <c r="C15" s="71"/>
    </row>
    <row r="16" spans="1:3">
      <c r="B16" s="64" t="s">
        <v>76</v>
      </c>
      <c r="C16" s="71"/>
    </row>
    <row r="17" spans="2:3">
      <c r="B17" s="63"/>
      <c r="C17" s="70"/>
    </row>
    <row r="18" spans="2:3">
      <c r="B18" s="64" t="s">
        <v>103</v>
      </c>
      <c r="C18" s="71"/>
    </row>
    <row r="19" spans="2:3">
      <c r="B19" s="64" t="s">
        <v>104</v>
      </c>
      <c r="C19" s="71"/>
    </row>
    <row r="20" spans="2:3">
      <c r="B20" s="64" t="s">
        <v>105</v>
      </c>
      <c r="C20" s="71"/>
    </row>
    <row r="21" spans="2:3">
      <c r="B21" s="64" t="s">
        <v>106</v>
      </c>
      <c r="C21" s="71"/>
    </row>
    <row r="23" spans="2:3">
      <c r="B23" s="62" t="s">
        <v>70</v>
      </c>
    </row>
    <row r="24" spans="2:3">
      <c r="B24" s="64"/>
    </row>
    <row r="25" spans="2:3">
      <c r="B25" s="64"/>
    </row>
    <row r="26" spans="2:3">
      <c r="B26" s="64"/>
    </row>
    <row r="27" spans="2:3">
      <c r="B27" s="64"/>
    </row>
    <row r="28" spans="2:3">
      <c r="B28" s="64"/>
    </row>
    <row r="29" spans="2:3">
      <c r="B29" s="65"/>
    </row>
    <row r="30" spans="2:3">
      <c r="B30" s="65"/>
    </row>
    <row r="31" spans="2:3">
      <c r="B31" s="65"/>
    </row>
    <row r="32" spans="2:3">
      <c r="B32" s="65"/>
    </row>
    <row r="33" spans="2:2">
      <c r="B33" s="65"/>
    </row>
    <row r="34" spans="2:2">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activeCell="F2" sqref="F2:G2"/>
    </sheetView>
  </sheetViews>
  <sheetFormatPr defaultColWidth="9" defaultRowHeight="12"/>
  <cols>
    <col min="1" max="1" width="7.69921875" style="1" customWidth="1"/>
    <col min="2" max="2" width="4.69921875" style="1" customWidth="1"/>
    <col min="3" max="3" width="7.8984375" style="1" customWidth="1"/>
    <col min="4" max="4" width="10.3984375" style="5" customWidth="1"/>
    <col min="5" max="5" width="11.5" style="39" customWidth="1"/>
    <col min="6" max="6" width="10.69921875" style="39" customWidth="1"/>
    <col min="7" max="7" width="11.69921875" style="39" customWidth="1"/>
    <col min="8" max="13" width="9" style="40"/>
    <col min="14" max="15" width="0" style="40" hidden="1" customWidth="1"/>
    <col min="16" max="16384" width="9" style="40"/>
  </cols>
  <sheetData>
    <row r="1" spans="1:15" s="52" customFormat="1" ht="14.25" customHeight="1">
      <c r="A1" s="222" t="s">
        <v>130</v>
      </c>
      <c r="B1" s="223"/>
      <c r="C1" s="223"/>
      <c r="D1" s="219" t="s">
        <v>79</v>
      </c>
      <c r="E1" s="219"/>
      <c r="F1" s="220">
        <v>200</v>
      </c>
      <c r="G1" s="221"/>
      <c r="N1" s="52" t="s">
        <v>65</v>
      </c>
      <c r="O1" s="52" t="s">
        <v>66</v>
      </c>
    </row>
    <row r="2" spans="1:15" s="52" customFormat="1" ht="15" customHeight="1">
      <c r="A2" s="223"/>
      <c r="B2" s="223"/>
      <c r="C2" s="223"/>
      <c r="D2" s="226"/>
      <c r="E2" s="227"/>
      <c r="F2" s="228"/>
      <c r="G2" s="226"/>
    </row>
    <row r="3" spans="1:15" s="52" customFormat="1" ht="13.5" customHeight="1">
      <c r="A3" s="223"/>
      <c r="B3" s="223"/>
      <c r="C3" s="223"/>
      <c r="D3" s="226" t="s">
        <v>80</v>
      </c>
      <c r="E3" s="226"/>
      <c r="F3" s="228">
        <f>SUM(F9:F502)+F1</f>
        <v>200</v>
      </c>
      <c r="G3" s="228"/>
    </row>
    <row r="4" spans="1:15" s="52" customFormat="1" ht="15.75" customHeight="1">
      <c r="A4" s="223"/>
      <c r="B4" s="223"/>
      <c r="C4" s="223"/>
      <c r="D4" s="226" t="s">
        <v>67</v>
      </c>
      <c r="E4" s="226"/>
      <c r="F4" s="228">
        <f>SUM(G9:G502)</f>
        <v>0</v>
      </c>
      <c r="G4" s="228"/>
    </row>
    <row r="5" spans="1:15" s="52" customFormat="1" ht="14.25" customHeight="1">
      <c r="A5" s="223"/>
      <c r="B5" s="223"/>
      <c r="C5" s="223"/>
      <c r="D5" s="16"/>
      <c r="E5" s="16"/>
      <c r="F5" s="56"/>
      <c r="G5" s="56"/>
    </row>
    <row r="6" spans="1:15" s="52" customFormat="1" ht="13.5" hidden="1" customHeight="1">
      <c r="A6" s="54"/>
      <c r="B6" s="54"/>
      <c r="C6" s="54"/>
      <c r="D6" s="55"/>
      <c r="E6" s="53"/>
      <c r="F6" s="55"/>
      <c r="G6" s="55"/>
    </row>
    <row r="7" spans="1:15" s="50" customFormat="1" ht="27" customHeight="1">
      <c r="A7" s="224" t="s">
        <v>64</v>
      </c>
      <c r="B7" s="225"/>
      <c r="C7" s="225"/>
      <c r="D7" s="225"/>
      <c r="E7" s="225"/>
      <c r="F7" s="225"/>
      <c r="G7" s="225"/>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I570"/>
  <sheetViews>
    <sheetView tabSelected="1" workbookViewId="0">
      <selection activeCell="F6" sqref="F6"/>
    </sheetView>
  </sheetViews>
  <sheetFormatPr defaultRowHeight="15.6"/>
  <cols>
    <col min="1" max="1" width="16" bestFit="1" customWidth="1"/>
    <col min="2" max="2" width="8.8984375" bestFit="1" customWidth="1"/>
    <col min="3" max="3" width="4.796875" bestFit="1" customWidth="1"/>
    <col min="4" max="4" width="5.8984375" bestFit="1" customWidth="1"/>
    <col min="5" max="5" width="8.796875" bestFit="1" customWidth="1"/>
    <col min="6" max="6" width="14" bestFit="1" customWidth="1"/>
    <col min="7" max="7" width="19.09765625" bestFit="1" customWidth="1"/>
    <col min="8" max="8" width="15" bestFit="1" customWidth="1"/>
    <col min="9" max="9" width="16" bestFit="1" customWidth="1"/>
    <col min="10" max="10" width="6.5" bestFit="1" customWidth="1"/>
    <col min="11" max="11" width="8.19921875" bestFit="1" customWidth="1"/>
    <col min="13" max="13" width="10.8984375" bestFit="1" customWidth="1"/>
    <col min="14" max="14" width="8.59765625" bestFit="1" customWidth="1"/>
    <col min="15" max="16" width="7" bestFit="1" customWidth="1"/>
    <col min="17" max="17" width="8.69921875" bestFit="1" customWidth="1"/>
    <col min="18" max="18" width="7.8984375" bestFit="1" customWidth="1"/>
  </cols>
  <sheetData>
    <row r="1" spans="1:9">
      <c r="A1" s="168" t="s">
        <v>113</v>
      </c>
      <c r="B1" s="168" t="s">
        <v>112</v>
      </c>
      <c r="C1" s="168" t="s">
        <v>115</v>
      </c>
      <c r="D1" s="168" t="s">
        <v>114</v>
      </c>
      <c r="E1" s="168" t="s">
        <v>116</v>
      </c>
      <c r="F1" s="168" t="s">
        <v>117</v>
      </c>
      <c r="G1" s="168" t="s">
        <v>118</v>
      </c>
      <c r="H1" s="168" t="s">
        <v>123</v>
      </c>
      <c r="I1" s="168" t="s">
        <v>125</v>
      </c>
    </row>
    <row r="2" spans="1:9">
      <c r="A2" s="215">
        <v>200</v>
      </c>
      <c r="B2" s="206">
        <f>ROUNDDOWN(A2*0.01/20*0.1,2)</f>
        <v>0.01</v>
      </c>
      <c r="C2" s="206">
        <v>5</v>
      </c>
      <c r="D2" s="207">
        <f>IF(A3&lt;&gt;"",(A3-A2)/B2/10,D2)</f>
        <v>240.00000000000028</v>
      </c>
      <c r="E2" s="207">
        <f t="shared" ref="E2:E3" si="0">D2/C2</f>
        <v>48.000000000000057</v>
      </c>
      <c r="F2" s="215">
        <f t="shared" ref="F2:F3" si="1">E2*B2*10</f>
        <v>4.800000000000006</v>
      </c>
      <c r="G2" s="217">
        <v>41672</v>
      </c>
      <c r="H2" s="216">
        <v>0</v>
      </c>
      <c r="I2" s="216">
        <f t="shared" ref="I2:I3" si="2">A2-H2</f>
        <v>200</v>
      </c>
    </row>
    <row r="3" spans="1:9">
      <c r="A3" s="208">
        <f>A2*1.12</f>
        <v>224.00000000000003</v>
      </c>
      <c r="B3" s="206">
        <f t="shared" ref="B3:B66" si="3">ROUNDDOWN(A3*0.01/20*0.1,2)</f>
        <v>0.01</v>
      </c>
      <c r="C3" s="206">
        <v>5</v>
      </c>
      <c r="D3" s="207">
        <f>IF(A4&lt;&gt;"",(A4-A3)/B3/10,D2)</f>
        <v>268.80000000000024</v>
      </c>
      <c r="E3" s="207">
        <f t="shared" si="0"/>
        <v>53.760000000000048</v>
      </c>
      <c r="F3" s="208">
        <f t="shared" si="1"/>
        <v>5.3760000000000048</v>
      </c>
      <c r="G3" s="209">
        <f t="shared" ref="G3" si="4">DATE(YEAR(G2),MONTH(G2),DAY(G2)+2+C3)</f>
        <v>41679</v>
      </c>
      <c r="H3" s="210">
        <f>A2/9</f>
        <v>22.222222222222221</v>
      </c>
      <c r="I3" s="210">
        <f t="shared" si="2"/>
        <v>201.7777777777778</v>
      </c>
    </row>
    <row r="4" spans="1:9">
      <c r="A4" s="208">
        <f t="shared" ref="A4:A67" si="5">A3*1.12</f>
        <v>250.88000000000005</v>
      </c>
      <c r="B4" s="206">
        <f t="shared" si="3"/>
        <v>0.01</v>
      </c>
      <c r="C4" s="206">
        <v>5</v>
      </c>
      <c r="D4" s="207">
        <f t="shared" ref="D4:D67" si="6">IF(A5&lt;&gt;"",(A5-A4)/B4/10,D3)</f>
        <v>301.05600000000038</v>
      </c>
      <c r="E4" s="207">
        <f t="shared" ref="E4:E67" si="7">D4/C4</f>
        <v>60.211200000000076</v>
      </c>
      <c r="F4" s="208">
        <f t="shared" ref="F4:F67" si="8">E4*B4*10</f>
        <v>6.0211200000000078</v>
      </c>
      <c r="G4" s="209">
        <f t="shared" ref="G4:G67" si="9">DATE(YEAR(G3),MONTH(G3),DAY(G3)+2+C4)</f>
        <v>41686</v>
      </c>
      <c r="H4" s="210">
        <f t="shared" ref="H4:H67" si="10">A3/9</f>
        <v>24.888888888888893</v>
      </c>
      <c r="I4" s="210">
        <f t="shared" ref="I4:I67" si="11">A4-H4</f>
        <v>225.99111111111117</v>
      </c>
    </row>
    <row r="5" spans="1:9">
      <c r="A5" s="208">
        <f t="shared" si="5"/>
        <v>280.98560000000009</v>
      </c>
      <c r="B5" s="206">
        <f t="shared" si="3"/>
        <v>0.01</v>
      </c>
      <c r="C5" s="206">
        <v>5</v>
      </c>
      <c r="D5" s="207">
        <f t="shared" si="6"/>
        <v>337.18272000000013</v>
      </c>
      <c r="E5" s="207">
        <f t="shared" si="7"/>
        <v>67.436544000000026</v>
      </c>
      <c r="F5" s="208">
        <f t="shared" si="8"/>
        <v>6.7436544000000032</v>
      </c>
      <c r="G5" s="209">
        <f t="shared" si="9"/>
        <v>41693</v>
      </c>
      <c r="H5" s="210">
        <f t="shared" si="10"/>
        <v>27.875555555555561</v>
      </c>
      <c r="I5" s="210">
        <f t="shared" si="11"/>
        <v>253.11004444444453</v>
      </c>
    </row>
    <row r="6" spans="1:9">
      <c r="A6" s="208">
        <f t="shared" si="5"/>
        <v>314.7038720000001</v>
      </c>
      <c r="B6" s="206">
        <f t="shared" si="3"/>
        <v>0.01</v>
      </c>
      <c r="C6" s="206">
        <v>5</v>
      </c>
      <c r="D6" s="207">
        <f t="shared" si="6"/>
        <v>377.64464640000028</v>
      </c>
      <c r="E6" s="207">
        <f t="shared" si="7"/>
        <v>75.528929280000057</v>
      </c>
      <c r="F6" s="208">
        <f t="shared" si="8"/>
        <v>7.5528929280000057</v>
      </c>
      <c r="G6" s="209">
        <f t="shared" si="9"/>
        <v>41700</v>
      </c>
      <c r="H6" s="210">
        <f t="shared" si="10"/>
        <v>31.220622222222232</v>
      </c>
      <c r="I6" s="210">
        <f t="shared" si="11"/>
        <v>283.48324977777787</v>
      </c>
    </row>
    <row r="7" spans="1:9">
      <c r="A7" s="208">
        <f t="shared" si="5"/>
        <v>352.46833664000013</v>
      </c>
      <c r="B7" s="206">
        <f t="shared" si="3"/>
        <v>0.01</v>
      </c>
      <c r="C7" s="206">
        <v>5</v>
      </c>
      <c r="D7" s="207">
        <f t="shared" si="6"/>
        <v>422.96200396800032</v>
      </c>
      <c r="E7" s="207">
        <f t="shared" si="7"/>
        <v>84.592400793600063</v>
      </c>
      <c r="F7" s="208">
        <f t="shared" si="8"/>
        <v>8.459240079360006</v>
      </c>
      <c r="G7" s="209">
        <f t="shared" si="9"/>
        <v>41707</v>
      </c>
      <c r="H7" s="210">
        <f t="shared" si="10"/>
        <v>34.967096888888904</v>
      </c>
      <c r="I7" s="210">
        <f t="shared" si="11"/>
        <v>317.50123975111126</v>
      </c>
    </row>
    <row r="8" spans="1:9">
      <c r="A8" s="208">
        <f t="shared" si="5"/>
        <v>394.76453703680016</v>
      </c>
      <c r="B8" s="206">
        <f t="shared" si="3"/>
        <v>0.01</v>
      </c>
      <c r="C8" s="206">
        <v>5</v>
      </c>
      <c r="D8" s="207">
        <f t="shared" si="6"/>
        <v>473.71744444416038</v>
      </c>
      <c r="E8" s="207">
        <f t="shared" si="7"/>
        <v>94.743488888832076</v>
      </c>
      <c r="F8" s="208">
        <f t="shared" si="8"/>
        <v>9.4743488888832079</v>
      </c>
      <c r="G8" s="209">
        <f t="shared" si="9"/>
        <v>41714</v>
      </c>
      <c r="H8" s="210">
        <f t="shared" si="10"/>
        <v>39.163148515555569</v>
      </c>
      <c r="I8" s="210">
        <f t="shared" si="11"/>
        <v>355.60138852124459</v>
      </c>
    </row>
    <row r="9" spans="1:9">
      <c r="A9" s="208">
        <f t="shared" si="5"/>
        <v>442.1362814812162</v>
      </c>
      <c r="B9" s="206">
        <f t="shared" si="3"/>
        <v>0.02</v>
      </c>
      <c r="C9" s="206">
        <v>5</v>
      </c>
      <c r="D9" s="207">
        <f t="shared" si="6"/>
        <v>265.28176888872991</v>
      </c>
      <c r="E9" s="207">
        <f t="shared" si="7"/>
        <v>53.056353777745983</v>
      </c>
      <c r="F9" s="208">
        <f t="shared" si="8"/>
        <v>10.611270755549196</v>
      </c>
      <c r="G9" s="209">
        <f t="shared" si="9"/>
        <v>41721</v>
      </c>
      <c r="H9" s="210">
        <f t="shared" si="10"/>
        <v>43.862726337422238</v>
      </c>
      <c r="I9" s="210">
        <f t="shared" si="11"/>
        <v>398.27355514379394</v>
      </c>
    </row>
    <row r="10" spans="1:9">
      <c r="A10" s="208">
        <f t="shared" si="5"/>
        <v>495.19263525896218</v>
      </c>
      <c r="B10" s="206">
        <f t="shared" si="3"/>
        <v>0.02</v>
      </c>
      <c r="C10" s="206">
        <v>5</v>
      </c>
      <c r="D10" s="207">
        <f t="shared" si="6"/>
        <v>297.1155811553777</v>
      </c>
      <c r="E10" s="207">
        <f t="shared" si="7"/>
        <v>59.423116231075539</v>
      </c>
      <c r="F10" s="208">
        <f t="shared" si="8"/>
        <v>11.88462324621511</v>
      </c>
      <c r="G10" s="209">
        <f t="shared" si="9"/>
        <v>41728</v>
      </c>
      <c r="H10" s="210">
        <f t="shared" si="10"/>
        <v>49.126253497912913</v>
      </c>
      <c r="I10" s="210">
        <f t="shared" si="11"/>
        <v>446.06638176104929</v>
      </c>
    </row>
    <row r="11" spans="1:9">
      <c r="A11" s="208">
        <f t="shared" si="5"/>
        <v>554.61575149003772</v>
      </c>
      <c r="B11" s="206">
        <f t="shared" si="3"/>
        <v>0.02</v>
      </c>
      <c r="C11" s="206">
        <v>5</v>
      </c>
      <c r="D11" s="207">
        <f t="shared" si="6"/>
        <v>332.76945089402318</v>
      </c>
      <c r="E11" s="207">
        <f t="shared" si="7"/>
        <v>66.553890178804636</v>
      </c>
      <c r="F11" s="208">
        <f t="shared" si="8"/>
        <v>13.310778035760929</v>
      </c>
      <c r="G11" s="209">
        <f t="shared" si="9"/>
        <v>41735</v>
      </c>
      <c r="H11" s="210">
        <f t="shared" si="10"/>
        <v>55.021403917662468</v>
      </c>
      <c r="I11" s="210">
        <f t="shared" si="11"/>
        <v>499.59434757237523</v>
      </c>
    </row>
    <row r="12" spans="1:9">
      <c r="A12" s="208">
        <f t="shared" si="5"/>
        <v>621.16964166884236</v>
      </c>
      <c r="B12" s="206">
        <f t="shared" si="3"/>
        <v>0.03</v>
      </c>
      <c r="C12" s="206">
        <v>5</v>
      </c>
      <c r="D12" s="207">
        <f t="shared" si="6"/>
        <v>248.46785666753703</v>
      </c>
      <c r="E12" s="207">
        <f t="shared" si="7"/>
        <v>49.693571333507407</v>
      </c>
      <c r="F12" s="208">
        <f t="shared" si="8"/>
        <v>14.90807140005222</v>
      </c>
      <c r="G12" s="209">
        <f t="shared" si="9"/>
        <v>41742</v>
      </c>
      <c r="H12" s="210">
        <f t="shared" si="10"/>
        <v>61.623972387781969</v>
      </c>
      <c r="I12" s="210">
        <f t="shared" si="11"/>
        <v>559.54566928106044</v>
      </c>
    </row>
    <row r="13" spans="1:9">
      <c r="A13" s="208">
        <f t="shared" si="5"/>
        <v>695.70999866910347</v>
      </c>
      <c r="B13" s="206">
        <f t="shared" si="3"/>
        <v>0.03</v>
      </c>
      <c r="C13" s="206">
        <v>5</v>
      </c>
      <c r="D13" s="207">
        <f t="shared" si="6"/>
        <v>278.28399946764159</v>
      </c>
      <c r="E13" s="207">
        <f t="shared" si="7"/>
        <v>55.656799893528316</v>
      </c>
      <c r="F13" s="208">
        <f t="shared" si="8"/>
        <v>16.697039968058494</v>
      </c>
      <c r="G13" s="209">
        <f t="shared" si="9"/>
        <v>41749</v>
      </c>
      <c r="H13" s="210">
        <f t="shared" si="10"/>
        <v>69.018849074315824</v>
      </c>
      <c r="I13" s="210">
        <f t="shared" si="11"/>
        <v>626.6911495947877</v>
      </c>
    </row>
    <row r="14" spans="1:9">
      <c r="A14" s="208">
        <f t="shared" si="5"/>
        <v>779.19519850939594</v>
      </c>
      <c r="B14" s="206">
        <f t="shared" si="3"/>
        <v>0.03</v>
      </c>
      <c r="C14" s="206">
        <v>5</v>
      </c>
      <c r="D14" s="207">
        <f t="shared" si="6"/>
        <v>311.67807940375877</v>
      </c>
      <c r="E14" s="207">
        <f t="shared" si="7"/>
        <v>62.335615880751753</v>
      </c>
      <c r="F14" s="208">
        <f t="shared" si="8"/>
        <v>18.700684764225525</v>
      </c>
      <c r="G14" s="209">
        <f t="shared" si="9"/>
        <v>41756</v>
      </c>
      <c r="H14" s="210">
        <f t="shared" si="10"/>
        <v>77.301110963233725</v>
      </c>
      <c r="I14" s="210">
        <f t="shared" si="11"/>
        <v>701.89408754616215</v>
      </c>
    </row>
    <row r="15" spans="1:9">
      <c r="A15" s="208">
        <f t="shared" si="5"/>
        <v>872.69862233052356</v>
      </c>
      <c r="B15" s="206">
        <f t="shared" si="3"/>
        <v>0.04</v>
      </c>
      <c r="C15" s="206">
        <v>5</v>
      </c>
      <c r="D15" s="207">
        <f t="shared" si="6"/>
        <v>261.80958669915725</v>
      </c>
      <c r="E15" s="207">
        <f t="shared" si="7"/>
        <v>52.36191733983145</v>
      </c>
      <c r="F15" s="208">
        <f t="shared" si="8"/>
        <v>20.944766935932581</v>
      </c>
      <c r="G15" s="209">
        <f t="shared" si="9"/>
        <v>41763</v>
      </c>
      <c r="H15" s="210">
        <f t="shared" si="10"/>
        <v>86.577244278821766</v>
      </c>
      <c r="I15" s="210">
        <f t="shared" si="11"/>
        <v>786.12137805170175</v>
      </c>
    </row>
    <row r="16" spans="1:9">
      <c r="A16" s="208">
        <f t="shared" si="5"/>
        <v>977.42245701018646</v>
      </c>
      <c r="B16" s="206">
        <f t="shared" si="3"/>
        <v>0.04</v>
      </c>
      <c r="C16" s="206">
        <v>5</v>
      </c>
      <c r="D16" s="207">
        <f t="shared" si="6"/>
        <v>293.22673710305594</v>
      </c>
      <c r="E16" s="207">
        <f t="shared" si="7"/>
        <v>58.645347420611188</v>
      </c>
      <c r="F16" s="208">
        <f t="shared" si="8"/>
        <v>23.458138968244477</v>
      </c>
      <c r="G16" s="209">
        <f t="shared" si="9"/>
        <v>41770</v>
      </c>
      <c r="H16" s="210">
        <f t="shared" si="10"/>
        <v>96.966513592280393</v>
      </c>
      <c r="I16" s="210">
        <f t="shared" si="11"/>
        <v>880.45594341790604</v>
      </c>
    </row>
    <row r="17" spans="1:9">
      <c r="A17" s="208">
        <f t="shared" si="5"/>
        <v>1094.7131518514088</v>
      </c>
      <c r="B17" s="206">
        <f t="shared" si="3"/>
        <v>0.05</v>
      </c>
      <c r="C17" s="206">
        <v>5</v>
      </c>
      <c r="D17" s="207">
        <f t="shared" si="6"/>
        <v>262.73115644433847</v>
      </c>
      <c r="E17" s="207">
        <f t="shared" si="7"/>
        <v>52.546231288867695</v>
      </c>
      <c r="F17" s="208">
        <f t="shared" si="8"/>
        <v>26.273115644433851</v>
      </c>
      <c r="G17" s="209">
        <f t="shared" si="9"/>
        <v>41777</v>
      </c>
      <c r="H17" s="210">
        <f t="shared" si="10"/>
        <v>108.60249522335405</v>
      </c>
      <c r="I17" s="210">
        <f t="shared" si="11"/>
        <v>986.11065662805481</v>
      </c>
    </row>
    <row r="18" spans="1:9">
      <c r="A18" s="208">
        <f t="shared" si="5"/>
        <v>1226.0787300735781</v>
      </c>
      <c r="B18" s="206">
        <f t="shared" si="3"/>
        <v>0.06</v>
      </c>
      <c r="C18" s="206">
        <v>5</v>
      </c>
      <c r="D18" s="207">
        <f t="shared" si="6"/>
        <v>245.21574601471571</v>
      </c>
      <c r="E18" s="207">
        <f t="shared" si="7"/>
        <v>49.043149202943141</v>
      </c>
      <c r="F18" s="208">
        <f t="shared" si="8"/>
        <v>29.425889521765885</v>
      </c>
      <c r="G18" s="209">
        <f t="shared" si="9"/>
        <v>41784</v>
      </c>
      <c r="H18" s="210">
        <f t="shared" si="10"/>
        <v>121.63479465015654</v>
      </c>
      <c r="I18" s="210">
        <f t="shared" si="11"/>
        <v>1104.4439354234216</v>
      </c>
    </row>
    <row r="19" spans="1:9">
      <c r="A19" s="208">
        <f t="shared" si="5"/>
        <v>1373.2081776824075</v>
      </c>
      <c r="B19" s="206">
        <f t="shared" si="3"/>
        <v>0.06</v>
      </c>
      <c r="C19" s="206">
        <v>5</v>
      </c>
      <c r="D19" s="207">
        <f t="shared" si="6"/>
        <v>274.64163553648177</v>
      </c>
      <c r="E19" s="207">
        <f t="shared" si="7"/>
        <v>54.928327107296354</v>
      </c>
      <c r="F19" s="208">
        <f t="shared" si="8"/>
        <v>32.956996264377814</v>
      </c>
      <c r="G19" s="209">
        <f t="shared" si="9"/>
        <v>41791</v>
      </c>
      <c r="H19" s="210">
        <f t="shared" si="10"/>
        <v>136.23097000817535</v>
      </c>
      <c r="I19" s="210">
        <f t="shared" si="11"/>
        <v>1236.9772076742322</v>
      </c>
    </row>
    <row r="20" spans="1:9">
      <c r="A20" s="208">
        <f t="shared" si="5"/>
        <v>1537.9931590042966</v>
      </c>
      <c r="B20" s="206">
        <f t="shared" si="3"/>
        <v>7.0000000000000007E-2</v>
      </c>
      <c r="C20" s="206">
        <v>5</v>
      </c>
      <c r="D20" s="207">
        <f t="shared" si="6"/>
        <v>263.65597011502257</v>
      </c>
      <c r="E20" s="207">
        <f t="shared" si="7"/>
        <v>52.731194023004512</v>
      </c>
      <c r="F20" s="208">
        <f t="shared" si="8"/>
        <v>36.911835816103164</v>
      </c>
      <c r="G20" s="209">
        <f t="shared" si="9"/>
        <v>41798</v>
      </c>
      <c r="H20" s="210">
        <f t="shared" si="10"/>
        <v>152.57868640915638</v>
      </c>
      <c r="I20" s="210">
        <f t="shared" si="11"/>
        <v>1385.4144725951401</v>
      </c>
    </row>
    <row r="21" spans="1:9">
      <c r="A21" s="208">
        <f t="shared" si="5"/>
        <v>1722.5523380848124</v>
      </c>
      <c r="B21" s="206">
        <f t="shared" si="3"/>
        <v>0.08</v>
      </c>
      <c r="C21" s="206">
        <v>5</v>
      </c>
      <c r="D21" s="207">
        <f t="shared" si="6"/>
        <v>258.38285071272196</v>
      </c>
      <c r="E21" s="207">
        <f t="shared" si="7"/>
        <v>51.676570142544392</v>
      </c>
      <c r="F21" s="208">
        <f t="shared" si="8"/>
        <v>41.341256114035517</v>
      </c>
      <c r="G21" s="209">
        <f t="shared" si="9"/>
        <v>41805</v>
      </c>
      <c r="H21" s="210">
        <f t="shared" si="10"/>
        <v>170.88812877825518</v>
      </c>
      <c r="I21" s="210">
        <f t="shared" si="11"/>
        <v>1551.6642093065573</v>
      </c>
    </row>
    <row r="22" spans="1:9">
      <c r="A22" s="208">
        <f t="shared" si="5"/>
        <v>1929.25861865499</v>
      </c>
      <c r="B22" s="206">
        <f t="shared" si="3"/>
        <v>0.09</v>
      </c>
      <c r="C22" s="206">
        <v>5</v>
      </c>
      <c r="D22" s="207">
        <f t="shared" si="6"/>
        <v>257.23448248733223</v>
      </c>
      <c r="E22" s="207">
        <f t="shared" si="7"/>
        <v>51.446896497466447</v>
      </c>
      <c r="F22" s="208">
        <f t="shared" si="8"/>
        <v>46.302206847719802</v>
      </c>
      <c r="G22" s="209">
        <f t="shared" si="9"/>
        <v>41812</v>
      </c>
      <c r="H22" s="210">
        <f t="shared" si="10"/>
        <v>191.39470423164582</v>
      </c>
      <c r="I22" s="210">
        <f t="shared" si="11"/>
        <v>1737.8639144233441</v>
      </c>
    </row>
    <row r="23" spans="1:9">
      <c r="A23" s="208">
        <f t="shared" si="5"/>
        <v>2160.769652893589</v>
      </c>
      <c r="B23" s="206">
        <f t="shared" si="3"/>
        <v>0.1</v>
      </c>
      <c r="C23" s="206">
        <v>5</v>
      </c>
      <c r="D23" s="207">
        <f t="shared" si="6"/>
        <v>259.29235834723113</v>
      </c>
      <c r="E23" s="207">
        <f t="shared" si="7"/>
        <v>51.858471669446224</v>
      </c>
      <c r="F23" s="208">
        <f t="shared" si="8"/>
        <v>51.858471669446224</v>
      </c>
      <c r="G23" s="209">
        <f t="shared" si="9"/>
        <v>41819</v>
      </c>
      <c r="H23" s="210">
        <f t="shared" si="10"/>
        <v>214.36206873944332</v>
      </c>
      <c r="I23" s="210">
        <f t="shared" si="11"/>
        <v>1946.4075841541458</v>
      </c>
    </row>
    <row r="24" spans="1:9">
      <c r="A24" s="208">
        <f t="shared" si="5"/>
        <v>2420.0620112408201</v>
      </c>
      <c r="B24" s="206">
        <f t="shared" si="3"/>
        <v>0.12</v>
      </c>
      <c r="C24" s="206">
        <v>5</v>
      </c>
      <c r="D24" s="207">
        <f t="shared" si="6"/>
        <v>242.00620112408237</v>
      </c>
      <c r="E24" s="207">
        <f t="shared" si="7"/>
        <v>48.401240224816476</v>
      </c>
      <c r="F24" s="208">
        <f t="shared" si="8"/>
        <v>58.081488269779769</v>
      </c>
      <c r="G24" s="209">
        <f t="shared" si="9"/>
        <v>41826</v>
      </c>
      <c r="H24" s="210">
        <f t="shared" si="10"/>
        <v>240.08551698817655</v>
      </c>
      <c r="I24" s="210">
        <f t="shared" si="11"/>
        <v>2179.9764942526435</v>
      </c>
    </row>
    <row r="25" spans="1:9">
      <c r="A25" s="208">
        <f t="shared" si="5"/>
        <v>2710.4694525897189</v>
      </c>
      <c r="B25" s="206">
        <f t="shared" si="3"/>
        <v>0.13</v>
      </c>
      <c r="C25" s="206">
        <v>5</v>
      </c>
      <c r="D25" s="207">
        <f t="shared" si="6"/>
        <v>250.19718023905133</v>
      </c>
      <c r="E25" s="207">
        <f t="shared" si="7"/>
        <v>50.03943604781027</v>
      </c>
      <c r="F25" s="208">
        <f t="shared" si="8"/>
        <v>65.051266862153355</v>
      </c>
      <c r="G25" s="209">
        <f t="shared" si="9"/>
        <v>41833</v>
      </c>
      <c r="H25" s="210">
        <f t="shared" si="10"/>
        <v>268.89577902675779</v>
      </c>
      <c r="I25" s="210">
        <f t="shared" si="11"/>
        <v>2441.5736735629612</v>
      </c>
    </row>
    <row r="26" spans="1:9">
      <c r="A26" s="208">
        <f t="shared" si="5"/>
        <v>3035.7257869004857</v>
      </c>
      <c r="B26" s="206">
        <f t="shared" si="3"/>
        <v>0.15</v>
      </c>
      <c r="C26" s="206">
        <v>5</v>
      </c>
      <c r="D26" s="207">
        <f t="shared" si="6"/>
        <v>242.85806295203901</v>
      </c>
      <c r="E26" s="207">
        <f t="shared" si="7"/>
        <v>48.571612590407803</v>
      </c>
      <c r="F26" s="208">
        <f t="shared" si="8"/>
        <v>72.857418885611708</v>
      </c>
      <c r="G26" s="209">
        <f t="shared" si="9"/>
        <v>41840</v>
      </c>
      <c r="H26" s="210">
        <f t="shared" si="10"/>
        <v>301.16327250996875</v>
      </c>
      <c r="I26" s="210">
        <f t="shared" si="11"/>
        <v>2734.5625143905168</v>
      </c>
    </row>
    <row r="27" spans="1:9">
      <c r="A27" s="208">
        <f t="shared" si="5"/>
        <v>3400.0128813285442</v>
      </c>
      <c r="B27" s="206">
        <f t="shared" si="3"/>
        <v>0.17</v>
      </c>
      <c r="C27" s="206">
        <v>5</v>
      </c>
      <c r="D27" s="207">
        <f t="shared" si="6"/>
        <v>240.00090927025047</v>
      </c>
      <c r="E27" s="207">
        <f t="shared" si="7"/>
        <v>48.000181854050098</v>
      </c>
      <c r="F27" s="208">
        <f t="shared" si="8"/>
        <v>81.60030915188517</v>
      </c>
      <c r="G27" s="209">
        <f t="shared" si="9"/>
        <v>41847</v>
      </c>
      <c r="H27" s="210">
        <f t="shared" si="10"/>
        <v>337.30286521116506</v>
      </c>
      <c r="I27" s="210">
        <f t="shared" si="11"/>
        <v>3062.7100161173789</v>
      </c>
    </row>
    <row r="28" spans="1:9">
      <c r="A28" s="208">
        <f t="shared" si="5"/>
        <v>3808.01442708797</v>
      </c>
      <c r="B28" s="206">
        <f t="shared" si="3"/>
        <v>0.19</v>
      </c>
      <c r="C28" s="206">
        <v>5</v>
      </c>
      <c r="D28" s="207">
        <f t="shared" si="6"/>
        <v>240.50617434239842</v>
      </c>
      <c r="E28" s="207">
        <f t="shared" si="7"/>
        <v>48.101234868479686</v>
      </c>
      <c r="F28" s="208">
        <f t="shared" si="8"/>
        <v>91.392346250111402</v>
      </c>
      <c r="G28" s="209">
        <f t="shared" si="9"/>
        <v>41854</v>
      </c>
      <c r="H28" s="210">
        <f t="shared" si="10"/>
        <v>377.77920903650488</v>
      </c>
      <c r="I28" s="210">
        <f t="shared" si="11"/>
        <v>3430.2352180514654</v>
      </c>
    </row>
    <row r="29" spans="1:9">
      <c r="A29" s="208">
        <f t="shared" si="5"/>
        <v>4264.9761583385271</v>
      </c>
      <c r="B29" s="206">
        <f t="shared" si="3"/>
        <v>0.21</v>
      </c>
      <c r="C29" s="206">
        <v>5</v>
      </c>
      <c r="D29" s="207">
        <f t="shared" si="6"/>
        <v>243.71292333363013</v>
      </c>
      <c r="E29" s="207">
        <f t="shared" si="7"/>
        <v>48.742584666726025</v>
      </c>
      <c r="F29" s="208">
        <f t="shared" si="8"/>
        <v>102.35942780012465</v>
      </c>
      <c r="G29" s="209">
        <f t="shared" si="9"/>
        <v>41861</v>
      </c>
      <c r="H29" s="210">
        <f t="shared" si="10"/>
        <v>423.11271412088558</v>
      </c>
      <c r="I29" s="210">
        <f t="shared" si="11"/>
        <v>3841.8634442176417</v>
      </c>
    </row>
    <row r="30" spans="1:9">
      <c r="A30" s="208">
        <f t="shared" si="5"/>
        <v>4776.7732973391503</v>
      </c>
      <c r="B30" s="206">
        <f t="shared" si="3"/>
        <v>0.23</v>
      </c>
      <c r="C30" s="206">
        <v>5</v>
      </c>
      <c r="D30" s="207">
        <f t="shared" si="6"/>
        <v>249.22295464378212</v>
      </c>
      <c r="E30" s="207">
        <f t="shared" si="7"/>
        <v>49.844590928756425</v>
      </c>
      <c r="F30" s="208">
        <f t="shared" si="8"/>
        <v>114.64255913613979</v>
      </c>
      <c r="G30" s="209">
        <f t="shared" si="9"/>
        <v>41868</v>
      </c>
      <c r="H30" s="210">
        <f t="shared" si="10"/>
        <v>473.88623981539189</v>
      </c>
      <c r="I30" s="210">
        <f t="shared" si="11"/>
        <v>4302.8870575237588</v>
      </c>
    </row>
    <row r="31" spans="1:9">
      <c r="A31" s="208">
        <f t="shared" si="5"/>
        <v>5349.9860930198492</v>
      </c>
      <c r="B31" s="206">
        <f t="shared" si="3"/>
        <v>0.26</v>
      </c>
      <c r="C31" s="206">
        <v>5</v>
      </c>
      <c r="D31" s="207">
        <f t="shared" si="6"/>
        <v>246.92243506245489</v>
      </c>
      <c r="E31" s="207">
        <f t="shared" si="7"/>
        <v>49.384487012490979</v>
      </c>
      <c r="F31" s="208">
        <f t="shared" si="8"/>
        <v>128.39966623247653</v>
      </c>
      <c r="G31" s="209">
        <f t="shared" si="9"/>
        <v>41875</v>
      </c>
      <c r="H31" s="210">
        <f t="shared" si="10"/>
        <v>530.7525885932389</v>
      </c>
      <c r="I31" s="210">
        <f t="shared" si="11"/>
        <v>4819.2335044266101</v>
      </c>
    </row>
    <row r="32" spans="1:9">
      <c r="A32" s="208">
        <f t="shared" si="5"/>
        <v>5991.984424182232</v>
      </c>
      <c r="B32" s="206">
        <f t="shared" si="3"/>
        <v>0.28999999999999998</v>
      </c>
      <c r="C32" s="206">
        <v>5</v>
      </c>
      <c r="D32" s="207">
        <f t="shared" si="6"/>
        <v>247.94418306960984</v>
      </c>
      <c r="E32" s="207">
        <f t="shared" si="7"/>
        <v>49.58883661392197</v>
      </c>
      <c r="F32" s="208">
        <f t="shared" si="8"/>
        <v>143.80762618037369</v>
      </c>
      <c r="G32" s="209">
        <f t="shared" si="9"/>
        <v>41882</v>
      </c>
      <c r="H32" s="210">
        <f t="shared" si="10"/>
        <v>594.44289922442772</v>
      </c>
      <c r="I32" s="210">
        <f t="shared" si="11"/>
        <v>5397.5415249578045</v>
      </c>
    </row>
    <row r="33" spans="1:9">
      <c r="A33" s="208">
        <f t="shared" si="5"/>
        <v>6711.0225550841005</v>
      </c>
      <c r="B33" s="206">
        <f t="shared" si="3"/>
        <v>0.33</v>
      </c>
      <c r="C33" s="206">
        <v>5</v>
      </c>
      <c r="D33" s="207">
        <f t="shared" si="6"/>
        <v>244.03718382124015</v>
      </c>
      <c r="E33" s="207">
        <f t="shared" si="7"/>
        <v>48.807436764248031</v>
      </c>
      <c r="F33" s="208">
        <f t="shared" si="8"/>
        <v>161.0645413220185</v>
      </c>
      <c r="G33" s="209">
        <f t="shared" si="9"/>
        <v>41889</v>
      </c>
      <c r="H33" s="210">
        <f t="shared" si="10"/>
        <v>665.77604713135906</v>
      </c>
      <c r="I33" s="210">
        <f t="shared" si="11"/>
        <v>6045.246507952741</v>
      </c>
    </row>
    <row r="34" spans="1:9">
      <c r="A34" s="208">
        <f t="shared" si="5"/>
        <v>7516.3452616941931</v>
      </c>
      <c r="B34" s="206">
        <f t="shared" si="3"/>
        <v>0.37</v>
      </c>
      <c r="C34" s="206">
        <v>5</v>
      </c>
      <c r="D34" s="207">
        <f t="shared" si="6"/>
        <v>243.77335983873064</v>
      </c>
      <c r="E34" s="207">
        <f t="shared" si="7"/>
        <v>48.754671967746127</v>
      </c>
      <c r="F34" s="208">
        <f t="shared" si="8"/>
        <v>180.39228628066067</v>
      </c>
      <c r="G34" s="209">
        <f t="shared" si="9"/>
        <v>41896</v>
      </c>
      <c r="H34" s="210">
        <f t="shared" si="10"/>
        <v>745.66917278712231</v>
      </c>
      <c r="I34" s="210">
        <f t="shared" si="11"/>
        <v>6770.6760889070711</v>
      </c>
    </row>
    <row r="35" spans="1:9">
      <c r="A35" s="208">
        <f t="shared" si="5"/>
        <v>8418.3066930974965</v>
      </c>
      <c r="B35" s="206">
        <f t="shared" si="3"/>
        <v>0.42</v>
      </c>
      <c r="C35" s="206">
        <v>5</v>
      </c>
      <c r="D35" s="207">
        <f t="shared" si="6"/>
        <v>240.52304837421443</v>
      </c>
      <c r="E35" s="207">
        <f t="shared" si="7"/>
        <v>48.104609674842884</v>
      </c>
      <c r="F35" s="208">
        <f t="shared" si="8"/>
        <v>202.03936063434011</v>
      </c>
      <c r="G35" s="209">
        <f t="shared" si="9"/>
        <v>41903</v>
      </c>
      <c r="H35" s="210">
        <f t="shared" si="10"/>
        <v>835.14947352157697</v>
      </c>
      <c r="I35" s="210">
        <f t="shared" si="11"/>
        <v>7583.15721957592</v>
      </c>
    </row>
    <row r="36" spans="1:9">
      <c r="A36" s="208">
        <f t="shared" si="5"/>
        <v>9428.5034962691971</v>
      </c>
      <c r="B36" s="206">
        <f t="shared" si="3"/>
        <v>0.47</v>
      </c>
      <c r="C36" s="206">
        <v>5</v>
      </c>
      <c r="D36" s="207">
        <f t="shared" si="6"/>
        <v>240.72774884091601</v>
      </c>
      <c r="E36" s="207">
        <f t="shared" si="7"/>
        <v>48.145549768183201</v>
      </c>
      <c r="F36" s="208">
        <f t="shared" si="8"/>
        <v>226.28408391046105</v>
      </c>
      <c r="G36" s="209">
        <f t="shared" si="9"/>
        <v>41910</v>
      </c>
      <c r="H36" s="210">
        <f t="shared" si="10"/>
        <v>935.36741034416627</v>
      </c>
      <c r="I36" s="210">
        <f t="shared" si="11"/>
        <v>8493.1360859250308</v>
      </c>
    </row>
    <row r="37" spans="1:9">
      <c r="A37" s="208">
        <f t="shared" si="5"/>
        <v>10559.923915821502</v>
      </c>
      <c r="B37" s="206">
        <f t="shared" si="3"/>
        <v>0.52</v>
      </c>
      <c r="C37" s="206">
        <v>5</v>
      </c>
      <c r="D37" s="207">
        <f t="shared" si="6"/>
        <v>243.69055190357321</v>
      </c>
      <c r="E37" s="207">
        <f t="shared" si="7"/>
        <v>48.738110380714645</v>
      </c>
      <c r="F37" s="208">
        <f t="shared" si="8"/>
        <v>253.43817397971617</v>
      </c>
      <c r="G37" s="209">
        <f t="shared" si="9"/>
        <v>41917</v>
      </c>
      <c r="H37" s="210">
        <f t="shared" si="10"/>
        <v>1047.6114995854664</v>
      </c>
      <c r="I37" s="210">
        <f t="shared" si="11"/>
        <v>9512.3124162360364</v>
      </c>
    </row>
    <row r="38" spans="1:9">
      <c r="A38" s="208">
        <f t="shared" si="5"/>
        <v>11827.114785720083</v>
      </c>
      <c r="B38" s="206">
        <f t="shared" si="3"/>
        <v>0.59</v>
      </c>
      <c r="C38" s="206">
        <v>5</v>
      </c>
      <c r="D38" s="207">
        <f t="shared" si="6"/>
        <v>240.55148716718841</v>
      </c>
      <c r="E38" s="207">
        <f t="shared" si="7"/>
        <v>48.11029743343768</v>
      </c>
      <c r="F38" s="208">
        <f t="shared" si="8"/>
        <v>283.85075485728231</v>
      </c>
      <c r="G38" s="209">
        <f t="shared" si="9"/>
        <v>41924</v>
      </c>
      <c r="H38" s="210">
        <f t="shared" si="10"/>
        <v>1173.3248795357224</v>
      </c>
      <c r="I38" s="210">
        <f t="shared" si="11"/>
        <v>10653.78990618436</v>
      </c>
    </row>
    <row r="39" spans="1:9">
      <c r="A39" s="208">
        <f t="shared" si="5"/>
        <v>13246.368560006495</v>
      </c>
      <c r="B39" s="206">
        <f t="shared" si="3"/>
        <v>0.66</v>
      </c>
      <c r="C39" s="206">
        <v>5</v>
      </c>
      <c r="D39" s="207">
        <f t="shared" si="6"/>
        <v>240.84306472739104</v>
      </c>
      <c r="E39" s="207">
        <f t="shared" si="7"/>
        <v>48.168612945478209</v>
      </c>
      <c r="F39" s="208">
        <f t="shared" si="8"/>
        <v>317.91284544015622</v>
      </c>
      <c r="G39" s="209">
        <f t="shared" si="9"/>
        <v>41931</v>
      </c>
      <c r="H39" s="210">
        <f t="shared" si="10"/>
        <v>1314.1238650800092</v>
      </c>
      <c r="I39" s="210">
        <f t="shared" si="11"/>
        <v>11932.244694926485</v>
      </c>
    </row>
    <row r="40" spans="1:9">
      <c r="A40" s="208">
        <f t="shared" si="5"/>
        <v>14835.932787207275</v>
      </c>
      <c r="B40" s="206">
        <f t="shared" si="3"/>
        <v>0.74</v>
      </c>
      <c r="C40" s="206">
        <v>5</v>
      </c>
      <c r="D40" s="207">
        <f t="shared" si="6"/>
        <v>240.58269384660449</v>
      </c>
      <c r="E40" s="207">
        <f t="shared" si="7"/>
        <v>48.116538769320897</v>
      </c>
      <c r="F40" s="208">
        <f t="shared" si="8"/>
        <v>356.06238689297464</v>
      </c>
      <c r="G40" s="209">
        <f t="shared" si="9"/>
        <v>41938</v>
      </c>
      <c r="H40" s="210">
        <f t="shared" si="10"/>
        <v>1471.8187288896106</v>
      </c>
      <c r="I40" s="210">
        <f t="shared" si="11"/>
        <v>13364.114058317664</v>
      </c>
    </row>
    <row r="41" spans="1:9">
      <c r="A41" s="208">
        <f t="shared" si="5"/>
        <v>16616.244721672148</v>
      </c>
      <c r="B41" s="206">
        <f t="shared" si="3"/>
        <v>0.83</v>
      </c>
      <c r="C41" s="206">
        <v>5</v>
      </c>
      <c r="D41" s="207">
        <f t="shared" si="6"/>
        <v>240.23486344586269</v>
      </c>
      <c r="E41" s="207">
        <f t="shared" si="7"/>
        <v>48.046972689172534</v>
      </c>
      <c r="F41" s="208">
        <f t="shared" si="8"/>
        <v>398.78987332013202</v>
      </c>
      <c r="G41" s="209">
        <f t="shared" si="9"/>
        <v>41945</v>
      </c>
      <c r="H41" s="210">
        <f t="shared" si="10"/>
        <v>1648.4369763563639</v>
      </c>
      <c r="I41" s="210">
        <f t="shared" si="11"/>
        <v>14967.807745315784</v>
      </c>
    </row>
    <row r="42" spans="1:9">
      <c r="A42" s="208">
        <f t="shared" si="5"/>
        <v>18610.194088272809</v>
      </c>
      <c r="B42" s="206">
        <f t="shared" si="3"/>
        <v>0.93</v>
      </c>
      <c r="C42" s="206">
        <v>5</v>
      </c>
      <c r="D42" s="207">
        <f t="shared" si="6"/>
        <v>240.13153662287499</v>
      </c>
      <c r="E42" s="207">
        <f t="shared" si="7"/>
        <v>48.026307324575001</v>
      </c>
      <c r="F42" s="208">
        <f t="shared" si="8"/>
        <v>446.64465811854757</v>
      </c>
      <c r="G42" s="209">
        <f t="shared" si="9"/>
        <v>41952</v>
      </c>
      <c r="H42" s="210">
        <f t="shared" si="10"/>
        <v>1846.2494135191275</v>
      </c>
      <c r="I42" s="210">
        <f t="shared" si="11"/>
        <v>16763.944674753682</v>
      </c>
    </row>
    <row r="43" spans="1:9">
      <c r="A43" s="208">
        <f t="shared" si="5"/>
        <v>20843.417378865546</v>
      </c>
      <c r="B43" s="206">
        <f t="shared" si="3"/>
        <v>1.04</v>
      </c>
      <c r="C43" s="206">
        <v>5</v>
      </c>
      <c r="D43" s="207">
        <f t="shared" si="6"/>
        <v>240.50096975614102</v>
      </c>
      <c r="E43" s="207">
        <f t="shared" si="7"/>
        <v>48.100193951228206</v>
      </c>
      <c r="F43" s="208">
        <f t="shared" si="8"/>
        <v>500.24201709277338</v>
      </c>
      <c r="G43" s="209">
        <f t="shared" si="9"/>
        <v>41959</v>
      </c>
      <c r="H43" s="210">
        <f t="shared" si="10"/>
        <v>2067.7993431414234</v>
      </c>
      <c r="I43" s="210">
        <f t="shared" si="11"/>
        <v>18775.618035724125</v>
      </c>
    </row>
    <row r="44" spans="1:9">
      <c r="A44" s="208">
        <f t="shared" si="5"/>
        <v>23344.627464329413</v>
      </c>
      <c r="B44" s="206">
        <f t="shared" si="3"/>
        <v>1.1599999999999999</v>
      </c>
      <c r="C44" s="206">
        <v>5</v>
      </c>
      <c r="D44" s="207">
        <f t="shared" si="6"/>
        <v>241.49614618271826</v>
      </c>
      <c r="E44" s="207">
        <f t="shared" si="7"/>
        <v>48.299229236543653</v>
      </c>
      <c r="F44" s="208">
        <f t="shared" si="8"/>
        <v>560.27105914390631</v>
      </c>
      <c r="G44" s="209">
        <f t="shared" si="9"/>
        <v>41966</v>
      </c>
      <c r="H44" s="210">
        <f t="shared" si="10"/>
        <v>2315.9352643183938</v>
      </c>
      <c r="I44" s="210">
        <f t="shared" si="11"/>
        <v>21028.692200011021</v>
      </c>
    </row>
    <row r="45" spans="1:9">
      <c r="A45" s="208">
        <f t="shared" si="5"/>
        <v>26145.982760048944</v>
      </c>
      <c r="B45" s="206">
        <f t="shared" si="3"/>
        <v>1.3</v>
      </c>
      <c r="C45" s="206">
        <v>5</v>
      </c>
      <c r="D45" s="207">
        <f t="shared" si="6"/>
        <v>241.34753316968272</v>
      </c>
      <c r="E45" s="207">
        <f t="shared" si="7"/>
        <v>48.269506633936544</v>
      </c>
      <c r="F45" s="208">
        <f t="shared" si="8"/>
        <v>627.50358624117507</v>
      </c>
      <c r="G45" s="209">
        <f t="shared" si="9"/>
        <v>41973</v>
      </c>
      <c r="H45" s="210">
        <f t="shared" si="10"/>
        <v>2593.8474960366016</v>
      </c>
      <c r="I45" s="210">
        <f t="shared" si="11"/>
        <v>23552.135264012344</v>
      </c>
    </row>
    <row r="46" spans="1:9">
      <c r="A46" s="208">
        <f t="shared" si="5"/>
        <v>29283.50069125482</v>
      </c>
      <c r="B46" s="206">
        <f t="shared" si="3"/>
        <v>1.46</v>
      </c>
      <c r="C46" s="206">
        <v>5</v>
      </c>
      <c r="D46" s="207">
        <f t="shared" si="6"/>
        <v>240.6863070514099</v>
      </c>
      <c r="E46" s="207">
        <f t="shared" si="7"/>
        <v>48.13726141028198</v>
      </c>
      <c r="F46" s="208">
        <f t="shared" si="8"/>
        <v>702.80401659011682</v>
      </c>
      <c r="G46" s="209">
        <f t="shared" si="9"/>
        <v>41980</v>
      </c>
      <c r="H46" s="210">
        <f t="shared" si="10"/>
        <v>2905.1091955609936</v>
      </c>
      <c r="I46" s="210">
        <f t="shared" si="11"/>
        <v>26378.391495693824</v>
      </c>
    </row>
    <row r="47" spans="1:9">
      <c r="A47" s="208">
        <f t="shared" si="5"/>
        <v>32797.520774205404</v>
      </c>
      <c r="B47" s="206">
        <f t="shared" si="3"/>
        <v>1.63</v>
      </c>
      <c r="C47" s="206">
        <v>5</v>
      </c>
      <c r="D47" s="207">
        <f t="shared" si="6"/>
        <v>241.45414066899713</v>
      </c>
      <c r="E47" s="207">
        <f t="shared" si="7"/>
        <v>48.290828133799423</v>
      </c>
      <c r="F47" s="208">
        <f t="shared" si="8"/>
        <v>787.14049858093051</v>
      </c>
      <c r="G47" s="209">
        <f t="shared" si="9"/>
        <v>41987</v>
      </c>
      <c r="H47" s="210">
        <f t="shared" si="10"/>
        <v>3253.7222990283135</v>
      </c>
      <c r="I47" s="210">
        <f t="shared" si="11"/>
        <v>29543.798475177093</v>
      </c>
    </row>
    <row r="48" spans="1:9">
      <c r="A48" s="208">
        <f t="shared" si="5"/>
        <v>36733.223267110057</v>
      </c>
      <c r="B48" s="206">
        <f t="shared" si="3"/>
        <v>1.83</v>
      </c>
      <c r="C48" s="206">
        <v>5</v>
      </c>
      <c r="D48" s="207">
        <f t="shared" si="6"/>
        <v>240.87359519416458</v>
      </c>
      <c r="E48" s="207">
        <f t="shared" si="7"/>
        <v>48.174719038832919</v>
      </c>
      <c r="F48" s="208">
        <f t="shared" si="8"/>
        <v>881.59735841064253</v>
      </c>
      <c r="G48" s="209">
        <f t="shared" si="9"/>
        <v>41994</v>
      </c>
      <c r="H48" s="210">
        <f t="shared" si="10"/>
        <v>3644.1689749117118</v>
      </c>
      <c r="I48" s="210">
        <f t="shared" si="11"/>
        <v>33089.054292198343</v>
      </c>
    </row>
    <row r="49" spans="1:9">
      <c r="A49" s="208">
        <f t="shared" si="5"/>
        <v>41141.21005916327</v>
      </c>
      <c r="B49" s="206">
        <f t="shared" si="3"/>
        <v>2.0499999999999998</v>
      </c>
      <c r="C49" s="206">
        <v>5</v>
      </c>
      <c r="D49" s="207">
        <f t="shared" si="6"/>
        <v>240.82659546827307</v>
      </c>
      <c r="E49" s="207">
        <f t="shared" si="7"/>
        <v>48.165319093654617</v>
      </c>
      <c r="F49" s="208">
        <f t="shared" si="8"/>
        <v>987.38904141991952</v>
      </c>
      <c r="G49" s="209">
        <f t="shared" si="9"/>
        <v>42001</v>
      </c>
      <c r="H49" s="210">
        <f t="shared" si="10"/>
        <v>4081.4692519011173</v>
      </c>
      <c r="I49" s="210">
        <f t="shared" si="11"/>
        <v>37059.740807262155</v>
      </c>
    </row>
    <row r="50" spans="1:9">
      <c r="A50" s="208">
        <f t="shared" si="5"/>
        <v>46078.155266262867</v>
      </c>
      <c r="B50" s="206">
        <f t="shared" si="3"/>
        <v>2.2999999999999998</v>
      </c>
      <c r="C50" s="206">
        <v>5</v>
      </c>
      <c r="D50" s="207">
        <f t="shared" si="6"/>
        <v>240.40776660658912</v>
      </c>
      <c r="E50" s="207">
        <f t="shared" si="7"/>
        <v>48.081553321317827</v>
      </c>
      <c r="F50" s="208">
        <f t="shared" si="8"/>
        <v>1105.8757263903099</v>
      </c>
      <c r="G50" s="209">
        <f t="shared" si="9"/>
        <v>42008</v>
      </c>
      <c r="H50" s="210">
        <f t="shared" si="10"/>
        <v>4571.245562129252</v>
      </c>
      <c r="I50" s="210">
        <f t="shared" si="11"/>
        <v>41506.909704133614</v>
      </c>
    </row>
    <row r="51" spans="1:9">
      <c r="A51" s="208">
        <f t="shared" si="5"/>
        <v>51607.533898214417</v>
      </c>
      <c r="B51" s="206">
        <f t="shared" si="3"/>
        <v>2.58</v>
      </c>
      <c r="C51" s="206">
        <v>5</v>
      </c>
      <c r="D51" s="207">
        <f t="shared" si="6"/>
        <v>240.03504138704392</v>
      </c>
      <c r="E51" s="207">
        <f t="shared" si="7"/>
        <v>48.007008277408787</v>
      </c>
      <c r="F51" s="208">
        <f t="shared" si="8"/>
        <v>1238.5808135571467</v>
      </c>
      <c r="G51" s="209">
        <f t="shared" si="9"/>
        <v>42015</v>
      </c>
      <c r="H51" s="210">
        <f t="shared" si="10"/>
        <v>5119.7950295847631</v>
      </c>
      <c r="I51" s="210">
        <f t="shared" si="11"/>
        <v>46487.738868629654</v>
      </c>
    </row>
    <row r="52" spans="1:9">
      <c r="A52" s="208">
        <f t="shared" si="5"/>
        <v>57800.43796600015</v>
      </c>
      <c r="B52" s="206">
        <f t="shared" si="3"/>
        <v>2.89</v>
      </c>
      <c r="C52" s="206">
        <v>5</v>
      </c>
      <c r="D52" s="207">
        <f t="shared" si="6"/>
        <v>240.00181854394549</v>
      </c>
      <c r="E52" s="207">
        <f t="shared" si="7"/>
        <v>48.000363708789095</v>
      </c>
      <c r="F52" s="208">
        <f t="shared" si="8"/>
        <v>1387.2105111840049</v>
      </c>
      <c r="G52" s="209">
        <f t="shared" si="9"/>
        <v>42022</v>
      </c>
      <c r="H52" s="210">
        <f t="shared" si="10"/>
        <v>5734.1704331349356</v>
      </c>
      <c r="I52" s="210">
        <f t="shared" si="11"/>
        <v>52066.267532865211</v>
      </c>
    </row>
    <row r="53" spans="1:9">
      <c r="A53" s="208">
        <f t="shared" si="5"/>
        <v>64736.490521920176</v>
      </c>
      <c r="B53" s="206">
        <f t="shared" si="3"/>
        <v>3.23</v>
      </c>
      <c r="C53" s="206">
        <v>5</v>
      </c>
      <c r="D53" s="207">
        <f t="shared" si="6"/>
        <v>240.50708553035389</v>
      </c>
      <c r="E53" s="207">
        <f t="shared" si="7"/>
        <v>48.101417106070777</v>
      </c>
      <c r="F53" s="208">
        <f t="shared" si="8"/>
        <v>1553.6757725260861</v>
      </c>
      <c r="G53" s="209">
        <f t="shared" si="9"/>
        <v>42029</v>
      </c>
      <c r="H53" s="210">
        <f t="shared" si="10"/>
        <v>6422.2708851111274</v>
      </c>
      <c r="I53" s="210">
        <f t="shared" si="11"/>
        <v>58314.219636809052</v>
      </c>
    </row>
    <row r="54" spans="1:9">
      <c r="A54" s="208">
        <f t="shared" si="5"/>
        <v>72504.869384550606</v>
      </c>
      <c r="B54" s="206">
        <f t="shared" si="3"/>
        <v>3.62</v>
      </c>
      <c r="C54" s="206">
        <v>5</v>
      </c>
      <c r="D54" s="207">
        <f t="shared" si="6"/>
        <v>240.34763331895255</v>
      </c>
      <c r="E54" s="207">
        <f t="shared" si="7"/>
        <v>48.069526663790512</v>
      </c>
      <c r="F54" s="208">
        <f t="shared" si="8"/>
        <v>1740.1168652292165</v>
      </c>
      <c r="G54" s="209">
        <f t="shared" si="9"/>
        <v>42036</v>
      </c>
      <c r="H54" s="210">
        <f t="shared" si="10"/>
        <v>7192.9433913244638</v>
      </c>
      <c r="I54" s="210">
        <f t="shared" si="11"/>
        <v>65311.925993226141</v>
      </c>
    </row>
    <row r="55" spans="1:9">
      <c r="A55" s="208">
        <f t="shared" si="5"/>
        <v>81205.453710696689</v>
      </c>
      <c r="B55" s="206">
        <f t="shared" si="3"/>
        <v>4.0599999999999996</v>
      </c>
      <c r="C55" s="206">
        <v>5</v>
      </c>
      <c r="D55" s="207">
        <f t="shared" si="6"/>
        <v>240.01611934196086</v>
      </c>
      <c r="E55" s="207">
        <f t="shared" si="7"/>
        <v>48.003223868392169</v>
      </c>
      <c r="F55" s="208">
        <f t="shared" si="8"/>
        <v>1948.9308890567218</v>
      </c>
      <c r="G55" s="209">
        <f t="shared" si="9"/>
        <v>42043</v>
      </c>
      <c r="H55" s="210">
        <f t="shared" si="10"/>
        <v>8056.0965982834005</v>
      </c>
      <c r="I55" s="210">
        <f t="shared" si="11"/>
        <v>73149.357112413287</v>
      </c>
    </row>
    <row r="56" spans="1:9">
      <c r="A56" s="208">
        <f t="shared" si="5"/>
        <v>90950.108155980299</v>
      </c>
      <c r="B56" s="206">
        <f t="shared" si="3"/>
        <v>4.54</v>
      </c>
      <c r="C56" s="206">
        <v>5</v>
      </c>
      <c r="D56" s="207">
        <f t="shared" si="6"/>
        <v>240.39676164576304</v>
      </c>
      <c r="E56" s="207">
        <f t="shared" si="7"/>
        <v>48.079352329152606</v>
      </c>
      <c r="F56" s="208">
        <f t="shared" si="8"/>
        <v>2182.8025957435284</v>
      </c>
      <c r="G56" s="209">
        <f t="shared" si="9"/>
        <v>42050</v>
      </c>
      <c r="H56" s="210">
        <f t="shared" si="10"/>
        <v>9022.8281900774091</v>
      </c>
      <c r="I56" s="210">
        <f t="shared" si="11"/>
        <v>81927.279965902882</v>
      </c>
    </row>
    <row r="57" spans="1:9">
      <c r="A57" s="208">
        <f t="shared" si="5"/>
        <v>101864.12113469794</v>
      </c>
      <c r="B57" s="206">
        <f t="shared" si="3"/>
        <v>5.09</v>
      </c>
      <c r="C57" s="206">
        <v>5</v>
      </c>
      <c r="D57" s="207">
        <f t="shared" si="6"/>
        <v>240.15116966922915</v>
      </c>
      <c r="E57" s="207">
        <f t="shared" si="7"/>
        <v>48.030233933845828</v>
      </c>
      <c r="F57" s="208">
        <f t="shared" si="8"/>
        <v>2444.7389072327524</v>
      </c>
      <c r="G57" s="209">
        <f t="shared" si="9"/>
        <v>42057</v>
      </c>
      <c r="H57" s="210">
        <f t="shared" si="10"/>
        <v>10105.567572886699</v>
      </c>
      <c r="I57" s="210">
        <f t="shared" si="11"/>
        <v>91758.553561811248</v>
      </c>
    </row>
    <row r="58" spans="1:9">
      <c r="A58" s="208">
        <f t="shared" si="5"/>
        <v>114087.8156708617</v>
      </c>
      <c r="B58" s="206">
        <f t="shared" si="3"/>
        <v>5.7</v>
      </c>
      <c r="C58" s="206">
        <v>5</v>
      </c>
      <c r="D58" s="207">
        <f t="shared" si="6"/>
        <v>240.18487509655111</v>
      </c>
      <c r="E58" s="207">
        <f t="shared" si="7"/>
        <v>48.036975019310219</v>
      </c>
      <c r="F58" s="208">
        <f t="shared" si="8"/>
        <v>2738.1075761006828</v>
      </c>
      <c r="G58" s="209">
        <f t="shared" si="9"/>
        <v>42064</v>
      </c>
      <c r="H58" s="210">
        <f t="shared" si="10"/>
        <v>11318.235681633105</v>
      </c>
      <c r="I58" s="210">
        <f t="shared" si="11"/>
        <v>102769.5799892286</v>
      </c>
    </row>
    <row r="59" spans="1:9">
      <c r="A59" s="208">
        <f t="shared" si="5"/>
        <v>127778.35355136511</v>
      </c>
      <c r="B59" s="206">
        <f t="shared" si="3"/>
        <v>6.38</v>
      </c>
      <c r="C59" s="206">
        <v>5</v>
      </c>
      <c r="D59" s="207">
        <f t="shared" si="6"/>
        <v>240.33546122513857</v>
      </c>
      <c r="E59" s="207">
        <f t="shared" si="7"/>
        <v>48.067092245027716</v>
      </c>
      <c r="F59" s="208">
        <f t="shared" si="8"/>
        <v>3066.6804852327682</v>
      </c>
      <c r="G59" s="209">
        <f t="shared" si="9"/>
        <v>42071</v>
      </c>
      <c r="H59" s="210">
        <f t="shared" si="10"/>
        <v>12676.423963429079</v>
      </c>
      <c r="I59" s="210">
        <f t="shared" si="11"/>
        <v>115101.92958793603</v>
      </c>
    </row>
    <row r="60" spans="1:9">
      <c r="A60" s="208">
        <f t="shared" si="5"/>
        <v>143111.75597752896</v>
      </c>
      <c r="B60" s="206">
        <f t="shared" si="3"/>
        <v>7.15</v>
      </c>
      <c r="C60" s="206">
        <v>5</v>
      </c>
      <c r="D60" s="207">
        <f t="shared" si="6"/>
        <v>240.18756247976904</v>
      </c>
      <c r="E60" s="207">
        <f t="shared" si="7"/>
        <v>48.037512495953806</v>
      </c>
      <c r="F60" s="208">
        <f t="shared" si="8"/>
        <v>3434.6821434606973</v>
      </c>
      <c r="G60" s="209">
        <f t="shared" si="9"/>
        <v>42078</v>
      </c>
      <c r="H60" s="210">
        <f t="shared" si="10"/>
        <v>14197.594839040568</v>
      </c>
      <c r="I60" s="210">
        <f t="shared" si="11"/>
        <v>128914.16113848839</v>
      </c>
    </row>
    <row r="61" spans="1:9">
      <c r="A61" s="208">
        <f t="shared" si="5"/>
        <v>160285.16669483244</v>
      </c>
      <c r="B61" s="206">
        <f t="shared" si="3"/>
        <v>8.01</v>
      </c>
      <c r="C61" s="206">
        <v>5</v>
      </c>
      <c r="D61" s="207">
        <f t="shared" si="6"/>
        <v>240.12759055405641</v>
      </c>
      <c r="E61" s="207">
        <f t="shared" si="7"/>
        <v>48.025518110811284</v>
      </c>
      <c r="F61" s="208">
        <f t="shared" si="8"/>
        <v>3846.8440006759834</v>
      </c>
      <c r="G61" s="209">
        <f t="shared" si="9"/>
        <v>42085</v>
      </c>
      <c r="H61" s="210">
        <f t="shared" si="10"/>
        <v>15901.30621972544</v>
      </c>
      <c r="I61" s="210">
        <f t="shared" si="11"/>
        <v>144383.86047510701</v>
      </c>
    </row>
    <row r="62" spans="1:9">
      <c r="A62" s="208">
        <f t="shared" si="5"/>
        <v>179519.38669821236</v>
      </c>
      <c r="B62" s="206">
        <f t="shared" si="3"/>
        <v>8.9700000000000006</v>
      </c>
      <c r="C62" s="206">
        <v>5</v>
      </c>
      <c r="D62" s="207">
        <f t="shared" si="6"/>
        <v>240.15971464643809</v>
      </c>
      <c r="E62" s="207">
        <f t="shared" si="7"/>
        <v>48.031942929287617</v>
      </c>
      <c r="F62" s="208">
        <f t="shared" si="8"/>
        <v>4308.4652807570992</v>
      </c>
      <c r="G62" s="209">
        <f t="shared" si="9"/>
        <v>42092</v>
      </c>
      <c r="H62" s="210">
        <f t="shared" si="10"/>
        <v>17809.462966092495</v>
      </c>
      <c r="I62" s="210">
        <f t="shared" si="11"/>
        <v>161709.92373211987</v>
      </c>
    </row>
    <row r="63" spans="1:9">
      <c r="A63" s="208">
        <f t="shared" si="5"/>
        <v>201061.71310199786</v>
      </c>
      <c r="B63" s="206">
        <f t="shared" si="3"/>
        <v>10.050000000000001</v>
      </c>
      <c r="C63" s="206">
        <v>5</v>
      </c>
      <c r="D63" s="207">
        <f t="shared" si="6"/>
        <v>240.07368728596788</v>
      </c>
      <c r="E63" s="207">
        <f t="shared" si="7"/>
        <v>48.014737457193576</v>
      </c>
      <c r="F63" s="208">
        <f t="shared" si="8"/>
        <v>4825.4811144479554</v>
      </c>
      <c r="G63" s="209">
        <f t="shared" si="9"/>
        <v>42099</v>
      </c>
      <c r="H63" s="210">
        <f t="shared" si="10"/>
        <v>19946.598522023596</v>
      </c>
      <c r="I63" s="210">
        <f t="shared" si="11"/>
        <v>181115.11457997427</v>
      </c>
    </row>
    <row r="64" spans="1:9">
      <c r="A64" s="208">
        <f t="shared" si="5"/>
        <v>225189.11867423763</v>
      </c>
      <c r="B64" s="206">
        <f t="shared" si="3"/>
        <v>11.25</v>
      </c>
      <c r="C64" s="206">
        <v>5</v>
      </c>
      <c r="D64" s="207">
        <f t="shared" si="6"/>
        <v>240.20172658585375</v>
      </c>
      <c r="E64" s="207">
        <f t="shared" si="7"/>
        <v>48.040345317170747</v>
      </c>
      <c r="F64" s="208">
        <f t="shared" si="8"/>
        <v>5404.538848181709</v>
      </c>
      <c r="G64" s="209">
        <f t="shared" si="9"/>
        <v>42106</v>
      </c>
      <c r="H64" s="210">
        <f t="shared" si="10"/>
        <v>22340.190344666429</v>
      </c>
      <c r="I64" s="210">
        <f t="shared" si="11"/>
        <v>202848.92832957121</v>
      </c>
    </row>
    <row r="65" spans="1:9">
      <c r="A65" s="208">
        <f t="shared" si="5"/>
        <v>252211.81291514618</v>
      </c>
      <c r="B65" s="206">
        <f t="shared" si="3"/>
        <v>12.61</v>
      </c>
      <c r="C65" s="206">
        <v>5</v>
      </c>
      <c r="D65" s="207">
        <f t="shared" si="6"/>
        <v>240.01124147357328</v>
      </c>
      <c r="E65" s="207">
        <f t="shared" si="7"/>
        <v>48.002248294714654</v>
      </c>
      <c r="F65" s="208">
        <f t="shared" si="8"/>
        <v>6053.0835099635178</v>
      </c>
      <c r="G65" s="209">
        <f t="shared" si="9"/>
        <v>42113</v>
      </c>
      <c r="H65" s="210">
        <f t="shared" si="10"/>
        <v>25021.013186026405</v>
      </c>
      <c r="I65" s="210">
        <f t="shared" si="11"/>
        <v>227190.79972911978</v>
      </c>
    </row>
    <row r="66" spans="1:9">
      <c r="A66" s="208">
        <f t="shared" si="5"/>
        <v>282477.23046496377</v>
      </c>
      <c r="B66" s="206">
        <f t="shared" si="3"/>
        <v>14.12</v>
      </c>
      <c r="C66" s="206">
        <v>5</v>
      </c>
      <c r="D66" s="207">
        <f t="shared" si="6"/>
        <v>240.06563495606002</v>
      </c>
      <c r="E66" s="207">
        <f t="shared" si="7"/>
        <v>48.013126991212005</v>
      </c>
      <c r="F66" s="208">
        <f t="shared" si="8"/>
        <v>6779.4535311591344</v>
      </c>
      <c r="G66" s="209">
        <f t="shared" si="9"/>
        <v>42120</v>
      </c>
      <c r="H66" s="210">
        <f t="shared" si="10"/>
        <v>28023.534768349575</v>
      </c>
      <c r="I66" s="210">
        <f t="shared" si="11"/>
        <v>254453.69569661419</v>
      </c>
    </row>
    <row r="67" spans="1:9">
      <c r="A67" s="208">
        <f t="shared" si="5"/>
        <v>316374.49812075944</v>
      </c>
      <c r="B67" s="206">
        <f t="shared" ref="B67:B126" si="12">ROUNDDOWN(A67*0.01/20*0.1,2)</f>
        <v>15.81</v>
      </c>
      <c r="C67" s="206">
        <v>5</v>
      </c>
      <c r="D67" s="207">
        <f t="shared" si="6"/>
        <v>240.13244639146859</v>
      </c>
      <c r="E67" s="207">
        <f t="shared" si="7"/>
        <v>48.026489278293717</v>
      </c>
      <c r="F67" s="208">
        <f t="shared" si="8"/>
        <v>7592.9879548982362</v>
      </c>
      <c r="G67" s="209">
        <f t="shared" si="9"/>
        <v>42127</v>
      </c>
      <c r="H67" s="210">
        <f t="shared" si="10"/>
        <v>31386.35894055153</v>
      </c>
      <c r="I67" s="210">
        <f t="shared" si="11"/>
        <v>284988.13918020792</v>
      </c>
    </row>
    <row r="68" spans="1:9">
      <c r="A68" s="208">
        <f t="shared" ref="A68:A126" si="13">A67*1.12</f>
        <v>354339.43789525062</v>
      </c>
      <c r="B68" s="206">
        <f t="shared" si="12"/>
        <v>17.71</v>
      </c>
      <c r="C68" s="206">
        <v>5</v>
      </c>
      <c r="D68" s="207">
        <f t="shared" ref="D68:D126" si="14">IF(A69&lt;&gt;"",(A69-A68)/B68/10,D67)</f>
        <v>240.09448078729579</v>
      </c>
      <c r="E68" s="207">
        <f t="shared" ref="E68:E126" si="15">D68/C68</f>
        <v>48.01889615745916</v>
      </c>
      <c r="F68" s="208">
        <f t="shared" ref="F68:F126" si="16">E68*B68*10</f>
        <v>8504.1465094860177</v>
      </c>
      <c r="G68" s="209">
        <f t="shared" ref="G68:G126" si="17">DATE(YEAR(G67),MONTH(G67),DAY(G67)+2+C68)</f>
        <v>42134</v>
      </c>
      <c r="H68" s="210">
        <f t="shared" ref="H68:H126" si="18">A67/9</f>
        <v>35152.722013417719</v>
      </c>
      <c r="I68" s="210">
        <f t="shared" ref="I68:I126" si="19">A68-H68</f>
        <v>319186.71588183288</v>
      </c>
    </row>
    <row r="69" spans="1:9">
      <c r="A69" s="208">
        <f t="shared" si="13"/>
        <v>396860.17044268071</v>
      </c>
      <c r="B69" s="206">
        <f t="shared" si="12"/>
        <v>19.84</v>
      </c>
      <c r="C69" s="206">
        <v>5</v>
      </c>
      <c r="D69" s="207">
        <f t="shared" si="14"/>
        <v>240.03639341291176</v>
      </c>
      <c r="E69" s="207">
        <f t="shared" si="15"/>
        <v>48.007278682582353</v>
      </c>
      <c r="F69" s="208">
        <f t="shared" si="16"/>
        <v>9524.6440906243388</v>
      </c>
      <c r="G69" s="209">
        <f t="shared" si="17"/>
        <v>42141</v>
      </c>
      <c r="H69" s="210">
        <f t="shared" si="18"/>
        <v>39371.048655027844</v>
      </c>
      <c r="I69" s="210">
        <f t="shared" si="19"/>
        <v>357489.12178765284</v>
      </c>
    </row>
    <row r="70" spans="1:9">
      <c r="A70" s="208">
        <f t="shared" si="13"/>
        <v>444483.39089580241</v>
      </c>
      <c r="B70" s="206">
        <f t="shared" si="12"/>
        <v>22.22</v>
      </c>
      <c r="C70" s="206">
        <v>5</v>
      </c>
      <c r="D70" s="207">
        <f t="shared" si="14"/>
        <v>240.04503558729215</v>
      </c>
      <c r="E70" s="207">
        <f t="shared" si="15"/>
        <v>48.009007117458431</v>
      </c>
      <c r="F70" s="208">
        <f t="shared" si="16"/>
        <v>10667.601381499262</v>
      </c>
      <c r="G70" s="209">
        <f t="shared" si="17"/>
        <v>42148</v>
      </c>
      <c r="H70" s="210">
        <f t="shared" si="18"/>
        <v>44095.574493631189</v>
      </c>
      <c r="I70" s="210">
        <f t="shared" si="19"/>
        <v>400387.81640217121</v>
      </c>
    </row>
    <row r="71" spans="1:9">
      <c r="A71" s="208">
        <f t="shared" si="13"/>
        <v>497821.39780329872</v>
      </c>
      <c r="B71" s="206">
        <f t="shared" si="12"/>
        <v>24.89</v>
      </c>
      <c r="C71" s="206">
        <v>5</v>
      </c>
      <c r="D71" s="207">
        <f t="shared" si="14"/>
        <v>240.01031633746857</v>
      </c>
      <c r="E71" s="207">
        <f t="shared" si="15"/>
        <v>48.00206326749371</v>
      </c>
      <c r="F71" s="208">
        <f t="shared" si="16"/>
        <v>11947.713547279183</v>
      </c>
      <c r="G71" s="209">
        <f t="shared" si="17"/>
        <v>42155</v>
      </c>
      <c r="H71" s="210">
        <f t="shared" si="18"/>
        <v>49387.043432866936</v>
      </c>
      <c r="I71" s="210">
        <f t="shared" si="19"/>
        <v>448434.3543704318</v>
      </c>
    </row>
    <row r="72" spans="1:9">
      <c r="A72" s="208">
        <f t="shared" si="13"/>
        <v>557559.96553969465</v>
      </c>
      <c r="B72" s="206">
        <f t="shared" si="12"/>
        <v>27.87</v>
      </c>
      <c r="C72" s="206">
        <v>5</v>
      </c>
      <c r="D72" s="207">
        <f t="shared" si="14"/>
        <v>240.06887644335652</v>
      </c>
      <c r="E72" s="207">
        <f t="shared" si="15"/>
        <v>48.013775288671305</v>
      </c>
      <c r="F72" s="208">
        <f t="shared" si="16"/>
        <v>13381.439172952694</v>
      </c>
      <c r="G72" s="209">
        <f t="shared" si="17"/>
        <v>42162</v>
      </c>
      <c r="H72" s="210">
        <f t="shared" si="18"/>
        <v>55313.488644810968</v>
      </c>
      <c r="I72" s="210">
        <f t="shared" si="19"/>
        <v>502246.47689488367</v>
      </c>
    </row>
    <row r="73" spans="1:9">
      <c r="A73" s="208">
        <f t="shared" si="13"/>
        <v>624467.16140445811</v>
      </c>
      <c r="B73" s="206">
        <f t="shared" si="12"/>
        <v>31.22</v>
      </c>
      <c r="C73" s="206">
        <v>5</v>
      </c>
      <c r="D73" s="207">
        <f t="shared" si="14"/>
        <v>240.02581476148322</v>
      </c>
      <c r="E73" s="207">
        <f t="shared" si="15"/>
        <v>48.005162952296644</v>
      </c>
      <c r="F73" s="208">
        <f t="shared" si="16"/>
        <v>14987.211873707012</v>
      </c>
      <c r="G73" s="209">
        <f t="shared" si="17"/>
        <v>42169</v>
      </c>
      <c r="H73" s="210">
        <f t="shared" si="18"/>
        <v>61951.107282188292</v>
      </c>
      <c r="I73" s="210">
        <f t="shared" si="19"/>
        <v>562516.05412226985</v>
      </c>
    </row>
    <row r="74" spans="1:9">
      <c r="A74" s="208">
        <f t="shared" si="13"/>
        <v>699403.22077299317</v>
      </c>
      <c r="B74" s="206">
        <f t="shared" si="12"/>
        <v>34.97</v>
      </c>
      <c r="C74" s="206">
        <v>5</v>
      </c>
      <c r="D74" s="207">
        <f t="shared" si="14"/>
        <v>240.00110521235123</v>
      </c>
      <c r="E74" s="207">
        <f t="shared" si="15"/>
        <v>48.000221042470244</v>
      </c>
      <c r="F74" s="208">
        <f t="shared" si="16"/>
        <v>16785.677298551844</v>
      </c>
      <c r="G74" s="209">
        <f t="shared" si="17"/>
        <v>42176</v>
      </c>
      <c r="H74" s="210">
        <f t="shared" si="18"/>
        <v>69385.240156050902</v>
      </c>
      <c r="I74" s="210">
        <f t="shared" si="19"/>
        <v>630017.98061694228</v>
      </c>
    </row>
    <row r="75" spans="1:9">
      <c r="A75" s="208">
        <f t="shared" si="13"/>
        <v>783331.60726575239</v>
      </c>
      <c r="B75" s="206">
        <f t="shared" si="12"/>
        <v>39.159999999999997</v>
      </c>
      <c r="C75" s="206">
        <v>5</v>
      </c>
      <c r="D75" s="207">
        <f t="shared" si="14"/>
        <v>240.04032909062911</v>
      </c>
      <c r="E75" s="207">
        <f t="shared" si="15"/>
        <v>48.008065818125822</v>
      </c>
      <c r="F75" s="208">
        <f t="shared" si="16"/>
        <v>18799.95857437807</v>
      </c>
      <c r="G75" s="209">
        <f t="shared" si="17"/>
        <v>42183</v>
      </c>
      <c r="H75" s="210">
        <f t="shared" si="18"/>
        <v>77711.468974777017</v>
      </c>
      <c r="I75" s="210">
        <f t="shared" si="19"/>
        <v>705620.13829097536</v>
      </c>
    </row>
    <row r="76" spans="1:9">
      <c r="A76" s="208">
        <f t="shared" si="13"/>
        <v>877331.40013764275</v>
      </c>
      <c r="B76" s="206">
        <f t="shared" si="12"/>
        <v>43.86</v>
      </c>
      <c r="C76" s="206">
        <v>5</v>
      </c>
      <c r="D76" s="207">
        <f t="shared" si="14"/>
        <v>240.03595079005308</v>
      </c>
      <c r="E76" s="207">
        <f t="shared" si="15"/>
        <v>48.007190158010616</v>
      </c>
      <c r="F76" s="208">
        <f t="shared" si="16"/>
        <v>21055.953603303456</v>
      </c>
      <c r="G76" s="209">
        <f t="shared" si="17"/>
        <v>42190</v>
      </c>
      <c r="H76" s="210">
        <f t="shared" si="18"/>
        <v>87036.845251750259</v>
      </c>
      <c r="I76" s="210">
        <f t="shared" si="19"/>
        <v>790294.55488589243</v>
      </c>
    </row>
    <row r="77" spans="1:9">
      <c r="A77" s="208">
        <f t="shared" si="13"/>
        <v>982611.16815416003</v>
      </c>
      <c r="B77" s="206">
        <f t="shared" si="12"/>
        <v>49.13</v>
      </c>
      <c r="C77" s="206">
        <v>5</v>
      </c>
      <c r="D77" s="207">
        <f t="shared" si="14"/>
        <v>240.00272782108533</v>
      </c>
      <c r="E77" s="207">
        <f t="shared" si="15"/>
        <v>48.000545564217063</v>
      </c>
      <c r="F77" s="208">
        <f t="shared" si="16"/>
        <v>23582.668035699844</v>
      </c>
      <c r="G77" s="209">
        <f t="shared" si="17"/>
        <v>42197</v>
      </c>
      <c r="H77" s="210">
        <f t="shared" si="18"/>
        <v>97481.266681960304</v>
      </c>
      <c r="I77" s="210">
        <f t="shared" si="19"/>
        <v>885129.90147219971</v>
      </c>
    </row>
    <row r="78" spans="1:9">
      <c r="A78" s="208">
        <f t="shared" si="13"/>
        <v>1100524.5083326593</v>
      </c>
      <c r="B78" s="206">
        <f t="shared" si="12"/>
        <v>55.02</v>
      </c>
      <c r="C78" s="206">
        <v>5</v>
      </c>
      <c r="D78" s="207">
        <f t="shared" si="14"/>
        <v>240.02715557964251</v>
      </c>
      <c r="E78" s="207">
        <f t="shared" si="15"/>
        <v>48.005431115928502</v>
      </c>
      <c r="F78" s="208">
        <f t="shared" si="16"/>
        <v>26412.58819998386</v>
      </c>
      <c r="G78" s="209">
        <f t="shared" si="17"/>
        <v>42204</v>
      </c>
      <c r="H78" s="210">
        <f t="shared" si="18"/>
        <v>109179.01868379556</v>
      </c>
      <c r="I78" s="210">
        <f t="shared" si="19"/>
        <v>991345.48964886367</v>
      </c>
    </row>
    <row r="79" spans="1:9">
      <c r="A79" s="208">
        <f t="shared" si="13"/>
        <v>1232587.4493325786</v>
      </c>
      <c r="B79" s="206">
        <f t="shared" si="12"/>
        <v>61.62</v>
      </c>
      <c r="C79" s="206">
        <v>5</v>
      </c>
      <c r="D79" s="207">
        <f t="shared" si="14"/>
        <v>240.03650425171935</v>
      </c>
      <c r="E79" s="207">
        <f t="shared" si="15"/>
        <v>48.007300850343867</v>
      </c>
      <c r="F79" s="208">
        <f t="shared" si="16"/>
        <v>29582.098783981892</v>
      </c>
      <c r="G79" s="209">
        <f t="shared" si="17"/>
        <v>42211</v>
      </c>
      <c r="H79" s="210">
        <f t="shared" si="18"/>
        <v>122280.50092585103</v>
      </c>
      <c r="I79" s="210">
        <f t="shared" si="19"/>
        <v>1110306.9484067275</v>
      </c>
    </row>
    <row r="80" spans="1:9">
      <c r="A80" s="208">
        <f t="shared" si="13"/>
        <v>1380497.943252488</v>
      </c>
      <c r="B80" s="206">
        <f t="shared" si="12"/>
        <v>69.02</v>
      </c>
      <c r="C80" s="206">
        <v>5</v>
      </c>
      <c r="D80" s="207">
        <f t="shared" si="14"/>
        <v>240.01702867328135</v>
      </c>
      <c r="E80" s="207">
        <f t="shared" si="15"/>
        <v>48.003405734656269</v>
      </c>
      <c r="F80" s="208">
        <f t="shared" si="16"/>
        <v>33131.95063805976</v>
      </c>
      <c r="G80" s="209">
        <f t="shared" si="17"/>
        <v>42218</v>
      </c>
      <c r="H80" s="210">
        <f t="shared" si="18"/>
        <v>136954.16103695318</v>
      </c>
      <c r="I80" s="210">
        <f t="shared" si="19"/>
        <v>1243543.7822155349</v>
      </c>
    </row>
    <row r="81" spans="1:9">
      <c r="A81" s="208">
        <f t="shared" si="13"/>
        <v>1546157.6964427868</v>
      </c>
      <c r="B81" s="206">
        <f t="shared" si="12"/>
        <v>77.3</v>
      </c>
      <c r="C81" s="206">
        <v>5</v>
      </c>
      <c r="D81" s="207">
        <f t="shared" si="14"/>
        <v>240.02448068969562</v>
      </c>
      <c r="E81" s="207">
        <f t="shared" si="15"/>
        <v>48.004896137939127</v>
      </c>
      <c r="F81" s="208">
        <f t="shared" si="16"/>
        <v>37107.784714626949</v>
      </c>
      <c r="G81" s="209">
        <f t="shared" si="17"/>
        <v>42225</v>
      </c>
      <c r="H81" s="210">
        <f t="shared" si="18"/>
        <v>153388.66036138756</v>
      </c>
      <c r="I81" s="210">
        <f t="shared" si="19"/>
        <v>1392769.0360813993</v>
      </c>
    </row>
    <row r="82" spans="1:9">
      <c r="A82" s="208">
        <f t="shared" si="13"/>
        <v>1731696.6200159215</v>
      </c>
      <c r="B82" s="206">
        <f t="shared" si="12"/>
        <v>86.58</v>
      </c>
      <c r="C82" s="206">
        <v>5</v>
      </c>
      <c r="D82" s="207">
        <f t="shared" si="14"/>
        <v>240.01339154759839</v>
      </c>
      <c r="E82" s="207">
        <f t="shared" si="15"/>
        <v>48.002678309519681</v>
      </c>
      <c r="F82" s="208">
        <f t="shared" si="16"/>
        <v>41560.718880382134</v>
      </c>
      <c r="G82" s="209">
        <f t="shared" si="17"/>
        <v>42232</v>
      </c>
      <c r="H82" s="210">
        <f t="shared" si="18"/>
        <v>171795.29960475408</v>
      </c>
      <c r="I82" s="210">
        <f t="shared" si="19"/>
        <v>1559901.3204111676</v>
      </c>
    </row>
    <row r="83" spans="1:9">
      <c r="A83" s="208">
        <f t="shared" si="13"/>
        <v>1939500.2144178322</v>
      </c>
      <c r="B83" s="206">
        <f t="shared" si="12"/>
        <v>96.97</v>
      </c>
      <c r="C83" s="206">
        <v>5</v>
      </c>
      <c r="D83" s="207">
        <f t="shared" si="14"/>
        <v>240.01240149545248</v>
      </c>
      <c r="E83" s="207">
        <f t="shared" si="15"/>
        <v>48.002480299090493</v>
      </c>
      <c r="F83" s="208">
        <f t="shared" si="16"/>
        <v>46548.005146028052</v>
      </c>
      <c r="G83" s="209">
        <f t="shared" si="17"/>
        <v>42239</v>
      </c>
      <c r="H83" s="210">
        <f t="shared" si="18"/>
        <v>192410.7355573246</v>
      </c>
      <c r="I83" s="210">
        <f t="shared" si="19"/>
        <v>1747089.4788605077</v>
      </c>
    </row>
    <row r="84" spans="1:9">
      <c r="A84" s="208">
        <f t="shared" si="13"/>
        <v>2172240.2401479725</v>
      </c>
      <c r="B84" s="206">
        <f t="shared" si="12"/>
        <v>108.61</v>
      </c>
      <c r="C84" s="206">
        <v>5</v>
      </c>
      <c r="D84" s="207">
        <f t="shared" si="14"/>
        <v>240.00444601579676</v>
      </c>
      <c r="E84" s="207">
        <f t="shared" si="15"/>
        <v>48.000889203159353</v>
      </c>
      <c r="F84" s="208">
        <f t="shared" si="16"/>
        <v>52133.765763551375</v>
      </c>
      <c r="G84" s="209">
        <f t="shared" si="17"/>
        <v>42246</v>
      </c>
      <c r="H84" s="210">
        <f t="shared" si="18"/>
        <v>215500.02382420358</v>
      </c>
      <c r="I84" s="210">
        <f t="shared" si="19"/>
        <v>1956740.216323769</v>
      </c>
    </row>
    <row r="85" spans="1:9">
      <c r="A85" s="208">
        <f t="shared" si="13"/>
        <v>2432909.0689657293</v>
      </c>
      <c r="B85" s="206">
        <f t="shared" si="12"/>
        <v>121.64</v>
      </c>
      <c r="C85" s="206">
        <v>5</v>
      </c>
      <c r="D85" s="207">
        <f t="shared" si="14"/>
        <v>240.0107598453535</v>
      </c>
      <c r="E85" s="207">
        <f t="shared" si="15"/>
        <v>48.002151969070702</v>
      </c>
      <c r="F85" s="208">
        <f t="shared" si="16"/>
        <v>58389.817655177605</v>
      </c>
      <c r="G85" s="209">
        <f t="shared" si="17"/>
        <v>42253</v>
      </c>
      <c r="H85" s="210">
        <f t="shared" si="18"/>
        <v>241360.02668310807</v>
      </c>
      <c r="I85" s="210">
        <f t="shared" si="19"/>
        <v>2191549.0422826214</v>
      </c>
    </row>
    <row r="86" spans="1:9">
      <c r="A86" s="208">
        <f t="shared" si="13"/>
        <v>2724858.1572416173</v>
      </c>
      <c r="B86" s="206">
        <f t="shared" si="12"/>
        <v>136.24</v>
      </c>
      <c r="C86" s="206">
        <v>5</v>
      </c>
      <c r="D86" s="207">
        <f t="shared" si="14"/>
        <v>240.00512248164591</v>
      </c>
      <c r="E86" s="207">
        <f t="shared" si="15"/>
        <v>48.00102449632918</v>
      </c>
      <c r="F86" s="208">
        <f t="shared" si="16"/>
        <v>65396.595773798879</v>
      </c>
      <c r="G86" s="209">
        <f t="shared" si="17"/>
        <v>42260</v>
      </c>
      <c r="H86" s="210">
        <f t="shared" si="18"/>
        <v>270323.22988508106</v>
      </c>
      <c r="I86" s="210">
        <f t="shared" si="19"/>
        <v>2454534.9273565365</v>
      </c>
    </row>
    <row r="87" spans="1:9">
      <c r="A87" s="208">
        <f t="shared" si="13"/>
        <v>3051841.1361106117</v>
      </c>
      <c r="B87" s="206">
        <f t="shared" si="12"/>
        <v>152.59</v>
      </c>
      <c r="C87" s="206">
        <v>5</v>
      </c>
      <c r="D87" s="207">
        <f t="shared" si="14"/>
        <v>240.00323503065306</v>
      </c>
      <c r="E87" s="207">
        <f t="shared" si="15"/>
        <v>48.000647006130613</v>
      </c>
      <c r="F87" s="208">
        <f t="shared" si="16"/>
        <v>73244.187266654713</v>
      </c>
      <c r="G87" s="209">
        <f t="shared" si="17"/>
        <v>42267</v>
      </c>
      <c r="H87" s="210">
        <f t="shared" si="18"/>
        <v>302762.01747129083</v>
      </c>
      <c r="I87" s="210">
        <f t="shared" si="19"/>
        <v>2749079.1186393211</v>
      </c>
    </row>
    <row r="88" spans="1:9">
      <c r="A88" s="208">
        <f t="shared" si="13"/>
        <v>3418062.0724438853</v>
      </c>
      <c r="B88" s="206">
        <f t="shared" si="12"/>
        <v>170.9</v>
      </c>
      <c r="C88" s="206">
        <v>5</v>
      </c>
      <c r="D88" s="207">
        <f t="shared" si="14"/>
        <v>240.00435850981074</v>
      </c>
      <c r="E88" s="207">
        <f t="shared" si="15"/>
        <v>48.000871701962147</v>
      </c>
      <c r="F88" s="208">
        <f t="shared" si="16"/>
        <v>82033.489738653312</v>
      </c>
      <c r="G88" s="209">
        <f t="shared" si="17"/>
        <v>42274</v>
      </c>
      <c r="H88" s="210">
        <f t="shared" si="18"/>
        <v>339093.45956784574</v>
      </c>
      <c r="I88" s="210">
        <f t="shared" si="19"/>
        <v>3078968.6128760395</v>
      </c>
    </row>
    <row r="89" spans="1:9">
      <c r="A89" s="208">
        <f t="shared" si="13"/>
        <v>3828229.5211371519</v>
      </c>
      <c r="B89" s="206">
        <f t="shared" si="12"/>
        <v>191.41</v>
      </c>
      <c r="C89" s="206">
        <v>5</v>
      </c>
      <c r="D89" s="207">
        <f t="shared" si="14"/>
        <v>240.00185075829842</v>
      </c>
      <c r="E89" s="207">
        <f t="shared" si="15"/>
        <v>48.000370151659681</v>
      </c>
      <c r="F89" s="208">
        <f t="shared" si="16"/>
        <v>91877.508507291786</v>
      </c>
      <c r="G89" s="209">
        <f t="shared" si="17"/>
        <v>42281</v>
      </c>
      <c r="H89" s="210">
        <f t="shared" si="18"/>
        <v>379784.67471598723</v>
      </c>
      <c r="I89" s="210">
        <f t="shared" si="19"/>
        <v>3448444.8464211645</v>
      </c>
    </row>
    <row r="90" spans="1:9">
      <c r="A90" s="208">
        <f t="shared" si="13"/>
        <v>4287617.0636736108</v>
      </c>
      <c r="B90" s="206">
        <f t="shared" si="12"/>
        <v>214.38</v>
      </c>
      <c r="C90" s="206">
        <v>5</v>
      </c>
      <c r="D90" s="207">
        <f t="shared" si="14"/>
        <v>240.00095514545856</v>
      </c>
      <c r="E90" s="207">
        <f t="shared" si="15"/>
        <v>48.00019102909171</v>
      </c>
      <c r="F90" s="208">
        <f t="shared" si="16"/>
        <v>102902.80952816681</v>
      </c>
      <c r="G90" s="209">
        <f t="shared" si="17"/>
        <v>42288</v>
      </c>
      <c r="H90" s="210">
        <f t="shared" si="18"/>
        <v>425358.83568190574</v>
      </c>
      <c r="I90" s="210">
        <f t="shared" si="19"/>
        <v>3862258.2279917048</v>
      </c>
    </row>
    <row r="91" spans="1:9">
      <c r="A91" s="208">
        <f t="shared" si="13"/>
        <v>4802131.1113144448</v>
      </c>
      <c r="B91" s="206">
        <f t="shared" si="12"/>
        <v>240.1</v>
      </c>
      <c r="C91" s="206">
        <v>5</v>
      </c>
      <c r="D91" s="207">
        <f t="shared" si="14"/>
        <v>240.00655283537444</v>
      </c>
      <c r="E91" s="207">
        <f t="shared" si="15"/>
        <v>48.001310567074889</v>
      </c>
      <c r="F91" s="208">
        <f t="shared" si="16"/>
        <v>115251.14667154681</v>
      </c>
      <c r="G91" s="209">
        <f t="shared" si="17"/>
        <v>42295</v>
      </c>
      <c r="H91" s="210">
        <f t="shared" si="18"/>
        <v>476401.89596373454</v>
      </c>
      <c r="I91" s="210">
        <f t="shared" si="19"/>
        <v>4325729.2153507099</v>
      </c>
    </row>
    <row r="92" spans="1:9">
      <c r="A92" s="208">
        <f t="shared" si="13"/>
        <v>5378386.8446721788</v>
      </c>
      <c r="B92" s="206">
        <f t="shared" si="12"/>
        <v>268.91000000000003</v>
      </c>
      <c r="C92" s="206">
        <v>5</v>
      </c>
      <c r="D92" s="207">
        <f t="shared" si="14"/>
        <v>240.00833786793433</v>
      </c>
      <c r="E92" s="207">
        <f t="shared" si="15"/>
        <v>48.001667573586865</v>
      </c>
      <c r="F92" s="208">
        <f t="shared" si="16"/>
        <v>129081.28427213246</v>
      </c>
      <c r="G92" s="209">
        <f t="shared" si="17"/>
        <v>42302</v>
      </c>
      <c r="H92" s="210">
        <f t="shared" si="18"/>
        <v>533570.12347938272</v>
      </c>
      <c r="I92" s="210">
        <f t="shared" si="19"/>
        <v>4844816.7211927958</v>
      </c>
    </row>
    <row r="93" spans="1:9">
      <c r="A93" s="208">
        <f t="shared" si="13"/>
        <v>6023793.2660328411</v>
      </c>
      <c r="B93" s="206">
        <f t="shared" si="12"/>
        <v>301.18</v>
      </c>
      <c r="C93" s="206">
        <v>5</v>
      </c>
      <c r="D93" s="207">
        <f t="shared" si="14"/>
        <v>240.00770035325769</v>
      </c>
      <c r="E93" s="207">
        <f t="shared" si="15"/>
        <v>48.001540070651536</v>
      </c>
      <c r="F93" s="208">
        <f t="shared" si="16"/>
        <v>144571.03838478829</v>
      </c>
      <c r="G93" s="209">
        <f t="shared" si="17"/>
        <v>42309</v>
      </c>
      <c r="H93" s="210">
        <f t="shared" si="18"/>
        <v>597598.53829690872</v>
      </c>
      <c r="I93" s="210">
        <f t="shared" si="19"/>
        <v>5426194.727735932</v>
      </c>
    </row>
    <row r="94" spans="1:9">
      <c r="A94" s="208">
        <f t="shared" si="13"/>
        <v>6746648.4579567825</v>
      </c>
      <c r="B94" s="206">
        <f t="shared" si="12"/>
        <v>337.33</v>
      </c>
      <c r="C94" s="206">
        <v>5</v>
      </c>
      <c r="D94" s="207">
        <f t="shared" si="14"/>
        <v>240.00172381786811</v>
      </c>
      <c r="E94" s="207">
        <f t="shared" si="15"/>
        <v>48.000344763573622</v>
      </c>
      <c r="F94" s="208">
        <f t="shared" si="16"/>
        <v>161919.56299096291</v>
      </c>
      <c r="G94" s="209">
        <f t="shared" si="17"/>
        <v>42316</v>
      </c>
      <c r="H94" s="210">
        <f t="shared" si="18"/>
        <v>669310.36289253784</v>
      </c>
      <c r="I94" s="210">
        <f t="shared" si="19"/>
        <v>6077338.0950642452</v>
      </c>
    </row>
    <row r="95" spans="1:9">
      <c r="A95" s="208">
        <f t="shared" si="13"/>
        <v>7556246.272911597</v>
      </c>
      <c r="B95" s="206">
        <f t="shared" si="12"/>
        <v>377.81</v>
      </c>
      <c r="C95" s="206">
        <v>5</v>
      </c>
      <c r="D95" s="207">
        <f t="shared" si="14"/>
        <v>240.00146972006874</v>
      </c>
      <c r="E95" s="207">
        <f t="shared" si="15"/>
        <v>48.000293944013748</v>
      </c>
      <c r="F95" s="208">
        <f t="shared" si="16"/>
        <v>181349.91054987832</v>
      </c>
      <c r="G95" s="209">
        <f t="shared" si="17"/>
        <v>42323</v>
      </c>
      <c r="H95" s="210">
        <f t="shared" si="18"/>
        <v>749627.60643964249</v>
      </c>
      <c r="I95" s="210">
        <f t="shared" si="19"/>
        <v>6806618.6664719544</v>
      </c>
    </row>
    <row r="96" spans="1:9">
      <c r="A96" s="208">
        <f t="shared" si="13"/>
        <v>8462995.8256609887</v>
      </c>
      <c r="B96" s="206">
        <f t="shared" si="12"/>
        <v>423.14</v>
      </c>
      <c r="C96" s="206">
        <v>5</v>
      </c>
      <c r="D96" s="207">
        <f t="shared" si="14"/>
        <v>240.00555349986263</v>
      </c>
      <c r="E96" s="207">
        <f t="shared" si="15"/>
        <v>48.001110699972529</v>
      </c>
      <c r="F96" s="208">
        <f t="shared" si="16"/>
        <v>203111.89981586376</v>
      </c>
      <c r="G96" s="209">
        <f t="shared" si="17"/>
        <v>42330</v>
      </c>
      <c r="H96" s="210">
        <f t="shared" si="18"/>
        <v>839582.91921239963</v>
      </c>
      <c r="I96" s="210">
        <f t="shared" si="19"/>
        <v>7623412.9064485887</v>
      </c>
    </row>
    <row r="97" spans="1:9">
      <c r="A97" s="208">
        <f t="shared" si="13"/>
        <v>9478555.3247403074</v>
      </c>
      <c r="B97" s="206">
        <f t="shared" si="12"/>
        <v>473.92</v>
      </c>
      <c r="C97" s="206">
        <v>5</v>
      </c>
      <c r="D97" s="207">
        <f t="shared" si="14"/>
        <v>240.00393293569346</v>
      </c>
      <c r="E97" s="207">
        <f t="shared" si="15"/>
        <v>48.000786587138691</v>
      </c>
      <c r="F97" s="208">
        <f t="shared" si="16"/>
        <v>227485.32779376768</v>
      </c>
      <c r="G97" s="209">
        <f t="shared" si="17"/>
        <v>42337</v>
      </c>
      <c r="H97" s="210">
        <f t="shared" si="18"/>
        <v>940332.86951788759</v>
      </c>
      <c r="I97" s="210">
        <f t="shared" si="19"/>
        <v>8538222.4552224204</v>
      </c>
    </row>
    <row r="98" spans="1:9">
      <c r="A98" s="208">
        <f t="shared" si="13"/>
        <v>10615981.963709146</v>
      </c>
      <c r="B98" s="206">
        <f t="shared" si="12"/>
        <v>530.79</v>
      </c>
      <c r="C98" s="206">
        <v>5</v>
      </c>
      <c r="D98" s="207">
        <f t="shared" si="14"/>
        <v>240.00411380114514</v>
      </c>
      <c r="E98" s="207">
        <f t="shared" si="15"/>
        <v>48.000822760229028</v>
      </c>
      <c r="F98" s="208">
        <f t="shared" si="16"/>
        <v>254783.56712901965</v>
      </c>
      <c r="G98" s="209">
        <f t="shared" si="17"/>
        <v>42344</v>
      </c>
      <c r="H98" s="210">
        <f t="shared" si="18"/>
        <v>1053172.8138600341</v>
      </c>
      <c r="I98" s="210">
        <f t="shared" si="19"/>
        <v>9562809.1498491112</v>
      </c>
    </row>
    <row r="99" spans="1:9">
      <c r="A99" s="208">
        <f t="shared" si="13"/>
        <v>11889899.799354244</v>
      </c>
      <c r="B99" s="206">
        <f t="shared" si="12"/>
        <v>594.49</v>
      </c>
      <c r="C99" s="206">
        <v>5</v>
      </c>
      <c r="D99" s="207">
        <f t="shared" si="14"/>
        <v>240.00201448678868</v>
      </c>
      <c r="E99" s="207">
        <f t="shared" si="15"/>
        <v>48.000402897357738</v>
      </c>
      <c r="F99" s="208">
        <f t="shared" si="16"/>
        <v>285357.59518450202</v>
      </c>
      <c r="G99" s="209">
        <f t="shared" si="17"/>
        <v>42351</v>
      </c>
      <c r="H99" s="210">
        <f t="shared" si="18"/>
        <v>1179553.5515232384</v>
      </c>
      <c r="I99" s="210">
        <f t="shared" si="19"/>
        <v>10710346.247831006</v>
      </c>
    </row>
    <row r="100" spans="1:9">
      <c r="A100" s="208">
        <f t="shared" si="13"/>
        <v>13316687.775276754</v>
      </c>
      <c r="B100" s="206">
        <f t="shared" si="12"/>
        <v>665.83</v>
      </c>
      <c r="C100" s="206">
        <v>5</v>
      </c>
      <c r="D100" s="207">
        <f t="shared" si="14"/>
        <v>240.00158194031695</v>
      </c>
      <c r="E100" s="207">
        <f t="shared" si="15"/>
        <v>48.000316388063389</v>
      </c>
      <c r="F100" s="208">
        <f t="shared" si="16"/>
        <v>319600.50660664251</v>
      </c>
      <c r="G100" s="209">
        <f t="shared" si="17"/>
        <v>42358</v>
      </c>
      <c r="H100" s="210">
        <f t="shared" si="18"/>
        <v>1321099.9777060272</v>
      </c>
      <c r="I100" s="210">
        <f t="shared" si="19"/>
        <v>11995587.797570728</v>
      </c>
    </row>
    <row r="101" spans="1:9">
      <c r="A101" s="208">
        <f t="shared" si="13"/>
        <v>14914690.308309967</v>
      </c>
      <c r="B101" s="206">
        <f t="shared" si="12"/>
        <v>745.73</v>
      </c>
      <c r="C101" s="206">
        <v>5</v>
      </c>
      <c r="D101" s="207">
        <f t="shared" si="14"/>
        <v>240.001453206549</v>
      </c>
      <c r="E101" s="207">
        <f t="shared" si="15"/>
        <v>48.000290641309803</v>
      </c>
      <c r="F101" s="208">
        <f t="shared" si="16"/>
        <v>357952.56739943958</v>
      </c>
      <c r="G101" s="209">
        <f t="shared" si="17"/>
        <v>42365</v>
      </c>
      <c r="H101" s="210">
        <f t="shared" si="18"/>
        <v>1479631.9750307505</v>
      </c>
      <c r="I101" s="210">
        <f t="shared" si="19"/>
        <v>13435058.333279217</v>
      </c>
    </row>
    <row r="102" spans="1:9">
      <c r="A102" s="208">
        <f t="shared" si="13"/>
        <v>16704453.145307165</v>
      </c>
      <c r="B102" s="206">
        <f t="shared" si="12"/>
        <v>835.22</v>
      </c>
      <c r="C102" s="206">
        <v>5</v>
      </c>
      <c r="D102" s="207">
        <f t="shared" si="14"/>
        <v>240.00076356371511</v>
      </c>
      <c r="E102" s="207">
        <f t="shared" si="15"/>
        <v>48.000152712743024</v>
      </c>
      <c r="F102" s="208">
        <f t="shared" si="16"/>
        <v>400906.87548737228</v>
      </c>
      <c r="G102" s="209">
        <f t="shared" si="17"/>
        <v>42372</v>
      </c>
      <c r="H102" s="210">
        <f t="shared" si="18"/>
        <v>1657187.8120344407</v>
      </c>
      <c r="I102" s="210">
        <f t="shared" si="19"/>
        <v>15047265.333272723</v>
      </c>
    </row>
    <row r="103" spans="1:9">
      <c r="A103" s="208">
        <f t="shared" si="13"/>
        <v>18708987.522744026</v>
      </c>
      <c r="B103" s="206">
        <f t="shared" si="12"/>
        <v>935.44</v>
      </c>
      <c r="C103" s="206">
        <v>5</v>
      </c>
      <c r="D103" s="207">
        <f t="shared" si="14"/>
        <v>240.00240557697825</v>
      </c>
      <c r="E103" s="207">
        <f t="shared" si="15"/>
        <v>48.000481115395651</v>
      </c>
      <c r="F103" s="208">
        <f t="shared" si="16"/>
        <v>449015.70054585708</v>
      </c>
      <c r="G103" s="209">
        <f t="shared" si="17"/>
        <v>42379</v>
      </c>
      <c r="H103" s="210">
        <f t="shared" si="18"/>
        <v>1856050.3494785738</v>
      </c>
      <c r="I103" s="210">
        <f t="shared" si="19"/>
        <v>16852937.173265453</v>
      </c>
    </row>
    <row r="104" spans="1:9">
      <c r="A104" s="208">
        <f t="shared" si="13"/>
        <v>20954066.025473312</v>
      </c>
      <c r="B104" s="206">
        <f t="shared" si="12"/>
        <v>1047.7</v>
      </c>
      <c r="C104" s="206">
        <v>5</v>
      </c>
      <c r="D104" s="207">
        <f t="shared" si="14"/>
        <v>240.00075623334925</v>
      </c>
      <c r="E104" s="207">
        <f t="shared" si="15"/>
        <v>48.000151246669851</v>
      </c>
      <c r="F104" s="208">
        <f t="shared" si="16"/>
        <v>502897.5846113601</v>
      </c>
      <c r="G104" s="209">
        <f t="shared" si="17"/>
        <v>42386</v>
      </c>
      <c r="H104" s="210">
        <f t="shared" si="18"/>
        <v>2078776.391416003</v>
      </c>
      <c r="I104" s="210">
        <f t="shared" si="19"/>
        <v>18875289.634057309</v>
      </c>
    </row>
    <row r="105" spans="1:9">
      <c r="A105" s="208">
        <f t="shared" si="13"/>
        <v>23468553.948530111</v>
      </c>
      <c r="B105" s="206">
        <f t="shared" si="12"/>
        <v>1173.42</v>
      </c>
      <c r="C105" s="206">
        <v>5</v>
      </c>
      <c r="D105" s="207">
        <f t="shared" si="14"/>
        <v>240.00157435731572</v>
      </c>
      <c r="E105" s="207">
        <f t="shared" si="15"/>
        <v>48.000314871463146</v>
      </c>
      <c r="F105" s="208">
        <f t="shared" si="16"/>
        <v>563245.29476472281</v>
      </c>
      <c r="G105" s="209">
        <f t="shared" si="17"/>
        <v>42393</v>
      </c>
      <c r="H105" s="210">
        <f t="shared" si="18"/>
        <v>2328229.5583859235</v>
      </c>
      <c r="I105" s="210">
        <f t="shared" si="19"/>
        <v>21140324.390144188</v>
      </c>
    </row>
    <row r="106" spans="1:9">
      <c r="A106" s="208">
        <f t="shared" si="13"/>
        <v>26284780.422353726</v>
      </c>
      <c r="B106" s="206">
        <f t="shared" si="12"/>
        <v>1314.23</v>
      </c>
      <c r="C106" s="206">
        <v>5</v>
      </c>
      <c r="D106" s="207">
        <f t="shared" si="14"/>
        <v>240.00164740436981</v>
      </c>
      <c r="E106" s="207">
        <f t="shared" si="15"/>
        <v>48.000329480873958</v>
      </c>
      <c r="F106" s="208">
        <f t="shared" si="16"/>
        <v>630834.73013648984</v>
      </c>
      <c r="G106" s="209">
        <f t="shared" si="17"/>
        <v>42400</v>
      </c>
      <c r="H106" s="210">
        <f t="shared" si="18"/>
        <v>2607617.1053922344</v>
      </c>
      <c r="I106" s="210">
        <f t="shared" si="19"/>
        <v>23677163.31696149</v>
      </c>
    </row>
    <row r="107" spans="1:9">
      <c r="A107" s="208">
        <f t="shared" si="13"/>
        <v>29438954.073036175</v>
      </c>
      <c r="B107" s="206">
        <f t="shared" si="12"/>
        <v>1471.94</v>
      </c>
      <c r="C107" s="206">
        <v>5</v>
      </c>
      <c r="D107" s="207">
        <f t="shared" si="14"/>
        <v>240.00125608138546</v>
      </c>
      <c r="E107" s="207">
        <f t="shared" si="15"/>
        <v>48.000251216277093</v>
      </c>
      <c r="F107" s="208">
        <f t="shared" si="16"/>
        <v>706534.89775286894</v>
      </c>
      <c r="G107" s="209">
        <f t="shared" si="17"/>
        <v>42407</v>
      </c>
      <c r="H107" s="210">
        <f t="shared" si="18"/>
        <v>2920531.158039303</v>
      </c>
      <c r="I107" s="210">
        <f t="shared" si="19"/>
        <v>26518422.914996874</v>
      </c>
    </row>
    <row r="108" spans="1:9">
      <c r="A108" s="208">
        <f t="shared" si="13"/>
        <v>32971628.561800521</v>
      </c>
      <c r="B108" s="206">
        <f t="shared" si="12"/>
        <v>1648.58</v>
      </c>
      <c r="C108" s="206">
        <v>5</v>
      </c>
      <c r="D108" s="207">
        <f t="shared" si="14"/>
        <v>240.00020790110688</v>
      </c>
      <c r="E108" s="207">
        <f t="shared" si="15"/>
        <v>48.000041580221378</v>
      </c>
      <c r="F108" s="208">
        <f t="shared" si="16"/>
        <v>791319.08548321354</v>
      </c>
      <c r="G108" s="209">
        <f t="shared" si="17"/>
        <v>42414</v>
      </c>
      <c r="H108" s="210">
        <f t="shared" si="18"/>
        <v>3270994.8970040195</v>
      </c>
      <c r="I108" s="210">
        <f t="shared" si="19"/>
        <v>29700633.664796501</v>
      </c>
    </row>
    <row r="109" spans="1:9">
      <c r="A109" s="208">
        <f t="shared" si="13"/>
        <v>36928223.989216588</v>
      </c>
      <c r="B109" s="206">
        <f t="shared" si="12"/>
        <v>1846.41</v>
      </c>
      <c r="C109" s="206">
        <v>5</v>
      </c>
      <c r="D109" s="207">
        <f t="shared" si="14"/>
        <v>240.0001559082757</v>
      </c>
      <c r="E109" s="207">
        <f t="shared" si="15"/>
        <v>48.000031181655139</v>
      </c>
      <c r="F109" s="208">
        <f t="shared" si="16"/>
        <v>886277.37574119866</v>
      </c>
      <c r="G109" s="209">
        <f t="shared" si="17"/>
        <v>42421</v>
      </c>
      <c r="H109" s="210">
        <f t="shared" si="18"/>
        <v>3663514.2846445022</v>
      </c>
      <c r="I109" s="210">
        <f t="shared" si="19"/>
        <v>33264709.704572085</v>
      </c>
    </row>
    <row r="110" spans="1:9">
      <c r="A110" s="208">
        <f t="shared" si="13"/>
        <v>41359610.867922582</v>
      </c>
      <c r="B110" s="206">
        <f t="shared" si="12"/>
        <v>2067.98</v>
      </c>
      <c r="C110" s="206">
        <v>5</v>
      </c>
      <c r="D110" s="207">
        <f t="shared" si="14"/>
        <v>240.00006306399072</v>
      </c>
      <c r="E110" s="207">
        <f t="shared" si="15"/>
        <v>48.000012612798145</v>
      </c>
      <c r="F110" s="208">
        <f t="shared" si="16"/>
        <v>992630.66083014302</v>
      </c>
      <c r="G110" s="209">
        <f t="shared" si="17"/>
        <v>42428</v>
      </c>
      <c r="H110" s="210">
        <f t="shared" si="18"/>
        <v>4103135.9988018433</v>
      </c>
      <c r="I110" s="210">
        <f t="shared" si="19"/>
        <v>37256474.869120739</v>
      </c>
    </row>
    <row r="111" spans="1:9">
      <c r="A111" s="208">
        <f t="shared" si="13"/>
        <v>46322764.172073297</v>
      </c>
      <c r="B111" s="206">
        <f t="shared" si="12"/>
        <v>2316.13</v>
      </c>
      <c r="C111" s="206">
        <v>5</v>
      </c>
      <c r="D111" s="207">
        <f t="shared" si="14"/>
        <v>240.00085058475989</v>
      </c>
      <c r="E111" s="207">
        <f t="shared" si="15"/>
        <v>48.000170116951978</v>
      </c>
      <c r="F111" s="208">
        <f t="shared" si="16"/>
        <v>1111746.3401297599</v>
      </c>
      <c r="G111" s="209">
        <f t="shared" si="17"/>
        <v>42435</v>
      </c>
      <c r="H111" s="210">
        <f t="shared" si="18"/>
        <v>4595512.3186580651</v>
      </c>
      <c r="I111" s="210">
        <f t="shared" si="19"/>
        <v>41727251.853415236</v>
      </c>
    </row>
    <row r="112" spans="1:9">
      <c r="A112" s="208">
        <f t="shared" si="13"/>
        <v>51881495.872722097</v>
      </c>
      <c r="B112" s="206">
        <f t="shared" si="12"/>
        <v>2594.0700000000002</v>
      </c>
      <c r="C112" s="206">
        <v>5</v>
      </c>
      <c r="D112" s="207">
        <f t="shared" si="14"/>
        <v>240.00044350101021</v>
      </c>
      <c r="E112" s="207">
        <f t="shared" si="15"/>
        <v>48.000088700202042</v>
      </c>
      <c r="F112" s="208">
        <f t="shared" si="16"/>
        <v>1245155.9009453312</v>
      </c>
      <c r="G112" s="209">
        <f t="shared" si="17"/>
        <v>42442</v>
      </c>
      <c r="H112" s="210">
        <f t="shared" si="18"/>
        <v>5146973.7968970332</v>
      </c>
      <c r="I112" s="210">
        <f t="shared" si="19"/>
        <v>46734522.075825065</v>
      </c>
    </row>
    <row r="113" spans="1:9">
      <c r="A113" s="208">
        <f t="shared" si="13"/>
        <v>58107275.377448753</v>
      </c>
      <c r="B113" s="206">
        <f t="shared" si="12"/>
        <v>2905.36</v>
      </c>
      <c r="C113" s="206">
        <v>5</v>
      </c>
      <c r="D113" s="207">
        <f t="shared" si="14"/>
        <v>240.00031133125876</v>
      </c>
      <c r="E113" s="207">
        <f t="shared" si="15"/>
        <v>48.000062266251753</v>
      </c>
      <c r="F113" s="208">
        <f t="shared" si="16"/>
        <v>1394574.609058772</v>
      </c>
      <c r="G113" s="209">
        <f t="shared" si="17"/>
        <v>42449</v>
      </c>
      <c r="H113" s="210">
        <f t="shared" si="18"/>
        <v>5764610.6525246771</v>
      </c>
      <c r="I113" s="210">
        <f t="shared" si="19"/>
        <v>52342664.724924073</v>
      </c>
    </row>
    <row r="114" spans="1:9">
      <c r="A114" s="208">
        <f t="shared" si="13"/>
        <v>65080148.422742613</v>
      </c>
      <c r="B114" s="206">
        <f t="shared" si="12"/>
        <v>3254</v>
      </c>
      <c r="C114" s="206">
        <v>5</v>
      </c>
      <c r="D114" s="207">
        <f t="shared" si="14"/>
        <v>240.00054734877455</v>
      </c>
      <c r="E114" s="207">
        <f t="shared" si="15"/>
        <v>48.000109469754911</v>
      </c>
      <c r="F114" s="208">
        <f t="shared" si="16"/>
        <v>1561923.5621458248</v>
      </c>
      <c r="G114" s="209">
        <f t="shared" si="17"/>
        <v>42456</v>
      </c>
      <c r="H114" s="210">
        <f t="shared" si="18"/>
        <v>6456363.9308276391</v>
      </c>
      <c r="I114" s="210">
        <f t="shared" si="19"/>
        <v>58623784.491914973</v>
      </c>
    </row>
    <row r="115" spans="1:9">
      <c r="A115" s="208">
        <f t="shared" si="13"/>
        <v>72889766.233471736</v>
      </c>
      <c r="B115" s="206">
        <f t="shared" si="12"/>
        <v>3644.48</v>
      </c>
      <c r="C115" s="206">
        <v>5</v>
      </c>
      <c r="D115" s="207">
        <f t="shared" si="14"/>
        <v>240.0005473487744</v>
      </c>
      <c r="E115" s="207">
        <f t="shared" si="15"/>
        <v>48.000109469754882</v>
      </c>
      <c r="F115" s="208">
        <f t="shared" si="16"/>
        <v>1749354.3896033228</v>
      </c>
      <c r="G115" s="209">
        <f t="shared" si="17"/>
        <v>42463</v>
      </c>
      <c r="H115" s="210">
        <f t="shared" si="18"/>
        <v>7231127.6025269572</v>
      </c>
      <c r="I115" s="210">
        <f t="shared" si="19"/>
        <v>65658638.630944781</v>
      </c>
    </row>
    <row r="116" spans="1:9">
      <c r="A116" s="208">
        <f t="shared" si="13"/>
        <v>81636538.18148835</v>
      </c>
      <c r="B116" s="206">
        <f t="shared" si="12"/>
        <v>4081.82</v>
      </c>
      <c r="C116" s="206">
        <v>5</v>
      </c>
      <c r="D116" s="207">
        <f t="shared" si="14"/>
        <v>240.00040623492993</v>
      </c>
      <c r="E116" s="207">
        <f t="shared" si="15"/>
        <v>48.000081246985985</v>
      </c>
      <c r="F116" s="208">
        <f t="shared" si="16"/>
        <v>1959276.9163557235</v>
      </c>
      <c r="G116" s="209">
        <f t="shared" si="17"/>
        <v>42470</v>
      </c>
      <c r="H116" s="210">
        <f t="shared" si="18"/>
        <v>8098862.9148301929</v>
      </c>
      <c r="I116" s="210">
        <f t="shared" si="19"/>
        <v>73537675.266658157</v>
      </c>
    </row>
    <row r="117" spans="1:9">
      <c r="A117" s="208">
        <f t="shared" si="13"/>
        <v>91432922.763266966</v>
      </c>
      <c r="B117" s="206">
        <f t="shared" si="12"/>
        <v>4571.6400000000003</v>
      </c>
      <c r="C117" s="206">
        <v>5</v>
      </c>
      <c r="D117" s="207">
        <f t="shared" si="14"/>
        <v>240.00032223867242</v>
      </c>
      <c r="E117" s="207">
        <f t="shared" si="15"/>
        <v>48.000064447734488</v>
      </c>
      <c r="F117" s="208">
        <f t="shared" si="16"/>
        <v>2194390.1463184091</v>
      </c>
      <c r="G117" s="209">
        <f t="shared" si="17"/>
        <v>42477</v>
      </c>
      <c r="H117" s="210">
        <f t="shared" si="18"/>
        <v>9070726.4646098167</v>
      </c>
      <c r="I117" s="210">
        <f t="shared" si="19"/>
        <v>82362196.298657149</v>
      </c>
    </row>
    <row r="118" spans="1:9">
      <c r="A118" s="208">
        <f t="shared" si="13"/>
        <v>102404873.49485901</v>
      </c>
      <c r="B118" s="206">
        <f t="shared" si="12"/>
        <v>5120.24</v>
      </c>
      <c r="C118" s="206">
        <v>5</v>
      </c>
      <c r="D118" s="207">
        <f t="shared" si="14"/>
        <v>240.00017224550189</v>
      </c>
      <c r="E118" s="207">
        <f t="shared" si="15"/>
        <v>48.000034449100376</v>
      </c>
      <c r="F118" s="208">
        <f t="shared" si="16"/>
        <v>2457716.9638766171</v>
      </c>
      <c r="G118" s="209">
        <f t="shared" si="17"/>
        <v>42484</v>
      </c>
      <c r="H118" s="210">
        <f t="shared" si="18"/>
        <v>10159213.640362997</v>
      </c>
      <c r="I118" s="210">
        <f t="shared" si="19"/>
        <v>92245659.854496017</v>
      </c>
    </row>
    <row r="119" spans="1:9">
      <c r="A119" s="208">
        <f t="shared" si="13"/>
        <v>114693458.31424209</v>
      </c>
      <c r="B119" s="206">
        <f t="shared" si="12"/>
        <v>5734.67</v>
      </c>
      <c r="C119" s="206">
        <v>5</v>
      </c>
      <c r="D119" s="207">
        <f t="shared" si="14"/>
        <v>240.00012202461636</v>
      </c>
      <c r="E119" s="207">
        <f t="shared" si="15"/>
        <v>48.000024404923273</v>
      </c>
      <c r="F119" s="208">
        <f t="shared" si="16"/>
        <v>2752642.9995418135</v>
      </c>
      <c r="G119" s="209">
        <f t="shared" si="17"/>
        <v>42491</v>
      </c>
      <c r="H119" s="210">
        <f t="shared" si="18"/>
        <v>11378319.277206557</v>
      </c>
      <c r="I119" s="210">
        <f t="shared" si="19"/>
        <v>103315139.03703554</v>
      </c>
    </row>
    <row r="120" spans="1:9">
      <c r="A120" s="208">
        <f t="shared" si="13"/>
        <v>128456673.31195116</v>
      </c>
      <c r="B120" s="206">
        <f t="shared" si="12"/>
        <v>6422.83</v>
      </c>
      <c r="C120" s="206">
        <v>5</v>
      </c>
      <c r="D120" s="207">
        <f t="shared" si="14"/>
        <v>240.00013697130629</v>
      </c>
      <c r="E120" s="207">
        <f t="shared" si="15"/>
        <v>48.000027394261259</v>
      </c>
      <c r="F120" s="208">
        <f t="shared" si="16"/>
        <v>3082960.1594868302</v>
      </c>
      <c r="G120" s="209">
        <f t="shared" si="17"/>
        <v>42498</v>
      </c>
      <c r="H120" s="210">
        <f t="shared" si="18"/>
        <v>12743717.590471344</v>
      </c>
      <c r="I120" s="210">
        <f t="shared" si="19"/>
        <v>115712955.72147982</v>
      </c>
    </row>
    <row r="121" spans="1:9">
      <c r="A121" s="208">
        <f t="shared" si="13"/>
        <v>143871474.10938531</v>
      </c>
      <c r="B121" s="206">
        <f t="shared" si="12"/>
        <v>7193.57</v>
      </c>
      <c r="C121" s="206">
        <v>5</v>
      </c>
      <c r="D121" s="207">
        <f t="shared" si="14"/>
        <v>240.0001236260473</v>
      </c>
      <c r="E121" s="207">
        <f t="shared" si="15"/>
        <v>48.000024725209457</v>
      </c>
      <c r="F121" s="208">
        <f t="shared" si="16"/>
        <v>3452915.3786252495</v>
      </c>
      <c r="G121" s="209">
        <f t="shared" si="17"/>
        <v>42505</v>
      </c>
      <c r="H121" s="210">
        <f t="shared" si="18"/>
        <v>14272963.701327907</v>
      </c>
      <c r="I121" s="210">
        <f t="shared" si="19"/>
        <v>129598510.40805741</v>
      </c>
    </row>
    <row r="122" spans="1:9">
      <c r="A122" s="208">
        <f t="shared" si="13"/>
        <v>161136051.00251156</v>
      </c>
      <c r="B122" s="206">
        <f t="shared" si="12"/>
        <v>8056.8</v>
      </c>
      <c r="C122" s="206">
        <v>5</v>
      </c>
      <c r="D122" s="207">
        <f t="shared" si="14"/>
        <v>240.00007596442006</v>
      </c>
      <c r="E122" s="207">
        <f t="shared" si="15"/>
        <v>48.000015192884014</v>
      </c>
      <c r="F122" s="208">
        <f t="shared" si="16"/>
        <v>3867265.2240602793</v>
      </c>
      <c r="G122" s="209">
        <f t="shared" si="17"/>
        <v>42512</v>
      </c>
      <c r="H122" s="210">
        <f t="shared" si="18"/>
        <v>15985719.345487257</v>
      </c>
      <c r="I122" s="210">
        <f t="shared" si="19"/>
        <v>145150331.65702429</v>
      </c>
    </row>
    <row r="123" spans="1:9">
      <c r="A123" s="208">
        <f t="shared" si="13"/>
        <v>180472377.12281296</v>
      </c>
      <c r="B123" s="206">
        <f t="shared" si="12"/>
        <v>9023.61</v>
      </c>
      <c r="C123" s="206">
        <v>5</v>
      </c>
      <c r="D123" s="207">
        <f t="shared" si="14"/>
        <v>240.00023554583566</v>
      </c>
      <c r="E123" s="207">
        <f t="shared" si="15"/>
        <v>48.000047109167134</v>
      </c>
      <c r="F123" s="208">
        <f t="shared" si="16"/>
        <v>4331337.0509475172</v>
      </c>
      <c r="G123" s="209">
        <f t="shared" si="17"/>
        <v>42519</v>
      </c>
      <c r="H123" s="210">
        <f t="shared" si="18"/>
        <v>17904005.666945729</v>
      </c>
      <c r="I123" s="210">
        <f t="shared" si="19"/>
        <v>162568371.45586723</v>
      </c>
    </row>
    <row r="124" spans="1:9">
      <c r="A124" s="208">
        <f t="shared" si="13"/>
        <v>202129062.37755054</v>
      </c>
      <c r="B124" s="206">
        <f t="shared" si="12"/>
        <v>10106.450000000001</v>
      </c>
      <c r="C124" s="206">
        <v>5</v>
      </c>
      <c r="D124" s="207">
        <f t="shared" si="14"/>
        <v>240.00007406464269</v>
      </c>
      <c r="E124" s="207">
        <f t="shared" si="15"/>
        <v>48.000014812928541</v>
      </c>
      <c r="F124" s="208">
        <f t="shared" si="16"/>
        <v>4851097.4970612172</v>
      </c>
      <c r="G124" s="209">
        <f t="shared" si="17"/>
        <v>42526</v>
      </c>
      <c r="H124" s="210">
        <f t="shared" si="18"/>
        <v>20052486.346979216</v>
      </c>
      <c r="I124" s="210">
        <f t="shared" si="19"/>
        <v>182076576.03057134</v>
      </c>
    </row>
    <row r="125" spans="1:9">
      <c r="A125" s="208">
        <f t="shared" si="13"/>
        <v>226384549.86285663</v>
      </c>
      <c r="B125" s="206">
        <f t="shared" si="12"/>
        <v>11319.22</v>
      </c>
      <c r="C125" s="206">
        <v>5</v>
      </c>
      <c r="D125" s="207">
        <f t="shared" si="14"/>
        <v>240.00015887616664</v>
      </c>
      <c r="E125" s="207">
        <f t="shared" si="15"/>
        <v>48.000031775233325</v>
      </c>
      <c r="F125" s="208">
        <f t="shared" si="16"/>
        <v>5433229.1967085656</v>
      </c>
      <c r="G125" s="209">
        <f t="shared" si="17"/>
        <v>42533</v>
      </c>
      <c r="H125" s="210">
        <f t="shared" si="18"/>
        <v>22458784.708616726</v>
      </c>
      <c r="I125" s="210">
        <f t="shared" si="19"/>
        <v>203925765.15423989</v>
      </c>
    </row>
    <row r="126" spans="1:9">
      <c r="A126" s="208">
        <f t="shared" si="13"/>
        <v>253550695.84639946</v>
      </c>
      <c r="B126" s="206">
        <f t="shared" si="12"/>
        <v>12677.53</v>
      </c>
      <c r="C126" s="206">
        <v>5</v>
      </c>
      <c r="D126" s="207">
        <f t="shared" si="14"/>
        <v>240.00015887616664</v>
      </c>
      <c r="E126" s="207">
        <f t="shared" si="15"/>
        <v>48.000031775233325</v>
      </c>
      <c r="F126" s="208">
        <f t="shared" si="16"/>
        <v>6085218.428314738</v>
      </c>
      <c r="G126" s="209">
        <f t="shared" si="17"/>
        <v>42540</v>
      </c>
      <c r="H126" s="210">
        <f t="shared" si="18"/>
        <v>25153838.873650737</v>
      </c>
      <c r="I126" s="210">
        <f t="shared" si="19"/>
        <v>228396856.97274873</v>
      </c>
    </row>
    <row r="127" spans="1:9">
      <c r="A127" s="208"/>
      <c r="B127" s="206"/>
      <c r="C127" s="206"/>
      <c r="D127" s="207"/>
      <c r="E127" s="207"/>
      <c r="F127" s="208"/>
      <c r="G127" s="209"/>
      <c r="H127" s="210"/>
      <c r="I127" s="210"/>
    </row>
    <row r="128" spans="1:9">
      <c r="A128" s="169"/>
      <c r="B128" s="167"/>
      <c r="C128" s="173"/>
      <c r="D128" s="170"/>
      <c r="E128" s="170"/>
      <c r="F128" s="169"/>
      <c r="G128" s="171"/>
      <c r="H128" s="172"/>
      <c r="I128" s="172"/>
    </row>
    <row r="129" spans="1:9">
      <c r="A129" s="169"/>
      <c r="B129" s="167"/>
      <c r="C129" s="173"/>
      <c r="D129" s="170"/>
      <c r="E129" s="170"/>
      <c r="F129" s="169"/>
      <c r="G129" s="171"/>
      <c r="H129" s="172"/>
      <c r="I129" s="172"/>
    </row>
    <row r="130" spans="1:9">
      <c r="A130" s="169"/>
      <c r="B130" s="167"/>
      <c r="C130" s="173"/>
      <c r="D130" s="170"/>
      <c r="E130" s="170"/>
      <c r="F130" s="169"/>
      <c r="G130" s="171"/>
      <c r="H130" s="172"/>
      <c r="I130" s="172"/>
    </row>
    <row r="131" spans="1:9">
      <c r="A131" s="169"/>
      <c r="B131" s="167"/>
      <c r="C131" s="173"/>
      <c r="D131" s="170"/>
      <c r="E131" s="170"/>
      <c r="F131" s="169"/>
      <c r="G131" s="171"/>
      <c r="H131" s="172"/>
      <c r="I131" s="172"/>
    </row>
    <row r="132" spans="1:9">
      <c r="A132" s="169"/>
      <c r="B132" s="167"/>
      <c r="C132" s="173"/>
      <c r="D132" s="170"/>
      <c r="E132" s="170"/>
      <c r="F132" s="169"/>
      <c r="G132" s="171"/>
      <c r="H132" s="172"/>
      <c r="I132" s="172"/>
    </row>
    <row r="133" spans="1:9">
      <c r="A133" s="169"/>
      <c r="B133" s="167"/>
      <c r="C133" s="173"/>
      <c r="D133" s="170"/>
      <c r="E133" s="170"/>
      <c r="F133" s="169"/>
      <c r="G133" s="171"/>
      <c r="H133" s="172"/>
      <c r="I133" s="172"/>
    </row>
    <row r="134" spans="1:9">
      <c r="A134" s="169"/>
      <c r="B134" s="167"/>
      <c r="C134" s="173"/>
      <c r="D134" s="170"/>
      <c r="E134" s="170"/>
      <c r="F134" s="169"/>
      <c r="G134" s="171"/>
      <c r="H134" s="172"/>
      <c r="I134" s="172"/>
    </row>
    <row r="135" spans="1:9">
      <c r="A135" s="169"/>
      <c r="B135" s="167"/>
      <c r="C135" s="173"/>
      <c r="D135" s="170"/>
      <c r="E135" s="170"/>
      <c r="F135" s="169"/>
      <c r="G135" s="171"/>
      <c r="H135" s="172"/>
      <c r="I135" s="172"/>
    </row>
    <row r="136" spans="1:9">
      <c r="A136" s="169"/>
      <c r="B136" s="167"/>
      <c r="C136" s="173"/>
      <c r="D136" s="170"/>
      <c r="E136" s="170"/>
      <c r="F136" s="169"/>
      <c r="G136" s="171"/>
      <c r="H136" s="172"/>
      <c r="I136" s="172"/>
    </row>
    <row r="137" spans="1:9">
      <c r="A137" s="169"/>
      <c r="B137" s="167"/>
      <c r="C137" s="173"/>
      <c r="D137" s="170"/>
      <c r="E137" s="170"/>
      <c r="F137" s="169"/>
      <c r="G137" s="171"/>
      <c r="H137" s="172"/>
      <c r="I137" s="172"/>
    </row>
    <row r="138" spans="1:9">
      <c r="A138" s="169"/>
      <c r="B138" s="167"/>
      <c r="C138" s="173"/>
      <c r="D138" s="170"/>
      <c r="E138" s="170"/>
      <c r="F138" s="169"/>
      <c r="G138" s="171"/>
      <c r="H138" s="172"/>
      <c r="I138" s="172"/>
    </row>
    <row r="139" spans="1:9">
      <c r="A139" s="169"/>
      <c r="B139" s="167"/>
      <c r="C139" s="173"/>
      <c r="D139" s="170"/>
      <c r="E139" s="170"/>
      <c r="F139" s="169"/>
      <c r="G139" s="171"/>
      <c r="H139" s="172"/>
      <c r="I139" s="172"/>
    </row>
    <row r="140" spans="1:9">
      <c r="A140" s="169"/>
      <c r="B140" s="167"/>
      <c r="C140" s="173"/>
      <c r="D140" s="170"/>
      <c r="E140" s="170"/>
      <c r="F140" s="169"/>
      <c r="G140" s="171"/>
      <c r="H140" s="172"/>
      <c r="I140" s="172"/>
    </row>
    <row r="141" spans="1:9">
      <c r="A141" s="169"/>
      <c r="B141" s="167"/>
      <c r="C141" s="173"/>
      <c r="D141" s="170"/>
      <c r="E141" s="170"/>
      <c r="F141" s="169"/>
      <c r="G141" s="171"/>
      <c r="H141" s="172"/>
      <c r="I141" s="172"/>
    </row>
    <row r="142" spans="1:9">
      <c r="A142" s="169"/>
      <c r="B142" s="167"/>
      <c r="C142" s="173"/>
      <c r="D142" s="170"/>
      <c r="E142" s="170"/>
      <c r="F142" s="169"/>
      <c r="G142" s="171"/>
      <c r="H142" s="172"/>
      <c r="I142" s="172"/>
    </row>
    <row r="143" spans="1:9">
      <c r="A143" s="169"/>
      <c r="B143" s="167"/>
      <c r="C143" s="173"/>
      <c r="D143" s="170"/>
      <c r="E143" s="170"/>
      <c r="F143" s="169"/>
      <c r="G143" s="171"/>
      <c r="H143" s="172"/>
      <c r="I143" s="172"/>
    </row>
    <row r="144" spans="1:9">
      <c r="A144" s="169"/>
      <c r="B144" s="167"/>
      <c r="C144" s="173"/>
      <c r="D144" s="170"/>
      <c r="E144" s="170"/>
      <c r="F144" s="169"/>
      <c r="G144" s="171"/>
      <c r="H144" s="172"/>
      <c r="I144" s="172"/>
    </row>
    <row r="145" spans="1:9">
      <c r="A145" s="169"/>
      <c r="B145" s="167"/>
      <c r="C145" s="173"/>
      <c r="D145" s="170"/>
      <c r="E145" s="170"/>
      <c r="F145" s="169"/>
      <c r="G145" s="171"/>
      <c r="H145" s="172"/>
      <c r="I145" s="172"/>
    </row>
    <row r="146" spans="1:9">
      <c r="A146" s="169"/>
      <c r="B146" s="167"/>
      <c r="C146" s="173"/>
      <c r="D146" s="170"/>
      <c r="E146" s="170"/>
      <c r="F146" s="169"/>
      <c r="G146" s="171"/>
      <c r="H146" s="172"/>
      <c r="I146" s="172"/>
    </row>
    <row r="147" spans="1:9">
      <c r="A147" s="169"/>
      <c r="B147" s="167"/>
      <c r="C147" s="173"/>
      <c r="D147" s="170"/>
      <c r="E147" s="170"/>
      <c r="F147" s="169"/>
      <c r="G147" s="171"/>
      <c r="H147" s="172"/>
      <c r="I147" s="172"/>
    </row>
    <row r="148" spans="1:9">
      <c r="A148" s="169"/>
      <c r="B148" s="167"/>
      <c r="C148" s="173"/>
      <c r="D148" s="170"/>
      <c r="E148" s="170"/>
      <c r="F148" s="169"/>
      <c r="G148" s="171"/>
      <c r="H148" s="172"/>
      <c r="I148" s="172"/>
    </row>
    <row r="149" spans="1:9">
      <c r="A149" s="169"/>
      <c r="B149" s="167"/>
      <c r="C149" s="173"/>
      <c r="D149" s="170"/>
      <c r="E149" s="170"/>
      <c r="F149" s="169"/>
      <c r="G149" s="171"/>
      <c r="H149" s="172"/>
      <c r="I149" s="172"/>
    </row>
    <row r="150" spans="1:9">
      <c r="A150" s="169"/>
      <c r="B150" s="167"/>
      <c r="C150" s="173"/>
      <c r="D150" s="170"/>
      <c r="E150" s="170"/>
      <c r="F150" s="169"/>
      <c r="G150" s="171"/>
      <c r="H150" s="172"/>
      <c r="I150" s="172"/>
    </row>
    <row r="151" spans="1:9">
      <c r="A151" s="169"/>
      <c r="B151" s="167"/>
      <c r="C151" s="173"/>
      <c r="D151" s="170"/>
      <c r="E151" s="170"/>
      <c r="F151" s="169"/>
      <c r="G151" s="171"/>
      <c r="H151" s="172"/>
      <c r="I151" s="172"/>
    </row>
    <row r="152" spans="1:9">
      <c r="A152" s="169"/>
      <c r="B152" s="167"/>
      <c r="C152" s="173"/>
      <c r="D152" s="170"/>
      <c r="E152" s="170"/>
      <c r="F152" s="169"/>
      <c r="G152" s="171"/>
      <c r="H152" s="172"/>
      <c r="I152" s="172"/>
    </row>
    <row r="153" spans="1:9">
      <c r="A153" s="169"/>
      <c r="B153" s="167"/>
      <c r="C153" s="173"/>
      <c r="D153" s="170"/>
      <c r="E153" s="170"/>
      <c r="F153" s="169"/>
      <c r="G153" s="171"/>
      <c r="H153" s="172"/>
      <c r="I153" s="172"/>
    </row>
    <row r="154" spans="1:9">
      <c r="A154" s="169"/>
      <c r="B154" s="167"/>
      <c r="C154" s="173"/>
      <c r="D154" s="170"/>
      <c r="E154" s="170"/>
      <c r="F154" s="169"/>
      <c r="G154" s="171"/>
      <c r="H154" s="172"/>
      <c r="I154" s="172"/>
    </row>
    <row r="155" spans="1:9">
      <c r="A155" s="169"/>
      <c r="B155" s="167"/>
      <c r="C155" s="173"/>
      <c r="D155" s="170"/>
      <c r="E155" s="170"/>
      <c r="F155" s="169"/>
      <c r="G155" s="171"/>
      <c r="H155" s="172"/>
      <c r="I155" s="172"/>
    </row>
    <row r="156" spans="1:9">
      <c r="A156" s="169"/>
      <c r="B156" s="167"/>
      <c r="C156" s="173"/>
      <c r="D156" s="170"/>
      <c r="E156" s="170"/>
      <c r="F156" s="169"/>
      <c r="G156" s="171"/>
      <c r="H156" s="172"/>
      <c r="I156" s="172"/>
    </row>
    <row r="157" spans="1:9">
      <c r="A157" s="169"/>
      <c r="B157" s="167"/>
      <c r="C157" s="173"/>
      <c r="D157" s="170"/>
      <c r="E157" s="170"/>
      <c r="F157" s="169"/>
      <c r="G157" s="171"/>
      <c r="H157" s="172"/>
      <c r="I157" s="172"/>
    </row>
    <row r="158" spans="1:9">
      <c r="A158" s="169"/>
      <c r="B158" s="167"/>
      <c r="C158" s="173"/>
      <c r="D158" s="170"/>
      <c r="E158" s="170"/>
      <c r="F158" s="169"/>
      <c r="G158" s="171"/>
      <c r="H158" s="172"/>
      <c r="I158" s="172"/>
    </row>
    <row r="159" spans="1:9">
      <c r="A159" s="169"/>
      <c r="B159" s="167"/>
      <c r="C159" s="173"/>
      <c r="D159" s="170"/>
      <c r="E159" s="170"/>
      <c r="F159" s="169"/>
      <c r="G159" s="171"/>
      <c r="H159" s="172"/>
      <c r="I159" s="172"/>
    </row>
    <row r="160" spans="1:9">
      <c r="A160" s="169"/>
      <c r="B160" s="167"/>
      <c r="C160" s="173"/>
      <c r="D160" s="170"/>
      <c r="E160" s="170"/>
      <c r="F160" s="169"/>
      <c r="G160" s="171"/>
      <c r="H160" s="172"/>
      <c r="I160" s="172"/>
    </row>
    <row r="161" spans="1:9">
      <c r="A161" s="169"/>
      <c r="B161" s="167"/>
      <c r="C161" s="173"/>
      <c r="D161" s="170"/>
      <c r="E161" s="170"/>
      <c r="F161" s="169"/>
      <c r="G161" s="171"/>
      <c r="H161" s="172"/>
      <c r="I161" s="172"/>
    </row>
    <row r="162" spans="1:9">
      <c r="A162" s="169"/>
      <c r="B162" s="167"/>
      <c r="C162" s="173"/>
      <c r="D162" s="170"/>
      <c r="E162" s="170"/>
      <c r="F162" s="169"/>
      <c r="G162" s="171"/>
      <c r="H162" s="172"/>
      <c r="I162" s="172"/>
    </row>
    <row r="163" spans="1:9">
      <c r="A163" s="169"/>
      <c r="B163" s="167"/>
      <c r="C163" s="173"/>
      <c r="D163" s="170"/>
      <c r="E163" s="170"/>
      <c r="F163" s="169"/>
      <c r="G163" s="171"/>
      <c r="H163" s="172"/>
      <c r="I163" s="172"/>
    </row>
    <row r="164" spans="1:9">
      <c r="A164" s="169"/>
      <c r="B164" s="167"/>
      <c r="C164" s="173"/>
      <c r="D164" s="170"/>
      <c r="E164" s="170"/>
      <c r="F164" s="169"/>
      <c r="G164" s="171"/>
      <c r="H164" s="172"/>
      <c r="I164" s="172"/>
    </row>
    <row r="165" spans="1:9">
      <c r="A165" s="169"/>
      <c r="B165" s="167"/>
      <c r="C165" s="173"/>
      <c r="D165" s="170"/>
      <c r="E165" s="170"/>
      <c r="F165" s="169"/>
      <c r="G165" s="171"/>
      <c r="H165" s="172"/>
      <c r="I165" s="172"/>
    </row>
    <row r="166" spans="1:9">
      <c r="A166" s="169"/>
      <c r="B166" s="167"/>
      <c r="C166" s="173"/>
      <c r="D166" s="170"/>
      <c r="E166" s="170"/>
      <c r="F166" s="169"/>
      <c r="G166" s="171"/>
      <c r="H166" s="172"/>
      <c r="I166" s="172"/>
    </row>
    <row r="167" spans="1:9">
      <c r="A167" s="169"/>
      <c r="B167" s="167"/>
      <c r="C167" s="173"/>
      <c r="D167" s="170"/>
      <c r="E167" s="170"/>
      <c r="F167" s="169"/>
      <c r="G167" s="171"/>
      <c r="H167" s="172"/>
      <c r="I167" s="172"/>
    </row>
    <row r="168" spans="1:9">
      <c r="A168" s="169"/>
      <c r="B168" s="167"/>
      <c r="C168" s="173"/>
      <c r="D168" s="170"/>
      <c r="E168" s="170"/>
      <c r="F168" s="169"/>
      <c r="G168" s="171"/>
      <c r="H168" s="172"/>
      <c r="I168" s="172"/>
    </row>
    <row r="169" spans="1:9">
      <c r="A169" s="169"/>
      <c r="B169" s="167"/>
      <c r="C169" s="173"/>
      <c r="D169" s="170"/>
      <c r="E169" s="170"/>
      <c r="F169" s="169"/>
      <c r="G169" s="171"/>
      <c r="H169" s="172"/>
      <c r="I169" s="172"/>
    </row>
    <row r="170" spans="1:9">
      <c r="A170" s="169"/>
      <c r="B170" s="167"/>
      <c r="C170" s="173"/>
      <c r="D170" s="170"/>
      <c r="E170" s="170"/>
      <c r="F170" s="169"/>
      <c r="G170" s="171"/>
      <c r="H170" s="172"/>
      <c r="I170" s="172"/>
    </row>
    <row r="171" spans="1:9">
      <c r="A171" s="169"/>
      <c r="B171" s="167"/>
      <c r="C171" s="173"/>
      <c r="D171" s="170"/>
      <c r="E171" s="170"/>
      <c r="F171" s="169"/>
      <c r="G171" s="171"/>
      <c r="H171" s="172"/>
      <c r="I171" s="172"/>
    </row>
    <row r="172" spans="1:9">
      <c r="A172" s="169"/>
      <c r="B172" s="167"/>
      <c r="C172" s="173"/>
      <c r="D172" s="170"/>
      <c r="E172" s="170"/>
      <c r="F172" s="169"/>
      <c r="G172" s="171"/>
      <c r="H172" s="172"/>
      <c r="I172" s="172"/>
    </row>
    <row r="173" spans="1:9">
      <c r="A173" s="169"/>
      <c r="B173" s="167"/>
      <c r="C173" s="173"/>
      <c r="D173" s="170"/>
      <c r="E173" s="170"/>
      <c r="F173" s="169"/>
      <c r="G173" s="171"/>
      <c r="H173" s="172"/>
      <c r="I173" s="172"/>
    </row>
    <row r="174" spans="1:9">
      <c r="A174" s="169"/>
      <c r="B174" s="167"/>
      <c r="C174" s="173"/>
      <c r="D174" s="170"/>
      <c r="E174" s="170"/>
      <c r="F174" s="169"/>
      <c r="G174" s="171"/>
      <c r="H174" s="172"/>
      <c r="I174" s="172"/>
    </row>
    <row r="175" spans="1:9">
      <c r="A175" s="169"/>
      <c r="B175" s="167"/>
      <c r="C175" s="173"/>
      <c r="D175" s="170"/>
      <c r="E175" s="170"/>
      <c r="F175" s="169"/>
      <c r="G175" s="171"/>
      <c r="H175" s="172"/>
      <c r="I175" s="172"/>
    </row>
    <row r="176" spans="1:9">
      <c r="A176" s="169"/>
      <c r="B176" s="167"/>
      <c r="C176" s="173"/>
      <c r="D176" s="170"/>
      <c r="E176" s="170"/>
      <c r="F176" s="169"/>
      <c r="G176" s="171"/>
      <c r="H176" s="172"/>
      <c r="I176" s="172"/>
    </row>
    <row r="177" spans="1:9">
      <c r="A177" s="169"/>
      <c r="B177" s="167"/>
      <c r="C177" s="173"/>
      <c r="D177" s="170"/>
      <c r="E177" s="170"/>
      <c r="F177" s="169"/>
      <c r="G177" s="171"/>
      <c r="H177" s="172"/>
      <c r="I177" s="172"/>
    </row>
    <row r="178" spans="1:9">
      <c r="A178" s="169"/>
      <c r="B178" s="167"/>
      <c r="C178" s="173"/>
      <c r="D178" s="170"/>
      <c r="E178" s="170"/>
      <c r="F178" s="169"/>
      <c r="G178" s="171"/>
      <c r="H178" s="172"/>
      <c r="I178" s="172"/>
    </row>
    <row r="179" spans="1:9">
      <c r="A179" s="169"/>
      <c r="B179" s="167"/>
      <c r="C179" s="173"/>
      <c r="D179" s="170"/>
      <c r="E179" s="170"/>
      <c r="F179" s="169"/>
      <c r="G179" s="171"/>
      <c r="H179" s="172"/>
      <c r="I179" s="172"/>
    </row>
    <row r="180" spans="1:9">
      <c r="A180" s="169"/>
      <c r="B180" s="167"/>
      <c r="C180" s="173"/>
      <c r="D180" s="170"/>
      <c r="E180" s="170"/>
      <c r="F180" s="169"/>
      <c r="G180" s="171"/>
      <c r="H180" s="172"/>
      <c r="I180" s="172"/>
    </row>
    <row r="181" spans="1:9">
      <c r="A181" s="169"/>
      <c r="B181" s="167"/>
      <c r="C181" s="173"/>
      <c r="D181" s="170"/>
      <c r="E181" s="170"/>
      <c r="F181" s="169"/>
      <c r="G181" s="171"/>
      <c r="H181" s="172"/>
      <c r="I181" s="172"/>
    </row>
    <row r="182" spans="1:9">
      <c r="A182" s="169"/>
      <c r="B182" s="167"/>
      <c r="C182" s="173"/>
      <c r="D182" s="170"/>
      <c r="E182" s="170"/>
      <c r="F182" s="169"/>
      <c r="G182" s="171"/>
      <c r="H182" s="172"/>
      <c r="I182" s="172"/>
    </row>
    <row r="183" spans="1:9">
      <c r="A183" s="169"/>
      <c r="B183" s="167"/>
      <c r="C183" s="173"/>
      <c r="D183" s="170"/>
      <c r="E183" s="170"/>
      <c r="F183" s="169"/>
      <c r="G183" s="171"/>
      <c r="H183" s="172"/>
      <c r="I183" s="172"/>
    </row>
    <row r="184" spans="1:9">
      <c r="A184" s="169"/>
      <c r="B184" s="167"/>
      <c r="C184" s="173"/>
      <c r="D184" s="170"/>
      <c r="E184" s="170"/>
      <c r="F184" s="169"/>
      <c r="G184" s="171"/>
      <c r="H184" s="172"/>
      <c r="I184" s="172"/>
    </row>
    <row r="185" spans="1:9">
      <c r="A185" s="169"/>
      <c r="B185" s="167"/>
      <c r="C185" s="173"/>
      <c r="D185" s="170"/>
      <c r="E185" s="170"/>
      <c r="F185" s="169"/>
      <c r="G185" s="171"/>
      <c r="H185" s="172"/>
      <c r="I185" s="172"/>
    </row>
    <row r="186" spans="1:9">
      <c r="A186" s="169"/>
      <c r="B186" s="167"/>
      <c r="C186" s="173"/>
      <c r="D186" s="170"/>
      <c r="E186" s="170"/>
      <c r="F186" s="169"/>
      <c r="G186" s="171"/>
      <c r="H186" s="172"/>
      <c r="I186" s="172"/>
    </row>
    <row r="187" spans="1:9">
      <c r="A187" s="169"/>
      <c r="B187" s="167"/>
      <c r="C187" s="173"/>
      <c r="D187" s="170"/>
      <c r="E187" s="170"/>
      <c r="F187" s="169"/>
      <c r="G187" s="171"/>
      <c r="H187" s="172"/>
      <c r="I187" s="172"/>
    </row>
    <row r="188" spans="1:9">
      <c r="A188" s="169"/>
      <c r="B188" s="167"/>
      <c r="C188" s="173"/>
      <c r="D188" s="170"/>
      <c r="E188" s="170"/>
      <c r="F188" s="169"/>
      <c r="G188" s="171"/>
      <c r="H188" s="172"/>
      <c r="I188" s="172"/>
    </row>
    <row r="189" spans="1:9">
      <c r="A189" s="169"/>
      <c r="B189" s="167"/>
      <c r="C189" s="173"/>
      <c r="D189" s="170"/>
      <c r="E189" s="170"/>
      <c r="F189" s="169"/>
      <c r="G189" s="171"/>
      <c r="H189" s="172"/>
      <c r="I189" s="172"/>
    </row>
    <row r="190" spans="1:9">
      <c r="A190" s="169"/>
      <c r="B190" s="167"/>
      <c r="C190" s="173"/>
      <c r="D190" s="170"/>
      <c r="E190" s="170"/>
      <c r="F190" s="169"/>
      <c r="G190" s="171"/>
      <c r="H190" s="172"/>
      <c r="I190" s="172"/>
    </row>
    <row r="191" spans="1:9">
      <c r="A191" s="169"/>
      <c r="B191" s="167"/>
      <c r="C191" s="173"/>
      <c r="D191" s="170"/>
      <c r="E191" s="170"/>
      <c r="F191" s="169"/>
      <c r="G191" s="171"/>
      <c r="H191" s="172"/>
      <c r="I191" s="172"/>
    </row>
    <row r="192" spans="1:9">
      <c r="A192" s="169"/>
      <c r="B192" s="167"/>
      <c r="C192" s="173"/>
      <c r="D192" s="170"/>
      <c r="E192" s="170"/>
      <c r="F192" s="169"/>
      <c r="G192" s="171"/>
      <c r="H192" s="172"/>
      <c r="I192" s="172"/>
    </row>
    <row r="193" spans="1:9">
      <c r="A193" s="169"/>
      <c r="B193" s="167"/>
      <c r="C193" s="173"/>
      <c r="D193" s="170"/>
      <c r="E193" s="170"/>
      <c r="F193" s="169"/>
      <c r="G193" s="171"/>
      <c r="H193" s="172"/>
      <c r="I193" s="172"/>
    </row>
    <row r="194" spans="1:9">
      <c r="A194" s="169"/>
      <c r="B194" s="167"/>
      <c r="C194" s="173"/>
      <c r="D194" s="170"/>
      <c r="E194" s="170"/>
      <c r="F194" s="169"/>
      <c r="G194" s="171"/>
      <c r="H194" s="172"/>
      <c r="I194" s="172"/>
    </row>
    <row r="195" spans="1:9">
      <c r="A195" s="169"/>
      <c r="B195" s="167"/>
      <c r="C195" s="173"/>
      <c r="D195" s="170"/>
      <c r="E195" s="170"/>
      <c r="F195" s="169"/>
      <c r="G195" s="171"/>
      <c r="H195" s="172"/>
      <c r="I195" s="172"/>
    </row>
    <row r="196" spans="1:9">
      <c r="A196" s="169"/>
      <c r="B196" s="167"/>
      <c r="C196" s="173"/>
      <c r="D196" s="170"/>
      <c r="E196" s="170"/>
      <c r="F196" s="169"/>
      <c r="G196" s="171"/>
      <c r="H196" s="172"/>
      <c r="I196" s="172"/>
    </row>
    <row r="197" spans="1:9">
      <c r="A197" s="169"/>
      <c r="B197" s="167"/>
      <c r="C197" s="173"/>
      <c r="D197" s="170"/>
      <c r="E197" s="170"/>
      <c r="F197" s="169"/>
      <c r="G197" s="171"/>
      <c r="H197" s="172"/>
      <c r="I197" s="172"/>
    </row>
    <row r="198" spans="1:9">
      <c r="A198" s="169"/>
      <c r="B198" s="167"/>
      <c r="C198" s="173"/>
      <c r="D198" s="170"/>
      <c r="E198" s="170"/>
      <c r="F198" s="169"/>
      <c r="G198" s="171"/>
      <c r="H198" s="172"/>
      <c r="I198" s="172"/>
    </row>
    <row r="199" spans="1:9">
      <c r="A199" s="169"/>
      <c r="B199" s="167"/>
      <c r="C199" s="173"/>
      <c r="D199" s="170"/>
      <c r="E199" s="170"/>
      <c r="F199" s="169"/>
      <c r="G199" s="171"/>
      <c r="H199" s="172"/>
      <c r="I199" s="172"/>
    </row>
    <row r="200" spans="1:9">
      <c r="A200" s="169"/>
      <c r="B200" s="167"/>
      <c r="C200" s="173"/>
      <c r="D200" s="170"/>
      <c r="E200" s="170"/>
      <c r="F200" s="169"/>
      <c r="G200" s="171"/>
      <c r="H200" s="172"/>
      <c r="I200" s="172"/>
    </row>
    <row r="201" spans="1:9">
      <c r="A201" s="169"/>
      <c r="B201" s="167"/>
      <c r="C201" s="173"/>
      <c r="D201" s="170"/>
      <c r="E201" s="170"/>
      <c r="F201" s="169"/>
      <c r="G201" s="171"/>
      <c r="H201" s="172"/>
      <c r="I201" s="172"/>
    </row>
    <row r="202" spans="1:9">
      <c r="A202" s="169"/>
      <c r="B202" s="167"/>
      <c r="C202" s="173"/>
      <c r="D202" s="170"/>
      <c r="E202" s="170"/>
      <c r="F202" s="169"/>
      <c r="G202" s="171"/>
      <c r="H202" s="172"/>
      <c r="I202" s="172"/>
    </row>
    <row r="203" spans="1:9">
      <c r="A203" s="169"/>
      <c r="B203" s="167"/>
      <c r="C203" s="173"/>
      <c r="D203" s="170"/>
      <c r="E203" s="170"/>
      <c r="F203" s="169"/>
      <c r="G203" s="171"/>
      <c r="H203" s="172"/>
      <c r="I203" s="172"/>
    </row>
    <row r="204" spans="1:9">
      <c r="A204" s="169"/>
      <c r="B204" s="167"/>
      <c r="C204" s="173"/>
      <c r="D204" s="170"/>
      <c r="E204" s="170"/>
      <c r="F204" s="169"/>
      <c r="G204" s="171"/>
      <c r="H204" s="172"/>
      <c r="I204" s="172"/>
    </row>
    <row r="205" spans="1:9">
      <c r="A205" s="169"/>
      <c r="B205" s="167"/>
      <c r="C205" s="173"/>
      <c r="D205" s="170"/>
      <c r="E205" s="170"/>
      <c r="F205" s="169"/>
      <c r="G205" s="171"/>
      <c r="H205" s="172"/>
      <c r="I205" s="172"/>
    </row>
    <row r="206" spans="1:9">
      <c r="A206" s="169"/>
      <c r="B206" s="167"/>
      <c r="C206" s="173"/>
      <c r="D206" s="170"/>
      <c r="E206" s="170"/>
      <c r="F206" s="169"/>
      <c r="G206" s="171"/>
      <c r="H206" s="172"/>
      <c r="I206" s="172"/>
    </row>
    <row r="207" spans="1:9">
      <c r="A207" s="169"/>
      <c r="B207" s="167"/>
      <c r="C207" s="173"/>
      <c r="D207" s="170"/>
      <c r="E207" s="170"/>
      <c r="F207" s="169"/>
      <c r="G207" s="171"/>
      <c r="H207" s="172"/>
      <c r="I207" s="172"/>
    </row>
    <row r="208" spans="1:9">
      <c r="A208" s="169"/>
      <c r="B208" s="167"/>
      <c r="C208" s="173"/>
      <c r="D208" s="170"/>
      <c r="E208" s="170"/>
      <c r="F208" s="169"/>
      <c r="G208" s="171"/>
      <c r="H208" s="172"/>
      <c r="I208" s="172"/>
    </row>
    <row r="209" spans="1:9">
      <c r="A209" s="169"/>
      <c r="B209" s="167"/>
      <c r="C209" s="173"/>
      <c r="D209" s="170"/>
      <c r="E209" s="170"/>
      <c r="F209" s="169"/>
      <c r="G209" s="171"/>
      <c r="H209" s="172"/>
      <c r="I209" s="172"/>
    </row>
    <row r="210" spans="1:9">
      <c r="A210" s="169"/>
      <c r="B210" s="167"/>
      <c r="C210" s="173"/>
      <c r="D210" s="170"/>
      <c r="E210" s="170"/>
      <c r="F210" s="169"/>
      <c r="G210" s="171"/>
      <c r="H210" s="172"/>
      <c r="I210" s="172"/>
    </row>
    <row r="211" spans="1:9">
      <c r="A211" s="169"/>
      <c r="B211" s="167"/>
      <c r="C211" s="173"/>
      <c r="D211" s="170"/>
      <c r="E211" s="170"/>
      <c r="F211" s="169"/>
      <c r="G211" s="171"/>
      <c r="H211" s="172"/>
      <c r="I211" s="172"/>
    </row>
    <row r="212" spans="1:9">
      <c r="A212" s="169"/>
      <c r="B212" s="167"/>
      <c r="C212" s="173"/>
      <c r="D212" s="170"/>
      <c r="E212" s="170"/>
      <c r="F212" s="169"/>
      <c r="G212" s="171"/>
      <c r="H212" s="172"/>
      <c r="I212" s="172"/>
    </row>
    <row r="213" spans="1:9">
      <c r="A213" s="169"/>
      <c r="B213" s="167"/>
      <c r="C213" s="173"/>
      <c r="D213" s="170"/>
      <c r="E213" s="170"/>
      <c r="F213" s="169"/>
      <c r="G213" s="171"/>
      <c r="H213" s="172"/>
      <c r="I213" s="172"/>
    </row>
    <row r="214" spans="1:9">
      <c r="A214" s="169"/>
      <c r="B214" s="167"/>
      <c r="C214" s="173"/>
      <c r="D214" s="170"/>
      <c r="E214" s="170"/>
      <c r="F214" s="169"/>
      <c r="G214" s="171"/>
      <c r="H214" s="172"/>
      <c r="I214" s="172"/>
    </row>
    <row r="215" spans="1:9">
      <c r="A215" s="169"/>
      <c r="B215" s="167"/>
      <c r="C215" s="173"/>
      <c r="D215" s="170"/>
      <c r="E215" s="170"/>
      <c r="F215" s="169"/>
      <c r="G215" s="171"/>
      <c r="H215" s="172"/>
      <c r="I215" s="172"/>
    </row>
    <row r="216" spans="1:9">
      <c r="A216" s="169"/>
      <c r="B216" s="167"/>
      <c r="C216" s="173"/>
      <c r="D216" s="170"/>
      <c r="E216" s="170"/>
      <c r="F216" s="169"/>
      <c r="G216" s="171"/>
      <c r="H216" s="172"/>
      <c r="I216" s="172"/>
    </row>
    <row r="217" spans="1:9">
      <c r="A217" s="169"/>
      <c r="B217" s="167"/>
      <c r="C217" s="173"/>
      <c r="D217" s="170"/>
      <c r="E217" s="170"/>
      <c r="F217" s="169"/>
      <c r="G217" s="171"/>
      <c r="H217" s="172"/>
      <c r="I217" s="172"/>
    </row>
    <row r="218" spans="1:9">
      <c r="A218" s="169"/>
      <c r="B218" s="167"/>
      <c r="C218" s="173"/>
      <c r="D218" s="170"/>
      <c r="E218" s="170"/>
      <c r="F218" s="169"/>
      <c r="G218" s="171"/>
      <c r="H218" s="172"/>
      <c r="I218" s="172"/>
    </row>
    <row r="219" spans="1:9">
      <c r="A219" s="169"/>
      <c r="B219" s="167"/>
      <c r="C219" s="173"/>
      <c r="D219" s="170"/>
      <c r="E219" s="170"/>
      <c r="F219" s="169"/>
      <c r="G219" s="171"/>
      <c r="H219" s="172"/>
      <c r="I219" s="172"/>
    </row>
    <row r="220" spans="1:9">
      <c r="A220" s="169"/>
      <c r="B220" s="167"/>
      <c r="C220" s="173"/>
      <c r="D220" s="170"/>
      <c r="E220" s="170"/>
      <c r="F220" s="169"/>
      <c r="G220" s="171"/>
      <c r="H220" s="172"/>
      <c r="I220" s="172"/>
    </row>
    <row r="221" spans="1:9">
      <c r="A221" s="169"/>
      <c r="B221" s="167"/>
      <c r="C221" s="173"/>
      <c r="D221" s="170"/>
      <c r="E221" s="170"/>
      <c r="F221" s="169"/>
      <c r="G221" s="171"/>
      <c r="H221" s="172"/>
      <c r="I221" s="172"/>
    </row>
    <row r="222" spans="1:9">
      <c r="A222" s="169"/>
      <c r="B222" s="167"/>
      <c r="C222" s="173"/>
      <c r="D222" s="170"/>
      <c r="E222" s="170"/>
      <c r="F222" s="169"/>
      <c r="G222" s="171"/>
      <c r="H222" s="172"/>
      <c r="I222" s="172"/>
    </row>
    <row r="223" spans="1:9">
      <c r="A223" s="169"/>
      <c r="B223" s="167"/>
      <c r="C223" s="173"/>
      <c r="D223" s="170"/>
      <c r="E223" s="170"/>
      <c r="F223" s="169"/>
      <c r="G223" s="171"/>
      <c r="H223" s="172"/>
      <c r="I223" s="172"/>
    </row>
    <row r="224" spans="1:9">
      <c r="A224" s="169"/>
      <c r="B224" s="167"/>
      <c r="C224" s="173"/>
      <c r="D224" s="170"/>
      <c r="E224" s="170"/>
      <c r="F224" s="169"/>
      <c r="G224" s="171"/>
      <c r="H224" s="172"/>
      <c r="I224" s="172"/>
    </row>
    <row r="225" spans="1:9">
      <c r="A225" s="169"/>
      <c r="B225" s="167"/>
      <c r="C225" s="173"/>
      <c r="D225" s="170"/>
      <c r="E225" s="170"/>
      <c r="F225" s="169"/>
      <c r="G225" s="171"/>
      <c r="H225" s="172"/>
      <c r="I225" s="172"/>
    </row>
    <row r="226" spans="1:9">
      <c r="A226" s="169"/>
      <c r="B226" s="167"/>
      <c r="C226" s="173"/>
      <c r="D226" s="170"/>
      <c r="E226" s="170"/>
      <c r="F226" s="169"/>
      <c r="G226" s="171"/>
      <c r="H226" s="172"/>
      <c r="I226" s="172"/>
    </row>
    <row r="227" spans="1:9">
      <c r="A227" s="169"/>
      <c r="B227" s="167"/>
      <c r="C227" s="173"/>
      <c r="D227" s="170"/>
      <c r="E227" s="170"/>
      <c r="F227" s="169"/>
      <c r="G227" s="171"/>
      <c r="H227" s="172"/>
      <c r="I227" s="172"/>
    </row>
    <row r="228" spans="1:9">
      <c r="A228" s="169"/>
      <c r="B228" s="167"/>
      <c r="C228" s="173"/>
      <c r="D228" s="170"/>
      <c r="E228" s="170"/>
      <c r="F228" s="169"/>
      <c r="G228" s="171"/>
      <c r="H228" s="172"/>
      <c r="I228" s="172"/>
    </row>
    <row r="229" spans="1:9">
      <c r="A229" s="169"/>
      <c r="B229" s="167"/>
      <c r="C229" s="173"/>
      <c r="D229" s="170"/>
      <c r="E229" s="170"/>
      <c r="F229" s="169"/>
      <c r="G229" s="171"/>
      <c r="H229" s="172"/>
      <c r="I229" s="172"/>
    </row>
    <row r="230" spans="1:9">
      <c r="A230" s="169"/>
      <c r="B230" s="167"/>
      <c r="C230" s="173"/>
      <c r="D230" s="170"/>
      <c r="E230" s="170"/>
      <c r="F230" s="169"/>
      <c r="G230" s="171"/>
      <c r="H230" s="172"/>
      <c r="I230" s="172"/>
    </row>
    <row r="231" spans="1:9">
      <c r="A231" s="169"/>
      <c r="B231" s="167"/>
      <c r="C231" s="173"/>
      <c r="D231" s="170"/>
      <c r="E231" s="170"/>
      <c r="F231" s="169"/>
      <c r="G231" s="171"/>
      <c r="H231" s="172"/>
      <c r="I231" s="172"/>
    </row>
    <row r="232" spans="1:9">
      <c r="A232" s="169"/>
      <c r="B232" s="167"/>
      <c r="C232" s="173"/>
      <c r="D232" s="170"/>
      <c r="E232" s="170"/>
      <c r="F232" s="169"/>
      <c r="G232" s="171"/>
      <c r="H232" s="172"/>
      <c r="I232" s="172"/>
    </row>
    <row r="233" spans="1:9">
      <c r="A233" s="169"/>
      <c r="B233" s="167"/>
      <c r="C233" s="173"/>
      <c r="D233" s="170"/>
      <c r="E233" s="170"/>
      <c r="F233" s="169"/>
      <c r="G233" s="171"/>
      <c r="H233" s="172"/>
      <c r="I233" s="172"/>
    </row>
    <row r="234" spans="1:9">
      <c r="A234" s="169"/>
      <c r="B234" s="167"/>
      <c r="C234" s="173"/>
      <c r="D234" s="170"/>
      <c r="E234" s="170"/>
      <c r="F234" s="169"/>
      <c r="G234" s="171"/>
      <c r="H234" s="172"/>
      <c r="I234" s="172"/>
    </row>
    <row r="235" spans="1:9">
      <c r="A235" s="169"/>
      <c r="B235" s="167"/>
      <c r="C235" s="173"/>
      <c r="D235" s="170"/>
      <c r="E235" s="170"/>
      <c r="F235" s="169"/>
      <c r="G235" s="171"/>
      <c r="H235" s="172"/>
      <c r="I235" s="172"/>
    </row>
    <row r="236" spans="1:9">
      <c r="A236" s="169"/>
      <c r="B236" s="167"/>
      <c r="C236" s="173"/>
      <c r="D236" s="170"/>
      <c r="E236" s="170"/>
      <c r="F236" s="169"/>
      <c r="G236" s="171"/>
      <c r="H236" s="172"/>
      <c r="I236" s="172"/>
    </row>
    <row r="237" spans="1:9">
      <c r="A237" s="169"/>
      <c r="B237" s="167"/>
      <c r="C237" s="173"/>
      <c r="D237" s="170"/>
      <c r="E237" s="170"/>
      <c r="F237" s="169"/>
      <c r="G237" s="171"/>
      <c r="H237" s="172"/>
      <c r="I237" s="172"/>
    </row>
    <row r="238" spans="1:9">
      <c r="A238" s="169"/>
      <c r="B238" s="167"/>
      <c r="C238" s="173"/>
      <c r="D238" s="170"/>
      <c r="E238" s="170"/>
      <c r="F238" s="169"/>
      <c r="G238" s="171"/>
      <c r="H238" s="172"/>
      <c r="I238" s="172"/>
    </row>
    <row r="239" spans="1:9">
      <c r="A239" s="169"/>
      <c r="B239" s="167"/>
      <c r="C239" s="173"/>
      <c r="D239" s="170"/>
      <c r="E239" s="170"/>
      <c r="F239" s="169"/>
      <c r="G239" s="171"/>
      <c r="H239" s="172"/>
      <c r="I239" s="172"/>
    </row>
    <row r="240" spans="1:9">
      <c r="A240" s="169"/>
      <c r="B240" s="167"/>
      <c r="C240" s="173"/>
      <c r="D240" s="170"/>
      <c r="E240" s="170"/>
      <c r="F240" s="169"/>
      <c r="G240" s="171"/>
      <c r="H240" s="172"/>
      <c r="I240" s="172"/>
    </row>
    <row r="241" spans="1:9">
      <c r="A241" s="169"/>
      <c r="B241" s="167"/>
      <c r="C241" s="173"/>
      <c r="D241" s="170"/>
      <c r="E241" s="170"/>
      <c r="F241" s="169"/>
      <c r="G241" s="171"/>
      <c r="H241" s="172"/>
      <c r="I241" s="172"/>
    </row>
    <row r="242" spans="1:9">
      <c r="A242" s="169"/>
      <c r="B242" s="167"/>
      <c r="C242" s="173"/>
      <c r="D242" s="170"/>
      <c r="E242" s="170"/>
      <c r="F242" s="169"/>
      <c r="G242" s="171"/>
      <c r="H242" s="172"/>
      <c r="I242" s="172"/>
    </row>
    <row r="243" spans="1:9">
      <c r="A243" s="169"/>
      <c r="B243" s="167"/>
      <c r="C243" s="173"/>
      <c r="D243" s="170"/>
      <c r="E243" s="170"/>
      <c r="F243" s="169"/>
      <c r="G243" s="171"/>
      <c r="H243" s="172"/>
      <c r="I243" s="172"/>
    </row>
    <row r="244" spans="1:9">
      <c r="A244" s="169"/>
      <c r="B244" s="167"/>
      <c r="C244" s="173"/>
      <c r="D244" s="170"/>
      <c r="E244" s="170"/>
      <c r="F244" s="169"/>
      <c r="G244" s="171"/>
      <c r="H244" s="172"/>
      <c r="I244" s="172"/>
    </row>
    <row r="245" spans="1:9">
      <c r="A245" s="169"/>
      <c r="B245" s="167"/>
      <c r="C245" s="173"/>
      <c r="D245" s="170"/>
      <c r="E245" s="170"/>
      <c r="F245" s="169"/>
      <c r="G245" s="171"/>
      <c r="H245" s="172"/>
      <c r="I245" s="172"/>
    </row>
    <row r="246" spans="1:9">
      <c r="A246" s="169"/>
      <c r="B246" s="167"/>
      <c r="C246" s="173"/>
      <c r="D246" s="170"/>
      <c r="E246" s="170"/>
      <c r="F246" s="169"/>
      <c r="G246" s="171"/>
      <c r="H246" s="172"/>
      <c r="I246" s="172"/>
    </row>
    <row r="247" spans="1:9">
      <c r="A247" s="169"/>
      <c r="B247" s="167"/>
      <c r="C247" s="173"/>
      <c r="D247" s="170"/>
      <c r="E247" s="170"/>
      <c r="F247" s="169"/>
      <c r="G247" s="171"/>
      <c r="H247" s="172"/>
      <c r="I247" s="172"/>
    </row>
    <row r="248" spans="1:9">
      <c r="A248" s="169"/>
      <c r="B248" s="167"/>
      <c r="C248" s="173"/>
      <c r="D248" s="170"/>
      <c r="E248" s="170"/>
      <c r="F248" s="169"/>
      <c r="G248" s="171"/>
      <c r="H248" s="172"/>
      <c r="I248" s="172"/>
    </row>
    <row r="249" spans="1:9">
      <c r="A249" s="169"/>
      <c r="B249" s="167"/>
      <c r="C249" s="173"/>
      <c r="D249" s="170"/>
      <c r="E249" s="170"/>
      <c r="F249" s="169"/>
      <c r="G249" s="171"/>
      <c r="H249" s="172"/>
      <c r="I249" s="172"/>
    </row>
    <row r="250" spans="1:9">
      <c r="A250" s="169"/>
      <c r="B250" s="167"/>
      <c r="C250" s="173"/>
      <c r="D250" s="170"/>
      <c r="E250" s="170"/>
      <c r="F250" s="169"/>
      <c r="G250" s="171"/>
      <c r="H250" s="172"/>
      <c r="I250" s="172"/>
    </row>
    <row r="251" spans="1:9">
      <c r="A251" s="169"/>
      <c r="B251" s="167"/>
      <c r="C251" s="173"/>
      <c r="D251" s="170"/>
      <c r="E251" s="170"/>
      <c r="F251" s="169"/>
      <c r="G251" s="171"/>
      <c r="H251" s="172"/>
      <c r="I251" s="172"/>
    </row>
    <row r="252" spans="1:9">
      <c r="A252" s="169"/>
      <c r="B252" s="167"/>
      <c r="C252" s="173"/>
      <c r="D252" s="170"/>
      <c r="E252" s="170"/>
      <c r="F252" s="169"/>
      <c r="G252" s="171"/>
      <c r="H252" s="172"/>
      <c r="I252" s="172"/>
    </row>
    <row r="253" spans="1:9">
      <c r="A253" s="169"/>
      <c r="B253" s="167"/>
      <c r="C253" s="173"/>
      <c r="D253" s="170"/>
      <c r="E253" s="170"/>
      <c r="F253" s="169"/>
      <c r="G253" s="171"/>
      <c r="H253" s="172"/>
      <c r="I253" s="172"/>
    </row>
    <row r="254" spans="1:9">
      <c r="A254" s="169"/>
      <c r="B254" s="167"/>
      <c r="C254" s="173"/>
      <c r="D254" s="170"/>
      <c r="E254" s="170"/>
      <c r="F254" s="169"/>
      <c r="G254" s="171"/>
      <c r="H254" s="172"/>
      <c r="I254" s="172"/>
    </row>
    <row r="255" spans="1:9">
      <c r="A255" s="169"/>
      <c r="B255" s="167"/>
      <c r="C255" s="173"/>
      <c r="D255" s="170"/>
      <c r="E255" s="170"/>
      <c r="F255" s="169"/>
      <c r="G255" s="171"/>
      <c r="H255" s="172"/>
      <c r="I255" s="172"/>
    </row>
    <row r="256" spans="1:9">
      <c r="A256" s="169"/>
      <c r="B256" s="167"/>
      <c r="C256" s="173"/>
      <c r="D256" s="170"/>
      <c r="E256" s="170"/>
      <c r="F256" s="169"/>
      <c r="G256" s="171"/>
      <c r="H256" s="172"/>
      <c r="I256" s="172"/>
    </row>
    <row r="257" spans="1:9">
      <c r="A257" s="169"/>
      <c r="B257" s="167"/>
      <c r="C257" s="173"/>
      <c r="D257" s="170"/>
      <c r="E257" s="170"/>
      <c r="F257" s="169"/>
      <c r="G257" s="171"/>
      <c r="H257" s="172"/>
      <c r="I257" s="172"/>
    </row>
    <row r="258" spans="1:9">
      <c r="A258" s="169"/>
      <c r="B258" s="167"/>
      <c r="C258" s="173"/>
      <c r="D258" s="170"/>
      <c r="E258" s="170"/>
      <c r="F258" s="169"/>
      <c r="G258" s="171"/>
      <c r="H258" s="172"/>
      <c r="I258" s="172"/>
    </row>
    <row r="259" spans="1:9">
      <c r="A259" s="169"/>
      <c r="B259" s="167"/>
      <c r="C259" s="173"/>
      <c r="D259" s="170"/>
      <c r="E259" s="170"/>
      <c r="F259" s="169"/>
      <c r="G259" s="171"/>
      <c r="H259" s="172"/>
      <c r="I259" s="172"/>
    </row>
    <row r="260" spans="1:9">
      <c r="A260" s="169"/>
      <c r="B260" s="167"/>
      <c r="C260" s="173"/>
      <c r="D260" s="170"/>
      <c r="E260" s="170"/>
      <c r="F260" s="169"/>
      <c r="G260" s="171"/>
      <c r="H260" s="172"/>
      <c r="I260" s="172"/>
    </row>
    <row r="261" spans="1:9">
      <c r="A261" s="169"/>
      <c r="B261" s="167"/>
      <c r="C261" s="173"/>
      <c r="D261" s="170"/>
      <c r="E261" s="170"/>
      <c r="F261" s="169"/>
      <c r="G261" s="171"/>
      <c r="H261" s="172"/>
      <c r="I261" s="172"/>
    </row>
    <row r="262" spans="1:9">
      <c r="A262" s="169"/>
      <c r="B262" s="167"/>
      <c r="C262" s="173"/>
      <c r="D262" s="170"/>
      <c r="E262" s="170"/>
      <c r="F262" s="169"/>
      <c r="G262" s="171"/>
      <c r="H262" s="172"/>
      <c r="I262" s="172"/>
    </row>
    <row r="263" spans="1:9">
      <c r="A263" s="169"/>
      <c r="B263" s="167"/>
      <c r="C263" s="173"/>
      <c r="D263" s="170"/>
      <c r="E263" s="170"/>
      <c r="F263" s="169"/>
      <c r="G263" s="171"/>
      <c r="H263" s="172"/>
      <c r="I263" s="172"/>
    </row>
    <row r="264" spans="1:9">
      <c r="A264" s="169"/>
      <c r="B264" s="167"/>
      <c r="C264" s="173"/>
      <c r="D264" s="170"/>
      <c r="E264" s="170"/>
      <c r="F264" s="169"/>
      <c r="G264" s="171"/>
      <c r="H264" s="172"/>
      <c r="I264" s="172"/>
    </row>
    <row r="265" spans="1:9">
      <c r="A265" s="169"/>
      <c r="B265" s="167"/>
      <c r="C265" s="173"/>
      <c r="D265" s="170"/>
      <c r="E265" s="170"/>
      <c r="F265" s="169"/>
      <c r="G265" s="171"/>
      <c r="H265" s="172"/>
      <c r="I265" s="172"/>
    </row>
    <row r="266" spans="1:9">
      <c r="A266" s="169"/>
      <c r="B266" s="167"/>
      <c r="C266" s="173"/>
      <c r="D266" s="170"/>
      <c r="E266" s="170"/>
      <c r="F266" s="169"/>
      <c r="G266" s="171"/>
      <c r="H266" s="172"/>
      <c r="I266" s="172"/>
    </row>
    <row r="267" spans="1:9">
      <c r="A267" s="169"/>
      <c r="B267" s="167"/>
      <c r="C267" s="173"/>
      <c r="D267" s="170"/>
      <c r="E267" s="170"/>
      <c r="F267" s="169"/>
      <c r="G267" s="171"/>
      <c r="H267" s="172"/>
      <c r="I267" s="172"/>
    </row>
    <row r="268" spans="1:9">
      <c r="A268" s="169"/>
      <c r="B268" s="167"/>
      <c r="C268" s="173"/>
      <c r="D268" s="170"/>
      <c r="E268" s="170"/>
      <c r="F268" s="169"/>
      <c r="G268" s="171"/>
      <c r="H268" s="172"/>
      <c r="I268" s="172"/>
    </row>
    <row r="269" spans="1:9">
      <c r="A269" s="169"/>
      <c r="B269" s="167"/>
      <c r="C269" s="173"/>
      <c r="D269" s="170"/>
      <c r="E269" s="170"/>
      <c r="F269" s="169"/>
      <c r="G269" s="171"/>
      <c r="H269" s="172"/>
      <c r="I269" s="172"/>
    </row>
    <row r="270" spans="1:9">
      <c r="A270" s="169"/>
      <c r="B270" s="167"/>
      <c r="C270" s="173"/>
      <c r="D270" s="170"/>
      <c r="E270" s="170"/>
      <c r="F270" s="169"/>
      <c r="G270" s="171"/>
      <c r="H270" s="172"/>
      <c r="I270" s="172"/>
    </row>
    <row r="271" spans="1:9">
      <c r="A271" s="169"/>
      <c r="B271" s="167"/>
      <c r="C271" s="173"/>
      <c r="D271" s="170"/>
      <c r="E271" s="170"/>
      <c r="F271" s="169"/>
      <c r="G271" s="171"/>
      <c r="H271" s="172"/>
      <c r="I271" s="172"/>
    </row>
    <row r="272" spans="1:9">
      <c r="A272" s="169"/>
      <c r="B272" s="167"/>
      <c r="C272" s="173"/>
      <c r="D272" s="170"/>
      <c r="E272" s="170"/>
      <c r="F272" s="169"/>
      <c r="G272" s="171"/>
      <c r="H272" s="172"/>
      <c r="I272" s="172"/>
    </row>
    <row r="273" spans="1:9">
      <c r="A273" s="169"/>
      <c r="B273" s="167"/>
      <c r="C273" s="173"/>
      <c r="D273" s="170"/>
      <c r="E273" s="170"/>
      <c r="F273" s="169"/>
      <c r="G273" s="171"/>
      <c r="H273" s="172"/>
      <c r="I273" s="172"/>
    </row>
    <row r="274" spans="1:9">
      <c r="A274" s="169"/>
      <c r="B274" s="167"/>
      <c r="C274" s="173"/>
      <c r="D274" s="170"/>
      <c r="E274" s="170"/>
      <c r="F274" s="169"/>
      <c r="G274" s="171"/>
      <c r="H274" s="172"/>
      <c r="I274" s="172"/>
    </row>
    <row r="275" spans="1:9">
      <c r="A275" s="169"/>
      <c r="B275" s="167"/>
      <c r="C275" s="173"/>
      <c r="D275" s="170"/>
      <c r="E275" s="170"/>
      <c r="F275" s="169"/>
      <c r="G275" s="171"/>
      <c r="H275" s="172"/>
      <c r="I275" s="172"/>
    </row>
    <row r="276" spans="1:9">
      <c r="A276" s="169"/>
      <c r="B276" s="167"/>
      <c r="C276" s="173"/>
      <c r="D276" s="170"/>
      <c r="E276" s="170"/>
      <c r="F276" s="169"/>
      <c r="G276" s="171"/>
      <c r="H276" s="172"/>
      <c r="I276" s="172"/>
    </row>
    <row r="277" spans="1:9">
      <c r="A277" s="169"/>
      <c r="B277" s="167"/>
      <c r="C277" s="173"/>
      <c r="D277" s="170"/>
      <c r="E277" s="170"/>
      <c r="F277" s="169"/>
      <c r="G277" s="171"/>
      <c r="H277" s="172"/>
      <c r="I277" s="172"/>
    </row>
    <row r="278" spans="1:9">
      <c r="A278" s="169"/>
      <c r="B278" s="167"/>
      <c r="C278" s="173"/>
      <c r="D278" s="170"/>
      <c r="E278" s="170"/>
      <c r="F278" s="169"/>
      <c r="G278" s="171"/>
      <c r="H278" s="172"/>
      <c r="I278" s="172"/>
    </row>
    <row r="279" spans="1:9">
      <c r="A279" s="169"/>
      <c r="B279" s="167"/>
      <c r="C279" s="173"/>
      <c r="D279" s="170"/>
      <c r="E279" s="170"/>
      <c r="F279" s="169"/>
      <c r="G279" s="171"/>
      <c r="H279" s="172"/>
      <c r="I279" s="172"/>
    </row>
    <row r="280" spans="1:9">
      <c r="A280" s="169"/>
      <c r="B280" s="167"/>
      <c r="C280" s="173"/>
      <c r="D280" s="170"/>
      <c r="E280" s="170"/>
      <c r="F280" s="169"/>
      <c r="G280" s="171"/>
      <c r="H280" s="172"/>
      <c r="I280" s="172"/>
    </row>
    <row r="281" spans="1:9">
      <c r="A281" s="169"/>
      <c r="B281" s="167"/>
      <c r="C281" s="173"/>
      <c r="D281" s="170"/>
      <c r="E281" s="170"/>
      <c r="F281" s="169"/>
      <c r="G281" s="171"/>
      <c r="H281" s="172"/>
      <c r="I281" s="172"/>
    </row>
    <row r="282" spans="1:9">
      <c r="A282" s="169"/>
      <c r="B282" s="167"/>
      <c r="C282" s="173"/>
      <c r="D282" s="170"/>
      <c r="E282" s="170"/>
      <c r="F282" s="169"/>
      <c r="G282" s="171"/>
      <c r="H282" s="172"/>
      <c r="I282" s="172"/>
    </row>
    <row r="283" spans="1:9">
      <c r="A283" s="169"/>
      <c r="B283" s="167"/>
      <c r="C283" s="173"/>
      <c r="D283" s="170"/>
      <c r="E283" s="170"/>
      <c r="F283" s="169"/>
      <c r="G283" s="171"/>
      <c r="H283" s="172"/>
      <c r="I283" s="172"/>
    </row>
    <row r="284" spans="1:9">
      <c r="A284" s="169"/>
      <c r="B284" s="167"/>
      <c r="C284" s="173"/>
      <c r="D284" s="170"/>
      <c r="E284" s="170"/>
      <c r="F284" s="169"/>
      <c r="G284" s="171"/>
      <c r="H284" s="172"/>
      <c r="I284" s="172"/>
    </row>
    <row r="285" spans="1:9">
      <c r="A285" s="169"/>
      <c r="B285" s="167"/>
      <c r="C285" s="173"/>
      <c r="D285" s="170"/>
      <c r="E285" s="170"/>
      <c r="F285" s="169"/>
      <c r="G285" s="171"/>
      <c r="H285" s="172"/>
      <c r="I285" s="172"/>
    </row>
    <row r="286" spans="1:9">
      <c r="A286" s="169"/>
      <c r="B286" s="167"/>
      <c r="C286" s="173"/>
      <c r="D286" s="170"/>
      <c r="E286" s="170"/>
      <c r="F286" s="169"/>
      <c r="G286" s="171"/>
      <c r="H286" s="172"/>
      <c r="I286" s="172"/>
    </row>
    <row r="287" spans="1:9">
      <c r="A287" s="169"/>
      <c r="B287" s="167"/>
      <c r="C287" s="173"/>
      <c r="D287" s="170"/>
      <c r="E287" s="170"/>
      <c r="F287" s="169"/>
      <c r="G287" s="171"/>
      <c r="H287" s="172"/>
      <c r="I287" s="172"/>
    </row>
    <row r="288" spans="1:9">
      <c r="A288" s="169"/>
      <c r="B288" s="167"/>
      <c r="C288" s="173"/>
      <c r="D288" s="170"/>
      <c r="E288" s="170"/>
      <c r="F288" s="169"/>
      <c r="G288" s="171"/>
      <c r="H288" s="172"/>
      <c r="I288" s="172"/>
    </row>
    <row r="289" spans="1:9">
      <c r="A289" s="169"/>
      <c r="B289" s="167"/>
      <c r="C289" s="173"/>
      <c r="D289" s="170"/>
      <c r="E289" s="170"/>
      <c r="F289" s="169"/>
      <c r="G289" s="171"/>
      <c r="H289" s="172"/>
      <c r="I289" s="172"/>
    </row>
    <row r="290" spans="1:9">
      <c r="A290" s="169"/>
      <c r="B290" s="167"/>
      <c r="C290" s="173"/>
      <c r="D290" s="170"/>
      <c r="E290" s="170"/>
      <c r="F290" s="169"/>
      <c r="G290" s="171"/>
      <c r="H290" s="172"/>
      <c r="I290" s="172"/>
    </row>
    <row r="291" spans="1:9">
      <c r="A291" s="169"/>
      <c r="B291" s="167"/>
      <c r="C291" s="173"/>
      <c r="D291" s="170"/>
      <c r="E291" s="170"/>
      <c r="F291" s="169"/>
      <c r="G291" s="171"/>
      <c r="H291" s="172"/>
      <c r="I291" s="172"/>
    </row>
    <row r="292" spans="1:9">
      <c r="A292" s="169"/>
      <c r="B292" s="167"/>
      <c r="C292" s="173"/>
      <c r="D292" s="170"/>
      <c r="E292" s="170"/>
      <c r="F292" s="169"/>
      <c r="G292" s="171"/>
      <c r="H292" s="172"/>
      <c r="I292" s="172"/>
    </row>
    <row r="293" spans="1:9">
      <c r="A293" s="169"/>
      <c r="B293" s="167"/>
      <c r="C293" s="173"/>
      <c r="D293" s="170"/>
      <c r="E293" s="170"/>
      <c r="F293" s="169"/>
      <c r="G293" s="171"/>
      <c r="H293" s="172"/>
      <c r="I293" s="172"/>
    </row>
    <row r="294" spans="1:9">
      <c r="A294" s="169"/>
      <c r="B294" s="167"/>
      <c r="C294" s="173"/>
      <c r="D294" s="170"/>
      <c r="E294" s="170"/>
      <c r="F294" s="169"/>
      <c r="G294" s="171"/>
      <c r="H294" s="172"/>
      <c r="I294" s="172"/>
    </row>
    <row r="295" spans="1:9">
      <c r="A295" s="169"/>
      <c r="B295" s="167"/>
      <c r="C295" s="173"/>
      <c r="D295" s="170"/>
      <c r="E295" s="170"/>
      <c r="F295" s="169"/>
      <c r="G295" s="171"/>
      <c r="H295" s="172"/>
      <c r="I295" s="172"/>
    </row>
    <row r="296" spans="1:9">
      <c r="A296" s="169"/>
      <c r="B296" s="167"/>
      <c r="C296" s="173"/>
      <c r="D296" s="170"/>
      <c r="E296" s="170"/>
      <c r="F296" s="169"/>
      <c r="G296" s="171"/>
      <c r="H296" s="172"/>
      <c r="I296" s="172"/>
    </row>
    <row r="297" spans="1:9">
      <c r="A297" s="169"/>
      <c r="B297" s="167"/>
      <c r="C297" s="173"/>
      <c r="D297" s="170"/>
      <c r="E297" s="170"/>
      <c r="F297" s="169"/>
      <c r="G297" s="171"/>
      <c r="H297" s="172"/>
      <c r="I297" s="172"/>
    </row>
    <row r="298" spans="1:9">
      <c r="A298" s="169"/>
      <c r="B298" s="167"/>
      <c r="C298" s="173"/>
      <c r="D298" s="170"/>
      <c r="E298" s="170"/>
      <c r="F298" s="169"/>
      <c r="G298" s="171"/>
      <c r="H298" s="172"/>
      <c r="I298" s="172"/>
    </row>
    <row r="299" spans="1:9">
      <c r="A299" s="169"/>
      <c r="B299" s="167"/>
      <c r="C299" s="173"/>
      <c r="D299" s="170"/>
      <c r="E299" s="170"/>
      <c r="F299" s="169"/>
      <c r="G299" s="171"/>
      <c r="H299" s="172"/>
      <c r="I299" s="172"/>
    </row>
    <row r="300" spans="1:9">
      <c r="A300" s="169"/>
      <c r="B300" s="167"/>
      <c r="C300" s="173"/>
      <c r="D300" s="170"/>
      <c r="E300" s="170"/>
      <c r="F300" s="169"/>
      <c r="G300" s="171"/>
      <c r="H300" s="172"/>
      <c r="I300" s="172"/>
    </row>
    <row r="301" spans="1:9">
      <c r="A301" s="169"/>
      <c r="B301" s="167"/>
      <c r="C301" s="173"/>
      <c r="D301" s="170"/>
      <c r="E301" s="170"/>
      <c r="F301" s="169"/>
      <c r="G301" s="171"/>
      <c r="H301" s="172"/>
      <c r="I301" s="172"/>
    </row>
    <row r="302" spans="1:9">
      <c r="A302" s="169"/>
      <c r="B302" s="167"/>
      <c r="C302" s="173"/>
      <c r="D302" s="170"/>
      <c r="E302" s="170"/>
      <c r="F302" s="169"/>
      <c r="G302" s="171"/>
      <c r="H302" s="172"/>
      <c r="I302" s="172"/>
    </row>
    <row r="303" spans="1:9">
      <c r="A303" s="169"/>
      <c r="B303" s="167"/>
      <c r="C303" s="173"/>
      <c r="D303" s="170"/>
      <c r="E303" s="170"/>
      <c r="F303" s="169"/>
      <c r="G303" s="171"/>
      <c r="H303" s="172"/>
      <c r="I303" s="172"/>
    </row>
    <row r="304" spans="1:9">
      <c r="A304" s="169"/>
      <c r="B304" s="167"/>
      <c r="C304" s="173"/>
      <c r="D304" s="170"/>
      <c r="E304" s="170"/>
      <c r="F304" s="169"/>
      <c r="G304" s="171"/>
      <c r="H304" s="172"/>
      <c r="I304" s="172"/>
    </row>
    <row r="305" spans="1:9">
      <c r="A305" s="169"/>
      <c r="B305" s="167"/>
      <c r="C305" s="173"/>
      <c r="D305" s="170"/>
      <c r="E305" s="170"/>
      <c r="F305" s="169"/>
      <c r="G305" s="171"/>
      <c r="H305" s="172"/>
      <c r="I305" s="172"/>
    </row>
    <row r="306" spans="1:9">
      <c r="A306" s="169"/>
      <c r="B306" s="167"/>
      <c r="C306" s="173"/>
      <c r="D306" s="170"/>
      <c r="E306" s="170"/>
      <c r="F306" s="169"/>
      <c r="G306" s="171"/>
      <c r="H306" s="172"/>
      <c r="I306" s="172"/>
    </row>
    <row r="307" spans="1:9">
      <c r="A307" s="169"/>
      <c r="B307" s="167"/>
      <c r="C307" s="173"/>
      <c r="D307" s="170"/>
      <c r="E307" s="170"/>
      <c r="F307" s="169"/>
      <c r="G307" s="171"/>
      <c r="H307" s="172"/>
      <c r="I307" s="172"/>
    </row>
    <row r="308" spans="1:9">
      <c r="A308" s="169"/>
      <c r="B308" s="167"/>
      <c r="C308" s="173"/>
      <c r="D308" s="170"/>
      <c r="E308" s="170"/>
      <c r="F308" s="169"/>
      <c r="G308" s="171"/>
      <c r="H308" s="172"/>
      <c r="I308" s="172"/>
    </row>
    <row r="309" spans="1:9">
      <c r="A309" s="169"/>
      <c r="B309" s="167"/>
      <c r="C309" s="173"/>
      <c r="D309" s="170"/>
      <c r="E309" s="170"/>
      <c r="F309" s="169"/>
      <c r="G309" s="171"/>
      <c r="H309" s="172"/>
      <c r="I309" s="172"/>
    </row>
    <row r="310" spans="1:9">
      <c r="A310" s="169"/>
      <c r="B310" s="167"/>
      <c r="C310" s="173"/>
      <c r="D310" s="170"/>
      <c r="E310" s="170"/>
      <c r="F310" s="169"/>
      <c r="G310" s="171"/>
      <c r="H310" s="172"/>
      <c r="I310" s="172"/>
    </row>
    <row r="311" spans="1:9">
      <c r="A311" s="169"/>
      <c r="B311" s="167"/>
      <c r="C311" s="173"/>
      <c r="D311" s="170"/>
      <c r="E311" s="170"/>
      <c r="F311" s="169"/>
      <c r="G311" s="171"/>
      <c r="H311" s="172"/>
      <c r="I311" s="172"/>
    </row>
    <row r="312" spans="1:9">
      <c r="A312" s="169"/>
      <c r="B312" s="167"/>
      <c r="C312" s="173"/>
      <c r="D312" s="170"/>
      <c r="E312" s="170"/>
      <c r="F312" s="169"/>
      <c r="G312" s="171"/>
      <c r="H312" s="172"/>
      <c r="I312" s="172"/>
    </row>
    <row r="313" spans="1:9">
      <c r="A313" s="169"/>
      <c r="B313" s="167"/>
      <c r="C313" s="173"/>
      <c r="D313" s="170"/>
      <c r="E313" s="170"/>
      <c r="F313" s="169"/>
      <c r="G313" s="171"/>
      <c r="H313" s="172"/>
      <c r="I313" s="172"/>
    </row>
    <row r="314" spans="1:9">
      <c r="A314" s="169"/>
      <c r="B314" s="167"/>
      <c r="C314" s="173"/>
      <c r="D314" s="170"/>
      <c r="E314" s="170"/>
      <c r="F314" s="169"/>
      <c r="G314" s="171"/>
      <c r="H314" s="172"/>
      <c r="I314" s="172"/>
    </row>
    <row r="315" spans="1:9">
      <c r="A315" s="169"/>
      <c r="B315" s="167"/>
      <c r="C315" s="173"/>
      <c r="D315" s="170"/>
      <c r="E315" s="170"/>
      <c r="F315" s="169"/>
      <c r="G315" s="171"/>
      <c r="H315" s="172"/>
      <c r="I315" s="172"/>
    </row>
    <row r="316" spans="1:9">
      <c r="A316" s="169"/>
      <c r="B316" s="167"/>
      <c r="C316" s="173"/>
      <c r="D316" s="170"/>
      <c r="E316" s="170"/>
      <c r="F316" s="169"/>
      <c r="G316" s="171"/>
      <c r="H316" s="172"/>
      <c r="I316" s="172"/>
    </row>
    <row r="317" spans="1:9">
      <c r="A317" s="169"/>
      <c r="B317" s="167"/>
      <c r="C317" s="173"/>
      <c r="D317" s="170"/>
      <c r="E317" s="170"/>
      <c r="F317" s="169"/>
      <c r="G317" s="171"/>
      <c r="H317" s="172"/>
      <c r="I317" s="172"/>
    </row>
    <row r="318" spans="1:9">
      <c r="A318" s="169"/>
      <c r="B318" s="167"/>
      <c r="C318" s="173"/>
      <c r="D318" s="170"/>
      <c r="E318" s="170"/>
      <c r="F318" s="169"/>
      <c r="G318" s="171"/>
      <c r="H318" s="172"/>
      <c r="I318" s="172"/>
    </row>
    <row r="319" spans="1:9">
      <c r="A319" s="169"/>
      <c r="B319" s="167"/>
      <c r="C319" s="173"/>
      <c r="D319" s="170"/>
      <c r="E319" s="170"/>
      <c r="F319" s="169"/>
      <c r="G319" s="171"/>
      <c r="H319" s="172"/>
      <c r="I319" s="172"/>
    </row>
    <row r="320" spans="1:9">
      <c r="A320" s="169"/>
      <c r="B320" s="167"/>
      <c r="C320" s="173"/>
      <c r="D320" s="170"/>
      <c r="E320" s="170"/>
      <c r="F320" s="169"/>
      <c r="G320" s="171"/>
      <c r="H320" s="172"/>
      <c r="I320" s="172"/>
    </row>
    <row r="321" spans="1:9">
      <c r="A321" s="169"/>
      <c r="B321" s="167"/>
      <c r="C321" s="173"/>
      <c r="D321" s="170"/>
      <c r="E321" s="170"/>
      <c r="F321" s="169"/>
      <c r="G321" s="171"/>
      <c r="H321" s="172"/>
      <c r="I321" s="172"/>
    </row>
    <row r="322" spans="1:9">
      <c r="A322" s="169"/>
      <c r="B322" s="167"/>
      <c r="C322" s="173"/>
      <c r="D322" s="170"/>
      <c r="E322" s="170"/>
      <c r="F322" s="169"/>
      <c r="G322" s="171"/>
      <c r="H322" s="172"/>
      <c r="I322" s="172"/>
    </row>
    <row r="323" spans="1:9">
      <c r="A323" s="169"/>
      <c r="B323" s="167"/>
      <c r="C323" s="173"/>
      <c r="D323" s="170"/>
      <c r="E323" s="170"/>
      <c r="F323" s="169"/>
      <c r="G323" s="171"/>
      <c r="H323" s="172"/>
      <c r="I323" s="172"/>
    </row>
    <row r="324" spans="1:9">
      <c r="A324" s="169"/>
      <c r="B324" s="167"/>
      <c r="C324" s="173"/>
      <c r="D324" s="170"/>
      <c r="E324" s="170"/>
      <c r="F324" s="169"/>
      <c r="G324" s="171"/>
      <c r="H324" s="172"/>
      <c r="I324" s="172"/>
    </row>
    <row r="325" spans="1:9">
      <c r="A325" s="169"/>
      <c r="B325" s="167"/>
      <c r="C325" s="173"/>
      <c r="D325" s="170"/>
      <c r="E325" s="170"/>
      <c r="F325" s="169"/>
      <c r="G325" s="171"/>
      <c r="H325" s="172"/>
      <c r="I325" s="172"/>
    </row>
    <row r="326" spans="1:9">
      <c r="A326" s="169"/>
      <c r="B326" s="167"/>
      <c r="C326" s="173"/>
      <c r="D326" s="170"/>
      <c r="E326" s="170"/>
      <c r="F326" s="169"/>
      <c r="G326" s="171"/>
      <c r="H326" s="172"/>
      <c r="I326" s="172"/>
    </row>
    <row r="327" spans="1:9">
      <c r="A327" s="169"/>
      <c r="B327" s="167"/>
      <c r="C327" s="173"/>
      <c r="D327" s="170"/>
      <c r="E327" s="170"/>
      <c r="F327" s="169"/>
      <c r="G327" s="171"/>
      <c r="H327" s="172"/>
      <c r="I327" s="172"/>
    </row>
    <row r="328" spans="1:9">
      <c r="A328" s="169"/>
      <c r="B328" s="167"/>
      <c r="C328" s="173"/>
      <c r="D328" s="170"/>
      <c r="E328" s="170"/>
      <c r="F328" s="169"/>
      <c r="G328" s="171"/>
      <c r="H328" s="172"/>
      <c r="I328" s="172"/>
    </row>
    <row r="329" spans="1:9">
      <c r="A329" s="169"/>
      <c r="B329" s="167"/>
      <c r="C329" s="173"/>
      <c r="D329" s="170"/>
      <c r="E329" s="170"/>
      <c r="F329" s="169"/>
      <c r="G329" s="171"/>
      <c r="H329" s="172"/>
      <c r="I329" s="172"/>
    </row>
    <row r="330" spans="1:9">
      <c r="A330" s="169"/>
      <c r="B330" s="167"/>
      <c r="C330" s="173"/>
      <c r="D330" s="170"/>
      <c r="E330" s="170"/>
      <c r="F330" s="169"/>
      <c r="G330" s="171"/>
      <c r="H330" s="172"/>
      <c r="I330" s="172"/>
    </row>
    <row r="331" spans="1:9">
      <c r="A331" s="169"/>
      <c r="B331" s="167"/>
      <c r="C331" s="173"/>
      <c r="D331" s="170"/>
      <c r="E331" s="170"/>
      <c r="F331" s="169"/>
      <c r="G331" s="171"/>
      <c r="H331" s="172"/>
      <c r="I331" s="172"/>
    </row>
    <row r="332" spans="1:9">
      <c r="A332" s="169"/>
      <c r="B332" s="167"/>
      <c r="C332" s="173"/>
      <c r="D332" s="170"/>
      <c r="E332" s="170"/>
      <c r="F332" s="169"/>
      <c r="G332" s="171"/>
      <c r="H332" s="172"/>
      <c r="I332" s="172"/>
    </row>
    <row r="333" spans="1:9">
      <c r="A333" s="169"/>
      <c r="B333" s="167"/>
      <c r="C333" s="173"/>
      <c r="D333" s="170"/>
      <c r="E333" s="170"/>
      <c r="F333" s="169"/>
      <c r="G333" s="171"/>
      <c r="H333" s="172"/>
      <c r="I333" s="172"/>
    </row>
    <row r="334" spans="1:9">
      <c r="A334" s="169"/>
      <c r="B334" s="167"/>
      <c r="C334" s="173"/>
      <c r="D334" s="170"/>
      <c r="E334" s="170"/>
      <c r="F334" s="169"/>
      <c r="G334" s="171"/>
      <c r="H334" s="172"/>
      <c r="I334" s="172"/>
    </row>
    <row r="335" spans="1:9">
      <c r="A335" s="169"/>
      <c r="B335" s="167"/>
      <c r="C335" s="173"/>
      <c r="D335" s="170"/>
      <c r="E335" s="170"/>
      <c r="F335" s="169"/>
      <c r="G335" s="171"/>
      <c r="H335" s="172"/>
      <c r="I335" s="172"/>
    </row>
    <row r="336" spans="1:9">
      <c r="A336" s="169"/>
      <c r="B336" s="167"/>
      <c r="C336" s="173"/>
      <c r="D336" s="170"/>
      <c r="E336" s="170"/>
      <c r="F336" s="169"/>
      <c r="G336" s="171"/>
      <c r="H336" s="172"/>
      <c r="I336" s="172"/>
    </row>
    <row r="337" spans="1:9">
      <c r="A337" s="169"/>
      <c r="B337" s="167"/>
      <c r="C337" s="173"/>
      <c r="D337" s="170"/>
      <c r="E337" s="170"/>
      <c r="F337" s="169"/>
      <c r="G337" s="171"/>
      <c r="H337" s="172"/>
      <c r="I337" s="172"/>
    </row>
    <row r="338" spans="1:9">
      <c r="A338" s="169"/>
      <c r="B338" s="167"/>
      <c r="C338" s="173"/>
      <c r="D338" s="170"/>
      <c r="E338" s="170"/>
      <c r="F338" s="169"/>
      <c r="G338" s="171"/>
      <c r="H338" s="172"/>
      <c r="I338" s="172"/>
    </row>
    <row r="339" spans="1:9">
      <c r="A339" s="169"/>
      <c r="B339" s="167"/>
      <c r="C339" s="173"/>
      <c r="D339" s="170"/>
      <c r="E339" s="170"/>
      <c r="F339" s="169"/>
      <c r="G339" s="171"/>
      <c r="H339" s="172"/>
      <c r="I339" s="172"/>
    </row>
    <row r="340" spans="1:9">
      <c r="A340" s="169"/>
      <c r="B340" s="167"/>
      <c r="C340" s="173"/>
      <c r="D340" s="170"/>
      <c r="E340" s="170"/>
      <c r="F340" s="169"/>
      <c r="G340" s="171"/>
      <c r="H340" s="172"/>
      <c r="I340" s="172"/>
    </row>
    <row r="341" spans="1:9">
      <c r="A341" s="169"/>
      <c r="B341" s="167"/>
      <c r="C341" s="173"/>
      <c r="D341" s="170"/>
      <c r="E341" s="170"/>
      <c r="F341" s="169"/>
      <c r="G341" s="171"/>
      <c r="H341" s="172"/>
      <c r="I341" s="172"/>
    </row>
    <row r="342" spans="1:9">
      <c r="A342" s="169"/>
      <c r="B342" s="167"/>
      <c r="C342" s="173"/>
      <c r="D342" s="170"/>
      <c r="E342" s="170"/>
      <c r="F342" s="169"/>
      <c r="G342" s="171"/>
      <c r="H342" s="172"/>
      <c r="I342" s="172"/>
    </row>
    <row r="343" spans="1:9">
      <c r="A343" s="169"/>
      <c r="B343" s="167"/>
      <c r="C343" s="173"/>
      <c r="D343" s="170"/>
      <c r="E343" s="170"/>
      <c r="F343" s="169"/>
      <c r="G343" s="171"/>
      <c r="H343" s="172"/>
      <c r="I343" s="172"/>
    </row>
    <row r="344" spans="1:9">
      <c r="A344" s="169"/>
      <c r="B344" s="167"/>
      <c r="C344" s="173"/>
      <c r="D344" s="170"/>
      <c r="E344" s="170"/>
      <c r="F344" s="169"/>
      <c r="G344" s="171"/>
      <c r="H344" s="172"/>
      <c r="I344" s="172"/>
    </row>
    <row r="345" spans="1:9">
      <c r="A345" s="169"/>
      <c r="B345" s="167"/>
      <c r="C345" s="173"/>
      <c r="D345" s="170"/>
      <c r="E345" s="170"/>
      <c r="F345" s="169"/>
      <c r="G345" s="171"/>
      <c r="H345" s="172"/>
      <c r="I345" s="172"/>
    </row>
    <row r="346" spans="1:9">
      <c r="A346" s="169"/>
      <c r="B346" s="167"/>
      <c r="C346" s="173"/>
      <c r="D346" s="170"/>
      <c r="E346" s="170"/>
      <c r="F346" s="169"/>
      <c r="G346" s="171"/>
      <c r="H346" s="172"/>
      <c r="I346" s="172"/>
    </row>
    <row r="347" spans="1:9">
      <c r="A347" s="169"/>
      <c r="B347" s="167"/>
      <c r="C347" s="173"/>
      <c r="D347" s="170"/>
      <c r="E347" s="170"/>
      <c r="F347" s="169"/>
      <c r="G347" s="171"/>
      <c r="H347" s="172"/>
      <c r="I347" s="172"/>
    </row>
    <row r="348" spans="1:9">
      <c r="A348" s="169"/>
      <c r="B348" s="167"/>
      <c r="C348" s="173"/>
      <c r="D348" s="170"/>
      <c r="E348" s="170"/>
      <c r="F348" s="169"/>
      <c r="G348" s="171"/>
      <c r="H348" s="172"/>
      <c r="I348" s="172"/>
    </row>
    <row r="349" spans="1:9">
      <c r="A349" s="169"/>
      <c r="B349" s="167"/>
      <c r="C349" s="173"/>
      <c r="D349" s="170"/>
      <c r="E349" s="170"/>
      <c r="F349" s="169"/>
      <c r="G349" s="171"/>
      <c r="H349" s="172"/>
      <c r="I349" s="172"/>
    </row>
    <row r="350" spans="1:9">
      <c r="A350" s="169"/>
      <c r="B350" s="167"/>
      <c r="C350" s="173"/>
      <c r="D350" s="170"/>
      <c r="E350" s="170"/>
      <c r="F350" s="169"/>
      <c r="G350" s="171"/>
      <c r="H350" s="172"/>
      <c r="I350" s="172"/>
    </row>
    <row r="351" spans="1:9">
      <c r="A351" s="169"/>
      <c r="B351" s="167"/>
      <c r="C351" s="173"/>
      <c r="D351" s="170"/>
      <c r="E351" s="170"/>
      <c r="F351" s="169"/>
      <c r="G351" s="171"/>
      <c r="H351" s="172"/>
      <c r="I351" s="172"/>
    </row>
    <row r="352" spans="1:9">
      <c r="A352" s="169"/>
      <c r="B352" s="167"/>
      <c r="C352" s="173"/>
      <c r="D352" s="170"/>
      <c r="E352" s="170"/>
      <c r="F352" s="169"/>
      <c r="G352" s="171"/>
      <c r="H352" s="172"/>
      <c r="I352" s="172"/>
    </row>
    <row r="353" spans="1:9">
      <c r="A353" s="169"/>
      <c r="B353" s="167"/>
      <c r="C353" s="173"/>
      <c r="D353" s="170"/>
      <c r="E353" s="170"/>
      <c r="F353" s="169"/>
      <c r="G353" s="171"/>
      <c r="H353" s="172"/>
      <c r="I353" s="172"/>
    </row>
    <row r="354" spans="1:9">
      <c r="A354" s="169"/>
      <c r="B354" s="167"/>
      <c r="C354" s="173"/>
      <c r="D354" s="170"/>
      <c r="E354" s="170"/>
      <c r="F354" s="169"/>
      <c r="G354" s="171"/>
      <c r="H354" s="172"/>
      <c r="I354" s="172"/>
    </row>
    <row r="355" spans="1:9">
      <c r="A355" s="169"/>
      <c r="B355" s="167"/>
      <c r="C355" s="173"/>
      <c r="D355" s="170"/>
      <c r="E355" s="170"/>
      <c r="F355" s="169"/>
      <c r="G355" s="171"/>
      <c r="H355" s="172"/>
      <c r="I355" s="172"/>
    </row>
    <row r="356" spans="1:9">
      <c r="A356" s="169"/>
      <c r="B356" s="167"/>
      <c r="C356" s="173"/>
      <c r="D356" s="170"/>
      <c r="E356" s="170"/>
      <c r="F356" s="169"/>
      <c r="G356" s="171"/>
      <c r="H356" s="172"/>
      <c r="I356" s="172"/>
    </row>
    <row r="357" spans="1:9">
      <c r="A357" s="169"/>
      <c r="B357" s="167"/>
      <c r="C357" s="173"/>
      <c r="D357" s="170"/>
      <c r="E357" s="170"/>
      <c r="F357" s="169"/>
      <c r="G357" s="171"/>
      <c r="H357" s="172"/>
      <c r="I357" s="172"/>
    </row>
    <row r="358" spans="1:9">
      <c r="A358" s="169"/>
      <c r="B358" s="167"/>
      <c r="C358" s="173"/>
      <c r="D358" s="170"/>
      <c r="E358" s="170"/>
      <c r="F358" s="169"/>
      <c r="G358" s="171"/>
      <c r="H358" s="172"/>
      <c r="I358" s="172"/>
    </row>
    <row r="359" spans="1:9">
      <c r="A359" s="169"/>
      <c r="B359" s="167"/>
      <c r="C359" s="173"/>
      <c r="D359" s="170"/>
      <c r="E359" s="170"/>
      <c r="F359" s="169"/>
      <c r="G359" s="171"/>
      <c r="H359" s="172"/>
      <c r="I359" s="172"/>
    </row>
    <row r="360" spans="1:9">
      <c r="A360" s="169"/>
      <c r="B360" s="167"/>
      <c r="C360" s="173"/>
      <c r="D360" s="170"/>
      <c r="E360" s="170"/>
      <c r="F360" s="169"/>
      <c r="G360" s="171"/>
      <c r="H360" s="172"/>
      <c r="I360" s="172"/>
    </row>
    <row r="361" spans="1:9">
      <c r="A361" s="169"/>
      <c r="B361" s="167"/>
      <c r="C361" s="173"/>
      <c r="D361" s="170"/>
      <c r="E361" s="170"/>
      <c r="F361" s="169"/>
      <c r="G361" s="171"/>
      <c r="H361" s="172"/>
      <c r="I361" s="172"/>
    </row>
    <row r="362" spans="1:9">
      <c r="A362" s="169"/>
      <c r="B362" s="167"/>
      <c r="C362" s="173"/>
      <c r="D362" s="170"/>
      <c r="E362" s="170"/>
      <c r="F362" s="169"/>
      <c r="G362" s="171"/>
      <c r="H362" s="172"/>
      <c r="I362" s="172"/>
    </row>
    <row r="363" spans="1:9">
      <c r="A363" s="169"/>
      <c r="B363" s="167"/>
      <c r="C363" s="173"/>
      <c r="D363" s="170"/>
      <c r="E363" s="170"/>
      <c r="F363" s="169"/>
      <c r="G363" s="171"/>
      <c r="H363" s="172"/>
      <c r="I363" s="172"/>
    </row>
    <row r="364" spans="1:9">
      <c r="A364" s="169"/>
      <c r="B364" s="167"/>
      <c r="C364" s="173"/>
      <c r="D364" s="170"/>
      <c r="E364" s="170"/>
      <c r="F364" s="169"/>
      <c r="G364" s="171"/>
      <c r="H364" s="172"/>
      <c r="I364" s="172"/>
    </row>
    <row r="365" spans="1:9">
      <c r="A365" s="169"/>
      <c r="B365" s="167"/>
      <c r="C365" s="173"/>
      <c r="D365" s="170"/>
      <c r="E365" s="170"/>
      <c r="F365" s="169"/>
      <c r="G365" s="171"/>
      <c r="H365" s="172"/>
      <c r="I365" s="172"/>
    </row>
    <row r="366" spans="1:9">
      <c r="A366" s="169"/>
      <c r="B366" s="167"/>
      <c r="C366" s="173"/>
      <c r="D366" s="170"/>
      <c r="E366" s="170"/>
      <c r="F366" s="169"/>
      <c r="G366" s="171"/>
      <c r="H366" s="172"/>
      <c r="I366" s="172"/>
    </row>
    <row r="367" spans="1:9">
      <c r="A367" s="169"/>
      <c r="B367" s="167"/>
      <c r="C367" s="173"/>
      <c r="D367" s="170"/>
      <c r="E367" s="170"/>
      <c r="F367" s="169"/>
      <c r="G367" s="171"/>
      <c r="H367" s="172"/>
      <c r="I367" s="172"/>
    </row>
    <row r="368" spans="1:9">
      <c r="A368" s="169"/>
      <c r="B368" s="167"/>
      <c r="C368" s="173"/>
      <c r="D368" s="170"/>
      <c r="E368" s="170"/>
      <c r="F368" s="169"/>
      <c r="G368" s="171"/>
      <c r="H368" s="172"/>
      <c r="I368" s="172"/>
    </row>
    <row r="369" spans="1:9">
      <c r="A369" s="169"/>
      <c r="B369" s="167"/>
      <c r="C369" s="173"/>
      <c r="D369" s="170"/>
      <c r="E369" s="170"/>
      <c r="F369" s="169"/>
      <c r="G369" s="171"/>
      <c r="H369" s="172"/>
      <c r="I369" s="172"/>
    </row>
    <row r="370" spans="1:9">
      <c r="A370" s="169"/>
      <c r="B370" s="167"/>
      <c r="C370" s="173"/>
      <c r="D370" s="170"/>
      <c r="E370" s="170"/>
      <c r="F370" s="169"/>
      <c r="G370" s="171"/>
      <c r="H370" s="172"/>
      <c r="I370" s="172"/>
    </row>
    <row r="371" spans="1:9">
      <c r="A371" s="169"/>
      <c r="B371" s="167"/>
      <c r="C371" s="173"/>
      <c r="D371" s="170"/>
      <c r="E371" s="170"/>
      <c r="F371" s="169"/>
      <c r="G371" s="171"/>
      <c r="H371" s="172"/>
      <c r="I371" s="172"/>
    </row>
    <row r="372" spans="1:9">
      <c r="A372" s="169"/>
      <c r="B372" s="167"/>
      <c r="C372" s="173"/>
      <c r="D372" s="170"/>
      <c r="E372" s="170"/>
      <c r="F372" s="169"/>
      <c r="G372" s="171"/>
      <c r="H372" s="172"/>
      <c r="I372" s="172"/>
    </row>
    <row r="373" spans="1:9">
      <c r="A373" s="169"/>
      <c r="B373" s="167"/>
      <c r="C373" s="173"/>
      <c r="D373" s="170"/>
      <c r="E373" s="170"/>
      <c r="F373" s="169"/>
      <c r="G373" s="171"/>
      <c r="H373" s="172"/>
      <c r="I373" s="172"/>
    </row>
    <row r="374" spans="1:9">
      <c r="A374" s="169"/>
      <c r="B374" s="167"/>
      <c r="C374" s="173"/>
      <c r="D374" s="170"/>
      <c r="E374" s="170"/>
      <c r="F374" s="169"/>
      <c r="G374" s="171"/>
      <c r="H374" s="172"/>
      <c r="I374" s="172"/>
    </row>
    <row r="375" spans="1:9">
      <c r="A375" s="169"/>
      <c r="B375" s="167"/>
      <c r="C375" s="173"/>
      <c r="D375" s="170"/>
      <c r="E375" s="170"/>
      <c r="F375" s="169"/>
      <c r="G375" s="171"/>
      <c r="H375" s="172"/>
      <c r="I375" s="172"/>
    </row>
    <row r="376" spans="1:9">
      <c r="A376" s="169"/>
      <c r="B376" s="167"/>
      <c r="C376" s="173"/>
      <c r="D376" s="170"/>
      <c r="E376" s="170"/>
      <c r="F376" s="169"/>
      <c r="G376" s="171"/>
      <c r="H376" s="172"/>
      <c r="I376" s="172"/>
    </row>
    <row r="377" spans="1:9">
      <c r="A377" s="169"/>
      <c r="B377" s="167"/>
      <c r="C377" s="173"/>
      <c r="D377" s="170"/>
      <c r="E377" s="170"/>
      <c r="F377" s="169"/>
      <c r="G377" s="171"/>
      <c r="H377" s="172"/>
      <c r="I377" s="172"/>
    </row>
    <row r="378" spans="1:9">
      <c r="A378" s="169"/>
      <c r="B378" s="167"/>
      <c r="C378" s="173"/>
      <c r="D378" s="170"/>
      <c r="E378" s="170"/>
      <c r="F378" s="169"/>
      <c r="G378" s="171"/>
      <c r="H378" s="172"/>
      <c r="I378" s="172"/>
    </row>
    <row r="379" spans="1:9">
      <c r="A379" s="169"/>
      <c r="B379" s="167"/>
      <c r="C379" s="173"/>
      <c r="D379" s="170"/>
      <c r="E379" s="170"/>
      <c r="F379" s="169"/>
      <c r="G379" s="171"/>
      <c r="H379" s="172"/>
      <c r="I379" s="172"/>
    </row>
    <row r="380" spans="1:9">
      <c r="A380" s="169"/>
      <c r="B380" s="167"/>
      <c r="C380" s="173"/>
      <c r="D380" s="170"/>
      <c r="E380" s="170"/>
      <c r="F380" s="169"/>
      <c r="G380" s="171"/>
      <c r="H380" s="172"/>
      <c r="I380" s="172"/>
    </row>
    <row r="381" spans="1:9">
      <c r="A381" s="169"/>
      <c r="B381" s="167"/>
      <c r="C381" s="173"/>
      <c r="D381" s="170"/>
      <c r="E381" s="170"/>
      <c r="F381" s="169"/>
      <c r="G381" s="171"/>
      <c r="H381" s="172"/>
      <c r="I381" s="172"/>
    </row>
    <row r="382" spans="1:9">
      <c r="A382" s="169"/>
      <c r="B382" s="167"/>
      <c r="C382" s="173"/>
      <c r="D382" s="170"/>
      <c r="E382" s="170"/>
      <c r="F382" s="169"/>
      <c r="G382" s="171"/>
      <c r="H382" s="172"/>
      <c r="I382" s="172"/>
    </row>
    <row r="383" spans="1:9">
      <c r="A383" s="169"/>
      <c r="B383" s="167"/>
      <c r="C383" s="173"/>
      <c r="D383" s="170"/>
      <c r="E383" s="170"/>
      <c r="F383" s="169"/>
      <c r="G383" s="171"/>
      <c r="H383" s="172"/>
      <c r="I383" s="172"/>
    </row>
    <row r="384" spans="1:9">
      <c r="A384" s="169"/>
      <c r="B384" s="167"/>
      <c r="C384" s="173"/>
      <c r="D384" s="170"/>
      <c r="E384" s="170"/>
      <c r="F384" s="169"/>
      <c r="G384" s="171"/>
      <c r="H384" s="172"/>
      <c r="I384" s="172"/>
    </row>
    <row r="385" spans="1:9">
      <c r="A385" s="169"/>
      <c r="B385" s="167"/>
      <c r="C385" s="173"/>
      <c r="D385" s="170"/>
      <c r="E385" s="170"/>
      <c r="F385" s="169"/>
      <c r="G385" s="171"/>
      <c r="H385" s="172"/>
      <c r="I385" s="172"/>
    </row>
    <row r="386" spans="1:9">
      <c r="A386" s="169"/>
      <c r="B386" s="167"/>
      <c r="C386" s="173"/>
      <c r="D386" s="170"/>
      <c r="E386" s="170"/>
      <c r="F386" s="169"/>
      <c r="G386" s="171"/>
      <c r="H386" s="172"/>
      <c r="I386" s="172"/>
    </row>
    <row r="387" spans="1:9">
      <c r="A387" s="169"/>
      <c r="B387" s="167"/>
      <c r="C387" s="173"/>
      <c r="D387" s="170"/>
      <c r="E387" s="170"/>
      <c r="F387" s="169"/>
      <c r="G387" s="171"/>
      <c r="H387" s="172"/>
      <c r="I387" s="172"/>
    </row>
    <row r="388" spans="1:9">
      <c r="A388" s="169"/>
      <c r="B388" s="167"/>
      <c r="C388" s="173"/>
      <c r="D388" s="170"/>
      <c r="E388" s="170"/>
      <c r="F388" s="169"/>
      <c r="G388" s="171"/>
      <c r="H388" s="172"/>
      <c r="I388" s="172"/>
    </row>
    <row r="389" spans="1:9">
      <c r="A389" s="169"/>
      <c r="B389" s="167"/>
      <c r="C389" s="173"/>
      <c r="D389" s="170"/>
      <c r="E389" s="170"/>
      <c r="F389" s="169"/>
      <c r="G389" s="171"/>
      <c r="H389" s="172"/>
      <c r="I389" s="172"/>
    </row>
    <row r="390" spans="1:9">
      <c r="A390" s="169"/>
      <c r="B390" s="167"/>
      <c r="C390" s="173"/>
      <c r="D390" s="170"/>
      <c r="E390" s="170"/>
      <c r="F390" s="169"/>
      <c r="G390" s="171"/>
      <c r="H390" s="172"/>
      <c r="I390" s="172"/>
    </row>
    <row r="391" spans="1:9">
      <c r="A391" s="169"/>
      <c r="B391" s="167"/>
      <c r="C391" s="173"/>
      <c r="D391" s="170"/>
      <c r="E391" s="170"/>
      <c r="F391" s="169"/>
      <c r="G391" s="171"/>
      <c r="H391" s="172"/>
      <c r="I391" s="172"/>
    </row>
    <row r="392" spans="1:9">
      <c r="A392" s="169"/>
      <c r="B392" s="167"/>
      <c r="C392" s="173"/>
      <c r="D392" s="170"/>
      <c r="E392" s="170"/>
      <c r="F392" s="169"/>
      <c r="G392" s="171"/>
      <c r="H392" s="172"/>
      <c r="I392" s="172"/>
    </row>
    <row r="393" spans="1:9">
      <c r="A393" s="169"/>
      <c r="B393" s="167"/>
      <c r="C393" s="173"/>
      <c r="D393" s="170"/>
      <c r="E393" s="170"/>
      <c r="F393" s="169"/>
      <c r="G393" s="171"/>
      <c r="H393" s="172"/>
      <c r="I393" s="172"/>
    </row>
    <row r="394" spans="1:9">
      <c r="A394" s="169"/>
      <c r="B394" s="167"/>
      <c r="C394" s="173"/>
      <c r="D394" s="170"/>
      <c r="E394" s="170"/>
      <c r="F394" s="169"/>
      <c r="G394" s="171"/>
      <c r="H394" s="172"/>
      <c r="I394" s="172"/>
    </row>
    <row r="395" spans="1:9">
      <c r="A395" s="169"/>
      <c r="B395" s="167"/>
      <c r="C395" s="173"/>
      <c r="D395" s="170"/>
      <c r="E395" s="170"/>
      <c r="F395" s="169"/>
      <c r="G395" s="171"/>
      <c r="H395" s="172"/>
      <c r="I395" s="172"/>
    </row>
    <row r="396" spans="1:9">
      <c r="A396" s="169"/>
      <c r="B396" s="167"/>
      <c r="C396" s="173"/>
      <c r="D396" s="170"/>
      <c r="E396" s="170"/>
      <c r="F396" s="169"/>
      <c r="G396" s="171"/>
      <c r="H396" s="172"/>
      <c r="I396" s="172"/>
    </row>
    <row r="397" spans="1:9">
      <c r="A397" s="169"/>
      <c r="B397" s="167"/>
      <c r="C397" s="173"/>
      <c r="D397" s="170"/>
      <c r="E397" s="170"/>
      <c r="F397" s="169"/>
      <c r="G397" s="171"/>
      <c r="H397" s="172"/>
      <c r="I397" s="172"/>
    </row>
    <row r="398" spans="1:9">
      <c r="A398" s="169"/>
      <c r="B398" s="167"/>
      <c r="C398" s="173"/>
      <c r="D398" s="170"/>
      <c r="E398" s="170"/>
      <c r="F398" s="169"/>
      <c r="G398" s="171"/>
      <c r="H398" s="172"/>
      <c r="I398" s="172"/>
    </row>
    <row r="399" spans="1:9">
      <c r="A399" s="169"/>
      <c r="B399" s="167"/>
      <c r="C399" s="173"/>
      <c r="D399" s="170"/>
      <c r="E399" s="170"/>
      <c r="F399" s="169"/>
      <c r="G399" s="171"/>
      <c r="H399" s="172"/>
      <c r="I399" s="172"/>
    </row>
    <row r="400" spans="1:9">
      <c r="A400" s="169"/>
      <c r="B400" s="167"/>
      <c r="C400" s="173"/>
      <c r="D400" s="170"/>
      <c r="E400" s="170"/>
      <c r="F400" s="169"/>
      <c r="G400" s="171"/>
      <c r="H400" s="172"/>
      <c r="I400" s="172"/>
    </row>
    <row r="401" spans="1:9">
      <c r="A401" s="169"/>
      <c r="B401" s="167"/>
      <c r="C401" s="173"/>
      <c r="D401" s="170"/>
      <c r="E401" s="170"/>
      <c r="F401" s="169"/>
      <c r="G401" s="171"/>
      <c r="H401" s="172"/>
      <c r="I401" s="172"/>
    </row>
    <row r="402" spans="1:9">
      <c r="A402" s="169"/>
      <c r="B402" s="167"/>
      <c r="C402" s="173"/>
      <c r="D402" s="170"/>
      <c r="E402" s="170"/>
      <c r="F402" s="169"/>
      <c r="G402" s="171"/>
      <c r="H402" s="172"/>
      <c r="I402" s="172"/>
    </row>
    <row r="403" spans="1:9">
      <c r="A403" s="169"/>
      <c r="B403" s="167"/>
      <c r="C403" s="173"/>
      <c r="D403" s="170"/>
      <c r="E403" s="170"/>
      <c r="F403" s="169"/>
      <c r="G403" s="171"/>
      <c r="H403" s="172"/>
      <c r="I403" s="172"/>
    </row>
    <row r="404" spans="1:9">
      <c r="A404" s="169"/>
      <c r="B404" s="167"/>
      <c r="C404" s="173"/>
      <c r="D404" s="170"/>
      <c r="E404" s="170"/>
      <c r="F404" s="169"/>
      <c r="G404" s="171"/>
      <c r="H404" s="172"/>
      <c r="I404" s="172"/>
    </row>
    <row r="405" spans="1:9">
      <c r="A405" s="169"/>
      <c r="B405" s="167"/>
      <c r="C405" s="173"/>
      <c r="D405" s="170"/>
      <c r="E405" s="170"/>
      <c r="F405" s="169"/>
      <c r="G405" s="171"/>
      <c r="H405" s="172"/>
      <c r="I405" s="172"/>
    </row>
    <row r="406" spans="1:9">
      <c r="A406" s="169"/>
      <c r="B406" s="167"/>
      <c r="C406" s="173"/>
      <c r="D406" s="170"/>
      <c r="E406" s="170"/>
      <c r="F406" s="169"/>
      <c r="G406" s="171"/>
      <c r="H406" s="172"/>
      <c r="I406" s="172"/>
    </row>
    <row r="407" spans="1:9">
      <c r="A407" s="169"/>
      <c r="B407" s="167"/>
      <c r="C407" s="173"/>
      <c r="D407" s="170"/>
      <c r="E407" s="170"/>
      <c r="F407" s="169"/>
      <c r="G407" s="171"/>
      <c r="H407" s="172"/>
      <c r="I407" s="172"/>
    </row>
    <row r="408" spans="1:9">
      <c r="A408" s="169"/>
      <c r="B408" s="167"/>
      <c r="C408" s="173"/>
      <c r="D408" s="170"/>
      <c r="E408" s="170"/>
      <c r="F408" s="169"/>
      <c r="G408" s="171"/>
      <c r="H408" s="172"/>
      <c r="I408" s="172"/>
    </row>
    <row r="409" spans="1:9">
      <c r="A409" s="169"/>
      <c r="B409" s="167"/>
      <c r="C409" s="173"/>
      <c r="D409" s="170"/>
      <c r="E409" s="170"/>
      <c r="F409" s="169"/>
      <c r="G409" s="171"/>
      <c r="H409" s="172"/>
      <c r="I409" s="172"/>
    </row>
    <row r="410" spans="1:9">
      <c r="A410" s="169"/>
      <c r="B410" s="167"/>
      <c r="C410" s="173"/>
      <c r="D410" s="170"/>
      <c r="E410" s="170"/>
      <c r="F410" s="169"/>
      <c r="G410" s="171"/>
      <c r="H410" s="172"/>
      <c r="I410" s="172"/>
    </row>
    <row r="411" spans="1:9">
      <c r="A411" s="169"/>
      <c r="B411" s="167"/>
      <c r="C411" s="173"/>
      <c r="D411" s="170"/>
      <c r="E411" s="170"/>
      <c r="F411" s="169"/>
      <c r="G411" s="171"/>
      <c r="H411" s="172"/>
      <c r="I411" s="172"/>
    </row>
    <row r="412" spans="1:9">
      <c r="A412" s="169"/>
      <c r="B412" s="167"/>
      <c r="C412" s="173"/>
      <c r="D412" s="170"/>
      <c r="E412" s="170"/>
      <c r="F412" s="169"/>
      <c r="G412" s="171"/>
      <c r="H412" s="172"/>
      <c r="I412" s="172"/>
    </row>
    <row r="413" spans="1:9">
      <c r="A413" s="169"/>
      <c r="B413" s="167"/>
      <c r="C413" s="173"/>
      <c r="D413" s="170"/>
      <c r="E413" s="170"/>
      <c r="F413" s="169"/>
      <c r="G413" s="171"/>
      <c r="H413" s="172"/>
      <c r="I413" s="172"/>
    </row>
    <row r="414" spans="1:9">
      <c r="A414" s="169"/>
      <c r="B414" s="167"/>
      <c r="C414" s="173"/>
      <c r="D414" s="170"/>
      <c r="E414" s="170"/>
      <c r="F414" s="169"/>
      <c r="G414" s="171"/>
      <c r="H414" s="172"/>
      <c r="I414" s="172"/>
    </row>
    <row r="415" spans="1:9">
      <c r="A415" s="169"/>
      <c r="B415" s="167"/>
      <c r="C415" s="173"/>
      <c r="D415" s="170"/>
      <c r="E415" s="170"/>
      <c r="F415" s="169"/>
      <c r="G415" s="171"/>
      <c r="H415" s="172"/>
      <c r="I415" s="172"/>
    </row>
    <row r="416" spans="1:9">
      <c r="A416" s="169"/>
      <c r="B416" s="167"/>
      <c r="C416" s="173"/>
      <c r="D416" s="170"/>
      <c r="E416" s="170"/>
      <c r="F416" s="169"/>
      <c r="G416" s="171"/>
      <c r="H416" s="172"/>
      <c r="I416" s="172"/>
    </row>
    <row r="417" spans="1:9">
      <c r="A417" s="169"/>
      <c r="B417" s="167"/>
      <c r="C417" s="173"/>
      <c r="D417" s="170"/>
      <c r="E417" s="170"/>
      <c r="F417" s="169"/>
      <c r="G417" s="171"/>
      <c r="H417" s="172"/>
      <c r="I417" s="172"/>
    </row>
    <row r="418" spans="1:9">
      <c r="A418" s="169"/>
      <c r="B418" s="167"/>
      <c r="C418" s="173"/>
      <c r="D418" s="170"/>
      <c r="E418" s="170"/>
      <c r="F418" s="169"/>
      <c r="G418" s="171"/>
      <c r="H418" s="172"/>
      <c r="I418" s="172"/>
    </row>
    <row r="419" spans="1:9">
      <c r="A419" s="169"/>
      <c r="B419" s="167"/>
      <c r="C419" s="173"/>
      <c r="D419" s="170"/>
      <c r="E419" s="170"/>
      <c r="F419" s="169"/>
      <c r="G419" s="171"/>
      <c r="H419" s="172"/>
      <c r="I419" s="172"/>
    </row>
    <row r="420" spans="1:9">
      <c r="A420" s="169"/>
      <c r="B420" s="167"/>
      <c r="C420" s="173"/>
      <c r="D420" s="170"/>
      <c r="E420" s="170"/>
      <c r="F420" s="169"/>
      <c r="G420" s="171"/>
      <c r="H420" s="172"/>
      <c r="I420" s="172"/>
    </row>
    <row r="421" spans="1:9">
      <c r="A421" s="169"/>
      <c r="B421" s="167"/>
      <c r="C421" s="173"/>
      <c r="D421" s="170"/>
      <c r="E421" s="170"/>
      <c r="F421" s="169"/>
      <c r="G421" s="171"/>
      <c r="H421" s="172"/>
      <c r="I421" s="172"/>
    </row>
    <row r="422" spans="1:9">
      <c r="A422" s="169"/>
      <c r="B422" s="167"/>
      <c r="C422" s="173"/>
      <c r="D422" s="170"/>
      <c r="E422" s="170"/>
      <c r="F422" s="169"/>
      <c r="G422" s="171"/>
      <c r="H422" s="172"/>
      <c r="I422" s="172"/>
    </row>
    <row r="423" spans="1:9">
      <c r="A423" s="169"/>
      <c r="B423" s="167"/>
      <c r="C423" s="173"/>
      <c r="D423" s="170"/>
      <c r="E423" s="170"/>
      <c r="F423" s="169"/>
      <c r="G423" s="171"/>
      <c r="H423" s="172"/>
      <c r="I423" s="172"/>
    </row>
    <row r="424" spans="1:9">
      <c r="A424" s="169"/>
      <c r="B424" s="167"/>
      <c r="C424" s="173"/>
      <c r="D424" s="170"/>
      <c r="E424" s="170"/>
      <c r="F424" s="169"/>
      <c r="G424" s="171"/>
      <c r="H424" s="172"/>
      <c r="I424" s="172"/>
    </row>
    <row r="425" spans="1:9">
      <c r="A425" s="169"/>
      <c r="B425" s="167"/>
      <c r="C425" s="173"/>
      <c r="D425" s="170"/>
      <c r="E425" s="170"/>
      <c r="F425" s="169"/>
      <c r="G425" s="171"/>
      <c r="H425" s="172"/>
      <c r="I425" s="172"/>
    </row>
    <row r="426" spans="1:9">
      <c r="A426" s="169"/>
      <c r="B426" s="167"/>
      <c r="C426" s="173"/>
      <c r="D426" s="170"/>
      <c r="E426" s="170"/>
      <c r="F426" s="169"/>
      <c r="G426" s="171"/>
      <c r="H426" s="172"/>
      <c r="I426" s="172"/>
    </row>
    <row r="427" spans="1:9">
      <c r="A427" s="169"/>
      <c r="B427" s="167"/>
      <c r="C427" s="173"/>
      <c r="D427" s="170"/>
      <c r="E427" s="170"/>
      <c r="F427" s="169"/>
      <c r="G427" s="171"/>
      <c r="H427" s="172"/>
      <c r="I427" s="172"/>
    </row>
    <row r="428" spans="1:9">
      <c r="A428" s="169"/>
      <c r="B428" s="167"/>
      <c r="C428" s="173"/>
      <c r="D428" s="170"/>
      <c r="E428" s="170"/>
      <c r="F428" s="169"/>
      <c r="G428" s="171"/>
      <c r="H428" s="172"/>
      <c r="I428" s="172"/>
    </row>
    <row r="429" spans="1:9">
      <c r="A429" s="169"/>
      <c r="B429" s="167"/>
      <c r="C429" s="173"/>
      <c r="D429" s="170"/>
      <c r="E429" s="170"/>
      <c r="F429" s="169"/>
      <c r="G429" s="171"/>
      <c r="H429" s="172"/>
      <c r="I429" s="172"/>
    </row>
    <row r="430" spans="1:9">
      <c r="A430" s="169"/>
      <c r="B430" s="167"/>
      <c r="C430" s="173"/>
      <c r="D430" s="170"/>
      <c r="E430" s="170"/>
      <c r="F430" s="169"/>
      <c r="G430" s="171"/>
      <c r="H430" s="172"/>
      <c r="I430" s="172"/>
    </row>
    <row r="431" spans="1:9">
      <c r="A431" s="169"/>
      <c r="B431" s="167"/>
      <c r="C431" s="173"/>
      <c r="D431" s="170"/>
      <c r="E431" s="170"/>
      <c r="F431" s="169"/>
      <c r="G431" s="171"/>
      <c r="H431" s="172"/>
      <c r="I431" s="172"/>
    </row>
    <row r="432" spans="1:9">
      <c r="A432" s="169"/>
      <c r="B432" s="167"/>
      <c r="C432" s="173"/>
      <c r="D432" s="170"/>
      <c r="E432" s="170"/>
      <c r="F432" s="169"/>
      <c r="G432" s="171"/>
      <c r="H432" s="172"/>
      <c r="I432" s="172"/>
    </row>
    <row r="433" spans="1:9">
      <c r="A433" s="169"/>
      <c r="B433" s="167"/>
      <c r="C433" s="173"/>
      <c r="D433" s="170"/>
      <c r="E433" s="170"/>
      <c r="F433" s="169"/>
      <c r="G433" s="171"/>
      <c r="H433" s="172"/>
      <c r="I433" s="172"/>
    </row>
    <row r="434" spans="1:9">
      <c r="A434" s="169"/>
      <c r="B434" s="167"/>
      <c r="C434" s="173"/>
      <c r="D434" s="170"/>
      <c r="E434" s="170"/>
      <c r="F434" s="169"/>
      <c r="G434" s="171"/>
      <c r="H434" s="172"/>
      <c r="I434" s="172"/>
    </row>
    <row r="435" spans="1:9">
      <c r="A435" s="169"/>
      <c r="B435" s="167"/>
      <c r="C435" s="173"/>
      <c r="D435" s="170"/>
      <c r="E435" s="170"/>
      <c r="F435" s="169"/>
      <c r="G435" s="171"/>
      <c r="H435" s="172"/>
      <c r="I435" s="172"/>
    </row>
    <row r="436" spans="1:9">
      <c r="A436" s="169"/>
      <c r="B436" s="167"/>
      <c r="C436" s="173"/>
      <c r="D436" s="170"/>
      <c r="E436" s="170"/>
      <c r="F436" s="169"/>
      <c r="G436" s="171"/>
      <c r="H436" s="172"/>
      <c r="I436" s="172"/>
    </row>
    <row r="437" spans="1:9">
      <c r="A437" s="169"/>
      <c r="B437" s="167"/>
      <c r="C437" s="173"/>
      <c r="D437" s="170"/>
      <c r="E437" s="170"/>
      <c r="F437" s="169"/>
      <c r="G437" s="171"/>
      <c r="H437" s="172"/>
      <c r="I437" s="172"/>
    </row>
    <row r="438" spans="1:9">
      <c r="A438" s="169"/>
      <c r="B438" s="167"/>
      <c r="C438" s="173"/>
      <c r="D438" s="170"/>
      <c r="E438" s="170"/>
      <c r="F438" s="169"/>
      <c r="G438" s="171"/>
      <c r="H438" s="172"/>
      <c r="I438" s="172"/>
    </row>
    <row r="439" spans="1:9">
      <c r="A439" s="169"/>
      <c r="B439" s="167"/>
      <c r="C439" s="173"/>
      <c r="D439" s="170"/>
      <c r="E439" s="170"/>
      <c r="F439" s="169"/>
      <c r="G439" s="171"/>
      <c r="H439" s="172"/>
      <c r="I439" s="172"/>
    </row>
    <row r="440" spans="1:9">
      <c r="A440" s="169"/>
      <c r="B440" s="167"/>
      <c r="C440" s="173"/>
      <c r="D440" s="170"/>
      <c r="E440" s="170"/>
      <c r="F440" s="169"/>
      <c r="G440" s="171"/>
      <c r="H440" s="172"/>
      <c r="I440" s="172"/>
    </row>
    <row r="441" spans="1:9">
      <c r="A441" s="169"/>
      <c r="B441" s="167"/>
      <c r="C441" s="173"/>
      <c r="D441" s="170"/>
      <c r="E441" s="170"/>
      <c r="F441" s="169"/>
      <c r="G441" s="171"/>
      <c r="H441" s="172"/>
      <c r="I441" s="172"/>
    </row>
    <row r="442" spans="1:9">
      <c r="A442" s="169"/>
      <c r="B442" s="167"/>
      <c r="C442" s="173"/>
      <c r="D442" s="170"/>
      <c r="E442" s="170"/>
      <c r="F442" s="169"/>
      <c r="G442" s="171"/>
      <c r="H442" s="172"/>
      <c r="I442" s="172"/>
    </row>
    <row r="443" spans="1:9">
      <c r="A443" s="169"/>
      <c r="B443" s="167"/>
      <c r="C443" s="173"/>
      <c r="D443" s="170"/>
      <c r="E443" s="170"/>
      <c r="F443" s="169"/>
      <c r="G443" s="171"/>
      <c r="H443" s="172"/>
      <c r="I443" s="172"/>
    </row>
    <row r="444" spans="1:9">
      <c r="A444" s="169"/>
      <c r="B444" s="167"/>
      <c r="C444" s="173"/>
      <c r="D444" s="170"/>
      <c r="E444" s="170"/>
      <c r="F444" s="169"/>
      <c r="G444" s="171"/>
      <c r="H444" s="172"/>
      <c r="I444" s="172"/>
    </row>
    <row r="445" spans="1:9">
      <c r="A445" s="169"/>
      <c r="B445" s="167"/>
      <c r="C445" s="173"/>
      <c r="D445" s="170"/>
      <c r="E445" s="170"/>
      <c r="F445" s="169"/>
      <c r="G445" s="171"/>
      <c r="H445" s="172"/>
      <c r="I445" s="172"/>
    </row>
    <row r="446" spans="1:9">
      <c r="A446" s="169"/>
      <c r="B446" s="167"/>
      <c r="C446" s="173"/>
      <c r="D446" s="170"/>
      <c r="E446" s="170"/>
      <c r="F446" s="169"/>
      <c r="G446" s="171"/>
      <c r="H446" s="172"/>
      <c r="I446" s="172"/>
    </row>
    <row r="447" spans="1:9">
      <c r="A447" s="169"/>
      <c r="B447" s="167"/>
      <c r="C447" s="173"/>
      <c r="D447" s="170"/>
      <c r="E447" s="170"/>
      <c r="F447" s="169"/>
      <c r="G447" s="171"/>
      <c r="H447" s="172"/>
      <c r="I447" s="172"/>
    </row>
    <row r="448" spans="1:9">
      <c r="A448" s="169"/>
      <c r="B448" s="167"/>
      <c r="C448" s="173"/>
      <c r="D448" s="170"/>
      <c r="E448" s="170"/>
      <c r="F448" s="169"/>
      <c r="G448" s="171"/>
      <c r="H448" s="172"/>
      <c r="I448" s="172"/>
    </row>
    <row r="449" spans="1:9">
      <c r="A449" s="169"/>
      <c r="B449" s="167"/>
      <c r="C449" s="173"/>
      <c r="D449" s="170"/>
      <c r="E449" s="170"/>
      <c r="F449" s="169"/>
      <c r="G449" s="171"/>
      <c r="H449" s="172"/>
      <c r="I449" s="172"/>
    </row>
    <row r="450" spans="1:9">
      <c r="A450" s="169"/>
      <c r="B450" s="167"/>
      <c r="C450" s="173"/>
      <c r="D450" s="170"/>
      <c r="E450" s="170"/>
      <c r="F450" s="169"/>
      <c r="G450" s="171"/>
      <c r="H450" s="172"/>
      <c r="I450" s="172"/>
    </row>
    <row r="451" spans="1:9">
      <c r="A451" s="169"/>
      <c r="B451" s="167"/>
      <c r="C451" s="173"/>
      <c r="D451" s="170"/>
      <c r="E451" s="170"/>
      <c r="F451" s="169"/>
      <c r="G451" s="171"/>
      <c r="H451" s="172"/>
      <c r="I451" s="172"/>
    </row>
    <row r="452" spans="1:9">
      <c r="A452" s="169"/>
      <c r="B452" s="167"/>
      <c r="C452" s="173"/>
      <c r="D452" s="170"/>
      <c r="E452" s="170"/>
      <c r="F452" s="169"/>
      <c r="G452" s="171"/>
      <c r="H452" s="172"/>
      <c r="I452" s="172"/>
    </row>
    <row r="453" spans="1:9">
      <c r="A453" s="169"/>
      <c r="B453" s="167"/>
      <c r="C453" s="173"/>
      <c r="D453" s="170"/>
      <c r="E453" s="170"/>
      <c r="F453" s="169"/>
      <c r="G453" s="171"/>
      <c r="H453" s="172"/>
      <c r="I453" s="172"/>
    </row>
    <row r="454" spans="1:9">
      <c r="A454" s="169"/>
      <c r="B454" s="167"/>
      <c r="C454" s="173"/>
      <c r="D454" s="170"/>
      <c r="E454" s="170"/>
      <c r="F454" s="169"/>
      <c r="G454" s="171"/>
      <c r="H454" s="172"/>
      <c r="I454" s="172"/>
    </row>
    <row r="455" spans="1:9">
      <c r="A455" s="169"/>
      <c r="B455" s="167"/>
      <c r="C455" s="173"/>
      <c r="D455" s="170"/>
      <c r="E455" s="170"/>
      <c r="F455" s="169"/>
      <c r="G455" s="171"/>
      <c r="H455" s="172"/>
      <c r="I455" s="172"/>
    </row>
    <row r="456" spans="1:9">
      <c r="A456" s="169"/>
      <c r="B456" s="167"/>
      <c r="C456" s="173"/>
      <c r="D456" s="170"/>
      <c r="E456" s="170"/>
      <c r="F456" s="169"/>
      <c r="G456" s="171"/>
      <c r="H456" s="172"/>
      <c r="I456" s="172"/>
    </row>
    <row r="457" spans="1:9">
      <c r="A457" s="169"/>
      <c r="B457" s="167"/>
      <c r="C457" s="173"/>
      <c r="D457" s="170"/>
      <c r="E457" s="170"/>
      <c r="F457" s="169"/>
      <c r="G457" s="171"/>
      <c r="H457" s="172"/>
      <c r="I457" s="172"/>
    </row>
    <row r="458" spans="1:9">
      <c r="A458" s="169"/>
      <c r="B458" s="167"/>
      <c r="C458" s="173"/>
      <c r="D458" s="170"/>
      <c r="E458" s="170"/>
      <c r="F458" s="169"/>
      <c r="G458" s="171"/>
      <c r="H458" s="172"/>
      <c r="I458" s="172"/>
    </row>
    <row r="459" spans="1:9">
      <c r="A459" s="169"/>
      <c r="B459" s="167"/>
      <c r="C459" s="173"/>
      <c r="D459" s="170"/>
      <c r="E459" s="170"/>
      <c r="F459" s="169"/>
      <c r="G459" s="171"/>
      <c r="H459" s="172"/>
      <c r="I459" s="172"/>
    </row>
    <row r="460" spans="1:9">
      <c r="A460" s="169"/>
      <c r="B460" s="167"/>
      <c r="C460" s="173"/>
      <c r="D460" s="170"/>
      <c r="E460" s="170"/>
      <c r="F460" s="169"/>
      <c r="G460" s="171"/>
      <c r="H460" s="172"/>
      <c r="I460" s="172"/>
    </row>
    <row r="461" spans="1:9">
      <c r="A461" s="169"/>
      <c r="B461" s="167"/>
      <c r="C461" s="173"/>
      <c r="D461" s="170"/>
      <c r="E461" s="170"/>
      <c r="F461" s="169"/>
      <c r="G461" s="171"/>
      <c r="H461" s="172"/>
      <c r="I461" s="172"/>
    </row>
    <row r="462" spans="1:9">
      <c r="A462" s="169"/>
      <c r="B462" s="167"/>
      <c r="C462" s="173"/>
      <c r="D462" s="170"/>
      <c r="E462" s="170"/>
      <c r="F462" s="169"/>
      <c r="G462" s="171"/>
      <c r="H462" s="172"/>
      <c r="I462" s="172"/>
    </row>
    <row r="463" spans="1:9">
      <c r="A463" s="169"/>
      <c r="B463" s="167"/>
      <c r="C463" s="173"/>
      <c r="D463" s="170"/>
      <c r="E463" s="170"/>
      <c r="F463" s="169"/>
      <c r="G463" s="171"/>
      <c r="H463" s="172"/>
      <c r="I463" s="172"/>
    </row>
    <row r="464" spans="1:9">
      <c r="A464" s="169"/>
      <c r="B464" s="167"/>
      <c r="C464" s="173"/>
      <c r="D464" s="170"/>
      <c r="E464" s="170"/>
      <c r="F464" s="169"/>
      <c r="G464" s="171"/>
      <c r="H464" s="172"/>
      <c r="I464" s="172"/>
    </row>
    <row r="465" spans="1:9">
      <c r="A465" s="169"/>
      <c r="B465" s="167"/>
      <c r="C465" s="173"/>
      <c r="D465" s="170"/>
      <c r="E465" s="170"/>
      <c r="F465" s="169"/>
      <c r="G465" s="171"/>
      <c r="H465" s="172"/>
      <c r="I465" s="172"/>
    </row>
    <row r="466" spans="1:9">
      <c r="A466" s="169"/>
      <c r="B466" s="167"/>
      <c r="C466" s="173"/>
      <c r="D466" s="170"/>
      <c r="E466" s="170"/>
      <c r="F466" s="169"/>
      <c r="G466" s="171"/>
      <c r="H466" s="172"/>
      <c r="I466" s="172"/>
    </row>
    <row r="467" spans="1:9">
      <c r="A467" s="169"/>
      <c r="B467" s="167"/>
      <c r="C467" s="173"/>
      <c r="D467" s="170"/>
      <c r="E467" s="170"/>
      <c r="F467" s="169"/>
      <c r="G467" s="171"/>
      <c r="H467" s="172"/>
      <c r="I467" s="172"/>
    </row>
    <row r="468" spans="1:9">
      <c r="A468" s="169"/>
      <c r="B468" s="167"/>
      <c r="C468" s="173"/>
      <c r="D468" s="170"/>
      <c r="E468" s="170"/>
      <c r="F468" s="169"/>
      <c r="G468" s="171"/>
      <c r="H468" s="172"/>
      <c r="I468" s="172"/>
    </row>
    <row r="469" spans="1:9">
      <c r="A469" s="169"/>
      <c r="B469" s="167"/>
      <c r="C469" s="173"/>
      <c r="D469" s="170"/>
      <c r="E469" s="170"/>
      <c r="F469" s="169"/>
      <c r="G469" s="171"/>
      <c r="H469" s="172"/>
      <c r="I469" s="172"/>
    </row>
    <row r="470" spans="1:9">
      <c r="A470" s="169"/>
      <c r="B470" s="167"/>
      <c r="C470" s="173"/>
      <c r="D470" s="170"/>
      <c r="E470" s="170"/>
      <c r="F470" s="169"/>
      <c r="G470" s="171"/>
      <c r="H470" s="172"/>
      <c r="I470" s="172"/>
    </row>
    <row r="471" spans="1:9">
      <c r="A471" s="169"/>
      <c r="B471" s="167"/>
      <c r="C471" s="173"/>
      <c r="D471" s="170"/>
      <c r="E471" s="170"/>
      <c r="F471" s="169"/>
      <c r="G471" s="171"/>
      <c r="H471" s="172"/>
      <c r="I471" s="172"/>
    </row>
    <row r="472" spans="1:9">
      <c r="A472" s="169"/>
      <c r="B472" s="167"/>
      <c r="C472" s="173"/>
      <c r="D472" s="170"/>
      <c r="E472" s="170"/>
      <c r="F472" s="169"/>
      <c r="G472" s="171"/>
      <c r="H472" s="172"/>
      <c r="I472" s="172"/>
    </row>
    <row r="473" spans="1:9">
      <c r="A473" s="169"/>
      <c r="B473" s="167"/>
      <c r="C473" s="173"/>
      <c r="D473" s="170"/>
      <c r="E473" s="170"/>
      <c r="F473" s="169"/>
      <c r="G473" s="171"/>
      <c r="H473" s="172"/>
      <c r="I473" s="172"/>
    </row>
    <row r="474" spans="1:9">
      <c r="A474" s="169"/>
      <c r="B474" s="167"/>
      <c r="C474" s="173"/>
      <c r="D474" s="170"/>
      <c r="E474" s="170"/>
      <c r="F474" s="169"/>
      <c r="G474" s="171"/>
      <c r="H474" s="172"/>
      <c r="I474" s="172"/>
    </row>
    <row r="475" spans="1:9">
      <c r="A475" s="169"/>
      <c r="B475" s="167"/>
      <c r="C475" s="173"/>
      <c r="D475" s="170"/>
      <c r="E475" s="170"/>
      <c r="F475" s="169"/>
      <c r="G475" s="171"/>
      <c r="H475" s="172"/>
      <c r="I475" s="172"/>
    </row>
    <row r="476" spans="1:9">
      <c r="A476" s="169"/>
      <c r="B476" s="167"/>
      <c r="C476" s="173"/>
      <c r="D476" s="170"/>
      <c r="E476" s="170"/>
      <c r="F476" s="169"/>
      <c r="G476" s="171"/>
      <c r="H476" s="172"/>
      <c r="I476" s="172"/>
    </row>
    <row r="477" spans="1:9">
      <c r="A477" s="169"/>
      <c r="B477" s="167"/>
      <c r="C477" s="173"/>
      <c r="D477" s="170"/>
      <c r="E477" s="170"/>
      <c r="F477" s="169"/>
      <c r="G477" s="171"/>
      <c r="H477" s="172"/>
      <c r="I477" s="172"/>
    </row>
    <row r="478" spans="1:9">
      <c r="A478" s="169"/>
      <c r="B478" s="167"/>
      <c r="C478" s="173"/>
      <c r="D478" s="170"/>
      <c r="E478" s="170"/>
      <c r="F478" s="169"/>
      <c r="G478" s="171"/>
      <c r="H478" s="172"/>
      <c r="I478" s="172"/>
    </row>
    <row r="479" spans="1:9">
      <c r="A479" s="169"/>
      <c r="B479" s="167"/>
      <c r="C479" s="173"/>
      <c r="D479" s="170"/>
      <c r="E479" s="170"/>
      <c r="F479" s="169"/>
      <c r="G479" s="171"/>
      <c r="H479" s="172"/>
      <c r="I479" s="172"/>
    </row>
    <row r="480" spans="1:9">
      <c r="A480" s="169"/>
      <c r="B480" s="167"/>
      <c r="C480" s="173"/>
      <c r="D480" s="170"/>
      <c r="E480" s="170"/>
      <c r="F480" s="169"/>
      <c r="G480" s="171"/>
      <c r="H480" s="172"/>
      <c r="I480" s="172"/>
    </row>
    <row r="481" spans="1:9">
      <c r="A481" s="169"/>
      <c r="B481" s="167"/>
      <c r="C481" s="173"/>
      <c r="D481" s="170"/>
      <c r="E481" s="170"/>
      <c r="F481" s="169"/>
      <c r="G481" s="171"/>
      <c r="H481" s="172"/>
      <c r="I481" s="172"/>
    </row>
    <row r="482" spans="1:9">
      <c r="A482" s="169"/>
      <c r="B482" s="167"/>
      <c r="C482" s="173"/>
      <c r="D482" s="170"/>
      <c r="E482" s="170"/>
      <c r="F482" s="169"/>
      <c r="G482" s="171"/>
      <c r="H482" s="172"/>
      <c r="I482" s="172"/>
    </row>
    <row r="483" spans="1:9">
      <c r="A483" s="169"/>
      <c r="B483" s="167"/>
      <c r="C483" s="173"/>
      <c r="D483" s="170"/>
      <c r="E483" s="170"/>
      <c r="F483" s="169"/>
      <c r="G483" s="171"/>
      <c r="H483" s="172"/>
      <c r="I483" s="172"/>
    </row>
    <row r="484" spans="1:9">
      <c r="A484" s="169"/>
      <c r="B484" s="167"/>
      <c r="C484" s="173"/>
      <c r="D484" s="170"/>
      <c r="E484" s="170"/>
      <c r="F484" s="169"/>
      <c r="G484" s="171"/>
      <c r="H484" s="172"/>
      <c r="I484" s="172"/>
    </row>
    <row r="485" spans="1:9">
      <c r="A485" s="169"/>
      <c r="B485" s="167"/>
      <c r="C485" s="173"/>
      <c r="D485" s="170"/>
      <c r="E485" s="170"/>
      <c r="F485" s="169"/>
      <c r="G485" s="171"/>
      <c r="H485" s="172"/>
      <c r="I485" s="172"/>
    </row>
    <row r="486" spans="1:9">
      <c r="A486" s="169"/>
      <c r="B486" s="167"/>
      <c r="C486" s="173"/>
      <c r="D486" s="170"/>
      <c r="E486" s="170"/>
      <c r="F486" s="169"/>
      <c r="G486" s="171"/>
      <c r="H486" s="172"/>
      <c r="I486" s="172"/>
    </row>
    <row r="487" spans="1:9">
      <c r="A487" s="169"/>
      <c r="B487" s="167"/>
      <c r="C487" s="173"/>
      <c r="D487" s="170"/>
      <c r="E487" s="170"/>
      <c r="F487" s="169"/>
      <c r="G487" s="171"/>
      <c r="H487" s="172"/>
      <c r="I487" s="172"/>
    </row>
    <row r="488" spans="1:9">
      <c r="A488" s="169"/>
      <c r="B488" s="167"/>
      <c r="C488" s="173"/>
      <c r="D488" s="170"/>
      <c r="E488" s="170"/>
      <c r="F488" s="169"/>
      <c r="G488" s="171"/>
      <c r="H488" s="172"/>
      <c r="I488" s="172"/>
    </row>
    <row r="489" spans="1:9">
      <c r="A489" s="169"/>
      <c r="B489" s="167"/>
      <c r="C489" s="173"/>
      <c r="D489" s="170"/>
      <c r="E489" s="170"/>
      <c r="F489" s="169"/>
      <c r="G489" s="171"/>
      <c r="H489" s="172"/>
      <c r="I489" s="172"/>
    </row>
    <row r="490" spans="1:9">
      <c r="A490" s="169"/>
      <c r="B490" s="167"/>
      <c r="C490" s="173"/>
      <c r="D490" s="170"/>
      <c r="E490" s="170"/>
      <c r="F490" s="169"/>
      <c r="G490" s="171"/>
      <c r="H490" s="172"/>
      <c r="I490" s="172"/>
    </row>
    <row r="491" spans="1:9">
      <c r="A491" s="169"/>
      <c r="B491" s="167"/>
      <c r="C491" s="173"/>
      <c r="D491" s="170"/>
      <c r="E491" s="170"/>
      <c r="F491" s="169"/>
      <c r="G491" s="171"/>
      <c r="H491" s="172"/>
      <c r="I491" s="172"/>
    </row>
    <row r="492" spans="1:9">
      <c r="A492" s="169"/>
      <c r="B492" s="167"/>
      <c r="C492" s="173"/>
      <c r="D492" s="170"/>
      <c r="E492" s="170"/>
      <c r="F492" s="169"/>
      <c r="G492" s="171"/>
      <c r="H492" s="172"/>
      <c r="I492" s="172"/>
    </row>
    <row r="493" spans="1:9">
      <c r="A493" s="169"/>
      <c r="B493" s="167"/>
      <c r="C493" s="173"/>
      <c r="D493" s="170"/>
      <c r="E493" s="170"/>
      <c r="F493" s="169"/>
      <c r="G493" s="171"/>
      <c r="H493" s="172"/>
      <c r="I493" s="172"/>
    </row>
    <row r="494" spans="1:9">
      <c r="A494" s="169"/>
      <c r="B494" s="167"/>
      <c r="C494" s="173"/>
      <c r="D494" s="170"/>
      <c r="E494" s="170"/>
      <c r="F494" s="169"/>
      <c r="G494" s="171"/>
      <c r="H494" s="172"/>
      <c r="I494" s="172"/>
    </row>
    <row r="495" spans="1:9">
      <c r="A495" s="169"/>
      <c r="B495" s="167"/>
      <c r="C495" s="173"/>
      <c r="D495" s="170"/>
      <c r="E495" s="170"/>
      <c r="F495" s="169"/>
      <c r="G495" s="171"/>
      <c r="H495" s="172"/>
      <c r="I495" s="172"/>
    </row>
    <row r="496" spans="1:9">
      <c r="A496" s="169"/>
      <c r="B496" s="167"/>
      <c r="C496" s="173"/>
      <c r="D496" s="170"/>
      <c r="E496" s="170"/>
      <c r="F496" s="169"/>
      <c r="G496" s="171"/>
      <c r="H496" s="172"/>
      <c r="I496" s="172"/>
    </row>
    <row r="497" spans="1:9">
      <c r="A497" s="169"/>
      <c r="B497" s="167"/>
      <c r="C497" s="173"/>
      <c r="D497" s="170"/>
      <c r="E497" s="170"/>
      <c r="F497" s="169"/>
      <c r="G497" s="171"/>
      <c r="H497" s="172"/>
      <c r="I497" s="172"/>
    </row>
    <row r="498" spans="1:9">
      <c r="A498" s="169"/>
      <c r="B498" s="167"/>
      <c r="C498" s="173"/>
      <c r="D498" s="170"/>
      <c r="E498" s="170"/>
      <c r="F498" s="169"/>
      <c r="G498" s="171"/>
      <c r="H498" s="172"/>
      <c r="I498" s="172"/>
    </row>
    <row r="499" spans="1:9">
      <c r="A499" s="169"/>
      <c r="B499" s="167"/>
      <c r="C499" s="173"/>
      <c r="D499" s="170"/>
      <c r="E499" s="170"/>
      <c r="F499" s="169"/>
      <c r="G499" s="171"/>
      <c r="H499" s="172"/>
      <c r="I499" s="172"/>
    </row>
    <row r="500" spans="1:9">
      <c r="A500" s="169"/>
      <c r="B500" s="167"/>
      <c r="C500" s="173"/>
      <c r="D500" s="170"/>
      <c r="E500" s="170"/>
      <c r="F500" s="169"/>
      <c r="G500" s="171"/>
      <c r="H500" s="172"/>
      <c r="I500" s="172"/>
    </row>
    <row r="501" spans="1:9">
      <c r="A501" s="169"/>
      <c r="B501" s="167"/>
      <c r="C501" s="173"/>
      <c r="D501" s="170"/>
      <c r="E501" s="170"/>
      <c r="F501" s="169"/>
      <c r="G501" s="171"/>
      <c r="H501" s="172"/>
      <c r="I501" s="172"/>
    </row>
    <row r="502" spans="1:9">
      <c r="A502" s="169"/>
      <c r="B502" s="167"/>
      <c r="C502" s="173"/>
      <c r="D502" s="170"/>
      <c r="E502" s="170"/>
      <c r="F502" s="169"/>
      <c r="G502" s="171"/>
      <c r="H502" s="172"/>
      <c r="I502" s="172"/>
    </row>
    <row r="503" spans="1:9">
      <c r="A503" s="169"/>
      <c r="B503" s="167"/>
      <c r="C503" s="173"/>
      <c r="D503" s="170"/>
      <c r="E503" s="170"/>
      <c r="F503" s="169"/>
      <c r="G503" s="171"/>
      <c r="H503" s="172"/>
      <c r="I503" s="172"/>
    </row>
    <row r="504" spans="1:9">
      <c r="A504" s="169"/>
      <c r="B504" s="167"/>
      <c r="C504" s="173"/>
      <c r="D504" s="170"/>
      <c r="E504" s="170"/>
      <c r="F504" s="169"/>
      <c r="G504" s="171"/>
      <c r="H504" s="172"/>
      <c r="I504" s="172"/>
    </row>
    <row r="505" spans="1:9">
      <c r="A505" s="169"/>
      <c r="B505" s="167"/>
      <c r="C505" s="173"/>
      <c r="D505" s="170"/>
      <c r="E505" s="170"/>
      <c r="F505" s="169"/>
      <c r="G505" s="171"/>
      <c r="H505" s="172"/>
      <c r="I505" s="172"/>
    </row>
    <row r="506" spans="1:9">
      <c r="A506" s="169"/>
      <c r="B506" s="167"/>
      <c r="C506" s="173"/>
      <c r="D506" s="170"/>
      <c r="E506" s="170"/>
      <c r="F506" s="169"/>
      <c r="G506" s="171"/>
      <c r="H506" s="172"/>
      <c r="I506" s="172"/>
    </row>
    <row r="507" spans="1:9">
      <c r="A507" s="169"/>
      <c r="B507" s="167"/>
      <c r="C507" s="173"/>
      <c r="D507" s="170"/>
      <c r="E507" s="170"/>
      <c r="F507" s="169"/>
      <c r="G507" s="171"/>
      <c r="H507" s="172"/>
      <c r="I507" s="172"/>
    </row>
    <row r="508" spans="1:9">
      <c r="A508" s="169"/>
      <c r="B508" s="167"/>
      <c r="C508" s="173"/>
      <c r="D508" s="170"/>
      <c r="E508" s="170"/>
      <c r="F508" s="169"/>
      <c r="G508" s="171"/>
      <c r="H508" s="172"/>
      <c r="I508" s="172"/>
    </row>
    <row r="509" spans="1:9">
      <c r="A509" s="169"/>
      <c r="B509" s="167"/>
      <c r="C509" s="173"/>
      <c r="D509" s="170"/>
      <c r="E509" s="170"/>
      <c r="F509" s="169"/>
      <c r="G509" s="171"/>
      <c r="H509" s="172"/>
      <c r="I509" s="172"/>
    </row>
    <row r="510" spans="1:9">
      <c r="A510" s="169"/>
      <c r="B510" s="167"/>
      <c r="C510" s="173"/>
      <c r="D510" s="170"/>
      <c r="E510" s="170"/>
      <c r="F510" s="169"/>
      <c r="G510" s="171"/>
      <c r="H510" s="172"/>
      <c r="I510" s="172"/>
    </row>
    <row r="511" spans="1:9">
      <c r="A511" s="169"/>
      <c r="B511" s="167"/>
      <c r="C511" s="173"/>
      <c r="D511" s="170"/>
      <c r="E511" s="170"/>
      <c r="F511" s="169"/>
      <c r="G511" s="171"/>
      <c r="H511" s="172"/>
      <c r="I511" s="172"/>
    </row>
    <row r="512" spans="1:9">
      <c r="A512" s="169"/>
      <c r="B512" s="167"/>
      <c r="C512" s="173"/>
      <c r="D512" s="170"/>
      <c r="E512" s="170"/>
      <c r="F512" s="169"/>
      <c r="G512" s="171"/>
      <c r="H512" s="172"/>
      <c r="I512" s="172"/>
    </row>
    <row r="513" spans="1:9">
      <c r="A513" s="169"/>
      <c r="B513" s="167"/>
      <c r="C513" s="173"/>
      <c r="D513" s="170"/>
      <c r="E513" s="170"/>
      <c r="F513" s="169"/>
      <c r="G513" s="171"/>
      <c r="H513" s="172"/>
      <c r="I513" s="172"/>
    </row>
    <row r="514" spans="1:9">
      <c r="A514" s="169"/>
      <c r="B514" s="167"/>
      <c r="C514" s="173"/>
      <c r="D514" s="170"/>
      <c r="E514" s="170"/>
      <c r="F514" s="169"/>
      <c r="G514" s="171"/>
      <c r="H514" s="172"/>
      <c r="I514" s="172"/>
    </row>
    <row r="515" spans="1:9">
      <c r="A515" s="169"/>
      <c r="B515" s="167"/>
      <c r="C515" s="173"/>
      <c r="D515" s="170"/>
      <c r="E515" s="170"/>
      <c r="F515" s="169"/>
      <c r="G515" s="171"/>
      <c r="H515" s="172"/>
      <c r="I515" s="172"/>
    </row>
    <row r="516" spans="1:9">
      <c r="A516" s="169"/>
      <c r="B516" s="167"/>
      <c r="C516" s="173"/>
      <c r="D516" s="170"/>
      <c r="E516" s="170"/>
      <c r="F516" s="169"/>
      <c r="G516" s="171"/>
      <c r="H516" s="172"/>
      <c r="I516" s="172"/>
    </row>
    <row r="517" spans="1:9">
      <c r="A517" s="169"/>
      <c r="B517" s="167"/>
      <c r="C517" s="173"/>
      <c r="D517" s="170"/>
      <c r="E517" s="170"/>
      <c r="F517" s="169"/>
      <c r="G517" s="171"/>
      <c r="H517" s="172"/>
      <c r="I517" s="172"/>
    </row>
    <row r="518" spans="1:9">
      <c r="A518" s="169"/>
      <c r="B518" s="167"/>
      <c r="C518" s="173"/>
      <c r="D518" s="170"/>
      <c r="E518" s="170"/>
      <c r="F518" s="169"/>
      <c r="G518" s="171"/>
      <c r="H518" s="172"/>
      <c r="I518" s="172"/>
    </row>
    <row r="519" spans="1:9">
      <c r="A519" s="169"/>
      <c r="B519" s="167"/>
      <c r="C519" s="173"/>
      <c r="D519" s="170"/>
      <c r="E519" s="170"/>
      <c r="F519" s="169"/>
      <c r="G519" s="171"/>
      <c r="H519" s="172"/>
      <c r="I519" s="172"/>
    </row>
    <row r="520" spans="1:9">
      <c r="A520" s="169"/>
      <c r="B520" s="167"/>
      <c r="C520" s="173"/>
      <c r="D520" s="170"/>
      <c r="E520" s="170"/>
      <c r="F520" s="169"/>
      <c r="G520" s="171"/>
      <c r="H520" s="172"/>
      <c r="I520" s="172"/>
    </row>
    <row r="521" spans="1:9">
      <c r="A521" s="169"/>
      <c r="B521" s="167"/>
      <c r="C521" s="173"/>
      <c r="D521" s="170"/>
      <c r="E521" s="170"/>
      <c r="F521" s="169"/>
      <c r="G521" s="171"/>
      <c r="H521" s="172"/>
      <c r="I521" s="172"/>
    </row>
    <row r="522" spans="1:9">
      <c r="A522" s="169"/>
      <c r="B522" s="167"/>
      <c r="C522" s="173"/>
      <c r="D522" s="170"/>
      <c r="E522" s="170"/>
      <c r="F522" s="169"/>
      <c r="G522" s="171"/>
      <c r="H522" s="172"/>
      <c r="I522" s="172"/>
    </row>
    <row r="523" spans="1:9">
      <c r="A523" s="169"/>
      <c r="B523" s="167"/>
      <c r="C523" s="173"/>
      <c r="D523" s="170"/>
      <c r="E523" s="170"/>
      <c r="F523" s="169"/>
      <c r="G523" s="171"/>
      <c r="H523" s="172"/>
      <c r="I523" s="172"/>
    </row>
    <row r="524" spans="1:9">
      <c r="A524" s="169"/>
      <c r="B524" s="167"/>
      <c r="C524" s="173"/>
      <c r="D524" s="170"/>
      <c r="E524" s="170"/>
      <c r="F524" s="169"/>
      <c r="G524" s="171"/>
      <c r="H524" s="172"/>
      <c r="I524" s="172"/>
    </row>
    <row r="525" spans="1:9">
      <c r="A525" s="169"/>
      <c r="B525" s="167"/>
      <c r="C525" s="173"/>
      <c r="D525" s="170"/>
      <c r="E525" s="170"/>
      <c r="F525" s="169"/>
      <c r="G525" s="171"/>
      <c r="H525" s="172"/>
      <c r="I525" s="172"/>
    </row>
    <row r="526" spans="1:9">
      <c r="A526" s="169"/>
      <c r="B526" s="167"/>
      <c r="C526" s="173"/>
      <c r="D526" s="170"/>
      <c r="E526" s="170"/>
      <c r="F526" s="169"/>
      <c r="G526" s="171"/>
      <c r="H526" s="172"/>
      <c r="I526" s="172"/>
    </row>
    <row r="527" spans="1:9">
      <c r="A527" s="169"/>
      <c r="B527" s="167"/>
      <c r="C527" s="173"/>
      <c r="D527" s="170"/>
      <c r="E527" s="170"/>
      <c r="F527" s="169"/>
      <c r="G527" s="171"/>
      <c r="H527" s="172"/>
      <c r="I527" s="172"/>
    </row>
    <row r="528" spans="1:9">
      <c r="A528" s="169"/>
      <c r="B528" s="167"/>
      <c r="C528" s="173"/>
      <c r="D528" s="170"/>
      <c r="E528" s="170"/>
      <c r="F528" s="169"/>
      <c r="G528" s="171"/>
      <c r="H528" s="172"/>
      <c r="I528" s="172"/>
    </row>
    <row r="529" spans="1:9">
      <c r="A529" s="169"/>
      <c r="B529" s="167"/>
      <c r="C529" s="173"/>
      <c r="D529" s="170"/>
      <c r="E529" s="170"/>
      <c r="F529" s="169"/>
      <c r="G529" s="171"/>
      <c r="H529" s="172"/>
      <c r="I529" s="172"/>
    </row>
    <row r="530" spans="1:9">
      <c r="A530" s="169"/>
      <c r="B530" s="167"/>
      <c r="C530" s="173"/>
      <c r="D530" s="170"/>
      <c r="E530" s="170"/>
      <c r="F530" s="169"/>
      <c r="G530" s="171"/>
      <c r="H530" s="172"/>
      <c r="I530" s="172"/>
    </row>
    <row r="531" spans="1:9">
      <c r="A531" s="169"/>
      <c r="B531" s="167"/>
      <c r="C531" s="173"/>
      <c r="D531" s="170"/>
      <c r="E531" s="170"/>
      <c r="F531" s="169"/>
      <c r="G531" s="171"/>
      <c r="H531" s="172"/>
      <c r="I531" s="172"/>
    </row>
    <row r="532" spans="1:9">
      <c r="A532" s="169"/>
      <c r="B532" s="167"/>
      <c r="C532" s="173"/>
      <c r="D532" s="170"/>
      <c r="E532" s="170"/>
      <c r="F532" s="169"/>
      <c r="G532" s="171"/>
      <c r="H532" s="172"/>
      <c r="I532" s="172"/>
    </row>
    <row r="533" spans="1:9">
      <c r="A533" s="169"/>
      <c r="B533" s="167"/>
      <c r="C533" s="173"/>
      <c r="D533" s="170"/>
      <c r="E533" s="170"/>
      <c r="F533" s="169"/>
      <c r="G533" s="171"/>
      <c r="H533" s="172"/>
      <c r="I533" s="172"/>
    </row>
    <row r="534" spans="1:9">
      <c r="A534" s="169"/>
      <c r="B534" s="167"/>
      <c r="C534" s="173"/>
      <c r="D534" s="170"/>
      <c r="E534" s="170"/>
      <c r="F534" s="169"/>
      <c r="G534" s="171"/>
      <c r="H534" s="172"/>
      <c r="I534" s="172"/>
    </row>
    <row r="535" spans="1:9">
      <c r="A535" s="169"/>
      <c r="B535" s="167"/>
      <c r="C535" s="173"/>
      <c r="D535" s="170"/>
      <c r="E535" s="170"/>
      <c r="F535" s="169"/>
      <c r="G535" s="171"/>
      <c r="H535" s="172"/>
      <c r="I535" s="172"/>
    </row>
    <row r="536" spans="1:9">
      <c r="A536" s="169"/>
      <c r="B536" s="167"/>
      <c r="C536" s="173"/>
      <c r="D536" s="170"/>
      <c r="E536" s="170"/>
      <c r="F536" s="169"/>
      <c r="G536" s="171"/>
      <c r="H536" s="172"/>
      <c r="I536" s="172"/>
    </row>
    <row r="537" spans="1:9">
      <c r="A537" s="169"/>
      <c r="B537" s="167"/>
      <c r="C537" s="173"/>
      <c r="D537" s="170"/>
      <c r="E537" s="170"/>
      <c r="F537" s="169"/>
      <c r="G537" s="171"/>
      <c r="H537" s="172"/>
      <c r="I537" s="172"/>
    </row>
    <row r="538" spans="1:9">
      <c r="A538" s="169"/>
      <c r="B538" s="167"/>
      <c r="C538" s="173"/>
      <c r="D538" s="170"/>
      <c r="E538" s="170"/>
      <c r="F538" s="169"/>
      <c r="G538" s="171"/>
      <c r="H538" s="172"/>
      <c r="I538" s="172"/>
    </row>
    <row r="539" spans="1:9">
      <c r="A539" s="169"/>
      <c r="B539" s="167"/>
      <c r="C539" s="173"/>
      <c r="D539" s="170"/>
      <c r="E539" s="170"/>
      <c r="F539" s="169"/>
      <c r="G539" s="171"/>
      <c r="H539" s="172"/>
      <c r="I539" s="172"/>
    </row>
    <row r="540" spans="1:9">
      <c r="A540" s="169"/>
      <c r="B540" s="167"/>
      <c r="C540" s="173"/>
      <c r="D540" s="170"/>
      <c r="E540" s="170"/>
      <c r="F540" s="169"/>
      <c r="G540" s="171"/>
      <c r="H540" s="172"/>
      <c r="I540" s="172"/>
    </row>
    <row r="541" spans="1:9">
      <c r="A541" s="169"/>
      <c r="B541" s="167"/>
      <c r="C541" s="173"/>
      <c r="D541" s="170"/>
      <c r="E541" s="170"/>
      <c r="F541" s="169"/>
      <c r="G541" s="171"/>
      <c r="H541" s="172"/>
      <c r="I541" s="172"/>
    </row>
    <row r="542" spans="1:9">
      <c r="A542" s="169"/>
      <c r="B542" s="167"/>
      <c r="C542" s="173"/>
      <c r="D542" s="170"/>
      <c r="E542" s="170"/>
      <c r="F542" s="169"/>
      <c r="G542" s="171"/>
      <c r="H542" s="172"/>
      <c r="I542" s="172"/>
    </row>
    <row r="543" spans="1:9">
      <c r="A543" s="169"/>
      <c r="B543" s="167"/>
      <c r="C543" s="173"/>
      <c r="D543" s="170"/>
      <c r="E543" s="170"/>
      <c r="F543" s="169"/>
      <c r="G543" s="171"/>
      <c r="H543" s="172"/>
      <c r="I543" s="172"/>
    </row>
    <row r="544" spans="1:9">
      <c r="A544" s="169"/>
      <c r="B544" s="167"/>
      <c r="C544" s="173"/>
      <c r="D544" s="170"/>
      <c r="E544" s="170"/>
      <c r="F544" s="169"/>
      <c r="G544" s="171"/>
      <c r="H544" s="172"/>
      <c r="I544" s="172"/>
    </row>
    <row r="545" spans="1:9">
      <c r="A545" s="169"/>
      <c r="B545" s="167"/>
      <c r="C545" s="173"/>
      <c r="D545" s="170"/>
      <c r="E545" s="170"/>
      <c r="F545" s="169"/>
      <c r="G545" s="171"/>
      <c r="H545" s="172"/>
      <c r="I545" s="172"/>
    </row>
    <row r="546" spans="1:9">
      <c r="A546" s="169"/>
      <c r="B546" s="167"/>
      <c r="C546" s="173"/>
      <c r="D546" s="170"/>
      <c r="E546" s="170"/>
      <c r="F546" s="169"/>
      <c r="G546" s="171"/>
      <c r="H546" s="172"/>
      <c r="I546" s="172"/>
    </row>
    <row r="547" spans="1:9">
      <c r="A547" s="169"/>
      <c r="B547" s="167"/>
      <c r="C547" s="173"/>
      <c r="D547" s="170"/>
      <c r="E547" s="170"/>
      <c r="F547" s="169"/>
      <c r="G547" s="171"/>
      <c r="H547" s="172"/>
      <c r="I547" s="172"/>
    </row>
    <row r="548" spans="1:9">
      <c r="A548" s="169"/>
      <c r="B548" s="167"/>
      <c r="C548" s="173"/>
      <c r="D548" s="170"/>
      <c r="E548" s="170"/>
      <c r="F548" s="169"/>
      <c r="G548" s="171"/>
      <c r="H548" s="172"/>
      <c r="I548" s="172"/>
    </row>
    <row r="549" spans="1:9">
      <c r="A549" s="169"/>
      <c r="B549" s="167"/>
      <c r="C549" s="173"/>
      <c r="D549" s="170"/>
      <c r="E549" s="170"/>
      <c r="F549" s="169"/>
      <c r="G549" s="171"/>
      <c r="H549" s="172"/>
      <c r="I549" s="172"/>
    </row>
    <row r="550" spans="1:9">
      <c r="A550" s="169"/>
      <c r="B550" s="167"/>
      <c r="C550" s="173"/>
      <c r="D550" s="170"/>
      <c r="E550" s="170"/>
      <c r="F550" s="169"/>
      <c r="G550" s="171"/>
      <c r="H550" s="172"/>
      <c r="I550" s="172"/>
    </row>
    <row r="551" spans="1:9">
      <c r="A551" s="169"/>
      <c r="B551" s="167"/>
      <c r="C551" s="173"/>
      <c r="D551" s="170"/>
      <c r="E551" s="170"/>
      <c r="F551" s="169"/>
      <c r="G551" s="171"/>
      <c r="H551" s="172"/>
      <c r="I551" s="172"/>
    </row>
    <row r="552" spans="1:9">
      <c r="A552" s="169"/>
      <c r="B552" s="167"/>
      <c r="C552" s="173"/>
      <c r="D552" s="170"/>
      <c r="E552" s="170"/>
      <c r="F552" s="169"/>
      <c r="G552" s="171"/>
      <c r="H552" s="172"/>
      <c r="I552" s="172"/>
    </row>
    <row r="553" spans="1:9">
      <c r="A553" s="169"/>
      <c r="B553" s="167"/>
      <c r="C553" s="173"/>
      <c r="D553" s="170"/>
      <c r="E553" s="170"/>
      <c r="F553" s="169"/>
      <c r="G553" s="171"/>
      <c r="H553" s="172"/>
      <c r="I553" s="172"/>
    </row>
    <row r="554" spans="1:9">
      <c r="A554" s="169"/>
      <c r="B554" s="167"/>
      <c r="C554" s="173"/>
      <c r="D554" s="170"/>
      <c r="E554" s="170"/>
      <c r="F554" s="169"/>
      <c r="G554" s="171"/>
      <c r="H554" s="172"/>
      <c r="I554" s="172"/>
    </row>
    <row r="555" spans="1:9">
      <c r="A555" s="169"/>
      <c r="B555" s="167"/>
      <c r="C555" s="173"/>
      <c r="D555" s="170"/>
      <c r="E555" s="170"/>
      <c r="F555" s="169"/>
      <c r="G555" s="171"/>
      <c r="H555" s="172"/>
      <c r="I555" s="172"/>
    </row>
    <row r="556" spans="1:9">
      <c r="A556" s="169"/>
      <c r="B556" s="167"/>
      <c r="C556" s="173"/>
      <c r="D556" s="170"/>
      <c r="E556" s="170"/>
      <c r="F556" s="169"/>
      <c r="G556" s="171"/>
      <c r="H556" s="172"/>
      <c r="I556" s="172"/>
    </row>
    <row r="557" spans="1:9">
      <c r="A557" s="169"/>
      <c r="B557" s="167"/>
      <c r="C557" s="173"/>
      <c r="D557" s="170"/>
      <c r="E557" s="170"/>
      <c r="F557" s="169"/>
      <c r="G557" s="171"/>
      <c r="H557" s="172"/>
      <c r="I557" s="172"/>
    </row>
    <row r="558" spans="1:9">
      <c r="A558" s="169"/>
      <c r="B558" s="167"/>
      <c r="C558" s="173"/>
      <c r="D558" s="170"/>
      <c r="E558" s="170"/>
      <c r="F558" s="169"/>
      <c r="G558" s="171"/>
      <c r="H558" s="172"/>
      <c r="I558" s="172"/>
    </row>
    <row r="559" spans="1:9">
      <c r="A559" s="169"/>
      <c r="B559" s="167"/>
      <c r="C559" s="173"/>
      <c r="D559" s="170"/>
      <c r="E559" s="170"/>
      <c r="F559" s="169"/>
      <c r="G559" s="171"/>
      <c r="H559" s="172"/>
      <c r="I559" s="172"/>
    </row>
    <row r="560" spans="1:9">
      <c r="A560" s="169"/>
      <c r="B560" s="167"/>
      <c r="C560" s="173"/>
      <c r="D560" s="170"/>
      <c r="E560" s="170"/>
      <c r="F560" s="169"/>
      <c r="G560" s="171"/>
      <c r="H560" s="172"/>
      <c r="I560" s="172"/>
    </row>
    <row r="561" spans="1:9">
      <c r="A561" s="169"/>
      <c r="B561" s="167"/>
      <c r="C561" s="173"/>
      <c r="D561" s="170"/>
      <c r="E561" s="170"/>
      <c r="F561" s="169"/>
      <c r="G561" s="171"/>
      <c r="H561" s="172"/>
      <c r="I561" s="172"/>
    </row>
    <row r="562" spans="1:9">
      <c r="A562" s="169"/>
      <c r="B562" s="167"/>
      <c r="C562" s="173"/>
      <c r="D562" s="170"/>
      <c r="E562" s="170"/>
      <c r="F562" s="169"/>
      <c r="G562" s="171"/>
      <c r="H562" s="172"/>
      <c r="I562" s="172"/>
    </row>
    <row r="563" spans="1:9">
      <c r="A563" s="169"/>
      <c r="B563" s="167"/>
      <c r="C563" s="173"/>
      <c r="D563" s="170"/>
      <c r="E563" s="170"/>
      <c r="F563" s="169"/>
      <c r="G563" s="171"/>
      <c r="H563" s="172"/>
      <c r="I563" s="172"/>
    </row>
    <row r="564" spans="1:9">
      <c r="A564" s="169"/>
      <c r="B564" s="167"/>
      <c r="C564" s="173"/>
      <c r="D564" s="170"/>
      <c r="E564" s="170"/>
      <c r="F564" s="169"/>
      <c r="G564" s="171"/>
      <c r="H564" s="172"/>
      <c r="I564" s="172"/>
    </row>
    <row r="565" spans="1:9">
      <c r="A565" s="169"/>
      <c r="B565" s="167"/>
      <c r="C565" s="173"/>
      <c r="D565" s="170"/>
      <c r="E565" s="170"/>
      <c r="F565" s="169"/>
      <c r="G565" s="171"/>
      <c r="H565" s="172"/>
      <c r="I565" s="172"/>
    </row>
    <row r="566" spans="1:9">
      <c r="A566" s="169"/>
      <c r="B566" s="167"/>
      <c r="C566" s="173"/>
      <c r="D566" s="170"/>
      <c r="E566" s="170"/>
      <c r="F566" s="169"/>
      <c r="G566" s="171"/>
      <c r="H566" s="172"/>
      <c r="I566" s="172"/>
    </row>
    <row r="567" spans="1:9">
      <c r="A567" s="169"/>
      <c r="B567" s="167"/>
      <c r="C567" s="173"/>
      <c r="D567" s="170"/>
      <c r="E567" s="170"/>
      <c r="F567" s="169"/>
      <c r="G567" s="171"/>
      <c r="H567" s="172"/>
      <c r="I567" s="172"/>
    </row>
    <row r="568" spans="1:9">
      <c r="A568" s="169"/>
      <c r="B568" s="167"/>
      <c r="C568" s="173"/>
      <c r="D568" s="170"/>
      <c r="E568" s="170"/>
      <c r="F568" s="169"/>
      <c r="G568" s="171"/>
      <c r="H568" s="172"/>
      <c r="I568" s="172"/>
    </row>
    <row r="569" spans="1:9">
      <c r="A569" s="169"/>
      <c r="B569" s="167"/>
      <c r="C569" s="173"/>
      <c r="D569" s="170"/>
      <c r="E569" s="170"/>
      <c r="F569" s="169"/>
      <c r="G569" s="171"/>
      <c r="H569" s="172"/>
      <c r="I569" s="172"/>
    </row>
    <row r="570" spans="1:9">
      <c r="A570" s="169"/>
      <c r="B570" s="167"/>
      <c r="C570" s="173"/>
      <c r="D570" s="170"/>
      <c r="E570" s="170"/>
      <c r="F570" s="169"/>
      <c r="G570" s="171"/>
      <c r="H570" s="172"/>
      <c r="I570" s="172"/>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B101"/>
  <sheetViews>
    <sheetView workbookViewId="0"/>
  </sheetViews>
  <sheetFormatPr defaultColWidth="9" defaultRowHeight="13.2"/>
  <cols>
    <col min="1" max="1" width="24.59765625" style="198" bestFit="1" customWidth="1"/>
    <col min="2" max="2" width="4.5" style="199" bestFit="1" customWidth="1"/>
    <col min="3" max="3" width="9" style="198"/>
    <col min="4" max="4" width="7.8984375" style="198" bestFit="1" customWidth="1"/>
    <col min="5" max="16384" width="9" style="198"/>
  </cols>
  <sheetData>
    <row r="1" spans="1:2">
      <c r="A1" s="168" t="s">
        <v>142</v>
      </c>
      <c r="B1" s="168" t="s">
        <v>177</v>
      </c>
    </row>
    <row r="2" spans="1:2">
      <c r="A2" s="218" t="s">
        <v>176</v>
      </c>
      <c r="B2" s="199">
        <v>3</v>
      </c>
    </row>
    <row r="3" spans="1:2">
      <c r="A3" s="198" t="s">
        <v>175</v>
      </c>
      <c r="B3" s="199">
        <v>1</v>
      </c>
    </row>
    <row r="4" spans="1:2">
      <c r="A4" s="198" t="s">
        <v>174</v>
      </c>
      <c r="B4" s="199">
        <v>1</v>
      </c>
    </row>
    <row r="101" spans="1:1">
      <c r="A101" s="168" t="s">
        <v>143</v>
      </c>
    </row>
  </sheetData>
  <phoneticPr fontId="4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H997"/>
  <sheetViews>
    <sheetView workbookViewId="0">
      <selection activeCell="AD17" sqref="AD17"/>
    </sheetView>
  </sheetViews>
  <sheetFormatPr defaultColWidth="9" defaultRowHeight="12"/>
  <cols>
    <col min="1" max="1" width="6.19921875" style="137" customWidth="1"/>
    <col min="2" max="2" width="7.69921875" style="137" bestFit="1" customWidth="1"/>
    <col min="3" max="3" width="8.296875" style="138" bestFit="1" customWidth="1"/>
    <col min="4" max="4" width="8.3984375" style="138" customWidth="1"/>
    <col min="5" max="5" width="4.5" style="139" customWidth="1"/>
    <col min="6" max="6" width="4" style="139" bestFit="1" customWidth="1"/>
    <col min="7" max="7" width="6.3984375" style="140" bestFit="1" customWidth="1"/>
    <col min="8" max="8" width="6.5" style="140" bestFit="1" customWidth="1"/>
    <col min="9" max="9" width="6.5" style="141" bestFit="1" customWidth="1"/>
    <col min="10" max="10" width="7.8984375" style="141" bestFit="1" customWidth="1"/>
    <col min="11" max="12" width="7.59765625" style="141" customWidth="1"/>
    <col min="13" max="13" width="15.69921875" style="138" bestFit="1" customWidth="1"/>
    <col min="14" max="14" width="15.69921875" style="141" bestFit="1" customWidth="1"/>
    <col min="15" max="15" width="11.796875" style="142" customWidth="1"/>
    <col min="16" max="16" width="8.3984375" style="143" bestFit="1" customWidth="1"/>
    <col min="17" max="17" width="8.59765625" style="144" customWidth="1"/>
    <col min="18" max="18" width="7.59765625" style="143" customWidth="1"/>
    <col min="19" max="19" width="6.19921875" style="145" customWidth="1"/>
    <col min="20" max="20" width="5.8984375" style="146" bestFit="1" customWidth="1"/>
    <col min="21" max="21" width="8.5" style="144" customWidth="1"/>
    <col min="22" max="22" width="6.5" style="147" hidden="1" customWidth="1"/>
    <col min="23" max="23" width="5.3984375" style="147" hidden="1" customWidth="1"/>
    <col min="24" max="24" width="6.69921875" style="148" customWidth="1"/>
    <col min="25" max="25" width="7.5" style="143" customWidth="1"/>
    <col min="26" max="26" width="9.5" style="149" hidden="1" customWidth="1"/>
    <col min="27" max="27" width="10.09765625" style="149" hidden="1" customWidth="1"/>
    <col min="28" max="28" width="39.59765625" style="150" customWidth="1"/>
    <col min="29" max="29" width="40" style="150" customWidth="1"/>
    <col min="30" max="30" width="21.19921875" style="150" customWidth="1"/>
    <col min="31" max="16384" width="9" style="150"/>
  </cols>
  <sheetData>
    <row r="1" spans="1:34" s="87" customFormat="1" ht="18" customHeight="1">
      <c r="A1" s="239" t="s">
        <v>97</v>
      </c>
      <c r="B1" s="239"/>
      <c r="C1" s="239"/>
      <c r="D1" s="240"/>
      <c r="E1" s="75"/>
      <c r="F1" s="75"/>
      <c r="G1" s="76"/>
      <c r="H1" s="76"/>
      <c r="I1" s="77"/>
      <c r="K1" s="184" t="s">
        <v>145</v>
      </c>
      <c r="N1" s="79"/>
      <c r="O1" s="80"/>
      <c r="P1" s="81"/>
      <c r="Q1" s="82"/>
      <c r="R1" s="81"/>
      <c r="S1" s="83"/>
      <c r="T1" s="84"/>
      <c r="U1" s="82"/>
      <c r="V1" s="75" t="s">
        <v>11</v>
      </c>
      <c r="W1" s="75" t="s">
        <v>12</v>
      </c>
      <c r="X1" s="85"/>
      <c r="Y1" s="183"/>
      <c r="Z1" s="77"/>
      <c r="AA1" s="77"/>
      <c r="AB1" s="86"/>
      <c r="AC1" s="86"/>
    </row>
    <row r="2" spans="1:34" s="87" customFormat="1" ht="17.25" customHeight="1">
      <c r="A2" s="88" t="s">
        <v>81</v>
      </c>
      <c r="B2" s="88"/>
      <c r="C2" s="89"/>
      <c r="D2" s="177">
        <f>ROUNDDOWN(D6*D5/D4*0.1,2)</f>
        <v>0</v>
      </c>
      <c r="E2" s="233"/>
      <c r="F2" s="246"/>
      <c r="G2" s="246"/>
      <c r="H2" s="246"/>
      <c r="I2" s="246"/>
      <c r="J2" s="246"/>
      <c r="K2" s="246"/>
      <c r="L2" s="246"/>
      <c r="M2" s="246"/>
      <c r="N2" s="246"/>
      <c r="O2" s="246"/>
      <c r="P2" s="246"/>
      <c r="Q2" s="246"/>
      <c r="R2" s="81"/>
      <c r="S2" s="83"/>
      <c r="T2" s="84"/>
      <c r="U2" s="82"/>
      <c r="V2" s="75"/>
      <c r="W2" s="75"/>
      <c r="X2" s="85"/>
      <c r="Y2" s="81"/>
      <c r="Z2" s="77"/>
      <c r="AA2" s="77"/>
      <c r="AB2" s="86"/>
      <c r="AC2" s="86"/>
    </row>
    <row r="3" spans="1:34" s="87" customFormat="1" ht="14.25" customHeight="1">
      <c r="A3" s="88" t="s">
        <v>85</v>
      </c>
      <c r="B3" s="88"/>
      <c r="C3" s="89"/>
      <c r="D3" s="90">
        <v>10</v>
      </c>
      <c r="E3" s="233" t="s">
        <v>86</v>
      </c>
      <c r="F3" s="234"/>
      <c r="G3" s="234"/>
      <c r="H3" s="234"/>
      <c r="I3" s="234"/>
      <c r="J3" s="234"/>
      <c r="K3" s="234"/>
      <c r="L3" s="234"/>
      <c r="M3" s="234"/>
      <c r="N3" s="234"/>
      <c r="O3" s="234"/>
      <c r="P3" s="234"/>
      <c r="Q3" s="234"/>
      <c r="R3" s="81"/>
      <c r="S3" s="83"/>
      <c r="T3" s="84"/>
      <c r="U3" s="82"/>
      <c r="V3" s="75"/>
      <c r="W3" s="75"/>
      <c r="X3" s="85"/>
      <c r="Y3" s="81"/>
      <c r="Z3" s="77"/>
      <c r="AA3" s="77"/>
      <c r="AB3" s="86"/>
      <c r="AC3" s="86"/>
    </row>
    <row r="4" spans="1:34" s="87" customFormat="1" ht="14.25" customHeight="1">
      <c r="A4" s="90" t="s">
        <v>135</v>
      </c>
      <c r="B4" s="90"/>
      <c r="C4" s="89"/>
      <c r="D4" s="176">
        <v>50</v>
      </c>
      <c r="E4" s="92" t="s">
        <v>77</v>
      </c>
      <c r="F4" s="91"/>
      <c r="G4" s="93"/>
      <c r="H4" s="93"/>
      <c r="I4" s="251">
        <f>'Account Log'!F3-'Account Log'!F4</f>
        <v>200</v>
      </c>
      <c r="J4" s="251"/>
      <c r="K4" s="251"/>
      <c r="L4" s="95" t="s">
        <v>25</v>
      </c>
      <c r="M4" s="78"/>
      <c r="N4" s="96">
        <f>X996</f>
        <v>0</v>
      </c>
      <c r="O4" s="92" t="s">
        <v>159</v>
      </c>
      <c r="P4" s="97">
        <f>IF(U4&gt;I4,I8/U4,I8/I4)</f>
        <v>0</v>
      </c>
      <c r="Q4" s="98" t="s">
        <v>30</v>
      </c>
      <c r="R4" s="99"/>
      <c r="S4" s="235"/>
      <c r="T4" s="236"/>
      <c r="U4" s="237"/>
      <c r="V4" s="238"/>
      <c r="W4" s="238"/>
      <c r="X4" s="238"/>
      <c r="Y4" s="81"/>
      <c r="Z4" s="77"/>
      <c r="AA4" s="77"/>
      <c r="AC4" s="86"/>
    </row>
    <row r="5" spans="1:34" s="87" customFormat="1" ht="14.25" customHeight="1">
      <c r="A5" s="88" t="s">
        <v>82</v>
      </c>
      <c r="B5" s="88"/>
      <c r="C5" s="100"/>
      <c r="D5" s="178">
        <v>0.01</v>
      </c>
      <c r="E5" s="92" t="s">
        <v>83</v>
      </c>
      <c r="F5" s="92"/>
      <c r="G5" s="101"/>
      <c r="H5" s="101"/>
      <c r="I5" s="251">
        <f>I4+T995</f>
        <v>200</v>
      </c>
      <c r="J5" s="251"/>
      <c r="K5" s="251"/>
      <c r="L5" s="94" t="s">
        <v>26</v>
      </c>
      <c r="M5" s="102"/>
      <c r="N5" s="96">
        <f>X997</f>
        <v>0</v>
      </c>
      <c r="O5" s="205" t="s">
        <v>136</v>
      </c>
      <c r="P5" s="103">
        <f>IF(V995=0,0,V995/(V995+W995))</f>
        <v>0</v>
      </c>
      <c r="Q5" s="98" t="s">
        <v>31</v>
      </c>
      <c r="R5" s="81"/>
      <c r="S5" s="83"/>
      <c r="T5" s="84"/>
      <c r="U5" s="82"/>
      <c r="V5" s="75"/>
      <c r="W5" s="75"/>
      <c r="X5" s="85"/>
      <c r="Y5" s="81"/>
      <c r="Z5" s="77"/>
      <c r="AA5" s="77"/>
      <c r="AB5" s="86"/>
      <c r="AC5" s="86"/>
    </row>
    <row r="6" spans="1:34" s="87" customFormat="1" ht="15" customHeight="1">
      <c r="A6" s="88" t="s">
        <v>84</v>
      </c>
      <c r="B6" s="88"/>
      <c r="C6" s="100"/>
      <c r="D6" s="90">
        <f>I5</f>
        <v>200</v>
      </c>
      <c r="E6" s="92" t="s">
        <v>22</v>
      </c>
      <c r="F6" s="92"/>
      <c r="G6" s="101"/>
      <c r="H6" s="101"/>
      <c r="I6" s="231">
        <f>T996</f>
        <v>0</v>
      </c>
      <c r="J6" s="231"/>
      <c r="K6" s="232"/>
      <c r="L6" s="94" t="s">
        <v>27</v>
      </c>
      <c r="M6" s="102"/>
      <c r="N6" s="96">
        <f>X995</f>
        <v>0</v>
      </c>
      <c r="O6" s="92" t="s">
        <v>48</v>
      </c>
      <c r="P6" s="104">
        <f>IF(V995=0,0,W995/(V995+W995))</f>
        <v>0</v>
      </c>
      <c r="Q6" s="98" t="s">
        <v>31</v>
      </c>
      <c r="R6" s="81"/>
      <c r="S6" s="83"/>
      <c r="T6" s="84"/>
      <c r="U6" s="82"/>
      <c r="V6" s="75"/>
      <c r="W6" s="75"/>
      <c r="X6" s="85"/>
      <c r="Y6" s="81"/>
      <c r="Z6" s="77"/>
      <c r="AA6" s="77"/>
      <c r="AB6" s="86"/>
      <c r="AC6" s="86"/>
    </row>
    <row r="7" spans="1:34" s="87" customFormat="1" ht="12.75" customHeight="1">
      <c r="A7" s="247" t="s">
        <v>139</v>
      </c>
      <c r="B7" s="248"/>
      <c r="C7" s="249"/>
      <c r="D7" s="250"/>
      <c r="E7" s="92" t="s">
        <v>23</v>
      </c>
      <c r="F7" s="91"/>
      <c r="G7" s="93"/>
      <c r="H7" s="93"/>
      <c r="I7" s="231">
        <f>T997</f>
        <v>0</v>
      </c>
      <c r="J7" s="231"/>
      <c r="K7" s="232"/>
      <c r="L7" s="105" t="s">
        <v>119</v>
      </c>
      <c r="M7" s="78"/>
      <c r="N7" s="181" t="str">
        <f>IF(MAX(X12:X994)&gt;0,MAX(X12:X994),"")</f>
        <v/>
      </c>
      <c r="O7" s="105" t="s">
        <v>137</v>
      </c>
      <c r="P7" s="78"/>
      <c r="Q7" s="181" t="str">
        <f>IF(COUNTIF(X12:X994,"&gt;0")&gt;0,SUMIF(X12:X994,"&gt;0")/COUNTIF(X12:X994,"&gt;0"),"")</f>
        <v/>
      </c>
      <c r="R7" s="81"/>
      <c r="S7" s="83"/>
      <c r="T7" s="84"/>
      <c r="U7" s="82"/>
      <c r="V7" s="75"/>
      <c r="W7" s="75"/>
      <c r="X7" s="85"/>
      <c r="Y7" s="81"/>
      <c r="Z7" s="77"/>
      <c r="AA7" s="77"/>
      <c r="AB7" s="86"/>
      <c r="AC7" s="86"/>
    </row>
    <row r="8" spans="1:34" s="87" customFormat="1" ht="14.25" customHeight="1">
      <c r="A8" s="241" t="s">
        <v>140</v>
      </c>
      <c r="B8" s="242"/>
      <c r="C8" s="243"/>
      <c r="D8" s="244"/>
      <c r="E8" s="92" t="s">
        <v>24</v>
      </c>
      <c r="F8" s="91"/>
      <c r="G8" s="93"/>
      <c r="H8" s="93"/>
      <c r="I8" s="231">
        <f>T995</f>
        <v>0</v>
      </c>
      <c r="J8" s="231"/>
      <c r="K8" s="245"/>
      <c r="L8" s="105" t="s">
        <v>120</v>
      </c>
      <c r="M8" s="78"/>
      <c r="N8" s="180" t="str">
        <f>IF(MIN(X12:X994)&lt;0,MIN(X12:X994),"")</f>
        <v/>
      </c>
      <c r="O8" s="105" t="s">
        <v>138</v>
      </c>
      <c r="P8" s="78"/>
      <c r="Q8" s="180" t="str">
        <f>IF(COUNTIF(X13:X995,"&lt;0")&gt;0,SUMIF(X13:X995,"&lt;0")/COUNTIF(X13:X995,"&lt;0"),"")</f>
        <v/>
      </c>
      <c r="R8" s="81"/>
      <c r="S8" s="83"/>
      <c r="T8" s="84"/>
      <c r="U8" s="82"/>
      <c r="V8" s="75"/>
      <c r="W8" s="75"/>
      <c r="X8" s="85"/>
      <c r="Y8" s="81"/>
      <c r="Z8" s="77"/>
      <c r="AA8" s="77"/>
      <c r="AB8" s="86"/>
      <c r="AC8" s="86"/>
    </row>
    <row r="9" spans="1:34" s="87" customFormat="1" ht="13.5" customHeight="1">
      <c r="A9" s="241" t="s">
        <v>141</v>
      </c>
      <c r="B9" s="242"/>
      <c r="C9" s="243"/>
      <c r="D9" s="244"/>
      <c r="E9" s="179" t="s">
        <v>172</v>
      </c>
      <c r="F9" s="75"/>
      <c r="G9" s="76"/>
      <c r="H9" s="76"/>
      <c r="L9" s="77"/>
      <c r="M9" s="78"/>
      <c r="N9" s="79"/>
      <c r="O9" s="80"/>
      <c r="P9" s="81"/>
      <c r="Q9" s="82"/>
      <c r="R9" s="81"/>
      <c r="S9" s="83"/>
      <c r="T9" s="84"/>
      <c r="U9" s="82"/>
      <c r="V9" s="75"/>
      <c r="W9" s="75"/>
      <c r="X9" s="85"/>
      <c r="Y9" s="81"/>
      <c r="Z9" s="77"/>
      <c r="AA9" s="77"/>
      <c r="AB9" s="86"/>
      <c r="AC9" s="86"/>
    </row>
    <row r="10" spans="1:34" s="121" customFormat="1" ht="18" customHeight="1">
      <c r="A10" s="182" t="s">
        <v>147</v>
      </c>
      <c r="B10" s="182"/>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29" t="s">
        <v>153</v>
      </c>
      <c r="AC10" s="230"/>
      <c r="AD10" s="201"/>
      <c r="AE10" s="201"/>
      <c r="AF10" s="201"/>
      <c r="AG10" s="201"/>
      <c r="AH10" s="201"/>
    </row>
    <row r="11" spans="1:34" s="136" customFormat="1" ht="37.5" customHeight="1">
      <c r="A11" s="212" t="s">
        <v>162</v>
      </c>
      <c r="B11" s="212" t="s">
        <v>161</v>
      </c>
      <c r="C11" s="174" t="s">
        <v>157</v>
      </c>
      <c r="D11" s="122" t="s">
        <v>107</v>
      </c>
      <c r="E11" s="124" t="s">
        <v>1</v>
      </c>
      <c r="F11" s="124" t="s">
        <v>2</v>
      </c>
      <c r="G11" s="125" t="s">
        <v>92</v>
      </c>
      <c r="H11" s="125" t="s">
        <v>108</v>
      </c>
      <c r="I11" s="126" t="s">
        <v>95</v>
      </c>
      <c r="J11" s="126" t="s">
        <v>109</v>
      </c>
      <c r="K11" s="126" t="s">
        <v>15</v>
      </c>
      <c r="L11" s="126" t="s">
        <v>144</v>
      </c>
      <c r="M11" s="123" t="s">
        <v>121</v>
      </c>
      <c r="N11" s="127" t="s">
        <v>122</v>
      </c>
      <c r="O11" s="126" t="s">
        <v>3</v>
      </c>
      <c r="P11" s="128" t="s">
        <v>5</v>
      </c>
      <c r="Q11" s="129" t="s">
        <v>158</v>
      </c>
      <c r="R11" s="128" t="s">
        <v>16</v>
      </c>
      <c r="S11" s="130" t="s">
        <v>6</v>
      </c>
      <c r="T11" s="131" t="s">
        <v>7</v>
      </c>
      <c r="U11" s="129" t="s">
        <v>17</v>
      </c>
      <c r="V11" s="132" t="s">
        <v>9</v>
      </c>
      <c r="W11" s="132" t="s">
        <v>10</v>
      </c>
      <c r="X11" s="133" t="s">
        <v>13</v>
      </c>
      <c r="Y11" s="134" t="s">
        <v>8</v>
      </c>
      <c r="Z11" s="135" t="s">
        <v>32</v>
      </c>
      <c r="AA11" s="135" t="s">
        <v>33</v>
      </c>
      <c r="AB11" s="200" t="s">
        <v>149</v>
      </c>
      <c r="AC11" s="200" t="s">
        <v>143</v>
      </c>
      <c r="AD11" s="200" t="s">
        <v>166</v>
      </c>
    </row>
    <row r="12" spans="1:34" ht="11.4">
      <c r="A12" s="211" t="str">
        <f>IF(C12="","",1)</f>
        <v/>
      </c>
      <c r="B12" s="211"/>
      <c r="C12" s="185"/>
      <c r="D12" s="186"/>
      <c r="E12" s="186"/>
      <c r="F12" s="186" t="str">
        <f t="shared" ref="F12" si="0">IF(A12&lt;&gt;"",$D$2,"")</f>
        <v/>
      </c>
      <c r="G12" s="187"/>
      <c r="H12" s="188"/>
      <c r="I12" s="189" t="str">
        <f t="shared" ref="I12" si="1">IF(H12="","",IF(E12="L",H12+$D$4*0.0001,H12-$D$4*0.0001))</f>
        <v/>
      </c>
      <c r="J12" s="189" t="str">
        <f t="shared" ref="J12" si="2">IF(AND(H12&lt;&gt;"",I12&lt;&gt;""),IF(E12="L",I12+(I12-H12)*3,I12-(H12-I12)*3),"")</f>
        <v/>
      </c>
      <c r="K12" s="190" t="str">
        <f t="shared" ref="K12" si="3">IF(AND(E12&lt;&gt;"",AND(I12&lt;&gt;"",J12&lt;&gt;"")),IF(E12="L",(J12-I12)*IF(I12&gt;10,IF(SEARCH("JPY",D12),10,100),10000),(I12-J12)*IF(I12&gt;10,IF(SEARCH("JPY",D12),10,100),10000)),"")</f>
        <v/>
      </c>
      <c r="L12" s="190" t="str">
        <f t="shared" ref="L12" si="4">IF(AND(E12&lt;&gt;"",AND(H12&lt;&gt;"",I12&lt;&gt;"")),IF(E12="L",(I12-H12)*IF(I12&gt;10,IF(SEARCH("JPY",D12),10,100),10000),(H12-I12)*IF(I12&gt;10,IF(SEARCH("JPY",D12),10,100),10000)),"")</f>
        <v/>
      </c>
      <c r="M12" s="214"/>
      <c r="N12" s="214"/>
      <c r="O12" s="189" t="str">
        <f>IF(H12&lt;&gt;"",H12, "")</f>
        <v/>
      </c>
      <c r="P12" s="191" t="str">
        <f t="shared" ref="P12:P75" si="5">IF(O12="","",IF(L12*F12*G12=0,0,L12*F12*G12))</f>
        <v/>
      </c>
      <c r="Q12" s="192" t="str">
        <f>IF(P12="","",IF(P12=0,0,P12/$I$4))</f>
        <v/>
      </c>
      <c r="R12" s="191" t="str">
        <f t="shared" ref="R12:R75" si="6">IF(O12&lt;&gt;"",IF(K12*F12*G12=0,"",K12*F12*G12),"")</f>
        <v/>
      </c>
      <c r="S12" s="193" t="str">
        <f>IF(P12="","",IF(P12=0,0,R12/P12))</f>
        <v/>
      </c>
      <c r="T12" s="194" t="str">
        <f t="shared" ref="T12:T75" si="7">IF(X12="","",X12*F12*G12)</f>
        <v/>
      </c>
      <c r="U12" s="192" t="str">
        <f>IF(T12="","",IF($I$4="","",T12/$I$4))</f>
        <v/>
      </c>
      <c r="V12" s="195" t="str">
        <f t="shared" ref="V12:V75" si="8">IF(O12="","",IF(AND(O12&gt;I12,E12="L"),1, IF(AND(I12&gt;O12,E12="S"),1,0)))</f>
        <v/>
      </c>
      <c r="W12" s="195" t="str">
        <f t="shared" ref="W12:W75" si="9">IF(O12="","",IF(AND(O12&lt;I12,E12="L"),1, IF(AND(I12&lt;O12,E12="S"),1,0)))</f>
        <v/>
      </c>
      <c r="X12" s="196" t="str">
        <f>IF((O12=""),"",IF(E12="L",1,-1)*(O12-I12)*IF(O12&gt;10,IF(SEARCH("JPY",D12),10,100),10000))</f>
        <v/>
      </c>
      <c r="Y12" s="191" t="str">
        <f>IF(I4="","",IF(T12="","",I4+T12))</f>
        <v/>
      </c>
      <c r="Z12" s="197" t="str">
        <f t="shared" ref="Z12:Z75" si="10">IF(M12="","",MONTH(M12))</f>
        <v/>
      </c>
      <c r="AA12" s="197" t="str">
        <f t="shared" ref="AA12:AA75" si="11">IF(M12="","",YEAR(M12))</f>
        <v/>
      </c>
      <c r="AB12" s="213"/>
      <c r="AC12" s="204" t="s">
        <v>173</v>
      </c>
      <c r="AD12" s="150" t="s">
        <v>167</v>
      </c>
    </row>
    <row r="13" spans="1:34" ht="11.4">
      <c r="A13" s="211" t="str">
        <f>IF(C13="","",A12+1)</f>
        <v/>
      </c>
      <c r="B13" s="211"/>
      <c r="C13" s="185"/>
      <c r="D13" s="186"/>
      <c r="E13" s="186"/>
      <c r="F13" s="186" t="str">
        <f t="shared" ref="F13:F23" si="12">IF(A13&lt;&gt;"",$D$2,"")</f>
        <v/>
      </c>
      <c r="G13" s="187"/>
      <c r="H13" s="188"/>
      <c r="I13" s="189" t="str">
        <f t="shared" ref="I13:I24" si="13">IF(H13="","",IF(E13="L",H13+$D$4*0.0001,H13-$D$4*0.0001))</f>
        <v/>
      </c>
      <c r="J13" s="189" t="str">
        <f t="shared" ref="J13:J24" si="14">IF(AND(H13&lt;&gt;"",I13&lt;&gt;""),IF(E13="L",I13+(I13-H13)*3,I13-(H13-I13)*3),"")</f>
        <v/>
      </c>
      <c r="K13" s="190" t="str">
        <f t="shared" ref="K13:K24" si="15">IF(AND(E13&lt;&gt;"",AND(I13&lt;&gt;"",J13&lt;&gt;"")),IF(E13="L",(J13-I13)*IF(I13&gt;10,IF(SEARCH("JPY",D13),10,100),10000),(I13-J13)*IF(I13&gt;10,IF(SEARCH("JPY",D13),10,100),10000)),"")</f>
        <v/>
      </c>
      <c r="L13" s="190" t="str">
        <f t="shared" ref="L13:L24" si="16">IF(AND(E13&lt;&gt;"",AND(H13&lt;&gt;"",I13&lt;&gt;"")),IF(E13="L",(I13-H13)*IF(I13&gt;10,IF(SEARCH("JPY",D13),10,100),10000),(H13-I13)*IF(I13&gt;10,IF(SEARCH("JPY",D13),10,100),10000)),"")</f>
        <v/>
      </c>
      <c r="M13" s="214"/>
      <c r="N13" s="214"/>
      <c r="O13" s="189" t="str">
        <f t="shared" ref="O13:O24" si="17">IF(H13&lt;&gt;"",H13, "")</f>
        <v/>
      </c>
      <c r="P13" s="191" t="str">
        <f t="shared" si="5"/>
        <v/>
      </c>
      <c r="Q13" s="192" t="str">
        <f t="shared" ref="Q13:Q76" si="18">IF(P13="","",IF(P13=0,0,P13/$I$4))</f>
        <v/>
      </c>
      <c r="R13" s="191" t="str">
        <f t="shared" si="6"/>
        <v/>
      </c>
      <c r="S13" s="193" t="str">
        <f t="shared" ref="S13:S76" si="19">IF(P13="","",IF(P13=0,0,R13/P13))</f>
        <v/>
      </c>
      <c r="T13" s="194" t="str">
        <f t="shared" si="7"/>
        <v/>
      </c>
      <c r="U13" s="192" t="str">
        <f t="shared" ref="U13:U76" si="20">IF(T13="","",IF($I$4="","",T13/$I$4))</f>
        <v/>
      </c>
      <c r="V13" s="195" t="str">
        <f t="shared" si="8"/>
        <v/>
      </c>
      <c r="W13" s="195" t="str">
        <f t="shared" si="9"/>
        <v/>
      </c>
      <c r="X13" s="196" t="str">
        <f t="shared" ref="X13:X76" si="21">IF((O13=""),"",IF(E13="L",1,-1)*(O13-I13)*IF(O13&gt;10,IF(SEARCH("JPY",D13),10,100),10000))</f>
        <v/>
      </c>
      <c r="Y13" s="191" t="str">
        <f t="shared" ref="Y13:Y19" si="22">IF(Y12="","",IF(T13="","",Y12+T13))</f>
        <v/>
      </c>
      <c r="Z13" s="197" t="str">
        <f t="shared" si="10"/>
        <v/>
      </c>
      <c r="AA13" s="197" t="str">
        <f t="shared" si="11"/>
        <v/>
      </c>
      <c r="AB13" s="213"/>
      <c r="AC13" s="204" t="s">
        <v>169</v>
      </c>
    </row>
    <row r="14" spans="1:34" ht="11.4">
      <c r="A14" s="211" t="str">
        <f t="shared" ref="A14:A77" si="23">IF(C14="","",A13+1)</f>
        <v/>
      </c>
      <c r="B14" s="211"/>
      <c r="C14" s="185"/>
      <c r="D14" s="186"/>
      <c r="E14" s="186"/>
      <c r="F14" s="186" t="str">
        <f t="shared" si="12"/>
        <v/>
      </c>
      <c r="G14" s="187"/>
      <c r="H14" s="188"/>
      <c r="I14" s="189" t="str">
        <f t="shared" si="13"/>
        <v/>
      </c>
      <c r="J14" s="189" t="str">
        <f t="shared" si="14"/>
        <v/>
      </c>
      <c r="K14" s="190" t="str">
        <f t="shared" si="15"/>
        <v/>
      </c>
      <c r="L14" s="190" t="str">
        <f t="shared" si="16"/>
        <v/>
      </c>
      <c r="M14" s="214"/>
      <c r="N14" s="214"/>
      <c r="O14" s="189" t="str">
        <f t="shared" si="17"/>
        <v/>
      </c>
      <c r="P14" s="191" t="str">
        <f t="shared" si="5"/>
        <v/>
      </c>
      <c r="Q14" s="192" t="str">
        <f t="shared" si="18"/>
        <v/>
      </c>
      <c r="R14" s="191" t="str">
        <f t="shared" si="6"/>
        <v/>
      </c>
      <c r="S14" s="193" t="str">
        <f t="shared" si="19"/>
        <v/>
      </c>
      <c r="T14" s="194" t="str">
        <f t="shared" si="7"/>
        <v/>
      </c>
      <c r="U14" s="192" t="str">
        <f t="shared" si="20"/>
        <v/>
      </c>
      <c r="V14" s="195" t="str">
        <f t="shared" si="8"/>
        <v/>
      </c>
      <c r="W14" s="195" t="str">
        <f t="shared" si="9"/>
        <v/>
      </c>
      <c r="X14" s="196" t="str">
        <f t="shared" si="21"/>
        <v/>
      </c>
      <c r="Y14" s="191" t="str">
        <f t="shared" si="22"/>
        <v/>
      </c>
      <c r="Z14" s="197" t="str">
        <f t="shared" si="10"/>
        <v/>
      </c>
      <c r="AA14" s="197" t="str">
        <f t="shared" si="11"/>
        <v/>
      </c>
      <c r="AB14" s="213"/>
      <c r="AC14" s="204" t="s">
        <v>168</v>
      </c>
    </row>
    <row r="15" spans="1:34" ht="11.4">
      <c r="A15" s="211" t="str">
        <f t="shared" si="23"/>
        <v/>
      </c>
      <c r="B15" s="211"/>
      <c r="C15" s="185"/>
      <c r="D15" s="186"/>
      <c r="E15" s="186"/>
      <c r="F15" s="186" t="str">
        <f t="shared" si="12"/>
        <v/>
      </c>
      <c r="G15" s="187"/>
      <c r="H15" s="188"/>
      <c r="I15" s="189" t="str">
        <f t="shared" si="13"/>
        <v/>
      </c>
      <c r="J15" s="189" t="str">
        <f t="shared" si="14"/>
        <v/>
      </c>
      <c r="K15" s="190" t="str">
        <f t="shared" si="15"/>
        <v/>
      </c>
      <c r="L15" s="190" t="str">
        <f t="shared" si="16"/>
        <v/>
      </c>
      <c r="M15" s="214"/>
      <c r="N15" s="214"/>
      <c r="O15" s="189" t="str">
        <f t="shared" si="17"/>
        <v/>
      </c>
      <c r="P15" s="191" t="str">
        <f t="shared" si="5"/>
        <v/>
      </c>
      <c r="Q15" s="192" t="str">
        <f t="shared" si="18"/>
        <v/>
      </c>
      <c r="R15" s="191" t="str">
        <f t="shared" si="6"/>
        <v/>
      </c>
      <c r="S15" s="193" t="str">
        <f t="shared" si="19"/>
        <v/>
      </c>
      <c r="T15" s="194" t="str">
        <f t="shared" si="7"/>
        <v/>
      </c>
      <c r="U15" s="192" t="str">
        <f t="shared" si="20"/>
        <v/>
      </c>
      <c r="V15" s="195" t="str">
        <f t="shared" si="8"/>
        <v/>
      </c>
      <c r="W15" s="195" t="str">
        <f t="shared" si="9"/>
        <v/>
      </c>
      <c r="X15" s="196" t="str">
        <f t="shared" si="21"/>
        <v/>
      </c>
      <c r="Y15" s="191" t="str">
        <f t="shared" si="22"/>
        <v/>
      </c>
      <c r="Z15" s="197" t="str">
        <f t="shared" si="10"/>
        <v/>
      </c>
      <c r="AA15" s="197" t="str">
        <f t="shared" si="11"/>
        <v/>
      </c>
      <c r="AB15" s="213"/>
      <c r="AC15" s="204" t="s">
        <v>170</v>
      </c>
    </row>
    <row r="16" spans="1:34" ht="11.4">
      <c r="A16" s="211" t="str">
        <f t="shared" si="23"/>
        <v/>
      </c>
      <c r="B16" s="211"/>
      <c r="C16" s="185"/>
      <c r="D16" s="186"/>
      <c r="E16" s="186"/>
      <c r="F16" s="186" t="str">
        <f t="shared" si="12"/>
        <v/>
      </c>
      <c r="G16" s="187"/>
      <c r="H16" s="188"/>
      <c r="I16" s="189" t="str">
        <f t="shared" si="13"/>
        <v/>
      </c>
      <c r="J16" s="189" t="str">
        <f t="shared" si="14"/>
        <v/>
      </c>
      <c r="K16" s="190" t="str">
        <f t="shared" si="15"/>
        <v/>
      </c>
      <c r="L16" s="190" t="str">
        <f t="shared" si="16"/>
        <v/>
      </c>
      <c r="M16" s="214"/>
      <c r="N16" s="214"/>
      <c r="O16" s="189" t="str">
        <f t="shared" si="17"/>
        <v/>
      </c>
      <c r="P16" s="191" t="str">
        <f t="shared" si="5"/>
        <v/>
      </c>
      <c r="Q16" s="192" t="str">
        <f t="shared" si="18"/>
        <v/>
      </c>
      <c r="R16" s="191" t="str">
        <f t="shared" si="6"/>
        <v/>
      </c>
      <c r="S16" s="193" t="str">
        <f t="shared" si="19"/>
        <v/>
      </c>
      <c r="T16" s="194" t="str">
        <f t="shared" si="7"/>
        <v/>
      </c>
      <c r="U16" s="192" t="str">
        <f t="shared" si="20"/>
        <v/>
      </c>
      <c r="V16" s="195" t="str">
        <f t="shared" si="8"/>
        <v/>
      </c>
      <c r="W16" s="195" t="str">
        <f t="shared" si="9"/>
        <v/>
      </c>
      <c r="X16" s="196" t="str">
        <f t="shared" si="21"/>
        <v/>
      </c>
      <c r="Y16" s="191" t="str">
        <f t="shared" si="22"/>
        <v/>
      </c>
      <c r="Z16" s="197" t="str">
        <f t="shared" si="10"/>
        <v/>
      </c>
      <c r="AA16" s="197" t="str">
        <f t="shared" si="11"/>
        <v/>
      </c>
      <c r="AB16" s="213"/>
      <c r="AC16" s="204" t="s">
        <v>165</v>
      </c>
    </row>
    <row r="17" spans="1:29" ht="11.4">
      <c r="A17" s="211" t="str">
        <f t="shared" si="23"/>
        <v/>
      </c>
      <c r="B17" s="211"/>
      <c r="C17" s="185"/>
      <c r="D17" s="186"/>
      <c r="E17" s="186"/>
      <c r="F17" s="186" t="str">
        <f t="shared" si="12"/>
        <v/>
      </c>
      <c r="G17" s="187"/>
      <c r="H17" s="188"/>
      <c r="I17" s="189" t="str">
        <f t="shared" si="13"/>
        <v/>
      </c>
      <c r="J17" s="189" t="str">
        <f t="shared" si="14"/>
        <v/>
      </c>
      <c r="K17" s="190" t="str">
        <f t="shared" si="15"/>
        <v/>
      </c>
      <c r="L17" s="190" t="str">
        <f t="shared" si="16"/>
        <v/>
      </c>
      <c r="M17" s="214"/>
      <c r="N17" s="214"/>
      <c r="O17" s="189" t="str">
        <f t="shared" si="17"/>
        <v/>
      </c>
      <c r="P17" s="191" t="str">
        <f t="shared" si="5"/>
        <v/>
      </c>
      <c r="Q17" s="192" t="str">
        <f t="shared" si="18"/>
        <v/>
      </c>
      <c r="R17" s="191" t="str">
        <f t="shared" si="6"/>
        <v/>
      </c>
      <c r="S17" s="193" t="str">
        <f t="shared" si="19"/>
        <v/>
      </c>
      <c r="T17" s="194" t="str">
        <f t="shared" si="7"/>
        <v/>
      </c>
      <c r="U17" s="192" t="str">
        <f t="shared" si="20"/>
        <v/>
      </c>
      <c r="V17" s="195" t="str">
        <f t="shared" si="8"/>
        <v/>
      </c>
      <c r="W17" s="195" t="str">
        <f t="shared" si="9"/>
        <v/>
      </c>
      <c r="X17" s="196" t="str">
        <f t="shared" si="21"/>
        <v/>
      </c>
      <c r="Y17" s="191" t="str">
        <f>IF(Y16="","",IF(T17="","",Y16+T17))</f>
        <v/>
      </c>
      <c r="Z17" s="197" t="str">
        <f t="shared" si="10"/>
        <v/>
      </c>
      <c r="AA17" s="197" t="str">
        <f t="shared" si="11"/>
        <v/>
      </c>
      <c r="AB17" s="213"/>
      <c r="AC17" s="204" t="s">
        <v>163</v>
      </c>
    </row>
    <row r="18" spans="1:29" ht="11.4">
      <c r="A18" s="211" t="str">
        <f t="shared" si="23"/>
        <v/>
      </c>
      <c r="B18" s="211"/>
      <c r="C18" s="185"/>
      <c r="D18" s="186"/>
      <c r="E18" s="186"/>
      <c r="F18" s="186" t="str">
        <f t="shared" si="12"/>
        <v/>
      </c>
      <c r="G18" s="187"/>
      <c r="H18" s="188"/>
      <c r="I18" s="189" t="str">
        <f t="shared" si="13"/>
        <v/>
      </c>
      <c r="J18" s="189" t="str">
        <f t="shared" si="14"/>
        <v/>
      </c>
      <c r="K18" s="190" t="str">
        <f t="shared" si="15"/>
        <v/>
      </c>
      <c r="L18" s="190" t="str">
        <f t="shared" si="16"/>
        <v/>
      </c>
      <c r="M18" s="214"/>
      <c r="N18" s="214"/>
      <c r="O18" s="189" t="str">
        <f t="shared" si="17"/>
        <v/>
      </c>
      <c r="P18" s="191" t="str">
        <f t="shared" si="5"/>
        <v/>
      </c>
      <c r="Q18" s="192" t="str">
        <f t="shared" si="18"/>
        <v/>
      </c>
      <c r="R18" s="191" t="str">
        <f t="shared" si="6"/>
        <v/>
      </c>
      <c r="S18" s="193" t="str">
        <f t="shared" si="19"/>
        <v/>
      </c>
      <c r="T18" s="194" t="str">
        <f t="shared" si="7"/>
        <v/>
      </c>
      <c r="U18" s="192" t="str">
        <f t="shared" si="20"/>
        <v/>
      </c>
      <c r="V18" s="195" t="str">
        <f t="shared" si="8"/>
        <v/>
      </c>
      <c r="W18" s="195" t="str">
        <f t="shared" si="9"/>
        <v/>
      </c>
      <c r="X18" s="196" t="str">
        <f t="shared" si="21"/>
        <v/>
      </c>
      <c r="Y18" s="191" t="str">
        <f t="shared" si="22"/>
        <v/>
      </c>
      <c r="Z18" s="197" t="str">
        <f t="shared" si="10"/>
        <v/>
      </c>
      <c r="AA18" s="197" t="str">
        <f t="shared" si="11"/>
        <v/>
      </c>
      <c r="AB18" s="213"/>
      <c r="AC18" s="204" t="s">
        <v>164</v>
      </c>
    </row>
    <row r="19" spans="1:29" ht="11.4">
      <c r="A19" s="211" t="str">
        <f t="shared" si="23"/>
        <v/>
      </c>
      <c r="B19" s="211"/>
      <c r="C19" s="185"/>
      <c r="D19" s="186"/>
      <c r="E19" s="186"/>
      <c r="F19" s="186" t="str">
        <f t="shared" si="12"/>
        <v/>
      </c>
      <c r="G19" s="187"/>
      <c r="H19" s="188"/>
      <c r="I19" s="189" t="str">
        <f t="shared" si="13"/>
        <v/>
      </c>
      <c r="J19" s="189" t="str">
        <f t="shared" si="14"/>
        <v/>
      </c>
      <c r="K19" s="190" t="str">
        <f t="shared" si="15"/>
        <v/>
      </c>
      <c r="L19" s="190" t="str">
        <f t="shared" si="16"/>
        <v/>
      </c>
      <c r="M19" s="214"/>
      <c r="N19" s="214"/>
      <c r="O19" s="189" t="str">
        <f t="shared" si="17"/>
        <v/>
      </c>
      <c r="P19" s="191" t="str">
        <f t="shared" si="5"/>
        <v/>
      </c>
      <c r="Q19" s="192" t="str">
        <f t="shared" si="18"/>
        <v/>
      </c>
      <c r="R19" s="191" t="str">
        <f t="shared" si="6"/>
        <v/>
      </c>
      <c r="S19" s="193" t="str">
        <f t="shared" si="19"/>
        <v/>
      </c>
      <c r="T19" s="194" t="str">
        <f t="shared" si="7"/>
        <v/>
      </c>
      <c r="U19" s="192" t="str">
        <f t="shared" si="20"/>
        <v/>
      </c>
      <c r="V19" s="195" t="str">
        <f t="shared" si="8"/>
        <v/>
      </c>
      <c r="W19" s="195" t="str">
        <f t="shared" si="9"/>
        <v/>
      </c>
      <c r="X19" s="196" t="str">
        <f t="shared" si="21"/>
        <v/>
      </c>
      <c r="Y19" s="191" t="str">
        <f t="shared" si="22"/>
        <v/>
      </c>
      <c r="Z19" s="197" t="str">
        <f t="shared" si="10"/>
        <v/>
      </c>
      <c r="AA19" s="197" t="str">
        <f t="shared" si="11"/>
        <v/>
      </c>
      <c r="AB19" s="213"/>
      <c r="AC19" s="204" t="s">
        <v>171</v>
      </c>
    </row>
    <row r="20" spans="1:29" ht="11.4">
      <c r="A20" s="211" t="str">
        <f t="shared" si="23"/>
        <v/>
      </c>
      <c r="B20" s="211"/>
      <c r="C20" s="185"/>
      <c r="D20" s="186" t="str">
        <f t="shared" ref="D20:D76" si="24">IF(A20&lt;&gt;"","GBPUSD","")</f>
        <v/>
      </c>
      <c r="E20" s="186" t="str">
        <f>IF(OR(C20="",C20=Data!$B$3),"",IF(C20=Data!$B$4,"L","S"))</f>
        <v/>
      </c>
      <c r="F20" s="186" t="str">
        <f t="shared" si="12"/>
        <v/>
      </c>
      <c r="G20" s="187" t="str">
        <f t="shared" ref="G20:G75" si="25">IF(A20="","",$D$3)</f>
        <v/>
      </c>
      <c r="H20" s="188"/>
      <c r="I20" s="189" t="str">
        <f t="shared" si="13"/>
        <v/>
      </c>
      <c r="J20" s="189" t="str">
        <f t="shared" si="14"/>
        <v/>
      </c>
      <c r="K20" s="190" t="str">
        <f t="shared" si="15"/>
        <v/>
      </c>
      <c r="L20" s="190" t="str">
        <f t="shared" si="16"/>
        <v/>
      </c>
      <c r="M20" s="214"/>
      <c r="N20" s="214"/>
      <c r="O20" s="189" t="str">
        <f t="shared" si="17"/>
        <v/>
      </c>
      <c r="P20" s="191" t="str">
        <f t="shared" si="5"/>
        <v/>
      </c>
      <c r="Q20" s="192" t="str">
        <f t="shared" si="18"/>
        <v/>
      </c>
      <c r="R20" s="191" t="str">
        <f t="shared" si="6"/>
        <v/>
      </c>
      <c r="S20" s="193" t="str">
        <f t="shared" si="19"/>
        <v/>
      </c>
      <c r="T20" s="194" t="str">
        <f t="shared" si="7"/>
        <v/>
      </c>
      <c r="U20" s="192" t="str">
        <f t="shared" si="20"/>
        <v/>
      </c>
      <c r="V20" s="195" t="str">
        <f t="shared" si="8"/>
        <v/>
      </c>
      <c r="W20" s="195" t="str">
        <f t="shared" si="9"/>
        <v/>
      </c>
      <c r="X20" s="196" t="str">
        <f t="shared" si="21"/>
        <v/>
      </c>
      <c r="Y20" s="191" t="str">
        <f t="shared" ref="Y20:Y83" si="26">IF(Y19="","",IF(T20="","",Y19+T20))</f>
        <v/>
      </c>
      <c r="Z20" s="197" t="str">
        <f t="shared" si="10"/>
        <v/>
      </c>
      <c r="AA20" s="197" t="str">
        <f t="shared" si="11"/>
        <v/>
      </c>
      <c r="AB20" s="213"/>
      <c r="AC20" s="204"/>
    </row>
    <row r="21" spans="1:29" ht="11.4">
      <c r="A21" s="211" t="str">
        <f t="shared" si="23"/>
        <v/>
      </c>
      <c r="B21" s="211"/>
      <c r="C21" s="185"/>
      <c r="D21" s="186" t="str">
        <f t="shared" si="24"/>
        <v/>
      </c>
      <c r="E21" s="186" t="str">
        <f>IF(OR(C21="",C21=Data!$B$3),"",IF(C21=Data!$B$4,"L","S"))</f>
        <v/>
      </c>
      <c r="F21" s="186" t="str">
        <f t="shared" si="12"/>
        <v/>
      </c>
      <c r="G21" s="187" t="str">
        <f t="shared" si="25"/>
        <v/>
      </c>
      <c r="H21" s="188"/>
      <c r="I21" s="189" t="str">
        <f t="shared" si="13"/>
        <v/>
      </c>
      <c r="J21" s="189" t="str">
        <f t="shared" si="14"/>
        <v/>
      </c>
      <c r="K21" s="190" t="str">
        <f t="shared" si="15"/>
        <v/>
      </c>
      <c r="L21" s="190" t="str">
        <f t="shared" si="16"/>
        <v/>
      </c>
      <c r="M21" s="214"/>
      <c r="N21" s="214"/>
      <c r="O21" s="189" t="str">
        <f t="shared" si="17"/>
        <v/>
      </c>
      <c r="P21" s="191" t="str">
        <f t="shared" si="5"/>
        <v/>
      </c>
      <c r="Q21" s="192" t="str">
        <f t="shared" si="18"/>
        <v/>
      </c>
      <c r="R21" s="191" t="str">
        <f t="shared" si="6"/>
        <v/>
      </c>
      <c r="S21" s="193" t="str">
        <f t="shared" si="19"/>
        <v/>
      </c>
      <c r="T21" s="194" t="str">
        <f t="shared" si="7"/>
        <v/>
      </c>
      <c r="U21" s="192" t="str">
        <f t="shared" si="20"/>
        <v/>
      </c>
      <c r="V21" s="195" t="str">
        <f t="shared" si="8"/>
        <v/>
      </c>
      <c r="W21" s="195" t="str">
        <f t="shared" si="9"/>
        <v/>
      </c>
      <c r="X21" s="196" t="str">
        <f t="shared" si="21"/>
        <v/>
      </c>
      <c r="Y21" s="191" t="str">
        <f t="shared" si="26"/>
        <v/>
      </c>
      <c r="Z21" s="197" t="str">
        <f t="shared" si="10"/>
        <v/>
      </c>
      <c r="AA21" s="197" t="str">
        <f t="shared" si="11"/>
        <v/>
      </c>
      <c r="AB21" s="213"/>
      <c r="AC21" s="204"/>
    </row>
    <row r="22" spans="1:29" ht="11.4">
      <c r="A22" s="211" t="str">
        <f t="shared" si="23"/>
        <v/>
      </c>
      <c r="B22" s="211"/>
      <c r="C22" s="185"/>
      <c r="D22" s="186" t="str">
        <f t="shared" si="24"/>
        <v/>
      </c>
      <c r="E22" s="186" t="str">
        <f>IF(OR(C22="",C22=Data!$B$3),"",IF(C22=Data!$B$4,"L","S"))</f>
        <v/>
      </c>
      <c r="F22" s="186" t="str">
        <f t="shared" si="12"/>
        <v/>
      </c>
      <c r="G22" s="187" t="str">
        <f t="shared" si="25"/>
        <v/>
      </c>
      <c r="H22" s="188"/>
      <c r="I22" s="189" t="str">
        <f t="shared" si="13"/>
        <v/>
      </c>
      <c r="J22" s="189" t="str">
        <f t="shared" si="14"/>
        <v/>
      </c>
      <c r="K22" s="190" t="str">
        <f t="shared" si="15"/>
        <v/>
      </c>
      <c r="L22" s="190" t="str">
        <f t="shared" si="16"/>
        <v/>
      </c>
      <c r="M22" s="214"/>
      <c r="N22" s="214"/>
      <c r="O22" s="189" t="str">
        <f t="shared" si="17"/>
        <v/>
      </c>
      <c r="P22" s="191" t="str">
        <f t="shared" si="5"/>
        <v/>
      </c>
      <c r="Q22" s="192" t="str">
        <f t="shared" si="18"/>
        <v/>
      </c>
      <c r="R22" s="191" t="str">
        <f t="shared" si="6"/>
        <v/>
      </c>
      <c r="S22" s="193" t="str">
        <f t="shared" si="19"/>
        <v/>
      </c>
      <c r="T22" s="194" t="str">
        <f t="shared" si="7"/>
        <v/>
      </c>
      <c r="U22" s="192" t="str">
        <f t="shared" si="20"/>
        <v/>
      </c>
      <c r="V22" s="195" t="str">
        <f t="shared" si="8"/>
        <v/>
      </c>
      <c r="W22" s="195" t="str">
        <f t="shared" si="9"/>
        <v/>
      </c>
      <c r="X22" s="196" t="str">
        <f t="shared" si="21"/>
        <v/>
      </c>
      <c r="Y22" s="191" t="str">
        <f t="shared" si="26"/>
        <v/>
      </c>
      <c r="Z22" s="197" t="str">
        <f t="shared" si="10"/>
        <v/>
      </c>
      <c r="AA22" s="197" t="str">
        <f t="shared" si="11"/>
        <v/>
      </c>
      <c r="AB22" s="213"/>
      <c r="AC22" s="204"/>
    </row>
    <row r="23" spans="1:29" ht="11.4">
      <c r="A23" s="211" t="str">
        <f t="shared" si="23"/>
        <v/>
      </c>
      <c r="B23" s="211"/>
      <c r="C23" s="185"/>
      <c r="D23" s="186" t="str">
        <f t="shared" si="24"/>
        <v/>
      </c>
      <c r="E23" s="186" t="str">
        <f>IF(OR(C23="",C23=Data!$B$3),"",IF(C23=Data!$B$4,"L","S"))</f>
        <v/>
      </c>
      <c r="F23" s="186" t="str">
        <f t="shared" si="12"/>
        <v/>
      </c>
      <c r="G23" s="187" t="str">
        <f t="shared" si="25"/>
        <v/>
      </c>
      <c r="H23" s="188"/>
      <c r="I23" s="189" t="str">
        <f t="shared" si="13"/>
        <v/>
      </c>
      <c r="J23" s="189" t="str">
        <f t="shared" si="14"/>
        <v/>
      </c>
      <c r="K23" s="190" t="str">
        <f t="shared" si="15"/>
        <v/>
      </c>
      <c r="L23" s="190" t="str">
        <f t="shared" si="16"/>
        <v/>
      </c>
      <c r="M23" s="214"/>
      <c r="N23" s="214"/>
      <c r="O23" s="189" t="str">
        <f t="shared" si="17"/>
        <v/>
      </c>
      <c r="P23" s="191" t="str">
        <f t="shared" si="5"/>
        <v/>
      </c>
      <c r="Q23" s="192" t="str">
        <f t="shared" si="18"/>
        <v/>
      </c>
      <c r="R23" s="191" t="str">
        <f t="shared" si="6"/>
        <v/>
      </c>
      <c r="S23" s="193" t="str">
        <f t="shared" si="19"/>
        <v/>
      </c>
      <c r="T23" s="194" t="str">
        <f t="shared" si="7"/>
        <v/>
      </c>
      <c r="U23" s="192" t="str">
        <f t="shared" si="20"/>
        <v/>
      </c>
      <c r="V23" s="195" t="str">
        <f t="shared" si="8"/>
        <v/>
      </c>
      <c r="W23" s="195" t="str">
        <f t="shared" si="9"/>
        <v/>
      </c>
      <c r="X23" s="196" t="str">
        <f t="shared" si="21"/>
        <v/>
      </c>
      <c r="Y23" s="191" t="str">
        <f t="shared" si="26"/>
        <v/>
      </c>
      <c r="Z23" s="197" t="str">
        <f t="shared" si="10"/>
        <v/>
      </c>
      <c r="AA23" s="197" t="str">
        <f t="shared" si="11"/>
        <v/>
      </c>
      <c r="AB23" s="213"/>
      <c r="AC23" s="204"/>
    </row>
    <row r="24" spans="1:29" ht="11.4">
      <c r="A24" s="211" t="str">
        <f t="shared" si="23"/>
        <v/>
      </c>
      <c r="B24" s="211"/>
      <c r="C24" s="185"/>
      <c r="D24" s="186" t="str">
        <f t="shared" si="24"/>
        <v/>
      </c>
      <c r="E24" s="186" t="str">
        <f>IF(OR(C24="",C24=Data!$B$3),"",IF(C24=Data!$B$4,"L","S"))</f>
        <v/>
      </c>
      <c r="F24" s="186" t="str">
        <f t="shared" ref="F24:F76" si="27">IF(A24&lt;&gt;"",$D$2,"")</f>
        <v/>
      </c>
      <c r="G24" s="187" t="str">
        <f t="shared" si="25"/>
        <v/>
      </c>
      <c r="H24" s="188"/>
      <c r="I24" s="189" t="str">
        <f t="shared" si="13"/>
        <v/>
      </c>
      <c r="J24" s="189" t="str">
        <f t="shared" si="14"/>
        <v/>
      </c>
      <c r="K24" s="190" t="str">
        <f t="shared" si="15"/>
        <v/>
      </c>
      <c r="L24" s="190" t="str">
        <f t="shared" si="16"/>
        <v/>
      </c>
      <c r="M24" s="214"/>
      <c r="N24" s="214"/>
      <c r="O24" s="189" t="str">
        <f t="shared" si="17"/>
        <v/>
      </c>
      <c r="P24" s="191" t="str">
        <f t="shared" ref="P24:P29" si="28">IF(O24="","",IF(L24*F24*G24=0,0,L24*F24*G24))</f>
        <v/>
      </c>
      <c r="Q24" s="192" t="str">
        <f t="shared" si="18"/>
        <v/>
      </c>
      <c r="R24" s="191" t="str">
        <f t="shared" ref="R24:R29" si="29">IF(O24&lt;&gt;"",IF(K24*F24*G24=0,"",K24*F24*G24),"")</f>
        <v/>
      </c>
      <c r="S24" s="193" t="str">
        <f t="shared" si="19"/>
        <v/>
      </c>
      <c r="T24" s="194" t="str">
        <f t="shared" si="7"/>
        <v/>
      </c>
      <c r="U24" s="192" t="str">
        <f t="shared" si="20"/>
        <v/>
      </c>
      <c r="V24" s="195" t="str">
        <f t="shared" ref="V24:V29" si="30">IF(O24="","",IF(AND(O24&gt;I24,E24="L"),1, IF(AND(I24&gt;O24,E24="S"),1,0)))</f>
        <v/>
      </c>
      <c r="W24" s="195" t="str">
        <f t="shared" ref="W24:W29" si="31">IF(O24="","",IF(AND(O24&lt;I24,E24="L"),1, IF(AND(I24&lt;O24,E24="S"),1,0)))</f>
        <v/>
      </c>
      <c r="X24" s="196" t="str">
        <f t="shared" si="21"/>
        <v/>
      </c>
      <c r="Y24" s="191" t="str">
        <f t="shared" si="26"/>
        <v/>
      </c>
      <c r="Z24" s="197" t="str">
        <f>IF(M27="","",MONTH(M27))</f>
        <v/>
      </c>
      <c r="AA24" s="197" t="str">
        <f>IF(M27="","",YEAR(M27))</f>
        <v/>
      </c>
      <c r="AB24" s="213"/>
      <c r="AC24" s="204"/>
    </row>
    <row r="25" spans="1:29" ht="11.4">
      <c r="A25" s="211" t="str">
        <f t="shared" si="23"/>
        <v/>
      </c>
      <c r="B25" s="211"/>
      <c r="C25" s="185"/>
      <c r="D25" s="186" t="str">
        <f t="shared" si="24"/>
        <v/>
      </c>
      <c r="E25" s="186" t="str">
        <f>IF(OR(C25="",C25=Data!$B$3),"",IF(C25=Data!$B$4,"L","S"))</f>
        <v/>
      </c>
      <c r="F25" s="186" t="str">
        <f t="shared" si="27"/>
        <v/>
      </c>
      <c r="G25" s="187" t="str">
        <f t="shared" si="25"/>
        <v/>
      </c>
      <c r="H25" s="188"/>
      <c r="I25" s="189" t="str">
        <f t="shared" ref="I25:I76" si="32">IF(H25="","",IF(E25="L",H25+$D$4*0.0001,H25-$D$4*0.0001))</f>
        <v/>
      </c>
      <c r="J25" s="189" t="str">
        <f t="shared" ref="J25:J76" si="33">IF(AND(H25&lt;&gt;"",I25&lt;&gt;""),IF(E25="L",I25+(I25-H25)*3,I25-(H25-I25)*3),"")</f>
        <v/>
      </c>
      <c r="K25" s="190" t="str">
        <f t="shared" ref="K25:K76" si="34">IF(AND(E25&lt;&gt;"",AND(I25&lt;&gt;"",J25&lt;&gt;"")),IF(E25="L",(J25-I25)*IF(I25&gt;10,IF(SEARCH("JPY",D25),10,100),10000),(I25-J25)*IF(I25&gt;10,IF(SEARCH("JPY",D25),10,100),10000)),"")</f>
        <v/>
      </c>
      <c r="L25" s="190" t="str">
        <f t="shared" ref="L25:L76" si="35">IF(AND(E25&lt;&gt;"",AND(H25&lt;&gt;"",I25&lt;&gt;"")),IF(E25="L",(I25-H25)*IF(I25&gt;10,IF(SEARCH("JPY",D25),10,100),10000),(H25-I25)*IF(I25&gt;10,IF(SEARCH("JPY",D25),10,100),10000)),"")</f>
        <v/>
      </c>
      <c r="M25" s="214"/>
      <c r="N25" s="214"/>
      <c r="O25" s="189" t="str">
        <f t="shared" ref="O25:O76" si="36">IF(H25&lt;&gt;"",H25, "")</f>
        <v/>
      </c>
      <c r="P25" s="191" t="str">
        <f t="shared" si="28"/>
        <v/>
      </c>
      <c r="Q25" s="192" t="str">
        <f t="shared" si="18"/>
        <v/>
      </c>
      <c r="R25" s="191" t="str">
        <f t="shared" si="29"/>
        <v/>
      </c>
      <c r="S25" s="193" t="str">
        <f t="shared" si="19"/>
        <v/>
      </c>
      <c r="T25" s="194" t="str">
        <f t="shared" si="7"/>
        <v/>
      </c>
      <c r="U25" s="192" t="str">
        <f t="shared" si="20"/>
        <v/>
      </c>
      <c r="V25" s="195" t="str">
        <f t="shared" si="30"/>
        <v/>
      </c>
      <c r="W25" s="195" t="str">
        <f t="shared" si="31"/>
        <v/>
      </c>
      <c r="X25" s="196" t="str">
        <f t="shared" si="21"/>
        <v/>
      </c>
      <c r="Y25" s="191" t="str">
        <f t="shared" si="26"/>
        <v/>
      </c>
      <c r="Z25" s="197" t="str">
        <f>IF(M28="","",MONTH(M28))</f>
        <v/>
      </c>
      <c r="AA25" s="197" t="str">
        <f>IF(M28="","",YEAR(M28))</f>
        <v/>
      </c>
      <c r="AB25" s="213"/>
      <c r="AC25" s="204"/>
    </row>
    <row r="26" spans="1:29" ht="11.4">
      <c r="A26" s="211" t="str">
        <f t="shared" si="23"/>
        <v/>
      </c>
      <c r="B26" s="211"/>
      <c r="C26" s="185"/>
      <c r="D26" s="186" t="str">
        <f t="shared" si="24"/>
        <v/>
      </c>
      <c r="E26" s="186" t="str">
        <f>IF(OR(C26="",C26=Data!$B$3),"",IF(C26=Data!$B$4,"L","S"))</f>
        <v/>
      </c>
      <c r="F26" s="186" t="str">
        <f t="shared" si="27"/>
        <v/>
      </c>
      <c r="G26" s="187" t="str">
        <f t="shared" si="25"/>
        <v/>
      </c>
      <c r="H26" s="188"/>
      <c r="I26" s="189" t="str">
        <f t="shared" si="32"/>
        <v/>
      </c>
      <c r="J26" s="189" t="str">
        <f t="shared" si="33"/>
        <v/>
      </c>
      <c r="K26" s="190" t="str">
        <f t="shared" si="34"/>
        <v/>
      </c>
      <c r="L26" s="190" t="str">
        <f t="shared" si="35"/>
        <v/>
      </c>
      <c r="M26" s="214"/>
      <c r="N26" s="214"/>
      <c r="O26" s="189" t="str">
        <f t="shared" si="36"/>
        <v/>
      </c>
      <c r="P26" s="191" t="str">
        <f t="shared" si="28"/>
        <v/>
      </c>
      <c r="Q26" s="192" t="str">
        <f t="shared" si="18"/>
        <v/>
      </c>
      <c r="R26" s="191" t="str">
        <f t="shared" si="29"/>
        <v/>
      </c>
      <c r="S26" s="193" t="str">
        <f t="shared" si="19"/>
        <v/>
      </c>
      <c r="T26" s="194" t="str">
        <f t="shared" si="7"/>
        <v/>
      </c>
      <c r="U26" s="192" t="str">
        <f t="shared" si="20"/>
        <v/>
      </c>
      <c r="V26" s="195" t="str">
        <f t="shared" si="30"/>
        <v/>
      </c>
      <c r="W26" s="195" t="str">
        <f t="shared" si="31"/>
        <v/>
      </c>
      <c r="X26" s="196" t="str">
        <f t="shared" si="21"/>
        <v/>
      </c>
      <c r="Y26" s="191" t="str">
        <f t="shared" si="26"/>
        <v/>
      </c>
      <c r="Z26" s="197" t="str">
        <f>IF(M29="","",MONTH(M29))</f>
        <v/>
      </c>
      <c r="AA26" s="197" t="str">
        <f>IF(M29="","",YEAR(M29))</f>
        <v/>
      </c>
      <c r="AB26" s="213"/>
      <c r="AC26" s="204"/>
    </row>
    <row r="27" spans="1:29" ht="11.4">
      <c r="A27" s="211" t="str">
        <f t="shared" si="23"/>
        <v/>
      </c>
      <c r="B27" s="211"/>
      <c r="C27" s="185"/>
      <c r="D27" s="186" t="str">
        <f t="shared" si="24"/>
        <v/>
      </c>
      <c r="E27" s="186" t="str">
        <f>IF(OR(C27="",C27=Data!$B$3),"",IF(C27=Data!$B$4,"L","S"))</f>
        <v/>
      </c>
      <c r="F27" s="186" t="str">
        <f t="shared" si="27"/>
        <v/>
      </c>
      <c r="G27" s="187" t="str">
        <f t="shared" si="25"/>
        <v/>
      </c>
      <c r="H27" s="188"/>
      <c r="I27" s="189" t="str">
        <f t="shared" si="32"/>
        <v/>
      </c>
      <c r="J27" s="189" t="str">
        <f t="shared" si="33"/>
        <v/>
      </c>
      <c r="K27" s="190" t="str">
        <f t="shared" si="34"/>
        <v/>
      </c>
      <c r="L27" s="190" t="str">
        <f t="shared" si="35"/>
        <v/>
      </c>
      <c r="M27" s="214"/>
      <c r="N27" s="214"/>
      <c r="O27" s="189" t="str">
        <f t="shared" si="36"/>
        <v/>
      </c>
      <c r="P27" s="191" t="str">
        <f t="shared" si="28"/>
        <v/>
      </c>
      <c r="Q27" s="192" t="str">
        <f t="shared" si="18"/>
        <v/>
      </c>
      <c r="R27" s="191" t="str">
        <f t="shared" si="29"/>
        <v/>
      </c>
      <c r="S27" s="193" t="str">
        <f t="shared" si="19"/>
        <v/>
      </c>
      <c r="T27" s="194" t="str">
        <f t="shared" si="7"/>
        <v/>
      </c>
      <c r="U27" s="192" t="str">
        <f t="shared" si="20"/>
        <v/>
      </c>
      <c r="V27" s="195" t="str">
        <f t="shared" si="30"/>
        <v/>
      </c>
      <c r="W27" s="195" t="str">
        <f t="shared" si="31"/>
        <v/>
      </c>
      <c r="X27" s="196" t="str">
        <f t="shared" si="21"/>
        <v/>
      </c>
      <c r="Y27" s="191" t="str">
        <f t="shared" si="26"/>
        <v/>
      </c>
      <c r="Z27" s="197" t="e">
        <f>IF(#REF!="","",MONTH(#REF!))</f>
        <v>#REF!</v>
      </c>
      <c r="AA27" s="197" t="e">
        <f>IF(#REF!="","",YEAR(#REF!))</f>
        <v>#REF!</v>
      </c>
      <c r="AB27" s="213"/>
      <c r="AC27" s="204"/>
    </row>
    <row r="28" spans="1:29" ht="11.4">
      <c r="A28" s="211" t="str">
        <f t="shared" si="23"/>
        <v/>
      </c>
      <c r="B28" s="211"/>
      <c r="C28" s="185"/>
      <c r="D28" s="186" t="str">
        <f t="shared" si="24"/>
        <v/>
      </c>
      <c r="E28" s="186" t="str">
        <f>IF(OR(C28="",C28=Data!$B$3),"",IF(C28=Data!$B$4,"L","S"))</f>
        <v/>
      </c>
      <c r="F28" s="186" t="str">
        <f t="shared" si="27"/>
        <v/>
      </c>
      <c r="G28" s="187" t="str">
        <f t="shared" si="25"/>
        <v/>
      </c>
      <c r="H28" s="188"/>
      <c r="I28" s="189" t="str">
        <f t="shared" si="32"/>
        <v/>
      </c>
      <c r="J28" s="189" t="str">
        <f t="shared" si="33"/>
        <v/>
      </c>
      <c r="K28" s="190" t="str">
        <f t="shared" si="34"/>
        <v/>
      </c>
      <c r="L28" s="190" t="str">
        <f t="shared" si="35"/>
        <v/>
      </c>
      <c r="M28" s="214"/>
      <c r="N28" s="214"/>
      <c r="O28" s="189" t="str">
        <f t="shared" si="36"/>
        <v/>
      </c>
      <c r="P28" s="191" t="str">
        <f t="shared" si="28"/>
        <v/>
      </c>
      <c r="Q28" s="192" t="str">
        <f t="shared" si="18"/>
        <v/>
      </c>
      <c r="R28" s="191" t="str">
        <f t="shared" si="29"/>
        <v/>
      </c>
      <c r="S28" s="193" t="str">
        <f t="shared" si="19"/>
        <v/>
      </c>
      <c r="T28" s="194" t="str">
        <f t="shared" si="7"/>
        <v/>
      </c>
      <c r="U28" s="192" t="str">
        <f t="shared" si="20"/>
        <v/>
      </c>
      <c r="V28" s="195" t="str">
        <f t="shared" si="30"/>
        <v/>
      </c>
      <c r="W28" s="195" t="str">
        <f t="shared" si="31"/>
        <v/>
      </c>
      <c r="X28" s="196" t="str">
        <f t="shared" si="21"/>
        <v/>
      </c>
      <c r="Y28" s="191" t="str">
        <f t="shared" si="26"/>
        <v/>
      </c>
      <c r="Z28" s="197" t="e">
        <f>IF(#REF!="","",MONTH(#REF!))</f>
        <v>#REF!</v>
      </c>
      <c r="AA28" s="197" t="e">
        <f>IF(#REF!="","",YEAR(#REF!))</f>
        <v>#REF!</v>
      </c>
      <c r="AB28" s="213"/>
      <c r="AC28" s="204"/>
    </row>
    <row r="29" spans="1:29" ht="11.4">
      <c r="A29" s="211" t="str">
        <f t="shared" si="23"/>
        <v/>
      </c>
      <c r="B29" s="211"/>
      <c r="C29" s="185"/>
      <c r="D29" s="186" t="str">
        <f t="shared" si="24"/>
        <v/>
      </c>
      <c r="E29" s="186" t="str">
        <f>IF(OR(C29="",C29=Data!$B$3),"",IF(C29=Data!$B$4,"L","S"))</f>
        <v/>
      </c>
      <c r="F29" s="186" t="str">
        <f t="shared" si="27"/>
        <v/>
      </c>
      <c r="G29" s="187" t="str">
        <f t="shared" si="25"/>
        <v/>
      </c>
      <c r="H29" s="188"/>
      <c r="I29" s="189" t="str">
        <f t="shared" si="32"/>
        <v/>
      </c>
      <c r="J29" s="189" t="str">
        <f t="shared" si="33"/>
        <v/>
      </c>
      <c r="K29" s="190" t="str">
        <f t="shared" si="34"/>
        <v/>
      </c>
      <c r="L29" s="190" t="str">
        <f t="shared" si="35"/>
        <v/>
      </c>
      <c r="M29" s="214"/>
      <c r="N29" s="214"/>
      <c r="O29" s="189" t="str">
        <f t="shared" si="36"/>
        <v/>
      </c>
      <c r="P29" s="191" t="str">
        <f t="shared" si="28"/>
        <v/>
      </c>
      <c r="Q29" s="192" t="str">
        <f t="shared" si="18"/>
        <v/>
      </c>
      <c r="R29" s="191" t="str">
        <f t="shared" si="29"/>
        <v/>
      </c>
      <c r="S29" s="193" t="str">
        <f t="shared" si="19"/>
        <v/>
      </c>
      <c r="T29" s="194" t="str">
        <f t="shared" si="7"/>
        <v/>
      </c>
      <c r="U29" s="192" t="str">
        <f t="shared" si="20"/>
        <v/>
      </c>
      <c r="V29" s="195" t="str">
        <f t="shared" si="30"/>
        <v/>
      </c>
      <c r="W29" s="195" t="str">
        <f t="shared" si="31"/>
        <v/>
      </c>
      <c r="X29" s="196" t="str">
        <f t="shared" si="21"/>
        <v/>
      </c>
      <c r="Y29" s="191" t="str">
        <f t="shared" si="26"/>
        <v/>
      </c>
      <c r="Z29" s="197" t="e">
        <f>IF(#REF!="","",MONTH(#REF!))</f>
        <v>#REF!</v>
      </c>
      <c r="AA29" s="197" t="e">
        <f>IF(#REF!="","",YEAR(#REF!))</f>
        <v>#REF!</v>
      </c>
      <c r="AB29" s="213"/>
      <c r="AC29" s="204"/>
    </row>
    <row r="30" spans="1:29" ht="11.4">
      <c r="A30" s="211" t="str">
        <f t="shared" si="23"/>
        <v/>
      </c>
      <c r="B30" s="211"/>
      <c r="C30" s="185"/>
      <c r="D30" s="186" t="str">
        <f t="shared" si="24"/>
        <v/>
      </c>
      <c r="E30" s="186" t="str">
        <f>IF(OR(C30="",C30=Data!$B$3),"",IF(C30=Data!$B$4,"L","S"))</f>
        <v/>
      </c>
      <c r="F30" s="186" t="str">
        <f t="shared" si="27"/>
        <v/>
      </c>
      <c r="G30" s="187" t="str">
        <f t="shared" si="25"/>
        <v/>
      </c>
      <c r="H30" s="188"/>
      <c r="I30" s="189" t="str">
        <f t="shared" si="32"/>
        <v/>
      </c>
      <c r="J30" s="189" t="str">
        <f t="shared" si="33"/>
        <v/>
      </c>
      <c r="K30" s="190" t="str">
        <f t="shared" si="34"/>
        <v/>
      </c>
      <c r="L30" s="190" t="str">
        <f t="shared" si="35"/>
        <v/>
      </c>
      <c r="M30" s="214"/>
      <c r="N30" s="214"/>
      <c r="O30" s="189" t="str">
        <f t="shared" si="36"/>
        <v/>
      </c>
      <c r="P30" s="191" t="str">
        <f t="shared" si="5"/>
        <v/>
      </c>
      <c r="Q30" s="192" t="str">
        <f t="shared" si="18"/>
        <v/>
      </c>
      <c r="R30" s="191" t="str">
        <f t="shared" si="6"/>
        <v/>
      </c>
      <c r="S30" s="193" t="str">
        <f t="shared" si="19"/>
        <v/>
      </c>
      <c r="T30" s="194" t="str">
        <f t="shared" si="7"/>
        <v/>
      </c>
      <c r="U30" s="192" t="str">
        <f t="shared" si="20"/>
        <v/>
      </c>
      <c r="V30" s="195" t="str">
        <f t="shared" si="8"/>
        <v/>
      </c>
      <c r="W30" s="195" t="str">
        <f t="shared" si="9"/>
        <v/>
      </c>
      <c r="X30" s="196" t="str">
        <f t="shared" si="21"/>
        <v/>
      </c>
      <c r="Y30" s="191" t="str">
        <f t="shared" si="26"/>
        <v/>
      </c>
      <c r="Z30" s="197" t="str">
        <f t="shared" si="10"/>
        <v/>
      </c>
      <c r="AA30" s="197" t="str">
        <f t="shared" si="11"/>
        <v/>
      </c>
      <c r="AB30" s="213"/>
      <c r="AC30" s="204"/>
    </row>
    <row r="31" spans="1:29" ht="11.4">
      <c r="A31" s="211" t="str">
        <f t="shared" si="23"/>
        <v/>
      </c>
      <c r="B31" s="211"/>
      <c r="C31" s="185"/>
      <c r="D31" s="186" t="str">
        <f t="shared" si="24"/>
        <v/>
      </c>
      <c r="E31" s="186" t="str">
        <f>IF(OR(C31="",C31=Data!$B$3),"",IF(C31=Data!$B$4,"L","S"))</f>
        <v/>
      </c>
      <c r="F31" s="186" t="str">
        <f t="shared" si="27"/>
        <v/>
      </c>
      <c r="G31" s="187" t="str">
        <f t="shared" si="25"/>
        <v/>
      </c>
      <c r="H31" s="188"/>
      <c r="I31" s="189" t="str">
        <f t="shared" si="32"/>
        <v/>
      </c>
      <c r="J31" s="189" t="str">
        <f t="shared" si="33"/>
        <v/>
      </c>
      <c r="K31" s="190" t="str">
        <f t="shared" si="34"/>
        <v/>
      </c>
      <c r="L31" s="190" t="str">
        <f t="shared" si="35"/>
        <v/>
      </c>
      <c r="M31" s="214"/>
      <c r="N31" s="214"/>
      <c r="O31" s="189" t="str">
        <f t="shared" si="36"/>
        <v/>
      </c>
      <c r="P31" s="191" t="str">
        <f t="shared" si="5"/>
        <v/>
      </c>
      <c r="Q31" s="192" t="str">
        <f t="shared" si="18"/>
        <v/>
      </c>
      <c r="R31" s="191" t="str">
        <f t="shared" si="6"/>
        <v/>
      </c>
      <c r="S31" s="193" t="str">
        <f t="shared" si="19"/>
        <v/>
      </c>
      <c r="T31" s="194" t="str">
        <f t="shared" si="7"/>
        <v/>
      </c>
      <c r="U31" s="192" t="str">
        <f t="shared" si="20"/>
        <v/>
      </c>
      <c r="V31" s="195" t="str">
        <f t="shared" si="8"/>
        <v/>
      </c>
      <c r="W31" s="195" t="str">
        <f t="shared" si="9"/>
        <v/>
      </c>
      <c r="X31" s="196" t="str">
        <f t="shared" si="21"/>
        <v/>
      </c>
      <c r="Y31" s="191" t="str">
        <f t="shared" si="26"/>
        <v/>
      </c>
      <c r="Z31" s="197" t="str">
        <f t="shared" si="10"/>
        <v/>
      </c>
      <c r="AA31" s="197" t="str">
        <f t="shared" si="11"/>
        <v/>
      </c>
      <c r="AB31" s="213"/>
      <c r="AC31" s="204"/>
    </row>
    <row r="32" spans="1:29" ht="11.4">
      <c r="A32" s="211" t="str">
        <f t="shared" si="23"/>
        <v/>
      </c>
      <c r="B32" s="211"/>
      <c r="C32" s="185"/>
      <c r="D32" s="186" t="str">
        <f t="shared" si="24"/>
        <v/>
      </c>
      <c r="E32" s="186" t="str">
        <f>IF(OR(C32="",C32=Data!$B$3),"",IF(C32=Data!$B$4,"L","S"))</f>
        <v/>
      </c>
      <c r="F32" s="186" t="str">
        <f t="shared" si="27"/>
        <v/>
      </c>
      <c r="G32" s="187" t="str">
        <f t="shared" si="25"/>
        <v/>
      </c>
      <c r="H32" s="188"/>
      <c r="I32" s="189" t="str">
        <f t="shared" si="32"/>
        <v/>
      </c>
      <c r="J32" s="189" t="str">
        <f t="shared" si="33"/>
        <v/>
      </c>
      <c r="K32" s="190" t="str">
        <f t="shared" si="34"/>
        <v/>
      </c>
      <c r="L32" s="190" t="str">
        <f t="shared" si="35"/>
        <v/>
      </c>
      <c r="M32" s="214"/>
      <c r="N32" s="214"/>
      <c r="O32" s="189" t="str">
        <f t="shared" si="36"/>
        <v/>
      </c>
      <c r="P32" s="191" t="str">
        <f t="shared" si="5"/>
        <v/>
      </c>
      <c r="Q32" s="192" t="str">
        <f t="shared" si="18"/>
        <v/>
      </c>
      <c r="R32" s="191" t="str">
        <f t="shared" si="6"/>
        <v/>
      </c>
      <c r="S32" s="193" t="str">
        <f t="shared" si="19"/>
        <v/>
      </c>
      <c r="T32" s="194" t="str">
        <f t="shared" si="7"/>
        <v/>
      </c>
      <c r="U32" s="192" t="str">
        <f t="shared" si="20"/>
        <v/>
      </c>
      <c r="V32" s="195" t="str">
        <f t="shared" si="8"/>
        <v/>
      </c>
      <c r="W32" s="195" t="str">
        <f t="shared" si="9"/>
        <v/>
      </c>
      <c r="X32" s="196" t="str">
        <f t="shared" si="21"/>
        <v/>
      </c>
      <c r="Y32" s="191" t="str">
        <f t="shared" si="26"/>
        <v/>
      </c>
      <c r="Z32" s="197" t="str">
        <f t="shared" si="10"/>
        <v/>
      </c>
      <c r="AA32" s="197" t="str">
        <f t="shared" si="11"/>
        <v/>
      </c>
      <c r="AB32" s="213"/>
      <c r="AC32" s="204"/>
    </row>
    <row r="33" spans="1:29" ht="11.4">
      <c r="A33" s="211" t="str">
        <f t="shared" si="23"/>
        <v/>
      </c>
      <c r="B33" s="211"/>
      <c r="C33" s="185"/>
      <c r="D33" s="186" t="str">
        <f t="shared" si="24"/>
        <v/>
      </c>
      <c r="E33" s="186" t="str">
        <f>IF(OR(C33="",C33=Data!$B$3),"",IF(C33=Data!$B$4,"L","S"))</f>
        <v/>
      </c>
      <c r="F33" s="186" t="str">
        <f t="shared" si="27"/>
        <v/>
      </c>
      <c r="G33" s="187" t="str">
        <f t="shared" si="25"/>
        <v/>
      </c>
      <c r="H33" s="188"/>
      <c r="I33" s="189" t="str">
        <f t="shared" si="32"/>
        <v/>
      </c>
      <c r="J33" s="189" t="str">
        <f t="shared" si="33"/>
        <v/>
      </c>
      <c r="K33" s="190" t="str">
        <f t="shared" si="34"/>
        <v/>
      </c>
      <c r="L33" s="190" t="str">
        <f t="shared" si="35"/>
        <v/>
      </c>
      <c r="M33" s="214"/>
      <c r="N33" s="214"/>
      <c r="O33" s="189" t="str">
        <f t="shared" si="36"/>
        <v/>
      </c>
      <c r="P33" s="191" t="str">
        <f t="shared" si="5"/>
        <v/>
      </c>
      <c r="Q33" s="192" t="str">
        <f t="shared" si="18"/>
        <v/>
      </c>
      <c r="R33" s="191" t="str">
        <f t="shared" si="6"/>
        <v/>
      </c>
      <c r="S33" s="193" t="str">
        <f t="shared" si="19"/>
        <v/>
      </c>
      <c r="T33" s="194" t="str">
        <f t="shared" si="7"/>
        <v/>
      </c>
      <c r="U33" s="192" t="str">
        <f t="shared" si="20"/>
        <v/>
      </c>
      <c r="V33" s="195" t="str">
        <f t="shared" si="8"/>
        <v/>
      </c>
      <c r="W33" s="195" t="str">
        <f t="shared" si="9"/>
        <v/>
      </c>
      <c r="X33" s="196" t="str">
        <f t="shared" si="21"/>
        <v/>
      </c>
      <c r="Y33" s="191" t="str">
        <f t="shared" si="26"/>
        <v/>
      </c>
      <c r="Z33" s="197" t="str">
        <f t="shared" si="10"/>
        <v/>
      </c>
      <c r="AA33" s="197" t="str">
        <f t="shared" si="11"/>
        <v/>
      </c>
      <c r="AB33" s="213"/>
      <c r="AC33" s="204"/>
    </row>
    <row r="34" spans="1:29" ht="11.4">
      <c r="A34" s="211" t="str">
        <f t="shared" si="23"/>
        <v/>
      </c>
      <c r="B34" s="211"/>
      <c r="C34" s="185"/>
      <c r="D34" s="186" t="str">
        <f t="shared" si="24"/>
        <v/>
      </c>
      <c r="E34" s="186" t="str">
        <f>IF(OR(C34="",C34=Data!$B$3),"",IF(C34=Data!$B$4,"L","S"))</f>
        <v/>
      </c>
      <c r="F34" s="186" t="str">
        <f t="shared" si="27"/>
        <v/>
      </c>
      <c r="G34" s="187" t="str">
        <f t="shared" si="25"/>
        <v/>
      </c>
      <c r="H34" s="188"/>
      <c r="I34" s="189" t="str">
        <f t="shared" si="32"/>
        <v/>
      </c>
      <c r="J34" s="189" t="str">
        <f t="shared" si="33"/>
        <v/>
      </c>
      <c r="K34" s="190" t="str">
        <f t="shared" si="34"/>
        <v/>
      </c>
      <c r="L34" s="190" t="str">
        <f t="shared" si="35"/>
        <v/>
      </c>
      <c r="M34" s="214"/>
      <c r="N34" s="214"/>
      <c r="O34" s="189" t="str">
        <f t="shared" si="36"/>
        <v/>
      </c>
      <c r="P34" s="191" t="str">
        <f t="shared" si="5"/>
        <v/>
      </c>
      <c r="Q34" s="192" t="str">
        <f t="shared" si="18"/>
        <v/>
      </c>
      <c r="R34" s="191" t="str">
        <f t="shared" si="6"/>
        <v/>
      </c>
      <c r="S34" s="193" t="str">
        <f t="shared" si="19"/>
        <v/>
      </c>
      <c r="T34" s="194" t="str">
        <f t="shared" si="7"/>
        <v/>
      </c>
      <c r="U34" s="192" t="str">
        <f t="shared" si="20"/>
        <v/>
      </c>
      <c r="V34" s="195" t="str">
        <f t="shared" si="8"/>
        <v/>
      </c>
      <c r="W34" s="195" t="str">
        <f t="shared" si="9"/>
        <v/>
      </c>
      <c r="X34" s="196" t="str">
        <f t="shared" si="21"/>
        <v/>
      </c>
      <c r="Y34" s="191" t="str">
        <f t="shared" si="26"/>
        <v/>
      </c>
      <c r="Z34" s="197" t="str">
        <f t="shared" si="10"/>
        <v/>
      </c>
      <c r="AA34" s="197" t="str">
        <f t="shared" si="11"/>
        <v/>
      </c>
      <c r="AB34" s="213"/>
      <c r="AC34" s="204"/>
    </row>
    <row r="35" spans="1:29" ht="11.4">
      <c r="A35" s="211" t="str">
        <f t="shared" si="23"/>
        <v/>
      </c>
      <c r="B35" s="211"/>
      <c r="C35" s="185"/>
      <c r="D35" s="186" t="str">
        <f t="shared" si="24"/>
        <v/>
      </c>
      <c r="E35" s="186" t="str">
        <f>IF(OR(C35="",C35=Data!$B$3),"",IF(C35=Data!$B$4,"L","S"))</f>
        <v/>
      </c>
      <c r="F35" s="186" t="str">
        <f t="shared" si="27"/>
        <v/>
      </c>
      <c r="G35" s="187" t="str">
        <f t="shared" si="25"/>
        <v/>
      </c>
      <c r="H35" s="188"/>
      <c r="I35" s="189" t="str">
        <f t="shared" si="32"/>
        <v/>
      </c>
      <c r="J35" s="189" t="str">
        <f t="shared" si="33"/>
        <v/>
      </c>
      <c r="K35" s="190" t="str">
        <f t="shared" si="34"/>
        <v/>
      </c>
      <c r="L35" s="190" t="str">
        <f t="shared" si="35"/>
        <v/>
      </c>
      <c r="M35" s="214"/>
      <c r="N35" s="214"/>
      <c r="O35" s="189" t="str">
        <f t="shared" si="36"/>
        <v/>
      </c>
      <c r="P35" s="191" t="str">
        <f t="shared" si="5"/>
        <v/>
      </c>
      <c r="Q35" s="192" t="str">
        <f t="shared" si="18"/>
        <v/>
      </c>
      <c r="R35" s="191" t="str">
        <f t="shared" si="6"/>
        <v/>
      </c>
      <c r="S35" s="193" t="str">
        <f t="shared" si="19"/>
        <v/>
      </c>
      <c r="T35" s="194" t="str">
        <f t="shared" si="7"/>
        <v/>
      </c>
      <c r="U35" s="192" t="str">
        <f t="shared" si="20"/>
        <v/>
      </c>
      <c r="V35" s="195" t="str">
        <f t="shared" si="8"/>
        <v/>
      </c>
      <c r="W35" s="195" t="str">
        <f t="shared" si="9"/>
        <v/>
      </c>
      <c r="X35" s="196" t="str">
        <f t="shared" si="21"/>
        <v/>
      </c>
      <c r="Y35" s="191" t="str">
        <f t="shared" si="26"/>
        <v/>
      </c>
      <c r="Z35" s="197" t="str">
        <f t="shared" si="10"/>
        <v/>
      </c>
      <c r="AA35" s="197" t="str">
        <f t="shared" si="11"/>
        <v/>
      </c>
      <c r="AB35" s="213"/>
      <c r="AC35" s="204"/>
    </row>
    <row r="36" spans="1:29" ht="11.4">
      <c r="A36" s="211" t="str">
        <f t="shared" si="23"/>
        <v/>
      </c>
      <c r="B36" s="211"/>
      <c r="C36" s="185"/>
      <c r="D36" s="186" t="str">
        <f t="shared" si="24"/>
        <v/>
      </c>
      <c r="E36" s="186" t="str">
        <f>IF(OR(C36="",C36=Data!$B$3),"",IF(C36=Data!$B$4,"L","S"))</f>
        <v/>
      </c>
      <c r="F36" s="186" t="str">
        <f t="shared" si="27"/>
        <v/>
      </c>
      <c r="G36" s="187" t="str">
        <f t="shared" si="25"/>
        <v/>
      </c>
      <c r="H36" s="188"/>
      <c r="I36" s="189" t="str">
        <f t="shared" si="32"/>
        <v/>
      </c>
      <c r="J36" s="189" t="str">
        <f t="shared" si="33"/>
        <v/>
      </c>
      <c r="K36" s="190" t="str">
        <f t="shared" si="34"/>
        <v/>
      </c>
      <c r="L36" s="190" t="str">
        <f t="shared" si="35"/>
        <v/>
      </c>
      <c r="M36" s="214"/>
      <c r="N36" s="214"/>
      <c r="O36" s="189" t="str">
        <f t="shared" si="36"/>
        <v/>
      </c>
      <c r="P36" s="191" t="str">
        <f t="shared" si="5"/>
        <v/>
      </c>
      <c r="Q36" s="192" t="str">
        <f t="shared" si="18"/>
        <v/>
      </c>
      <c r="R36" s="191" t="str">
        <f t="shared" si="6"/>
        <v/>
      </c>
      <c r="S36" s="193" t="str">
        <f t="shared" si="19"/>
        <v/>
      </c>
      <c r="T36" s="194" t="str">
        <f t="shared" si="7"/>
        <v/>
      </c>
      <c r="U36" s="192" t="str">
        <f t="shared" si="20"/>
        <v/>
      </c>
      <c r="V36" s="195" t="str">
        <f t="shared" si="8"/>
        <v/>
      </c>
      <c r="W36" s="195" t="str">
        <f t="shared" si="9"/>
        <v/>
      </c>
      <c r="X36" s="196" t="str">
        <f t="shared" si="21"/>
        <v/>
      </c>
      <c r="Y36" s="191" t="str">
        <f t="shared" si="26"/>
        <v/>
      </c>
      <c r="Z36" s="197" t="str">
        <f t="shared" si="10"/>
        <v/>
      </c>
      <c r="AA36" s="197" t="str">
        <f t="shared" si="11"/>
        <v/>
      </c>
      <c r="AB36" s="213"/>
      <c r="AC36" s="204"/>
    </row>
    <row r="37" spans="1:29" ht="11.4">
      <c r="A37" s="211" t="str">
        <f t="shared" si="23"/>
        <v/>
      </c>
      <c r="B37" s="211"/>
      <c r="C37" s="185"/>
      <c r="D37" s="186" t="str">
        <f t="shared" si="24"/>
        <v/>
      </c>
      <c r="E37" s="186" t="str">
        <f>IF(OR(C37="",C37=Data!$B$3),"",IF(C37=Data!$B$4,"L","S"))</f>
        <v/>
      </c>
      <c r="F37" s="186" t="str">
        <f t="shared" si="27"/>
        <v/>
      </c>
      <c r="G37" s="187" t="str">
        <f t="shared" si="25"/>
        <v/>
      </c>
      <c r="H37" s="188"/>
      <c r="I37" s="189" t="str">
        <f t="shared" si="32"/>
        <v/>
      </c>
      <c r="J37" s="189" t="str">
        <f t="shared" si="33"/>
        <v/>
      </c>
      <c r="K37" s="190" t="str">
        <f t="shared" si="34"/>
        <v/>
      </c>
      <c r="L37" s="190" t="str">
        <f t="shared" si="35"/>
        <v/>
      </c>
      <c r="M37" s="214"/>
      <c r="N37" s="214"/>
      <c r="O37" s="189" t="str">
        <f t="shared" si="36"/>
        <v/>
      </c>
      <c r="P37" s="191" t="str">
        <f t="shared" si="5"/>
        <v/>
      </c>
      <c r="Q37" s="192" t="str">
        <f t="shared" si="18"/>
        <v/>
      </c>
      <c r="R37" s="191" t="str">
        <f t="shared" si="6"/>
        <v/>
      </c>
      <c r="S37" s="193" t="str">
        <f t="shared" si="19"/>
        <v/>
      </c>
      <c r="T37" s="194" t="str">
        <f t="shared" si="7"/>
        <v/>
      </c>
      <c r="U37" s="192" t="str">
        <f t="shared" si="20"/>
        <v/>
      </c>
      <c r="V37" s="195" t="str">
        <f t="shared" si="8"/>
        <v/>
      </c>
      <c r="W37" s="195" t="str">
        <f t="shared" si="9"/>
        <v/>
      </c>
      <c r="X37" s="196" t="str">
        <f t="shared" si="21"/>
        <v/>
      </c>
      <c r="Y37" s="191" t="str">
        <f t="shared" si="26"/>
        <v/>
      </c>
      <c r="Z37" s="197" t="str">
        <f t="shared" si="10"/>
        <v/>
      </c>
      <c r="AA37" s="197" t="str">
        <f t="shared" si="11"/>
        <v/>
      </c>
      <c r="AB37" s="213"/>
      <c r="AC37" s="204"/>
    </row>
    <row r="38" spans="1:29" ht="11.4">
      <c r="A38" s="211" t="str">
        <f t="shared" si="23"/>
        <v/>
      </c>
      <c r="B38" s="211"/>
      <c r="C38" s="185"/>
      <c r="D38" s="186" t="str">
        <f t="shared" si="24"/>
        <v/>
      </c>
      <c r="E38" s="186" t="str">
        <f>IF(OR(C38="",C38=Data!$B$3),"",IF(C38=Data!$B$4,"L","S"))</f>
        <v/>
      </c>
      <c r="F38" s="186" t="str">
        <f t="shared" si="27"/>
        <v/>
      </c>
      <c r="G38" s="187" t="str">
        <f t="shared" si="25"/>
        <v/>
      </c>
      <c r="H38" s="188"/>
      <c r="I38" s="189" t="str">
        <f t="shared" si="32"/>
        <v/>
      </c>
      <c r="J38" s="189" t="str">
        <f t="shared" si="33"/>
        <v/>
      </c>
      <c r="K38" s="190" t="str">
        <f t="shared" si="34"/>
        <v/>
      </c>
      <c r="L38" s="190" t="str">
        <f t="shared" si="35"/>
        <v/>
      </c>
      <c r="M38" s="214"/>
      <c r="N38" s="214"/>
      <c r="O38" s="189" t="str">
        <f t="shared" si="36"/>
        <v/>
      </c>
      <c r="P38" s="191" t="str">
        <f t="shared" si="5"/>
        <v/>
      </c>
      <c r="Q38" s="192" t="str">
        <f t="shared" si="18"/>
        <v/>
      </c>
      <c r="R38" s="191" t="str">
        <f t="shared" si="6"/>
        <v/>
      </c>
      <c r="S38" s="193" t="str">
        <f t="shared" si="19"/>
        <v/>
      </c>
      <c r="T38" s="194" t="str">
        <f t="shared" si="7"/>
        <v/>
      </c>
      <c r="U38" s="192" t="str">
        <f t="shared" si="20"/>
        <v/>
      </c>
      <c r="V38" s="195" t="str">
        <f t="shared" si="8"/>
        <v/>
      </c>
      <c r="W38" s="195" t="str">
        <f t="shared" si="9"/>
        <v/>
      </c>
      <c r="X38" s="196" t="str">
        <f t="shared" si="21"/>
        <v/>
      </c>
      <c r="Y38" s="191" t="str">
        <f t="shared" si="26"/>
        <v/>
      </c>
      <c r="Z38" s="197" t="str">
        <f t="shared" si="10"/>
        <v/>
      </c>
      <c r="AA38" s="197" t="str">
        <f t="shared" si="11"/>
        <v/>
      </c>
      <c r="AB38" s="213"/>
      <c r="AC38" s="204"/>
    </row>
    <row r="39" spans="1:29" ht="11.4">
      <c r="A39" s="211" t="str">
        <f t="shared" si="23"/>
        <v/>
      </c>
      <c r="B39" s="211"/>
      <c r="C39" s="185"/>
      <c r="D39" s="186" t="str">
        <f t="shared" si="24"/>
        <v/>
      </c>
      <c r="E39" s="186" t="str">
        <f>IF(OR(C39="",C39=Data!$B$3),"",IF(C39=Data!$B$4,"L","S"))</f>
        <v/>
      </c>
      <c r="F39" s="186" t="str">
        <f t="shared" si="27"/>
        <v/>
      </c>
      <c r="G39" s="187" t="str">
        <f t="shared" si="25"/>
        <v/>
      </c>
      <c r="H39" s="188"/>
      <c r="I39" s="189" t="str">
        <f t="shared" si="32"/>
        <v/>
      </c>
      <c r="J39" s="189" t="str">
        <f t="shared" si="33"/>
        <v/>
      </c>
      <c r="K39" s="190" t="str">
        <f t="shared" si="34"/>
        <v/>
      </c>
      <c r="L39" s="190" t="str">
        <f t="shared" si="35"/>
        <v/>
      </c>
      <c r="M39" s="214"/>
      <c r="N39" s="214"/>
      <c r="O39" s="189" t="str">
        <f t="shared" si="36"/>
        <v/>
      </c>
      <c r="P39" s="191" t="str">
        <f t="shared" si="5"/>
        <v/>
      </c>
      <c r="Q39" s="192" t="str">
        <f t="shared" si="18"/>
        <v/>
      </c>
      <c r="R39" s="191" t="str">
        <f t="shared" si="6"/>
        <v/>
      </c>
      <c r="S39" s="193" t="str">
        <f t="shared" si="19"/>
        <v/>
      </c>
      <c r="T39" s="194" t="str">
        <f t="shared" si="7"/>
        <v/>
      </c>
      <c r="U39" s="192" t="str">
        <f t="shared" si="20"/>
        <v/>
      </c>
      <c r="V39" s="195" t="str">
        <f t="shared" si="8"/>
        <v/>
      </c>
      <c r="W39" s="195" t="str">
        <f t="shared" si="9"/>
        <v/>
      </c>
      <c r="X39" s="196" t="str">
        <f t="shared" si="21"/>
        <v/>
      </c>
      <c r="Y39" s="191" t="str">
        <f t="shared" si="26"/>
        <v/>
      </c>
      <c r="Z39" s="197" t="str">
        <f t="shared" si="10"/>
        <v/>
      </c>
      <c r="AA39" s="197" t="str">
        <f t="shared" si="11"/>
        <v/>
      </c>
      <c r="AB39" s="213"/>
      <c r="AC39" s="204"/>
    </row>
    <row r="40" spans="1:29" ht="11.4">
      <c r="A40" s="211" t="str">
        <f t="shared" si="23"/>
        <v/>
      </c>
      <c r="B40" s="211"/>
      <c r="C40" s="185"/>
      <c r="D40" s="186" t="str">
        <f t="shared" si="24"/>
        <v/>
      </c>
      <c r="E40" s="186" t="str">
        <f>IF(OR(C40="",C40=Data!$B$3),"",IF(C40=Data!$B$4,"L","S"))</f>
        <v/>
      </c>
      <c r="F40" s="186" t="str">
        <f t="shared" si="27"/>
        <v/>
      </c>
      <c r="G40" s="187" t="str">
        <f t="shared" si="25"/>
        <v/>
      </c>
      <c r="H40" s="188"/>
      <c r="I40" s="189" t="str">
        <f t="shared" si="32"/>
        <v/>
      </c>
      <c r="J40" s="189" t="str">
        <f t="shared" si="33"/>
        <v/>
      </c>
      <c r="K40" s="190" t="str">
        <f t="shared" si="34"/>
        <v/>
      </c>
      <c r="L40" s="190" t="str">
        <f t="shared" si="35"/>
        <v/>
      </c>
      <c r="M40" s="214"/>
      <c r="N40" s="214"/>
      <c r="O40" s="189" t="str">
        <f t="shared" si="36"/>
        <v/>
      </c>
      <c r="P40" s="191" t="str">
        <f t="shared" si="5"/>
        <v/>
      </c>
      <c r="Q40" s="192" t="str">
        <f t="shared" si="18"/>
        <v/>
      </c>
      <c r="R40" s="191" t="str">
        <f t="shared" si="6"/>
        <v/>
      </c>
      <c r="S40" s="193" t="str">
        <f t="shared" si="19"/>
        <v/>
      </c>
      <c r="T40" s="194" t="str">
        <f t="shared" si="7"/>
        <v/>
      </c>
      <c r="U40" s="192" t="str">
        <f t="shared" si="20"/>
        <v/>
      </c>
      <c r="V40" s="195" t="str">
        <f t="shared" si="8"/>
        <v/>
      </c>
      <c r="W40" s="195" t="str">
        <f t="shared" si="9"/>
        <v/>
      </c>
      <c r="X40" s="196" t="str">
        <f t="shared" si="21"/>
        <v/>
      </c>
      <c r="Y40" s="191" t="str">
        <f t="shared" si="26"/>
        <v/>
      </c>
      <c r="Z40" s="197" t="str">
        <f t="shared" si="10"/>
        <v/>
      </c>
      <c r="AA40" s="197" t="str">
        <f t="shared" si="11"/>
        <v/>
      </c>
      <c r="AB40" s="213"/>
      <c r="AC40" s="204"/>
    </row>
    <row r="41" spans="1:29" ht="11.4">
      <c r="A41" s="211" t="str">
        <f t="shared" si="23"/>
        <v/>
      </c>
      <c r="B41" s="211"/>
      <c r="C41" s="185"/>
      <c r="D41" s="186" t="str">
        <f t="shared" si="24"/>
        <v/>
      </c>
      <c r="E41" s="186" t="str">
        <f>IF(OR(C41="",C41=Data!$B$3),"",IF(C41=Data!$B$4,"L","S"))</f>
        <v/>
      </c>
      <c r="F41" s="186" t="str">
        <f t="shared" si="27"/>
        <v/>
      </c>
      <c r="G41" s="187" t="str">
        <f t="shared" si="25"/>
        <v/>
      </c>
      <c r="H41" s="188"/>
      <c r="I41" s="189" t="str">
        <f t="shared" si="32"/>
        <v/>
      </c>
      <c r="J41" s="189" t="str">
        <f t="shared" si="33"/>
        <v/>
      </c>
      <c r="K41" s="190" t="str">
        <f t="shared" si="34"/>
        <v/>
      </c>
      <c r="L41" s="190" t="str">
        <f t="shared" si="35"/>
        <v/>
      </c>
      <c r="M41" s="214"/>
      <c r="N41" s="214"/>
      <c r="O41" s="189" t="str">
        <f t="shared" si="36"/>
        <v/>
      </c>
      <c r="P41" s="191" t="str">
        <f t="shared" si="5"/>
        <v/>
      </c>
      <c r="Q41" s="192" t="str">
        <f t="shared" si="18"/>
        <v/>
      </c>
      <c r="R41" s="191" t="str">
        <f t="shared" si="6"/>
        <v/>
      </c>
      <c r="S41" s="193" t="str">
        <f t="shared" si="19"/>
        <v/>
      </c>
      <c r="T41" s="194" t="str">
        <f t="shared" si="7"/>
        <v/>
      </c>
      <c r="U41" s="192" t="str">
        <f t="shared" si="20"/>
        <v/>
      </c>
      <c r="V41" s="195" t="str">
        <f t="shared" si="8"/>
        <v/>
      </c>
      <c r="W41" s="195" t="str">
        <f t="shared" si="9"/>
        <v/>
      </c>
      <c r="X41" s="196" t="str">
        <f t="shared" si="21"/>
        <v/>
      </c>
      <c r="Y41" s="191" t="str">
        <f t="shared" si="26"/>
        <v/>
      </c>
      <c r="Z41" s="197" t="str">
        <f t="shared" si="10"/>
        <v/>
      </c>
      <c r="AA41" s="197" t="str">
        <f t="shared" si="11"/>
        <v/>
      </c>
      <c r="AB41" s="213"/>
      <c r="AC41" s="204"/>
    </row>
    <row r="42" spans="1:29" ht="11.4">
      <c r="A42" s="211" t="str">
        <f t="shared" si="23"/>
        <v/>
      </c>
      <c r="B42" s="211"/>
      <c r="C42" s="185"/>
      <c r="D42" s="186" t="str">
        <f t="shared" si="24"/>
        <v/>
      </c>
      <c r="E42" s="186" t="str">
        <f>IF(OR(C42="",C42=Data!$B$3),"",IF(C42=Data!$B$4,"L","S"))</f>
        <v/>
      </c>
      <c r="F42" s="186" t="str">
        <f t="shared" si="27"/>
        <v/>
      </c>
      <c r="G42" s="187" t="str">
        <f t="shared" si="25"/>
        <v/>
      </c>
      <c r="H42" s="188"/>
      <c r="I42" s="189" t="str">
        <f t="shared" si="32"/>
        <v/>
      </c>
      <c r="J42" s="189" t="str">
        <f t="shared" si="33"/>
        <v/>
      </c>
      <c r="K42" s="190" t="str">
        <f t="shared" si="34"/>
        <v/>
      </c>
      <c r="L42" s="190" t="str">
        <f t="shared" si="35"/>
        <v/>
      </c>
      <c r="M42" s="214"/>
      <c r="N42" s="214"/>
      <c r="O42" s="189" t="str">
        <f t="shared" si="36"/>
        <v/>
      </c>
      <c r="P42" s="191" t="str">
        <f t="shared" si="5"/>
        <v/>
      </c>
      <c r="Q42" s="192" t="str">
        <f t="shared" si="18"/>
        <v/>
      </c>
      <c r="R42" s="191" t="str">
        <f t="shared" si="6"/>
        <v/>
      </c>
      <c r="S42" s="193" t="str">
        <f t="shared" si="19"/>
        <v/>
      </c>
      <c r="T42" s="194" t="str">
        <f t="shared" si="7"/>
        <v/>
      </c>
      <c r="U42" s="192" t="str">
        <f t="shared" si="20"/>
        <v/>
      </c>
      <c r="V42" s="195" t="str">
        <f t="shared" si="8"/>
        <v/>
      </c>
      <c r="W42" s="195" t="str">
        <f t="shared" si="9"/>
        <v/>
      </c>
      <c r="X42" s="196" t="str">
        <f t="shared" si="21"/>
        <v/>
      </c>
      <c r="Y42" s="191" t="str">
        <f t="shared" si="26"/>
        <v/>
      </c>
      <c r="Z42" s="197" t="str">
        <f t="shared" si="10"/>
        <v/>
      </c>
      <c r="AA42" s="197" t="str">
        <f t="shared" si="11"/>
        <v/>
      </c>
      <c r="AB42" s="213"/>
      <c r="AC42" s="204"/>
    </row>
    <row r="43" spans="1:29" ht="11.4">
      <c r="A43" s="211" t="str">
        <f t="shared" si="23"/>
        <v/>
      </c>
      <c r="B43" s="211"/>
      <c r="C43" s="185"/>
      <c r="D43" s="186" t="str">
        <f t="shared" si="24"/>
        <v/>
      </c>
      <c r="E43" s="186" t="str">
        <f>IF(OR(C43="",C43=Data!$B$3),"",IF(C43=Data!$B$4,"L","S"))</f>
        <v/>
      </c>
      <c r="F43" s="186" t="str">
        <f t="shared" si="27"/>
        <v/>
      </c>
      <c r="G43" s="187" t="str">
        <f t="shared" si="25"/>
        <v/>
      </c>
      <c r="H43" s="188"/>
      <c r="I43" s="189" t="str">
        <f t="shared" si="32"/>
        <v/>
      </c>
      <c r="J43" s="189" t="str">
        <f t="shared" si="33"/>
        <v/>
      </c>
      <c r="K43" s="190" t="str">
        <f t="shared" si="34"/>
        <v/>
      </c>
      <c r="L43" s="190" t="str">
        <f t="shared" si="35"/>
        <v/>
      </c>
      <c r="M43" s="214"/>
      <c r="N43" s="214"/>
      <c r="O43" s="189" t="str">
        <f t="shared" si="36"/>
        <v/>
      </c>
      <c r="P43" s="191" t="str">
        <f t="shared" si="5"/>
        <v/>
      </c>
      <c r="Q43" s="192" t="str">
        <f t="shared" si="18"/>
        <v/>
      </c>
      <c r="R43" s="191" t="str">
        <f t="shared" si="6"/>
        <v/>
      </c>
      <c r="S43" s="193" t="str">
        <f t="shared" si="19"/>
        <v/>
      </c>
      <c r="T43" s="194" t="str">
        <f t="shared" si="7"/>
        <v/>
      </c>
      <c r="U43" s="192" t="str">
        <f t="shared" si="20"/>
        <v/>
      </c>
      <c r="V43" s="195" t="str">
        <f t="shared" si="8"/>
        <v/>
      </c>
      <c r="W43" s="195" t="str">
        <f t="shared" si="9"/>
        <v/>
      </c>
      <c r="X43" s="196" t="str">
        <f t="shared" si="21"/>
        <v/>
      </c>
      <c r="Y43" s="191" t="str">
        <f t="shared" si="26"/>
        <v/>
      </c>
      <c r="Z43" s="197" t="str">
        <f t="shared" si="10"/>
        <v/>
      </c>
      <c r="AA43" s="197" t="str">
        <f t="shared" si="11"/>
        <v/>
      </c>
      <c r="AB43" s="213"/>
      <c r="AC43" s="204"/>
    </row>
    <row r="44" spans="1:29" ht="11.4">
      <c r="A44" s="211" t="str">
        <f t="shared" si="23"/>
        <v/>
      </c>
      <c r="B44" s="211"/>
      <c r="C44" s="185"/>
      <c r="D44" s="186" t="str">
        <f t="shared" si="24"/>
        <v/>
      </c>
      <c r="E44" s="186" t="str">
        <f>IF(OR(C44="",C44=Data!$B$3),"",IF(C44=Data!$B$4,"L","S"))</f>
        <v/>
      </c>
      <c r="F44" s="186" t="str">
        <f t="shared" si="27"/>
        <v/>
      </c>
      <c r="G44" s="187" t="str">
        <f t="shared" si="25"/>
        <v/>
      </c>
      <c r="H44" s="188"/>
      <c r="I44" s="189" t="str">
        <f t="shared" si="32"/>
        <v/>
      </c>
      <c r="J44" s="189" t="str">
        <f t="shared" si="33"/>
        <v/>
      </c>
      <c r="K44" s="190" t="str">
        <f t="shared" si="34"/>
        <v/>
      </c>
      <c r="L44" s="190" t="str">
        <f t="shared" si="35"/>
        <v/>
      </c>
      <c r="M44" s="214"/>
      <c r="N44" s="214"/>
      <c r="O44" s="189" t="str">
        <f t="shared" si="36"/>
        <v/>
      </c>
      <c r="P44" s="191" t="str">
        <f t="shared" si="5"/>
        <v/>
      </c>
      <c r="Q44" s="192" t="str">
        <f t="shared" si="18"/>
        <v/>
      </c>
      <c r="R44" s="191" t="str">
        <f t="shared" si="6"/>
        <v/>
      </c>
      <c r="S44" s="193" t="str">
        <f t="shared" si="19"/>
        <v/>
      </c>
      <c r="T44" s="194" t="str">
        <f t="shared" si="7"/>
        <v/>
      </c>
      <c r="U44" s="192" t="str">
        <f t="shared" si="20"/>
        <v/>
      </c>
      <c r="V44" s="195" t="str">
        <f t="shared" si="8"/>
        <v/>
      </c>
      <c r="W44" s="195" t="str">
        <f t="shared" si="9"/>
        <v/>
      </c>
      <c r="X44" s="196" t="str">
        <f t="shared" si="21"/>
        <v/>
      </c>
      <c r="Y44" s="191" t="str">
        <f t="shared" si="26"/>
        <v/>
      </c>
      <c r="Z44" s="197" t="str">
        <f t="shared" si="10"/>
        <v/>
      </c>
      <c r="AA44" s="197" t="str">
        <f t="shared" si="11"/>
        <v/>
      </c>
      <c r="AB44" s="213"/>
      <c r="AC44" s="204"/>
    </row>
    <row r="45" spans="1:29" ht="11.4">
      <c r="A45" s="211" t="str">
        <f t="shared" si="23"/>
        <v/>
      </c>
      <c r="B45" s="211"/>
      <c r="C45" s="185"/>
      <c r="D45" s="186" t="str">
        <f t="shared" si="24"/>
        <v/>
      </c>
      <c r="E45" s="186" t="str">
        <f>IF(OR(C45="",C45=Data!$B$3),"",IF(C45=Data!$B$4,"L","S"))</f>
        <v/>
      </c>
      <c r="F45" s="186" t="str">
        <f t="shared" si="27"/>
        <v/>
      </c>
      <c r="G45" s="187" t="str">
        <f t="shared" si="25"/>
        <v/>
      </c>
      <c r="H45" s="188"/>
      <c r="I45" s="189" t="str">
        <f t="shared" si="32"/>
        <v/>
      </c>
      <c r="J45" s="189" t="str">
        <f t="shared" si="33"/>
        <v/>
      </c>
      <c r="K45" s="190" t="str">
        <f t="shared" si="34"/>
        <v/>
      </c>
      <c r="L45" s="190" t="str">
        <f t="shared" si="35"/>
        <v/>
      </c>
      <c r="M45" s="214"/>
      <c r="N45" s="214"/>
      <c r="O45" s="189" t="str">
        <f t="shared" si="36"/>
        <v/>
      </c>
      <c r="P45" s="191" t="str">
        <f t="shared" si="5"/>
        <v/>
      </c>
      <c r="Q45" s="192" t="str">
        <f t="shared" si="18"/>
        <v/>
      </c>
      <c r="R45" s="191" t="str">
        <f t="shared" si="6"/>
        <v/>
      </c>
      <c r="S45" s="193" t="str">
        <f t="shared" si="19"/>
        <v/>
      </c>
      <c r="T45" s="194" t="str">
        <f t="shared" si="7"/>
        <v/>
      </c>
      <c r="U45" s="192" t="str">
        <f t="shared" si="20"/>
        <v/>
      </c>
      <c r="V45" s="195" t="str">
        <f t="shared" si="8"/>
        <v/>
      </c>
      <c r="W45" s="195" t="str">
        <f t="shared" si="9"/>
        <v/>
      </c>
      <c r="X45" s="196" t="str">
        <f t="shared" si="21"/>
        <v/>
      </c>
      <c r="Y45" s="191" t="str">
        <f t="shared" si="26"/>
        <v/>
      </c>
      <c r="Z45" s="197" t="str">
        <f t="shared" si="10"/>
        <v/>
      </c>
      <c r="AA45" s="197" t="str">
        <f t="shared" si="11"/>
        <v/>
      </c>
      <c r="AB45" s="213"/>
      <c r="AC45" s="204"/>
    </row>
    <row r="46" spans="1:29" ht="11.4">
      <c r="A46" s="211" t="str">
        <f t="shared" si="23"/>
        <v/>
      </c>
      <c r="B46" s="211"/>
      <c r="C46" s="185"/>
      <c r="D46" s="186" t="str">
        <f t="shared" si="24"/>
        <v/>
      </c>
      <c r="E46" s="186" t="str">
        <f>IF(OR(C46="",C46=Data!$B$3),"",IF(C46=Data!$B$4,"L","S"))</f>
        <v/>
      </c>
      <c r="F46" s="186" t="str">
        <f t="shared" si="27"/>
        <v/>
      </c>
      <c r="G46" s="187" t="str">
        <f t="shared" si="25"/>
        <v/>
      </c>
      <c r="H46" s="188"/>
      <c r="I46" s="189" t="str">
        <f t="shared" si="32"/>
        <v/>
      </c>
      <c r="J46" s="189" t="str">
        <f t="shared" si="33"/>
        <v/>
      </c>
      <c r="K46" s="190" t="str">
        <f t="shared" si="34"/>
        <v/>
      </c>
      <c r="L46" s="190" t="str">
        <f t="shared" si="35"/>
        <v/>
      </c>
      <c r="M46" s="214"/>
      <c r="N46" s="214"/>
      <c r="O46" s="189" t="str">
        <f t="shared" si="36"/>
        <v/>
      </c>
      <c r="P46" s="191" t="str">
        <f t="shared" si="5"/>
        <v/>
      </c>
      <c r="Q46" s="192" t="str">
        <f t="shared" si="18"/>
        <v/>
      </c>
      <c r="R46" s="191" t="str">
        <f t="shared" si="6"/>
        <v/>
      </c>
      <c r="S46" s="193" t="str">
        <f t="shared" si="19"/>
        <v/>
      </c>
      <c r="T46" s="194" t="str">
        <f t="shared" si="7"/>
        <v/>
      </c>
      <c r="U46" s="192" t="str">
        <f t="shared" si="20"/>
        <v/>
      </c>
      <c r="V46" s="195" t="str">
        <f t="shared" si="8"/>
        <v/>
      </c>
      <c r="W46" s="195" t="str">
        <f t="shared" si="9"/>
        <v/>
      </c>
      <c r="X46" s="196" t="str">
        <f t="shared" si="21"/>
        <v/>
      </c>
      <c r="Y46" s="191" t="str">
        <f t="shared" si="26"/>
        <v/>
      </c>
      <c r="Z46" s="197" t="str">
        <f t="shared" si="10"/>
        <v/>
      </c>
      <c r="AA46" s="197" t="str">
        <f t="shared" si="11"/>
        <v/>
      </c>
      <c r="AB46" s="213"/>
      <c r="AC46" s="204"/>
    </row>
    <row r="47" spans="1:29" ht="11.4">
      <c r="A47" s="211" t="str">
        <f t="shared" si="23"/>
        <v/>
      </c>
      <c r="B47" s="211"/>
      <c r="C47" s="185"/>
      <c r="D47" s="186" t="str">
        <f t="shared" si="24"/>
        <v/>
      </c>
      <c r="E47" s="186" t="str">
        <f>IF(OR(C47="",C47=Data!$B$3),"",IF(C47=Data!$B$4,"L","S"))</f>
        <v/>
      </c>
      <c r="F47" s="186" t="str">
        <f t="shared" si="27"/>
        <v/>
      </c>
      <c r="G47" s="187" t="str">
        <f t="shared" si="25"/>
        <v/>
      </c>
      <c r="H47" s="188"/>
      <c r="I47" s="189" t="str">
        <f t="shared" si="32"/>
        <v/>
      </c>
      <c r="J47" s="189" t="str">
        <f t="shared" si="33"/>
        <v/>
      </c>
      <c r="K47" s="190" t="str">
        <f t="shared" si="34"/>
        <v/>
      </c>
      <c r="L47" s="190" t="str">
        <f t="shared" si="35"/>
        <v/>
      </c>
      <c r="M47" s="214"/>
      <c r="N47" s="214"/>
      <c r="O47" s="189" t="str">
        <f t="shared" si="36"/>
        <v/>
      </c>
      <c r="P47" s="191" t="str">
        <f t="shared" si="5"/>
        <v/>
      </c>
      <c r="Q47" s="192" t="str">
        <f t="shared" si="18"/>
        <v/>
      </c>
      <c r="R47" s="191" t="str">
        <f t="shared" si="6"/>
        <v/>
      </c>
      <c r="S47" s="193" t="str">
        <f t="shared" si="19"/>
        <v/>
      </c>
      <c r="T47" s="194" t="str">
        <f t="shared" si="7"/>
        <v/>
      </c>
      <c r="U47" s="192" t="str">
        <f t="shared" si="20"/>
        <v/>
      </c>
      <c r="V47" s="195" t="str">
        <f t="shared" si="8"/>
        <v/>
      </c>
      <c r="W47" s="195" t="str">
        <f t="shared" si="9"/>
        <v/>
      </c>
      <c r="X47" s="196" t="str">
        <f t="shared" si="21"/>
        <v/>
      </c>
      <c r="Y47" s="191" t="str">
        <f t="shared" si="26"/>
        <v/>
      </c>
      <c r="Z47" s="197" t="str">
        <f t="shared" si="10"/>
        <v/>
      </c>
      <c r="AA47" s="197" t="str">
        <f t="shared" si="11"/>
        <v/>
      </c>
      <c r="AB47" s="213"/>
      <c r="AC47" s="204"/>
    </row>
    <row r="48" spans="1:29" ht="11.4">
      <c r="A48" s="211" t="str">
        <f t="shared" si="23"/>
        <v/>
      </c>
      <c r="B48" s="211"/>
      <c r="C48" s="185"/>
      <c r="D48" s="186" t="str">
        <f t="shared" si="24"/>
        <v/>
      </c>
      <c r="E48" s="186" t="str">
        <f>IF(OR(C48="",C48=Data!$B$3),"",IF(C48=Data!$B$4,"L","S"))</f>
        <v/>
      </c>
      <c r="F48" s="186" t="str">
        <f t="shared" si="27"/>
        <v/>
      </c>
      <c r="G48" s="187" t="str">
        <f t="shared" si="25"/>
        <v/>
      </c>
      <c r="H48" s="188"/>
      <c r="I48" s="189" t="str">
        <f t="shared" si="32"/>
        <v/>
      </c>
      <c r="J48" s="189" t="str">
        <f t="shared" si="33"/>
        <v/>
      </c>
      <c r="K48" s="190" t="str">
        <f t="shared" si="34"/>
        <v/>
      </c>
      <c r="L48" s="190" t="str">
        <f t="shared" si="35"/>
        <v/>
      </c>
      <c r="M48" s="214"/>
      <c r="N48" s="214"/>
      <c r="O48" s="189" t="str">
        <f t="shared" si="36"/>
        <v/>
      </c>
      <c r="P48" s="191" t="str">
        <f t="shared" si="5"/>
        <v/>
      </c>
      <c r="Q48" s="192" t="str">
        <f t="shared" si="18"/>
        <v/>
      </c>
      <c r="R48" s="191" t="str">
        <f t="shared" si="6"/>
        <v/>
      </c>
      <c r="S48" s="193" t="str">
        <f t="shared" si="19"/>
        <v/>
      </c>
      <c r="T48" s="194" t="str">
        <f t="shared" si="7"/>
        <v/>
      </c>
      <c r="U48" s="192" t="str">
        <f t="shared" si="20"/>
        <v/>
      </c>
      <c r="V48" s="195" t="str">
        <f t="shared" si="8"/>
        <v/>
      </c>
      <c r="W48" s="195" t="str">
        <f t="shared" si="9"/>
        <v/>
      </c>
      <c r="X48" s="196" t="str">
        <f t="shared" si="21"/>
        <v/>
      </c>
      <c r="Y48" s="191" t="str">
        <f t="shared" si="26"/>
        <v/>
      </c>
      <c r="Z48" s="197" t="str">
        <f t="shared" si="10"/>
        <v/>
      </c>
      <c r="AA48" s="197" t="str">
        <f t="shared" si="11"/>
        <v/>
      </c>
      <c r="AB48" s="213"/>
      <c r="AC48" s="204"/>
    </row>
    <row r="49" spans="1:29" ht="11.4">
      <c r="A49" s="211" t="str">
        <f t="shared" si="23"/>
        <v/>
      </c>
      <c r="B49" s="211"/>
      <c r="C49" s="185"/>
      <c r="D49" s="186" t="str">
        <f t="shared" si="24"/>
        <v/>
      </c>
      <c r="E49" s="186" t="str">
        <f>IF(OR(C49="",C49=Data!$B$3),"",IF(C49=Data!$B$4,"L","S"))</f>
        <v/>
      </c>
      <c r="F49" s="186" t="str">
        <f t="shared" si="27"/>
        <v/>
      </c>
      <c r="G49" s="187" t="str">
        <f t="shared" si="25"/>
        <v/>
      </c>
      <c r="H49" s="188"/>
      <c r="I49" s="189" t="str">
        <f t="shared" si="32"/>
        <v/>
      </c>
      <c r="J49" s="189" t="str">
        <f t="shared" si="33"/>
        <v/>
      </c>
      <c r="K49" s="190" t="str">
        <f t="shared" si="34"/>
        <v/>
      </c>
      <c r="L49" s="190" t="str">
        <f t="shared" si="35"/>
        <v/>
      </c>
      <c r="M49" s="214"/>
      <c r="N49" s="214"/>
      <c r="O49" s="189" t="str">
        <f t="shared" si="36"/>
        <v/>
      </c>
      <c r="P49" s="191" t="str">
        <f t="shared" si="5"/>
        <v/>
      </c>
      <c r="Q49" s="192" t="str">
        <f t="shared" si="18"/>
        <v/>
      </c>
      <c r="R49" s="191" t="str">
        <f t="shared" si="6"/>
        <v/>
      </c>
      <c r="S49" s="193" t="str">
        <f t="shared" si="19"/>
        <v/>
      </c>
      <c r="T49" s="194" t="str">
        <f t="shared" si="7"/>
        <v/>
      </c>
      <c r="U49" s="192" t="str">
        <f t="shared" si="20"/>
        <v/>
      </c>
      <c r="V49" s="195" t="str">
        <f t="shared" si="8"/>
        <v/>
      </c>
      <c r="W49" s="195" t="str">
        <f t="shared" si="9"/>
        <v/>
      </c>
      <c r="X49" s="196" t="str">
        <f t="shared" si="21"/>
        <v/>
      </c>
      <c r="Y49" s="191" t="str">
        <f t="shared" si="26"/>
        <v/>
      </c>
      <c r="Z49" s="197" t="str">
        <f t="shared" si="10"/>
        <v/>
      </c>
      <c r="AA49" s="197" t="str">
        <f t="shared" si="11"/>
        <v/>
      </c>
      <c r="AB49" s="213"/>
      <c r="AC49" s="204"/>
    </row>
    <row r="50" spans="1:29" ht="11.4">
      <c r="A50" s="211" t="str">
        <f t="shared" si="23"/>
        <v/>
      </c>
      <c r="B50" s="211"/>
      <c r="C50" s="185"/>
      <c r="D50" s="186" t="str">
        <f t="shared" si="24"/>
        <v/>
      </c>
      <c r="E50" s="186" t="str">
        <f>IF(OR(C50="",C50=Data!$B$3),"",IF(C50=Data!$B$4,"L","S"))</f>
        <v/>
      </c>
      <c r="F50" s="186" t="str">
        <f t="shared" si="27"/>
        <v/>
      </c>
      <c r="G50" s="187" t="str">
        <f t="shared" si="25"/>
        <v/>
      </c>
      <c r="H50" s="188"/>
      <c r="I50" s="189" t="str">
        <f t="shared" si="32"/>
        <v/>
      </c>
      <c r="J50" s="189" t="str">
        <f t="shared" si="33"/>
        <v/>
      </c>
      <c r="K50" s="190" t="str">
        <f t="shared" si="34"/>
        <v/>
      </c>
      <c r="L50" s="190" t="str">
        <f t="shared" si="35"/>
        <v/>
      </c>
      <c r="M50" s="214"/>
      <c r="N50" s="214"/>
      <c r="O50" s="189" t="str">
        <f t="shared" si="36"/>
        <v/>
      </c>
      <c r="P50" s="191" t="str">
        <f t="shared" si="5"/>
        <v/>
      </c>
      <c r="Q50" s="192" t="str">
        <f t="shared" si="18"/>
        <v/>
      </c>
      <c r="R50" s="191" t="str">
        <f t="shared" si="6"/>
        <v/>
      </c>
      <c r="S50" s="193" t="str">
        <f t="shared" si="19"/>
        <v/>
      </c>
      <c r="T50" s="194" t="str">
        <f t="shared" si="7"/>
        <v/>
      </c>
      <c r="U50" s="192" t="str">
        <f t="shared" si="20"/>
        <v/>
      </c>
      <c r="V50" s="195" t="str">
        <f t="shared" si="8"/>
        <v/>
      </c>
      <c r="W50" s="195" t="str">
        <f t="shared" si="9"/>
        <v/>
      </c>
      <c r="X50" s="196" t="str">
        <f t="shared" si="21"/>
        <v/>
      </c>
      <c r="Y50" s="191" t="str">
        <f t="shared" si="26"/>
        <v/>
      </c>
      <c r="Z50" s="197" t="str">
        <f t="shared" si="10"/>
        <v/>
      </c>
      <c r="AA50" s="197" t="str">
        <f t="shared" si="11"/>
        <v/>
      </c>
      <c r="AB50" s="213"/>
      <c r="AC50" s="204"/>
    </row>
    <row r="51" spans="1:29" ht="11.4">
      <c r="A51" s="211" t="str">
        <f t="shared" si="23"/>
        <v/>
      </c>
      <c r="B51" s="211"/>
      <c r="C51" s="185"/>
      <c r="D51" s="186" t="str">
        <f t="shared" si="24"/>
        <v/>
      </c>
      <c r="E51" s="186" t="str">
        <f>IF(OR(C51="",C51=Data!$B$3),"",IF(C51=Data!$B$4,"L","S"))</f>
        <v/>
      </c>
      <c r="F51" s="186" t="str">
        <f t="shared" si="27"/>
        <v/>
      </c>
      <c r="G51" s="187" t="str">
        <f t="shared" si="25"/>
        <v/>
      </c>
      <c r="H51" s="188"/>
      <c r="I51" s="189" t="str">
        <f t="shared" si="32"/>
        <v/>
      </c>
      <c r="J51" s="189" t="str">
        <f t="shared" si="33"/>
        <v/>
      </c>
      <c r="K51" s="190" t="str">
        <f t="shared" si="34"/>
        <v/>
      </c>
      <c r="L51" s="190" t="str">
        <f t="shared" si="35"/>
        <v/>
      </c>
      <c r="M51" s="214"/>
      <c r="N51" s="214"/>
      <c r="O51" s="189" t="str">
        <f t="shared" si="36"/>
        <v/>
      </c>
      <c r="P51" s="191" t="str">
        <f t="shared" si="5"/>
        <v/>
      </c>
      <c r="Q51" s="192" t="str">
        <f t="shared" si="18"/>
        <v/>
      </c>
      <c r="R51" s="191" t="str">
        <f t="shared" si="6"/>
        <v/>
      </c>
      <c r="S51" s="193" t="str">
        <f t="shared" si="19"/>
        <v/>
      </c>
      <c r="T51" s="194" t="str">
        <f t="shared" si="7"/>
        <v/>
      </c>
      <c r="U51" s="192" t="str">
        <f t="shared" si="20"/>
        <v/>
      </c>
      <c r="V51" s="195" t="str">
        <f t="shared" si="8"/>
        <v/>
      </c>
      <c r="W51" s="195" t="str">
        <f t="shared" si="9"/>
        <v/>
      </c>
      <c r="X51" s="196" t="str">
        <f t="shared" si="21"/>
        <v/>
      </c>
      <c r="Y51" s="191" t="str">
        <f t="shared" si="26"/>
        <v/>
      </c>
      <c r="Z51" s="197" t="str">
        <f t="shared" si="10"/>
        <v/>
      </c>
      <c r="AA51" s="197" t="str">
        <f t="shared" si="11"/>
        <v/>
      </c>
      <c r="AB51" s="213"/>
      <c r="AC51" s="204"/>
    </row>
    <row r="52" spans="1:29" ht="11.4">
      <c r="A52" s="211" t="str">
        <f t="shared" si="23"/>
        <v/>
      </c>
      <c r="B52" s="211"/>
      <c r="C52" s="185"/>
      <c r="D52" s="186" t="str">
        <f t="shared" si="24"/>
        <v/>
      </c>
      <c r="E52" s="186" t="str">
        <f>IF(OR(C52="",C52=Data!$B$3),"",IF(C52=Data!$B$4,"L","S"))</f>
        <v/>
      </c>
      <c r="F52" s="186" t="str">
        <f t="shared" si="27"/>
        <v/>
      </c>
      <c r="G52" s="187" t="str">
        <f t="shared" si="25"/>
        <v/>
      </c>
      <c r="H52" s="188"/>
      <c r="I52" s="189" t="str">
        <f t="shared" si="32"/>
        <v/>
      </c>
      <c r="J52" s="189" t="str">
        <f t="shared" si="33"/>
        <v/>
      </c>
      <c r="K52" s="190" t="str">
        <f t="shared" si="34"/>
        <v/>
      </c>
      <c r="L52" s="190" t="str">
        <f t="shared" si="35"/>
        <v/>
      </c>
      <c r="M52" s="214"/>
      <c r="N52" s="214"/>
      <c r="O52" s="189" t="str">
        <f t="shared" si="36"/>
        <v/>
      </c>
      <c r="P52" s="191" t="str">
        <f t="shared" si="5"/>
        <v/>
      </c>
      <c r="Q52" s="192" t="str">
        <f t="shared" si="18"/>
        <v/>
      </c>
      <c r="R52" s="191" t="str">
        <f t="shared" si="6"/>
        <v/>
      </c>
      <c r="S52" s="193" t="str">
        <f t="shared" si="19"/>
        <v/>
      </c>
      <c r="T52" s="194" t="str">
        <f t="shared" si="7"/>
        <v/>
      </c>
      <c r="U52" s="192" t="str">
        <f t="shared" si="20"/>
        <v/>
      </c>
      <c r="V52" s="195" t="str">
        <f t="shared" si="8"/>
        <v/>
      </c>
      <c r="W52" s="195" t="str">
        <f t="shared" si="9"/>
        <v/>
      </c>
      <c r="X52" s="196" t="str">
        <f t="shared" si="21"/>
        <v/>
      </c>
      <c r="Y52" s="191" t="str">
        <f t="shared" si="26"/>
        <v/>
      </c>
      <c r="Z52" s="197" t="str">
        <f t="shared" si="10"/>
        <v/>
      </c>
      <c r="AA52" s="197" t="str">
        <f t="shared" si="11"/>
        <v/>
      </c>
      <c r="AB52" s="213"/>
      <c r="AC52" s="204"/>
    </row>
    <row r="53" spans="1:29" ht="11.4">
      <c r="A53" s="211" t="str">
        <f t="shared" si="23"/>
        <v/>
      </c>
      <c r="B53" s="211"/>
      <c r="C53" s="185"/>
      <c r="D53" s="186" t="str">
        <f t="shared" si="24"/>
        <v/>
      </c>
      <c r="E53" s="186" t="str">
        <f>IF(OR(C53="",C53=Data!$B$3),"",IF(C53=Data!$B$4,"L","S"))</f>
        <v/>
      </c>
      <c r="F53" s="186" t="str">
        <f t="shared" si="27"/>
        <v/>
      </c>
      <c r="G53" s="187" t="str">
        <f t="shared" si="25"/>
        <v/>
      </c>
      <c r="H53" s="188"/>
      <c r="I53" s="189" t="str">
        <f t="shared" si="32"/>
        <v/>
      </c>
      <c r="J53" s="189" t="str">
        <f t="shared" si="33"/>
        <v/>
      </c>
      <c r="K53" s="190" t="str">
        <f t="shared" si="34"/>
        <v/>
      </c>
      <c r="L53" s="190" t="str">
        <f t="shared" si="35"/>
        <v/>
      </c>
      <c r="M53" s="214"/>
      <c r="N53" s="214"/>
      <c r="O53" s="189" t="str">
        <f t="shared" si="36"/>
        <v/>
      </c>
      <c r="P53" s="191" t="str">
        <f t="shared" si="5"/>
        <v/>
      </c>
      <c r="Q53" s="192" t="str">
        <f t="shared" si="18"/>
        <v/>
      </c>
      <c r="R53" s="191" t="str">
        <f t="shared" si="6"/>
        <v/>
      </c>
      <c r="S53" s="193" t="str">
        <f t="shared" si="19"/>
        <v/>
      </c>
      <c r="T53" s="194" t="str">
        <f t="shared" si="7"/>
        <v/>
      </c>
      <c r="U53" s="192" t="str">
        <f t="shared" si="20"/>
        <v/>
      </c>
      <c r="V53" s="195" t="str">
        <f t="shared" si="8"/>
        <v/>
      </c>
      <c r="W53" s="195" t="str">
        <f t="shared" si="9"/>
        <v/>
      </c>
      <c r="X53" s="196" t="str">
        <f t="shared" si="21"/>
        <v/>
      </c>
      <c r="Y53" s="191" t="str">
        <f t="shared" si="26"/>
        <v/>
      </c>
      <c r="Z53" s="197" t="str">
        <f t="shared" si="10"/>
        <v/>
      </c>
      <c r="AA53" s="197" t="str">
        <f t="shared" si="11"/>
        <v/>
      </c>
      <c r="AB53" s="213"/>
      <c r="AC53" s="204"/>
    </row>
    <row r="54" spans="1:29" ht="11.4">
      <c r="A54" s="211" t="str">
        <f t="shared" si="23"/>
        <v/>
      </c>
      <c r="B54" s="211"/>
      <c r="C54" s="185"/>
      <c r="D54" s="186" t="str">
        <f t="shared" si="24"/>
        <v/>
      </c>
      <c r="E54" s="186" t="str">
        <f>IF(OR(C54="",C54=Data!$B$3),"",IF(C54=Data!$B$4,"L","S"))</f>
        <v/>
      </c>
      <c r="F54" s="186" t="str">
        <f t="shared" si="27"/>
        <v/>
      </c>
      <c r="G54" s="187" t="str">
        <f t="shared" si="25"/>
        <v/>
      </c>
      <c r="H54" s="188"/>
      <c r="I54" s="189" t="str">
        <f t="shared" si="32"/>
        <v/>
      </c>
      <c r="J54" s="189" t="str">
        <f t="shared" si="33"/>
        <v/>
      </c>
      <c r="K54" s="190" t="str">
        <f t="shared" si="34"/>
        <v/>
      </c>
      <c r="L54" s="190" t="str">
        <f t="shared" si="35"/>
        <v/>
      </c>
      <c r="M54" s="214"/>
      <c r="N54" s="214"/>
      <c r="O54" s="189" t="str">
        <f t="shared" si="36"/>
        <v/>
      </c>
      <c r="P54" s="191" t="str">
        <f t="shared" si="5"/>
        <v/>
      </c>
      <c r="Q54" s="192" t="str">
        <f t="shared" si="18"/>
        <v/>
      </c>
      <c r="R54" s="191" t="str">
        <f t="shared" si="6"/>
        <v/>
      </c>
      <c r="S54" s="193" t="str">
        <f t="shared" si="19"/>
        <v/>
      </c>
      <c r="T54" s="194" t="str">
        <f t="shared" si="7"/>
        <v/>
      </c>
      <c r="U54" s="192" t="str">
        <f t="shared" si="20"/>
        <v/>
      </c>
      <c r="V54" s="195" t="str">
        <f t="shared" si="8"/>
        <v/>
      </c>
      <c r="W54" s="195" t="str">
        <f t="shared" si="9"/>
        <v/>
      </c>
      <c r="X54" s="196" t="str">
        <f t="shared" si="21"/>
        <v/>
      </c>
      <c r="Y54" s="191" t="str">
        <f t="shared" si="26"/>
        <v/>
      </c>
      <c r="Z54" s="197" t="str">
        <f t="shared" si="10"/>
        <v/>
      </c>
      <c r="AA54" s="197" t="str">
        <f t="shared" si="11"/>
        <v/>
      </c>
      <c r="AB54" s="213"/>
      <c r="AC54" s="204"/>
    </row>
    <row r="55" spans="1:29" ht="11.4">
      <c r="A55" s="211" t="str">
        <f t="shared" si="23"/>
        <v/>
      </c>
      <c r="B55" s="211"/>
      <c r="C55" s="185"/>
      <c r="D55" s="186" t="str">
        <f t="shared" si="24"/>
        <v/>
      </c>
      <c r="E55" s="186" t="str">
        <f>IF(OR(C55="",C55=Data!$B$3),"",IF(C55=Data!$B$4,"L","S"))</f>
        <v/>
      </c>
      <c r="F55" s="186" t="str">
        <f t="shared" si="27"/>
        <v/>
      </c>
      <c r="G55" s="187" t="str">
        <f t="shared" si="25"/>
        <v/>
      </c>
      <c r="H55" s="188"/>
      <c r="I55" s="189" t="str">
        <f t="shared" si="32"/>
        <v/>
      </c>
      <c r="J55" s="189" t="str">
        <f t="shared" si="33"/>
        <v/>
      </c>
      <c r="K55" s="190" t="str">
        <f t="shared" si="34"/>
        <v/>
      </c>
      <c r="L55" s="190" t="str">
        <f t="shared" si="35"/>
        <v/>
      </c>
      <c r="M55" s="214"/>
      <c r="N55" s="214"/>
      <c r="O55" s="189" t="str">
        <f t="shared" si="36"/>
        <v/>
      </c>
      <c r="P55" s="191" t="str">
        <f t="shared" si="5"/>
        <v/>
      </c>
      <c r="Q55" s="192" t="str">
        <f t="shared" si="18"/>
        <v/>
      </c>
      <c r="R55" s="191" t="str">
        <f t="shared" si="6"/>
        <v/>
      </c>
      <c r="S55" s="193" t="str">
        <f t="shared" si="19"/>
        <v/>
      </c>
      <c r="T55" s="194" t="str">
        <f t="shared" si="7"/>
        <v/>
      </c>
      <c r="U55" s="192" t="str">
        <f t="shared" si="20"/>
        <v/>
      </c>
      <c r="V55" s="195" t="str">
        <f t="shared" si="8"/>
        <v/>
      </c>
      <c r="W55" s="195" t="str">
        <f t="shared" si="9"/>
        <v/>
      </c>
      <c r="X55" s="196" t="str">
        <f t="shared" si="21"/>
        <v/>
      </c>
      <c r="Y55" s="191" t="str">
        <f t="shared" si="26"/>
        <v/>
      </c>
      <c r="Z55" s="197" t="str">
        <f t="shared" si="10"/>
        <v/>
      </c>
      <c r="AA55" s="197" t="str">
        <f t="shared" si="11"/>
        <v/>
      </c>
      <c r="AB55" s="213"/>
      <c r="AC55" s="204"/>
    </row>
    <row r="56" spans="1:29" ht="11.4">
      <c r="A56" s="211" t="str">
        <f t="shared" si="23"/>
        <v/>
      </c>
      <c r="B56" s="211"/>
      <c r="C56" s="185"/>
      <c r="D56" s="186" t="str">
        <f t="shared" si="24"/>
        <v/>
      </c>
      <c r="E56" s="186" t="str">
        <f>IF(OR(C56="",C56=Data!$B$3),"",IF(C56=Data!$B$4,"L","S"))</f>
        <v/>
      </c>
      <c r="F56" s="186" t="str">
        <f t="shared" si="27"/>
        <v/>
      </c>
      <c r="G56" s="187" t="str">
        <f t="shared" si="25"/>
        <v/>
      </c>
      <c r="H56" s="188"/>
      <c r="I56" s="189" t="str">
        <f t="shared" si="32"/>
        <v/>
      </c>
      <c r="J56" s="189" t="str">
        <f t="shared" si="33"/>
        <v/>
      </c>
      <c r="K56" s="190" t="str">
        <f t="shared" si="34"/>
        <v/>
      </c>
      <c r="L56" s="190" t="str">
        <f t="shared" si="35"/>
        <v/>
      </c>
      <c r="M56" s="214"/>
      <c r="N56" s="214"/>
      <c r="O56" s="189" t="str">
        <f t="shared" si="36"/>
        <v/>
      </c>
      <c r="P56" s="191" t="str">
        <f t="shared" si="5"/>
        <v/>
      </c>
      <c r="Q56" s="192" t="str">
        <f t="shared" si="18"/>
        <v/>
      </c>
      <c r="R56" s="191" t="str">
        <f t="shared" si="6"/>
        <v/>
      </c>
      <c r="S56" s="193" t="str">
        <f t="shared" si="19"/>
        <v/>
      </c>
      <c r="T56" s="194" t="str">
        <f t="shared" si="7"/>
        <v/>
      </c>
      <c r="U56" s="192" t="str">
        <f t="shared" si="20"/>
        <v/>
      </c>
      <c r="V56" s="195" t="str">
        <f t="shared" si="8"/>
        <v/>
      </c>
      <c r="W56" s="195" t="str">
        <f t="shared" si="9"/>
        <v/>
      </c>
      <c r="X56" s="196" t="str">
        <f t="shared" si="21"/>
        <v/>
      </c>
      <c r="Y56" s="191" t="str">
        <f t="shared" si="26"/>
        <v/>
      </c>
      <c r="Z56" s="197" t="str">
        <f t="shared" si="10"/>
        <v/>
      </c>
      <c r="AA56" s="197" t="str">
        <f t="shared" si="11"/>
        <v/>
      </c>
      <c r="AB56" s="213"/>
      <c r="AC56" s="204"/>
    </row>
    <row r="57" spans="1:29" ht="11.4">
      <c r="A57" s="211" t="str">
        <f t="shared" si="23"/>
        <v/>
      </c>
      <c r="B57" s="211"/>
      <c r="C57" s="185"/>
      <c r="D57" s="186" t="str">
        <f t="shared" si="24"/>
        <v/>
      </c>
      <c r="E57" s="186" t="str">
        <f>IF(OR(C57="",C57=Data!$B$3),"",IF(C57=Data!$B$4,"L","S"))</f>
        <v/>
      </c>
      <c r="F57" s="186" t="str">
        <f t="shared" si="27"/>
        <v/>
      </c>
      <c r="G57" s="187" t="str">
        <f t="shared" si="25"/>
        <v/>
      </c>
      <c r="H57" s="188"/>
      <c r="I57" s="189" t="str">
        <f t="shared" si="32"/>
        <v/>
      </c>
      <c r="J57" s="189" t="str">
        <f t="shared" si="33"/>
        <v/>
      </c>
      <c r="K57" s="190" t="str">
        <f t="shared" si="34"/>
        <v/>
      </c>
      <c r="L57" s="190" t="str">
        <f t="shared" si="35"/>
        <v/>
      </c>
      <c r="M57" s="214"/>
      <c r="N57" s="214"/>
      <c r="O57" s="189" t="str">
        <f t="shared" si="36"/>
        <v/>
      </c>
      <c r="P57" s="191" t="str">
        <f t="shared" si="5"/>
        <v/>
      </c>
      <c r="Q57" s="192" t="str">
        <f t="shared" si="18"/>
        <v/>
      </c>
      <c r="R57" s="191" t="str">
        <f t="shared" si="6"/>
        <v/>
      </c>
      <c r="S57" s="193" t="str">
        <f t="shared" si="19"/>
        <v/>
      </c>
      <c r="T57" s="194" t="str">
        <f t="shared" si="7"/>
        <v/>
      </c>
      <c r="U57" s="192" t="str">
        <f t="shared" si="20"/>
        <v/>
      </c>
      <c r="V57" s="195" t="str">
        <f t="shared" si="8"/>
        <v/>
      </c>
      <c r="W57" s="195" t="str">
        <f t="shared" si="9"/>
        <v/>
      </c>
      <c r="X57" s="196" t="str">
        <f t="shared" si="21"/>
        <v/>
      </c>
      <c r="Y57" s="191" t="str">
        <f t="shared" si="26"/>
        <v/>
      </c>
      <c r="Z57" s="197" t="str">
        <f t="shared" si="10"/>
        <v/>
      </c>
      <c r="AA57" s="197" t="str">
        <f t="shared" si="11"/>
        <v/>
      </c>
      <c r="AB57" s="213"/>
      <c r="AC57" s="204"/>
    </row>
    <row r="58" spans="1:29" ht="11.4">
      <c r="A58" s="211" t="str">
        <f t="shared" si="23"/>
        <v/>
      </c>
      <c r="B58" s="211"/>
      <c r="C58" s="185"/>
      <c r="D58" s="186" t="str">
        <f t="shared" si="24"/>
        <v/>
      </c>
      <c r="E58" s="186" t="str">
        <f>IF(OR(C58="",C58=Data!$B$3),"",IF(C58=Data!$B$4,"L","S"))</f>
        <v/>
      </c>
      <c r="F58" s="186" t="str">
        <f t="shared" si="27"/>
        <v/>
      </c>
      <c r="G58" s="187" t="str">
        <f t="shared" si="25"/>
        <v/>
      </c>
      <c r="H58" s="188"/>
      <c r="I58" s="189" t="str">
        <f t="shared" si="32"/>
        <v/>
      </c>
      <c r="J58" s="189" t="str">
        <f t="shared" si="33"/>
        <v/>
      </c>
      <c r="K58" s="190" t="str">
        <f t="shared" si="34"/>
        <v/>
      </c>
      <c r="L58" s="190" t="str">
        <f t="shared" si="35"/>
        <v/>
      </c>
      <c r="M58" s="214"/>
      <c r="N58" s="214"/>
      <c r="O58" s="189" t="str">
        <f t="shared" si="36"/>
        <v/>
      </c>
      <c r="P58" s="191" t="str">
        <f t="shared" si="5"/>
        <v/>
      </c>
      <c r="Q58" s="192" t="str">
        <f t="shared" si="18"/>
        <v/>
      </c>
      <c r="R58" s="191" t="str">
        <f t="shared" si="6"/>
        <v/>
      </c>
      <c r="S58" s="193" t="str">
        <f t="shared" si="19"/>
        <v/>
      </c>
      <c r="T58" s="194" t="str">
        <f t="shared" si="7"/>
        <v/>
      </c>
      <c r="U58" s="192" t="str">
        <f t="shared" si="20"/>
        <v/>
      </c>
      <c r="V58" s="195" t="str">
        <f t="shared" si="8"/>
        <v/>
      </c>
      <c r="W58" s="195" t="str">
        <f t="shared" si="9"/>
        <v/>
      </c>
      <c r="X58" s="196" t="str">
        <f t="shared" si="21"/>
        <v/>
      </c>
      <c r="Y58" s="191" t="str">
        <f t="shared" si="26"/>
        <v/>
      </c>
      <c r="Z58" s="197" t="str">
        <f t="shared" si="10"/>
        <v/>
      </c>
      <c r="AA58" s="197" t="str">
        <f t="shared" si="11"/>
        <v/>
      </c>
      <c r="AB58" s="213"/>
      <c r="AC58" s="204"/>
    </row>
    <row r="59" spans="1:29" ht="11.4">
      <c r="A59" s="211" t="str">
        <f t="shared" si="23"/>
        <v/>
      </c>
      <c r="B59" s="211"/>
      <c r="C59" s="185"/>
      <c r="D59" s="186" t="str">
        <f t="shared" si="24"/>
        <v/>
      </c>
      <c r="E59" s="186" t="str">
        <f>IF(OR(C59="",C59=Data!$B$3),"",IF(C59=Data!$B$4,"L","S"))</f>
        <v/>
      </c>
      <c r="F59" s="186" t="str">
        <f t="shared" si="27"/>
        <v/>
      </c>
      <c r="G59" s="187" t="str">
        <f t="shared" si="25"/>
        <v/>
      </c>
      <c r="H59" s="188"/>
      <c r="I59" s="189" t="str">
        <f t="shared" si="32"/>
        <v/>
      </c>
      <c r="J59" s="189" t="str">
        <f t="shared" si="33"/>
        <v/>
      </c>
      <c r="K59" s="190" t="str">
        <f t="shared" si="34"/>
        <v/>
      </c>
      <c r="L59" s="190" t="str">
        <f t="shared" si="35"/>
        <v/>
      </c>
      <c r="M59" s="214"/>
      <c r="N59" s="214"/>
      <c r="O59" s="189" t="str">
        <f t="shared" si="36"/>
        <v/>
      </c>
      <c r="P59" s="191" t="str">
        <f t="shared" si="5"/>
        <v/>
      </c>
      <c r="Q59" s="192" t="str">
        <f t="shared" si="18"/>
        <v/>
      </c>
      <c r="R59" s="191" t="str">
        <f t="shared" si="6"/>
        <v/>
      </c>
      <c r="S59" s="193" t="str">
        <f t="shared" si="19"/>
        <v/>
      </c>
      <c r="T59" s="194" t="str">
        <f t="shared" si="7"/>
        <v/>
      </c>
      <c r="U59" s="192" t="str">
        <f t="shared" si="20"/>
        <v/>
      </c>
      <c r="V59" s="195" t="str">
        <f t="shared" si="8"/>
        <v/>
      </c>
      <c r="W59" s="195" t="str">
        <f t="shared" si="9"/>
        <v/>
      </c>
      <c r="X59" s="196" t="str">
        <f t="shared" si="21"/>
        <v/>
      </c>
      <c r="Y59" s="191" t="str">
        <f t="shared" si="26"/>
        <v/>
      </c>
      <c r="Z59" s="197" t="str">
        <f t="shared" si="10"/>
        <v/>
      </c>
      <c r="AA59" s="197" t="str">
        <f t="shared" si="11"/>
        <v/>
      </c>
      <c r="AB59" s="213"/>
      <c r="AC59" s="204"/>
    </row>
    <row r="60" spans="1:29" ht="11.4">
      <c r="A60" s="211" t="str">
        <f t="shared" si="23"/>
        <v/>
      </c>
      <c r="B60" s="211"/>
      <c r="C60" s="185"/>
      <c r="D60" s="186" t="str">
        <f t="shared" si="24"/>
        <v/>
      </c>
      <c r="E60" s="186" t="str">
        <f>IF(OR(C60="",C60=Data!$B$3),"",IF(C60=Data!$B$4,"L","S"))</f>
        <v/>
      </c>
      <c r="F60" s="186" t="str">
        <f t="shared" si="27"/>
        <v/>
      </c>
      <c r="G60" s="187" t="str">
        <f t="shared" si="25"/>
        <v/>
      </c>
      <c r="H60" s="188"/>
      <c r="I60" s="189" t="str">
        <f t="shared" si="32"/>
        <v/>
      </c>
      <c r="J60" s="189" t="str">
        <f t="shared" si="33"/>
        <v/>
      </c>
      <c r="K60" s="190" t="str">
        <f t="shared" si="34"/>
        <v/>
      </c>
      <c r="L60" s="190" t="str">
        <f t="shared" si="35"/>
        <v/>
      </c>
      <c r="M60" s="214"/>
      <c r="N60" s="214"/>
      <c r="O60" s="189" t="str">
        <f t="shared" si="36"/>
        <v/>
      </c>
      <c r="P60" s="191" t="str">
        <f t="shared" si="5"/>
        <v/>
      </c>
      <c r="Q60" s="192" t="str">
        <f t="shared" si="18"/>
        <v/>
      </c>
      <c r="R60" s="191" t="str">
        <f t="shared" si="6"/>
        <v/>
      </c>
      <c r="S60" s="193" t="str">
        <f t="shared" si="19"/>
        <v/>
      </c>
      <c r="T60" s="194" t="str">
        <f t="shared" si="7"/>
        <v/>
      </c>
      <c r="U60" s="192" t="str">
        <f t="shared" si="20"/>
        <v/>
      </c>
      <c r="V60" s="195" t="str">
        <f t="shared" si="8"/>
        <v/>
      </c>
      <c r="W60" s="195" t="str">
        <f t="shared" si="9"/>
        <v/>
      </c>
      <c r="X60" s="196" t="str">
        <f t="shared" si="21"/>
        <v/>
      </c>
      <c r="Y60" s="191" t="str">
        <f t="shared" si="26"/>
        <v/>
      </c>
      <c r="Z60" s="197" t="str">
        <f t="shared" si="10"/>
        <v/>
      </c>
      <c r="AA60" s="197" t="str">
        <f t="shared" si="11"/>
        <v/>
      </c>
      <c r="AB60" s="213"/>
      <c r="AC60" s="204"/>
    </row>
    <row r="61" spans="1:29" ht="11.4">
      <c r="A61" s="211" t="str">
        <f t="shared" si="23"/>
        <v/>
      </c>
      <c r="B61" s="211"/>
      <c r="C61" s="185"/>
      <c r="D61" s="186" t="str">
        <f t="shared" si="24"/>
        <v/>
      </c>
      <c r="E61" s="186" t="str">
        <f>IF(OR(C61="",C61=Data!$B$3),"",IF(C61=Data!$B$4,"L","S"))</f>
        <v/>
      </c>
      <c r="F61" s="186" t="str">
        <f t="shared" si="27"/>
        <v/>
      </c>
      <c r="G61" s="187" t="str">
        <f t="shared" si="25"/>
        <v/>
      </c>
      <c r="H61" s="188"/>
      <c r="I61" s="189" t="str">
        <f t="shared" si="32"/>
        <v/>
      </c>
      <c r="J61" s="189" t="str">
        <f t="shared" si="33"/>
        <v/>
      </c>
      <c r="K61" s="190" t="str">
        <f t="shared" si="34"/>
        <v/>
      </c>
      <c r="L61" s="190" t="str">
        <f t="shared" si="35"/>
        <v/>
      </c>
      <c r="M61" s="214"/>
      <c r="N61" s="214"/>
      <c r="O61" s="189" t="str">
        <f t="shared" si="36"/>
        <v/>
      </c>
      <c r="P61" s="191" t="str">
        <f t="shared" si="5"/>
        <v/>
      </c>
      <c r="Q61" s="192" t="str">
        <f t="shared" si="18"/>
        <v/>
      </c>
      <c r="R61" s="191" t="str">
        <f t="shared" si="6"/>
        <v/>
      </c>
      <c r="S61" s="193" t="str">
        <f t="shared" si="19"/>
        <v/>
      </c>
      <c r="T61" s="194" t="str">
        <f t="shared" si="7"/>
        <v/>
      </c>
      <c r="U61" s="192" t="str">
        <f t="shared" si="20"/>
        <v/>
      </c>
      <c r="V61" s="195" t="str">
        <f t="shared" si="8"/>
        <v/>
      </c>
      <c r="W61" s="195" t="str">
        <f t="shared" si="9"/>
        <v/>
      </c>
      <c r="X61" s="196" t="str">
        <f t="shared" si="21"/>
        <v/>
      </c>
      <c r="Y61" s="191" t="str">
        <f t="shared" si="26"/>
        <v/>
      </c>
      <c r="Z61" s="197" t="str">
        <f t="shared" si="10"/>
        <v/>
      </c>
      <c r="AA61" s="197" t="str">
        <f t="shared" si="11"/>
        <v/>
      </c>
      <c r="AB61" s="213"/>
      <c r="AC61" s="204"/>
    </row>
    <row r="62" spans="1:29" ht="11.4">
      <c r="A62" s="211" t="str">
        <f t="shared" si="23"/>
        <v/>
      </c>
      <c r="B62" s="211"/>
      <c r="C62" s="185"/>
      <c r="D62" s="186" t="str">
        <f t="shared" si="24"/>
        <v/>
      </c>
      <c r="E62" s="186" t="str">
        <f>IF(OR(C62="",C62=Data!$B$3),"",IF(C62=Data!$B$4,"L","S"))</f>
        <v/>
      </c>
      <c r="F62" s="186" t="str">
        <f t="shared" si="27"/>
        <v/>
      </c>
      <c r="G62" s="187" t="str">
        <f t="shared" si="25"/>
        <v/>
      </c>
      <c r="H62" s="188"/>
      <c r="I62" s="189" t="str">
        <f t="shared" si="32"/>
        <v/>
      </c>
      <c r="J62" s="189" t="str">
        <f t="shared" si="33"/>
        <v/>
      </c>
      <c r="K62" s="190" t="str">
        <f t="shared" si="34"/>
        <v/>
      </c>
      <c r="L62" s="190" t="str">
        <f t="shared" si="35"/>
        <v/>
      </c>
      <c r="M62" s="214"/>
      <c r="N62" s="214"/>
      <c r="O62" s="189" t="str">
        <f t="shared" si="36"/>
        <v/>
      </c>
      <c r="P62" s="191" t="str">
        <f t="shared" si="5"/>
        <v/>
      </c>
      <c r="Q62" s="192" t="str">
        <f t="shared" si="18"/>
        <v/>
      </c>
      <c r="R62" s="191" t="str">
        <f t="shared" si="6"/>
        <v/>
      </c>
      <c r="S62" s="193" t="str">
        <f t="shared" si="19"/>
        <v/>
      </c>
      <c r="T62" s="194" t="str">
        <f t="shared" si="7"/>
        <v/>
      </c>
      <c r="U62" s="192" t="str">
        <f t="shared" si="20"/>
        <v/>
      </c>
      <c r="V62" s="195" t="str">
        <f t="shared" si="8"/>
        <v/>
      </c>
      <c r="W62" s="195" t="str">
        <f t="shared" si="9"/>
        <v/>
      </c>
      <c r="X62" s="196" t="str">
        <f t="shared" si="21"/>
        <v/>
      </c>
      <c r="Y62" s="191" t="str">
        <f t="shared" si="26"/>
        <v/>
      </c>
      <c r="Z62" s="197" t="str">
        <f t="shared" si="10"/>
        <v/>
      </c>
      <c r="AA62" s="197" t="str">
        <f t="shared" si="11"/>
        <v/>
      </c>
      <c r="AB62" s="213"/>
      <c r="AC62" s="204"/>
    </row>
    <row r="63" spans="1:29" ht="11.4">
      <c r="A63" s="211" t="str">
        <f t="shared" si="23"/>
        <v/>
      </c>
      <c r="B63" s="211"/>
      <c r="C63" s="185"/>
      <c r="D63" s="186" t="str">
        <f t="shared" si="24"/>
        <v/>
      </c>
      <c r="E63" s="186" t="str">
        <f>IF(OR(C63="",C63=Data!$B$3),"",IF(C63=Data!$B$4,"L","S"))</f>
        <v/>
      </c>
      <c r="F63" s="186" t="str">
        <f t="shared" si="27"/>
        <v/>
      </c>
      <c r="G63" s="187" t="str">
        <f t="shared" si="25"/>
        <v/>
      </c>
      <c r="H63" s="188"/>
      <c r="I63" s="189" t="str">
        <f t="shared" si="32"/>
        <v/>
      </c>
      <c r="J63" s="189" t="str">
        <f t="shared" si="33"/>
        <v/>
      </c>
      <c r="K63" s="190" t="str">
        <f t="shared" si="34"/>
        <v/>
      </c>
      <c r="L63" s="190" t="str">
        <f t="shared" si="35"/>
        <v/>
      </c>
      <c r="M63" s="214"/>
      <c r="N63" s="214"/>
      <c r="O63" s="189" t="str">
        <f t="shared" si="36"/>
        <v/>
      </c>
      <c r="P63" s="191" t="str">
        <f t="shared" si="5"/>
        <v/>
      </c>
      <c r="Q63" s="192" t="str">
        <f t="shared" si="18"/>
        <v/>
      </c>
      <c r="R63" s="191" t="str">
        <f t="shared" si="6"/>
        <v/>
      </c>
      <c r="S63" s="193" t="str">
        <f t="shared" si="19"/>
        <v/>
      </c>
      <c r="T63" s="194" t="str">
        <f t="shared" si="7"/>
        <v/>
      </c>
      <c r="U63" s="192" t="str">
        <f t="shared" si="20"/>
        <v/>
      </c>
      <c r="V63" s="195" t="str">
        <f t="shared" si="8"/>
        <v/>
      </c>
      <c r="W63" s="195" t="str">
        <f t="shared" si="9"/>
        <v/>
      </c>
      <c r="X63" s="196" t="str">
        <f t="shared" si="21"/>
        <v/>
      </c>
      <c r="Y63" s="191" t="str">
        <f t="shared" si="26"/>
        <v/>
      </c>
      <c r="Z63" s="197" t="str">
        <f t="shared" si="10"/>
        <v/>
      </c>
      <c r="AA63" s="197" t="str">
        <f t="shared" si="11"/>
        <v/>
      </c>
      <c r="AB63" s="213"/>
      <c r="AC63" s="204"/>
    </row>
    <row r="64" spans="1:29" ht="11.4">
      <c r="A64" s="211" t="str">
        <f t="shared" si="23"/>
        <v/>
      </c>
      <c r="B64" s="211"/>
      <c r="C64" s="185"/>
      <c r="D64" s="186" t="str">
        <f t="shared" si="24"/>
        <v/>
      </c>
      <c r="E64" s="186" t="str">
        <f>IF(OR(C64="",C64=Data!$B$3),"",IF(C64=Data!$B$4,"L","S"))</f>
        <v/>
      </c>
      <c r="F64" s="186" t="str">
        <f t="shared" si="27"/>
        <v/>
      </c>
      <c r="G64" s="187" t="str">
        <f t="shared" si="25"/>
        <v/>
      </c>
      <c r="H64" s="188"/>
      <c r="I64" s="189" t="str">
        <f t="shared" si="32"/>
        <v/>
      </c>
      <c r="J64" s="189" t="str">
        <f t="shared" si="33"/>
        <v/>
      </c>
      <c r="K64" s="190" t="str">
        <f t="shared" si="34"/>
        <v/>
      </c>
      <c r="L64" s="190" t="str">
        <f t="shared" si="35"/>
        <v/>
      </c>
      <c r="M64" s="214"/>
      <c r="N64" s="214"/>
      <c r="O64" s="189" t="str">
        <f t="shared" si="36"/>
        <v/>
      </c>
      <c r="P64" s="191" t="str">
        <f t="shared" si="5"/>
        <v/>
      </c>
      <c r="Q64" s="192" t="str">
        <f t="shared" si="18"/>
        <v/>
      </c>
      <c r="R64" s="191" t="str">
        <f t="shared" si="6"/>
        <v/>
      </c>
      <c r="S64" s="193" t="str">
        <f t="shared" si="19"/>
        <v/>
      </c>
      <c r="T64" s="194" t="str">
        <f t="shared" si="7"/>
        <v/>
      </c>
      <c r="U64" s="192" t="str">
        <f t="shared" si="20"/>
        <v/>
      </c>
      <c r="V64" s="195" t="str">
        <f t="shared" si="8"/>
        <v/>
      </c>
      <c r="W64" s="195" t="str">
        <f t="shared" si="9"/>
        <v/>
      </c>
      <c r="X64" s="196" t="str">
        <f t="shared" si="21"/>
        <v/>
      </c>
      <c r="Y64" s="191" t="str">
        <f t="shared" si="26"/>
        <v/>
      </c>
      <c r="Z64" s="197" t="str">
        <f t="shared" si="10"/>
        <v/>
      </c>
      <c r="AA64" s="197" t="str">
        <f t="shared" si="11"/>
        <v/>
      </c>
      <c r="AB64" s="213"/>
      <c r="AC64" s="204"/>
    </row>
    <row r="65" spans="1:29" ht="11.4">
      <c r="A65" s="211" t="str">
        <f t="shared" si="23"/>
        <v/>
      </c>
      <c r="B65" s="211"/>
      <c r="C65" s="185"/>
      <c r="D65" s="186" t="str">
        <f t="shared" si="24"/>
        <v/>
      </c>
      <c r="E65" s="186" t="str">
        <f>IF(OR(C65="",C65=Data!$B$3),"",IF(C65=Data!$B$4,"L","S"))</f>
        <v/>
      </c>
      <c r="F65" s="186" t="str">
        <f t="shared" si="27"/>
        <v/>
      </c>
      <c r="G65" s="187" t="str">
        <f t="shared" si="25"/>
        <v/>
      </c>
      <c r="H65" s="188"/>
      <c r="I65" s="189" t="str">
        <f t="shared" si="32"/>
        <v/>
      </c>
      <c r="J65" s="189" t="str">
        <f t="shared" si="33"/>
        <v/>
      </c>
      <c r="K65" s="190" t="str">
        <f t="shared" si="34"/>
        <v/>
      </c>
      <c r="L65" s="190" t="str">
        <f t="shared" si="35"/>
        <v/>
      </c>
      <c r="M65" s="214"/>
      <c r="N65" s="214"/>
      <c r="O65" s="189" t="str">
        <f t="shared" si="36"/>
        <v/>
      </c>
      <c r="P65" s="191" t="str">
        <f t="shared" si="5"/>
        <v/>
      </c>
      <c r="Q65" s="192" t="str">
        <f t="shared" si="18"/>
        <v/>
      </c>
      <c r="R65" s="191" t="str">
        <f t="shared" si="6"/>
        <v/>
      </c>
      <c r="S65" s="193" t="str">
        <f t="shared" si="19"/>
        <v/>
      </c>
      <c r="T65" s="194" t="str">
        <f t="shared" si="7"/>
        <v/>
      </c>
      <c r="U65" s="192" t="str">
        <f t="shared" si="20"/>
        <v/>
      </c>
      <c r="V65" s="195" t="str">
        <f t="shared" si="8"/>
        <v/>
      </c>
      <c r="W65" s="195" t="str">
        <f t="shared" si="9"/>
        <v/>
      </c>
      <c r="X65" s="196" t="str">
        <f t="shared" si="21"/>
        <v/>
      </c>
      <c r="Y65" s="191" t="str">
        <f t="shared" si="26"/>
        <v/>
      </c>
      <c r="Z65" s="197" t="str">
        <f t="shared" si="10"/>
        <v/>
      </c>
      <c r="AA65" s="197" t="str">
        <f t="shared" si="11"/>
        <v/>
      </c>
      <c r="AB65" s="213"/>
      <c r="AC65" s="204"/>
    </row>
    <row r="66" spans="1:29" ht="11.4">
      <c r="A66" s="211" t="str">
        <f t="shared" si="23"/>
        <v/>
      </c>
      <c r="B66" s="211"/>
      <c r="C66" s="185"/>
      <c r="D66" s="186" t="str">
        <f t="shared" si="24"/>
        <v/>
      </c>
      <c r="E66" s="186" t="str">
        <f>IF(OR(C66="",C66=Data!$B$3),"",IF(C66=Data!$B$4,"L","S"))</f>
        <v/>
      </c>
      <c r="F66" s="186" t="str">
        <f t="shared" si="27"/>
        <v/>
      </c>
      <c r="G66" s="187" t="str">
        <f t="shared" si="25"/>
        <v/>
      </c>
      <c r="H66" s="188"/>
      <c r="I66" s="189" t="str">
        <f t="shared" si="32"/>
        <v/>
      </c>
      <c r="J66" s="189" t="str">
        <f t="shared" si="33"/>
        <v/>
      </c>
      <c r="K66" s="190" t="str">
        <f t="shared" si="34"/>
        <v/>
      </c>
      <c r="L66" s="190" t="str">
        <f t="shared" si="35"/>
        <v/>
      </c>
      <c r="M66" s="214"/>
      <c r="N66" s="214"/>
      <c r="O66" s="189" t="str">
        <f t="shared" si="36"/>
        <v/>
      </c>
      <c r="P66" s="191" t="str">
        <f t="shared" si="5"/>
        <v/>
      </c>
      <c r="Q66" s="192" t="str">
        <f t="shared" si="18"/>
        <v/>
      </c>
      <c r="R66" s="191" t="str">
        <f t="shared" si="6"/>
        <v/>
      </c>
      <c r="S66" s="193" t="str">
        <f t="shared" si="19"/>
        <v/>
      </c>
      <c r="T66" s="194" t="str">
        <f t="shared" si="7"/>
        <v/>
      </c>
      <c r="U66" s="192" t="str">
        <f t="shared" si="20"/>
        <v/>
      </c>
      <c r="V66" s="195" t="str">
        <f t="shared" si="8"/>
        <v/>
      </c>
      <c r="W66" s="195" t="str">
        <f t="shared" si="9"/>
        <v/>
      </c>
      <c r="X66" s="196" t="str">
        <f t="shared" si="21"/>
        <v/>
      </c>
      <c r="Y66" s="191" t="str">
        <f t="shared" si="26"/>
        <v/>
      </c>
      <c r="Z66" s="197" t="str">
        <f t="shared" si="10"/>
        <v/>
      </c>
      <c r="AA66" s="197" t="str">
        <f t="shared" si="11"/>
        <v/>
      </c>
      <c r="AB66" s="213"/>
      <c r="AC66" s="204"/>
    </row>
    <row r="67" spans="1:29" ht="11.4">
      <c r="A67" s="211" t="str">
        <f t="shared" si="23"/>
        <v/>
      </c>
      <c r="B67" s="211"/>
      <c r="C67" s="185"/>
      <c r="D67" s="186" t="str">
        <f t="shared" si="24"/>
        <v/>
      </c>
      <c r="E67" s="186" t="str">
        <f>IF(OR(C67="",C67=Data!$B$3),"",IF(C67=Data!$B$4,"L","S"))</f>
        <v/>
      </c>
      <c r="F67" s="186" t="str">
        <f t="shared" si="27"/>
        <v/>
      </c>
      <c r="G67" s="187" t="str">
        <f t="shared" si="25"/>
        <v/>
      </c>
      <c r="H67" s="188"/>
      <c r="I67" s="189" t="str">
        <f t="shared" si="32"/>
        <v/>
      </c>
      <c r="J67" s="189" t="str">
        <f t="shared" si="33"/>
        <v/>
      </c>
      <c r="K67" s="190" t="str">
        <f t="shared" si="34"/>
        <v/>
      </c>
      <c r="L67" s="190" t="str">
        <f t="shared" si="35"/>
        <v/>
      </c>
      <c r="M67" s="214"/>
      <c r="N67" s="214"/>
      <c r="O67" s="189" t="str">
        <f t="shared" si="36"/>
        <v/>
      </c>
      <c r="P67" s="191" t="str">
        <f t="shared" si="5"/>
        <v/>
      </c>
      <c r="Q67" s="192" t="str">
        <f t="shared" si="18"/>
        <v/>
      </c>
      <c r="R67" s="191" t="str">
        <f t="shared" si="6"/>
        <v/>
      </c>
      <c r="S67" s="193" t="str">
        <f t="shared" si="19"/>
        <v/>
      </c>
      <c r="T67" s="194" t="str">
        <f t="shared" si="7"/>
        <v/>
      </c>
      <c r="U67" s="192" t="str">
        <f t="shared" si="20"/>
        <v/>
      </c>
      <c r="V67" s="195" t="str">
        <f t="shared" si="8"/>
        <v/>
      </c>
      <c r="W67" s="195" t="str">
        <f t="shared" si="9"/>
        <v/>
      </c>
      <c r="X67" s="196" t="str">
        <f t="shared" si="21"/>
        <v/>
      </c>
      <c r="Y67" s="191" t="str">
        <f t="shared" si="26"/>
        <v/>
      </c>
      <c r="Z67" s="197" t="str">
        <f t="shared" si="10"/>
        <v/>
      </c>
      <c r="AA67" s="197" t="str">
        <f t="shared" si="11"/>
        <v/>
      </c>
      <c r="AB67" s="213"/>
      <c r="AC67" s="204"/>
    </row>
    <row r="68" spans="1:29" ht="11.4">
      <c r="A68" s="211" t="str">
        <f t="shared" si="23"/>
        <v/>
      </c>
      <c r="B68" s="211"/>
      <c r="C68" s="185"/>
      <c r="D68" s="186" t="str">
        <f t="shared" si="24"/>
        <v/>
      </c>
      <c r="E68" s="186" t="str">
        <f>IF(OR(C68="",C68=Data!$B$3),"",IF(C68=Data!$B$4,"L","S"))</f>
        <v/>
      </c>
      <c r="F68" s="186" t="str">
        <f t="shared" si="27"/>
        <v/>
      </c>
      <c r="G68" s="187" t="str">
        <f t="shared" si="25"/>
        <v/>
      </c>
      <c r="H68" s="188"/>
      <c r="I68" s="189" t="str">
        <f t="shared" si="32"/>
        <v/>
      </c>
      <c r="J68" s="189" t="str">
        <f t="shared" si="33"/>
        <v/>
      </c>
      <c r="K68" s="190" t="str">
        <f t="shared" si="34"/>
        <v/>
      </c>
      <c r="L68" s="190" t="str">
        <f t="shared" si="35"/>
        <v/>
      </c>
      <c r="M68" s="214"/>
      <c r="N68" s="214"/>
      <c r="O68" s="189" t="str">
        <f t="shared" si="36"/>
        <v/>
      </c>
      <c r="P68" s="191" t="str">
        <f t="shared" si="5"/>
        <v/>
      </c>
      <c r="Q68" s="192" t="str">
        <f t="shared" si="18"/>
        <v/>
      </c>
      <c r="R68" s="191" t="str">
        <f t="shared" si="6"/>
        <v/>
      </c>
      <c r="S68" s="193" t="str">
        <f t="shared" si="19"/>
        <v/>
      </c>
      <c r="T68" s="194" t="str">
        <f t="shared" si="7"/>
        <v/>
      </c>
      <c r="U68" s="192" t="str">
        <f t="shared" si="20"/>
        <v/>
      </c>
      <c r="V68" s="195" t="str">
        <f t="shared" si="8"/>
        <v/>
      </c>
      <c r="W68" s="195" t="str">
        <f t="shared" si="9"/>
        <v/>
      </c>
      <c r="X68" s="196" t="str">
        <f t="shared" si="21"/>
        <v/>
      </c>
      <c r="Y68" s="191" t="str">
        <f t="shared" si="26"/>
        <v/>
      </c>
      <c r="Z68" s="197" t="str">
        <f t="shared" si="10"/>
        <v/>
      </c>
      <c r="AA68" s="197" t="str">
        <f t="shared" si="11"/>
        <v/>
      </c>
      <c r="AB68" s="213"/>
      <c r="AC68" s="204"/>
    </row>
    <row r="69" spans="1:29" ht="11.4">
      <c r="A69" s="211" t="str">
        <f t="shared" si="23"/>
        <v/>
      </c>
      <c r="B69" s="211"/>
      <c r="C69" s="185"/>
      <c r="D69" s="186" t="str">
        <f t="shared" si="24"/>
        <v/>
      </c>
      <c r="E69" s="186" t="str">
        <f>IF(OR(C69="",C69=Data!$B$3),"",IF(C69=Data!$B$4,"L","S"))</f>
        <v/>
      </c>
      <c r="F69" s="186" t="str">
        <f t="shared" si="27"/>
        <v/>
      </c>
      <c r="G69" s="187" t="str">
        <f t="shared" si="25"/>
        <v/>
      </c>
      <c r="H69" s="188"/>
      <c r="I69" s="189" t="str">
        <f t="shared" si="32"/>
        <v/>
      </c>
      <c r="J69" s="189" t="str">
        <f t="shared" si="33"/>
        <v/>
      </c>
      <c r="K69" s="190" t="str">
        <f t="shared" si="34"/>
        <v/>
      </c>
      <c r="L69" s="190" t="str">
        <f t="shared" si="35"/>
        <v/>
      </c>
      <c r="M69" s="214"/>
      <c r="N69" s="214"/>
      <c r="O69" s="189" t="str">
        <f t="shared" si="36"/>
        <v/>
      </c>
      <c r="P69" s="191" t="str">
        <f t="shared" si="5"/>
        <v/>
      </c>
      <c r="Q69" s="192" t="str">
        <f t="shared" si="18"/>
        <v/>
      </c>
      <c r="R69" s="191" t="str">
        <f t="shared" si="6"/>
        <v/>
      </c>
      <c r="S69" s="193" t="str">
        <f t="shared" si="19"/>
        <v/>
      </c>
      <c r="T69" s="194" t="str">
        <f t="shared" si="7"/>
        <v/>
      </c>
      <c r="U69" s="192" t="str">
        <f t="shared" si="20"/>
        <v/>
      </c>
      <c r="V69" s="195" t="str">
        <f t="shared" si="8"/>
        <v/>
      </c>
      <c r="W69" s="195" t="str">
        <f t="shared" si="9"/>
        <v/>
      </c>
      <c r="X69" s="196" t="str">
        <f t="shared" si="21"/>
        <v/>
      </c>
      <c r="Y69" s="191" t="str">
        <f t="shared" si="26"/>
        <v/>
      </c>
      <c r="Z69" s="197" t="str">
        <f t="shared" si="10"/>
        <v/>
      </c>
      <c r="AA69" s="197" t="str">
        <f t="shared" si="11"/>
        <v/>
      </c>
      <c r="AB69" s="213"/>
      <c r="AC69" s="204"/>
    </row>
    <row r="70" spans="1:29" ht="11.4">
      <c r="A70" s="211" t="str">
        <f t="shared" si="23"/>
        <v/>
      </c>
      <c r="B70" s="211"/>
      <c r="C70" s="185"/>
      <c r="D70" s="186" t="str">
        <f t="shared" si="24"/>
        <v/>
      </c>
      <c r="E70" s="186" t="str">
        <f>IF(OR(C70="",C70=Data!$B$3),"",IF(C70=Data!$B$4,"L","S"))</f>
        <v/>
      </c>
      <c r="F70" s="186" t="str">
        <f t="shared" si="27"/>
        <v/>
      </c>
      <c r="G70" s="187" t="str">
        <f t="shared" si="25"/>
        <v/>
      </c>
      <c r="H70" s="188"/>
      <c r="I70" s="189" t="str">
        <f t="shared" si="32"/>
        <v/>
      </c>
      <c r="J70" s="189" t="str">
        <f t="shared" si="33"/>
        <v/>
      </c>
      <c r="K70" s="190" t="str">
        <f t="shared" si="34"/>
        <v/>
      </c>
      <c r="L70" s="190" t="str">
        <f t="shared" si="35"/>
        <v/>
      </c>
      <c r="M70" s="214"/>
      <c r="N70" s="214"/>
      <c r="O70" s="189" t="str">
        <f t="shared" si="36"/>
        <v/>
      </c>
      <c r="P70" s="191" t="str">
        <f t="shared" si="5"/>
        <v/>
      </c>
      <c r="Q70" s="192" t="str">
        <f t="shared" si="18"/>
        <v/>
      </c>
      <c r="R70" s="191" t="str">
        <f t="shared" si="6"/>
        <v/>
      </c>
      <c r="S70" s="193" t="str">
        <f t="shared" si="19"/>
        <v/>
      </c>
      <c r="T70" s="194" t="str">
        <f t="shared" si="7"/>
        <v/>
      </c>
      <c r="U70" s="192" t="str">
        <f t="shared" si="20"/>
        <v/>
      </c>
      <c r="V70" s="195" t="str">
        <f t="shared" si="8"/>
        <v/>
      </c>
      <c r="W70" s="195" t="str">
        <f t="shared" si="9"/>
        <v/>
      </c>
      <c r="X70" s="196" t="str">
        <f t="shared" si="21"/>
        <v/>
      </c>
      <c r="Y70" s="191" t="str">
        <f t="shared" si="26"/>
        <v/>
      </c>
      <c r="Z70" s="197" t="str">
        <f t="shared" si="10"/>
        <v/>
      </c>
      <c r="AA70" s="197" t="str">
        <f t="shared" si="11"/>
        <v/>
      </c>
      <c r="AB70" s="213"/>
      <c r="AC70" s="204"/>
    </row>
    <row r="71" spans="1:29" ht="11.4">
      <c r="A71" s="211" t="str">
        <f t="shared" si="23"/>
        <v/>
      </c>
      <c r="B71" s="211"/>
      <c r="C71" s="185"/>
      <c r="D71" s="186" t="str">
        <f t="shared" si="24"/>
        <v/>
      </c>
      <c r="E71" s="186" t="str">
        <f>IF(OR(C71="",C71=Data!$B$3),"",IF(C71=Data!$B$4,"L","S"))</f>
        <v/>
      </c>
      <c r="F71" s="186" t="str">
        <f t="shared" si="27"/>
        <v/>
      </c>
      <c r="G71" s="187" t="str">
        <f t="shared" si="25"/>
        <v/>
      </c>
      <c r="H71" s="188"/>
      <c r="I71" s="189" t="str">
        <f t="shared" si="32"/>
        <v/>
      </c>
      <c r="J71" s="189" t="str">
        <f t="shared" si="33"/>
        <v/>
      </c>
      <c r="K71" s="190" t="str">
        <f t="shared" si="34"/>
        <v/>
      </c>
      <c r="L71" s="190" t="str">
        <f t="shared" si="35"/>
        <v/>
      </c>
      <c r="M71" s="214"/>
      <c r="N71" s="214"/>
      <c r="O71" s="189" t="str">
        <f t="shared" si="36"/>
        <v/>
      </c>
      <c r="P71" s="191" t="str">
        <f t="shared" si="5"/>
        <v/>
      </c>
      <c r="Q71" s="192" t="str">
        <f t="shared" si="18"/>
        <v/>
      </c>
      <c r="R71" s="191" t="str">
        <f t="shared" si="6"/>
        <v/>
      </c>
      <c r="S71" s="193" t="str">
        <f t="shared" si="19"/>
        <v/>
      </c>
      <c r="T71" s="194" t="str">
        <f t="shared" si="7"/>
        <v/>
      </c>
      <c r="U71" s="192" t="str">
        <f t="shared" si="20"/>
        <v/>
      </c>
      <c r="V71" s="195" t="str">
        <f t="shared" si="8"/>
        <v/>
      </c>
      <c r="W71" s="195" t="str">
        <f t="shared" si="9"/>
        <v/>
      </c>
      <c r="X71" s="196" t="str">
        <f t="shared" si="21"/>
        <v/>
      </c>
      <c r="Y71" s="191" t="str">
        <f t="shared" si="26"/>
        <v/>
      </c>
      <c r="Z71" s="197" t="str">
        <f t="shared" si="10"/>
        <v/>
      </c>
      <c r="AA71" s="197" t="str">
        <f t="shared" si="11"/>
        <v/>
      </c>
      <c r="AB71" s="213"/>
      <c r="AC71" s="204"/>
    </row>
    <row r="72" spans="1:29" ht="11.4">
      <c r="A72" s="211" t="str">
        <f t="shared" si="23"/>
        <v/>
      </c>
      <c r="B72" s="211"/>
      <c r="C72" s="185"/>
      <c r="D72" s="186" t="str">
        <f t="shared" si="24"/>
        <v/>
      </c>
      <c r="E72" s="186" t="str">
        <f>IF(OR(C72="",C72=Data!$B$3),"",IF(C72=Data!$B$4,"L","S"))</f>
        <v/>
      </c>
      <c r="F72" s="186" t="str">
        <f t="shared" si="27"/>
        <v/>
      </c>
      <c r="G72" s="187" t="str">
        <f t="shared" si="25"/>
        <v/>
      </c>
      <c r="H72" s="188"/>
      <c r="I72" s="189" t="str">
        <f t="shared" si="32"/>
        <v/>
      </c>
      <c r="J72" s="189" t="str">
        <f t="shared" si="33"/>
        <v/>
      </c>
      <c r="K72" s="190" t="str">
        <f t="shared" si="34"/>
        <v/>
      </c>
      <c r="L72" s="190" t="str">
        <f t="shared" si="35"/>
        <v/>
      </c>
      <c r="M72" s="214"/>
      <c r="N72" s="214"/>
      <c r="O72" s="189" t="str">
        <f t="shared" si="36"/>
        <v/>
      </c>
      <c r="P72" s="191" t="str">
        <f t="shared" si="5"/>
        <v/>
      </c>
      <c r="Q72" s="192" t="str">
        <f t="shared" si="18"/>
        <v/>
      </c>
      <c r="R72" s="191" t="str">
        <f t="shared" si="6"/>
        <v/>
      </c>
      <c r="S72" s="193" t="str">
        <f t="shared" si="19"/>
        <v/>
      </c>
      <c r="T72" s="194" t="str">
        <f t="shared" si="7"/>
        <v/>
      </c>
      <c r="U72" s="192" t="str">
        <f t="shared" si="20"/>
        <v/>
      </c>
      <c r="V72" s="195" t="str">
        <f t="shared" si="8"/>
        <v/>
      </c>
      <c r="W72" s="195" t="str">
        <f t="shared" si="9"/>
        <v/>
      </c>
      <c r="X72" s="196" t="str">
        <f t="shared" si="21"/>
        <v/>
      </c>
      <c r="Y72" s="191" t="str">
        <f t="shared" si="26"/>
        <v/>
      </c>
      <c r="Z72" s="197" t="str">
        <f t="shared" si="10"/>
        <v/>
      </c>
      <c r="AA72" s="197" t="str">
        <f t="shared" si="11"/>
        <v/>
      </c>
      <c r="AB72" s="213"/>
      <c r="AC72" s="204"/>
    </row>
    <row r="73" spans="1:29" ht="11.4">
      <c r="A73" s="211" t="str">
        <f t="shared" si="23"/>
        <v/>
      </c>
      <c r="B73" s="211"/>
      <c r="C73" s="185"/>
      <c r="D73" s="186" t="str">
        <f t="shared" si="24"/>
        <v/>
      </c>
      <c r="E73" s="186" t="str">
        <f>IF(OR(C73="",C73=Data!$B$3),"",IF(C73=Data!$B$4,"L","S"))</f>
        <v/>
      </c>
      <c r="F73" s="186" t="str">
        <f t="shared" si="27"/>
        <v/>
      </c>
      <c r="G73" s="187" t="str">
        <f t="shared" si="25"/>
        <v/>
      </c>
      <c r="H73" s="188"/>
      <c r="I73" s="189" t="str">
        <f t="shared" si="32"/>
        <v/>
      </c>
      <c r="J73" s="189" t="str">
        <f t="shared" si="33"/>
        <v/>
      </c>
      <c r="K73" s="190" t="str">
        <f t="shared" si="34"/>
        <v/>
      </c>
      <c r="L73" s="190" t="str">
        <f t="shared" si="35"/>
        <v/>
      </c>
      <c r="M73" s="214"/>
      <c r="N73" s="214"/>
      <c r="O73" s="189" t="str">
        <f t="shared" si="36"/>
        <v/>
      </c>
      <c r="P73" s="191" t="str">
        <f t="shared" si="5"/>
        <v/>
      </c>
      <c r="Q73" s="192" t="str">
        <f t="shared" si="18"/>
        <v/>
      </c>
      <c r="R73" s="191" t="str">
        <f t="shared" si="6"/>
        <v/>
      </c>
      <c r="S73" s="193" t="str">
        <f t="shared" si="19"/>
        <v/>
      </c>
      <c r="T73" s="194" t="str">
        <f t="shared" si="7"/>
        <v/>
      </c>
      <c r="U73" s="192" t="str">
        <f t="shared" si="20"/>
        <v/>
      </c>
      <c r="V73" s="195" t="str">
        <f t="shared" si="8"/>
        <v/>
      </c>
      <c r="W73" s="195" t="str">
        <f t="shared" si="9"/>
        <v/>
      </c>
      <c r="X73" s="196" t="str">
        <f t="shared" si="21"/>
        <v/>
      </c>
      <c r="Y73" s="191" t="str">
        <f t="shared" si="26"/>
        <v/>
      </c>
      <c r="Z73" s="197" t="str">
        <f t="shared" si="10"/>
        <v/>
      </c>
      <c r="AA73" s="197" t="str">
        <f t="shared" si="11"/>
        <v/>
      </c>
      <c r="AB73" s="213"/>
      <c r="AC73" s="204"/>
    </row>
    <row r="74" spans="1:29" ht="11.4">
      <c r="A74" s="211" t="str">
        <f t="shared" si="23"/>
        <v/>
      </c>
      <c r="B74" s="211"/>
      <c r="C74" s="185"/>
      <c r="D74" s="186" t="str">
        <f t="shared" si="24"/>
        <v/>
      </c>
      <c r="E74" s="186" t="str">
        <f>IF(OR(C74="",C74=Data!$B$3),"",IF(C74=Data!$B$4,"L","S"))</f>
        <v/>
      </c>
      <c r="F74" s="186" t="str">
        <f t="shared" si="27"/>
        <v/>
      </c>
      <c r="G74" s="187" t="str">
        <f t="shared" si="25"/>
        <v/>
      </c>
      <c r="H74" s="188"/>
      <c r="I74" s="189" t="str">
        <f t="shared" si="32"/>
        <v/>
      </c>
      <c r="J74" s="189" t="str">
        <f t="shared" si="33"/>
        <v/>
      </c>
      <c r="K74" s="190" t="str">
        <f t="shared" si="34"/>
        <v/>
      </c>
      <c r="L74" s="190" t="str">
        <f t="shared" si="35"/>
        <v/>
      </c>
      <c r="M74" s="214"/>
      <c r="N74" s="214"/>
      <c r="O74" s="189" t="str">
        <f t="shared" si="36"/>
        <v/>
      </c>
      <c r="P74" s="191" t="str">
        <f t="shared" si="5"/>
        <v/>
      </c>
      <c r="Q74" s="192" t="str">
        <f t="shared" si="18"/>
        <v/>
      </c>
      <c r="R74" s="191" t="str">
        <f t="shared" si="6"/>
        <v/>
      </c>
      <c r="S74" s="193" t="str">
        <f t="shared" si="19"/>
        <v/>
      </c>
      <c r="T74" s="194" t="str">
        <f t="shared" si="7"/>
        <v/>
      </c>
      <c r="U74" s="192" t="str">
        <f t="shared" si="20"/>
        <v/>
      </c>
      <c r="V74" s="195" t="str">
        <f t="shared" si="8"/>
        <v/>
      </c>
      <c r="W74" s="195" t="str">
        <f t="shared" si="9"/>
        <v/>
      </c>
      <c r="X74" s="196" t="str">
        <f t="shared" si="21"/>
        <v/>
      </c>
      <c r="Y74" s="191" t="str">
        <f t="shared" si="26"/>
        <v/>
      </c>
      <c r="Z74" s="197" t="str">
        <f t="shared" si="10"/>
        <v/>
      </c>
      <c r="AA74" s="197" t="str">
        <f t="shared" si="11"/>
        <v/>
      </c>
      <c r="AB74" s="213"/>
      <c r="AC74" s="204"/>
    </row>
    <row r="75" spans="1:29" ht="11.4">
      <c r="A75" s="211" t="str">
        <f t="shared" si="23"/>
        <v/>
      </c>
      <c r="B75" s="211"/>
      <c r="C75" s="185"/>
      <c r="D75" s="186" t="str">
        <f t="shared" si="24"/>
        <v/>
      </c>
      <c r="E75" s="186" t="str">
        <f>IF(OR(C75="",C75=Data!$B$3),"",IF(C75=Data!$B$4,"L","S"))</f>
        <v/>
      </c>
      <c r="F75" s="186" t="str">
        <f t="shared" si="27"/>
        <v/>
      </c>
      <c r="G75" s="187" t="str">
        <f t="shared" si="25"/>
        <v/>
      </c>
      <c r="H75" s="188"/>
      <c r="I75" s="189" t="str">
        <f t="shared" si="32"/>
        <v/>
      </c>
      <c r="J75" s="189" t="str">
        <f t="shared" si="33"/>
        <v/>
      </c>
      <c r="K75" s="190" t="str">
        <f t="shared" si="34"/>
        <v/>
      </c>
      <c r="L75" s="190" t="str">
        <f t="shared" si="35"/>
        <v/>
      </c>
      <c r="M75" s="214"/>
      <c r="N75" s="214"/>
      <c r="O75" s="189" t="str">
        <f t="shared" si="36"/>
        <v/>
      </c>
      <c r="P75" s="191" t="str">
        <f t="shared" si="5"/>
        <v/>
      </c>
      <c r="Q75" s="192" t="str">
        <f t="shared" si="18"/>
        <v/>
      </c>
      <c r="R75" s="191" t="str">
        <f t="shared" si="6"/>
        <v/>
      </c>
      <c r="S75" s="193" t="str">
        <f t="shared" si="19"/>
        <v/>
      </c>
      <c r="T75" s="194" t="str">
        <f t="shared" si="7"/>
        <v/>
      </c>
      <c r="U75" s="192" t="str">
        <f t="shared" si="20"/>
        <v/>
      </c>
      <c r="V75" s="195" t="str">
        <f t="shared" si="8"/>
        <v/>
      </c>
      <c r="W75" s="195" t="str">
        <f t="shared" si="9"/>
        <v/>
      </c>
      <c r="X75" s="196" t="str">
        <f t="shared" si="21"/>
        <v/>
      </c>
      <c r="Y75" s="191" t="str">
        <f t="shared" si="26"/>
        <v/>
      </c>
      <c r="Z75" s="197" t="str">
        <f t="shared" si="10"/>
        <v/>
      </c>
      <c r="AA75" s="197" t="str">
        <f t="shared" si="11"/>
        <v/>
      </c>
      <c r="AB75" s="213"/>
      <c r="AC75" s="204"/>
    </row>
    <row r="76" spans="1:29" ht="11.4">
      <c r="A76" s="211" t="str">
        <f t="shared" si="23"/>
        <v/>
      </c>
      <c r="B76" s="211"/>
      <c r="C76" s="185"/>
      <c r="D76" s="186" t="str">
        <f t="shared" si="24"/>
        <v/>
      </c>
      <c r="E76" s="186" t="str">
        <f>IF(OR(C76="",C76=Data!$B$3),"",IF(C76=Data!$B$4,"L","S"))</f>
        <v/>
      </c>
      <c r="F76" s="186" t="str">
        <f t="shared" si="27"/>
        <v/>
      </c>
      <c r="G76" s="187" t="str">
        <f t="shared" ref="G76:G139" si="37">IF(A76="","",$D$3)</f>
        <v/>
      </c>
      <c r="H76" s="188"/>
      <c r="I76" s="189" t="str">
        <f t="shared" si="32"/>
        <v/>
      </c>
      <c r="J76" s="189" t="str">
        <f t="shared" si="33"/>
        <v/>
      </c>
      <c r="K76" s="190" t="str">
        <f t="shared" si="34"/>
        <v/>
      </c>
      <c r="L76" s="190" t="str">
        <f t="shared" si="35"/>
        <v/>
      </c>
      <c r="M76" s="214"/>
      <c r="N76" s="214"/>
      <c r="O76" s="189" t="str">
        <f t="shared" si="36"/>
        <v/>
      </c>
      <c r="P76" s="191" t="str">
        <f t="shared" ref="P76:P139" si="38">IF(O76="","",IF(L76*F76*G76=0,0,L76*F76*G76))</f>
        <v/>
      </c>
      <c r="Q76" s="192" t="str">
        <f t="shared" si="18"/>
        <v/>
      </c>
      <c r="R76" s="191" t="str">
        <f t="shared" ref="R76:R139" si="39">IF(O76&lt;&gt;"",IF(K76*F76*G76=0,"",K76*F76*G76),"")</f>
        <v/>
      </c>
      <c r="S76" s="193" t="str">
        <f t="shared" si="19"/>
        <v/>
      </c>
      <c r="T76" s="194" t="str">
        <f t="shared" ref="T76:T139" si="40">IF(X76="","",X76*F76*G76)</f>
        <v/>
      </c>
      <c r="U76" s="192" t="str">
        <f t="shared" si="20"/>
        <v/>
      </c>
      <c r="V76" s="195" t="str">
        <f t="shared" ref="V76:V139" si="41">IF(O76="","",IF(AND(O76&gt;I76,E76="L"),1, IF(AND(I76&gt;O76,E76="S"),1,0)))</f>
        <v/>
      </c>
      <c r="W76" s="195" t="str">
        <f t="shared" ref="W76:W139" si="42">IF(O76="","",IF(AND(O76&lt;I76,E76="L"),1, IF(AND(I76&lt;O76,E76="S"),1,0)))</f>
        <v/>
      </c>
      <c r="X76" s="196" t="str">
        <f t="shared" si="21"/>
        <v/>
      </c>
      <c r="Y76" s="191" t="str">
        <f t="shared" si="26"/>
        <v/>
      </c>
      <c r="Z76" s="197" t="str">
        <f t="shared" ref="Z76:Z139" si="43">IF(M76="","",MONTH(M76))</f>
        <v/>
      </c>
      <c r="AA76" s="197" t="str">
        <f t="shared" ref="AA76:AA139" si="44">IF(M76="","",YEAR(M76))</f>
        <v/>
      </c>
      <c r="AB76" s="213"/>
      <c r="AC76" s="204"/>
    </row>
    <row r="77" spans="1:29" ht="11.4">
      <c r="A77" s="211" t="str">
        <f t="shared" si="23"/>
        <v/>
      </c>
      <c r="B77" s="211"/>
      <c r="C77" s="185"/>
      <c r="D77" s="186" t="str">
        <f t="shared" ref="D77:D140" si="45">IF(A77&lt;&gt;"","GBPUSD","")</f>
        <v/>
      </c>
      <c r="E77" s="186" t="str">
        <f>IF(OR(C77="",C77=Data!$B$3),"",IF(C77=Data!$B$4,"L","S"))</f>
        <v/>
      </c>
      <c r="F77" s="186" t="str">
        <f t="shared" ref="F77:F140" si="46">IF(A77&lt;&gt;"",$D$2,"")</f>
        <v/>
      </c>
      <c r="G77" s="187" t="str">
        <f t="shared" si="37"/>
        <v/>
      </c>
      <c r="H77" s="188"/>
      <c r="I77" s="189" t="str">
        <f t="shared" ref="I77:I140" si="47">IF(H77="","",IF(E77="L",H77+$D$4*0.0001,H77-$D$4*0.0001))</f>
        <v/>
      </c>
      <c r="J77" s="189" t="str">
        <f t="shared" ref="J77:J140" si="48">IF(AND(H77&lt;&gt;"",I77&lt;&gt;""),IF(E77="L",I77+(I77-H77)*3,I77-(H77-I77)*3),"")</f>
        <v/>
      </c>
      <c r="K77" s="190" t="str">
        <f t="shared" ref="K77:K140" si="49">IF(AND(E77&lt;&gt;"",AND(I77&lt;&gt;"",J77&lt;&gt;"")),IF(E77="L",(J77-I77)*IF(I77&gt;10,IF(SEARCH("JPY",D77),10,100),10000),(I77-J77)*IF(I77&gt;10,IF(SEARCH("JPY",D77),10,100),10000)),"")</f>
        <v/>
      </c>
      <c r="L77" s="190" t="str">
        <f t="shared" ref="L77:L140" si="50">IF(AND(E77&lt;&gt;"",AND(H77&lt;&gt;"",I77&lt;&gt;"")),IF(E77="L",(I77-H77)*IF(I77&gt;10,IF(SEARCH("JPY",D77),10,100),10000),(H77-I77)*IF(I77&gt;10,IF(SEARCH("JPY",D77),10,100),10000)),"")</f>
        <v/>
      </c>
      <c r="M77" s="214"/>
      <c r="N77" s="214"/>
      <c r="O77" s="189" t="str">
        <f t="shared" ref="O77:O140" si="51">IF(H77&lt;&gt;"",H77, "")</f>
        <v/>
      </c>
      <c r="P77" s="191" t="str">
        <f t="shared" si="38"/>
        <v/>
      </c>
      <c r="Q77" s="192" t="str">
        <f t="shared" ref="Q77:Q140" si="52">IF(P77="","",IF(P77=0,0,P77/$I$4))</f>
        <v/>
      </c>
      <c r="R77" s="191" t="str">
        <f t="shared" si="39"/>
        <v/>
      </c>
      <c r="S77" s="193" t="str">
        <f t="shared" ref="S77:S140" si="53">IF(P77="","",IF(P77=0,0,R77/P77))</f>
        <v/>
      </c>
      <c r="T77" s="194" t="str">
        <f t="shared" si="40"/>
        <v/>
      </c>
      <c r="U77" s="192" t="str">
        <f t="shared" ref="U77:U140" si="54">IF(T77="","",IF($I$4="","",T77/$I$4))</f>
        <v/>
      </c>
      <c r="V77" s="195" t="str">
        <f t="shared" si="41"/>
        <v/>
      </c>
      <c r="W77" s="195" t="str">
        <f t="shared" si="42"/>
        <v/>
      </c>
      <c r="X77" s="196" t="str">
        <f t="shared" ref="X77:X140" si="55">IF((O77=""),"",IF(E77="L",1,-1)*(O77-I77)*IF(O77&gt;10,IF(SEARCH("JPY",D77),10,100),10000))</f>
        <v/>
      </c>
      <c r="Y77" s="191" t="str">
        <f t="shared" si="26"/>
        <v/>
      </c>
      <c r="Z77" s="197" t="str">
        <f t="shared" si="43"/>
        <v/>
      </c>
      <c r="AA77" s="197" t="str">
        <f t="shared" si="44"/>
        <v/>
      </c>
      <c r="AB77" s="213"/>
      <c r="AC77" s="204"/>
    </row>
    <row r="78" spans="1:29" ht="11.4">
      <c r="A78" s="211" t="str">
        <f t="shared" ref="A78:A141" si="56">IF(C78="","",A77+1)</f>
        <v/>
      </c>
      <c r="B78" s="211"/>
      <c r="C78" s="185"/>
      <c r="D78" s="186" t="str">
        <f t="shared" si="45"/>
        <v/>
      </c>
      <c r="E78" s="186" t="str">
        <f>IF(OR(C78="",C78=Data!$B$3),"",IF(C78=Data!$B$4,"L","S"))</f>
        <v/>
      </c>
      <c r="F78" s="186" t="str">
        <f t="shared" si="46"/>
        <v/>
      </c>
      <c r="G78" s="187" t="str">
        <f t="shared" si="37"/>
        <v/>
      </c>
      <c r="H78" s="188"/>
      <c r="I78" s="189" t="str">
        <f t="shared" si="47"/>
        <v/>
      </c>
      <c r="J78" s="189" t="str">
        <f t="shared" si="48"/>
        <v/>
      </c>
      <c r="K78" s="190" t="str">
        <f t="shared" si="49"/>
        <v/>
      </c>
      <c r="L78" s="190" t="str">
        <f t="shared" si="50"/>
        <v/>
      </c>
      <c r="M78" s="214"/>
      <c r="N78" s="214"/>
      <c r="O78" s="189" t="str">
        <f t="shared" si="51"/>
        <v/>
      </c>
      <c r="P78" s="191" t="str">
        <f t="shared" si="38"/>
        <v/>
      </c>
      <c r="Q78" s="192" t="str">
        <f t="shared" si="52"/>
        <v/>
      </c>
      <c r="R78" s="191" t="str">
        <f t="shared" si="39"/>
        <v/>
      </c>
      <c r="S78" s="193" t="str">
        <f t="shared" si="53"/>
        <v/>
      </c>
      <c r="T78" s="194" t="str">
        <f t="shared" si="40"/>
        <v/>
      </c>
      <c r="U78" s="192" t="str">
        <f t="shared" si="54"/>
        <v/>
      </c>
      <c r="V78" s="195" t="str">
        <f t="shared" si="41"/>
        <v/>
      </c>
      <c r="W78" s="195" t="str">
        <f t="shared" si="42"/>
        <v/>
      </c>
      <c r="X78" s="196" t="str">
        <f t="shared" si="55"/>
        <v/>
      </c>
      <c r="Y78" s="191" t="str">
        <f t="shared" si="26"/>
        <v/>
      </c>
      <c r="Z78" s="197" t="str">
        <f t="shared" si="43"/>
        <v/>
      </c>
      <c r="AA78" s="197" t="str">
        <f t="shared" si="44"/>
        <v/>
      </c>
      <c r="AB78" s="213"/>
      <c r="AC78" s="204"/>
    </row>
    <row r="79" spans="1:29" ht="11.4">
      <c r="A79" s="211" t="str">
        <f t="shared" si="56"/>
        <v/>
      </c>
      <c r="B79" s="211"/>
      <c r="C79" s="185"/>
      <c r="D79" s="186" t="str">
        <f t="shared" si="45"/>
        <v/>
      </c>
      <c r="E79" s="186" t="str">
        <f>IF(OR(C79="",C79=Data!$B$3),"",IF(C79=Data!$B$4,"L","S"))</f>
        <v/>
      </c>
      <c r="F79" s="186" t="str">
        <f t="shared" si="46"/>
        <v/>
      </c>
      <c r="G79" s="187" t="str">
        <f t="shared" si="37"/>
        <v/>
      </c>
      <c r="H79" s="188"/>
      <c r="I79" s="189" t="str">
        <f t="shared" si="47"/>
        <v/>
      </c>
      <c r="J79" s="189" t="str">
        <f t="shared" si="48"/>
        <v/>
      </c>
      <c r="K79" s="190" t="str">
        <f t="shared" si="49"/>
        <v/>
      </c>
      <c r="L79" s="190" t="str">
        <f t="shared" si="50"/>
        <v/>
      </c>
      <c r="M79" s="214"/>
      <c r="N79" s="214"/>
      <c r="O79" s="189" t="str">
        <f t="shared" si="51"/>
        <v/>
      </c>
      <c r="P79" s="191" t="str">
        <f t="shared" si="38"/>
        <v/>
      </c>
      <c r="Q79" s="192" t="str">
        <f t="shared" si="52"/>
        <v/>
      </c>
      <c r="R79" s="191" t="str">
        <f t="shared" si="39"/>
        <v/>
      </c>
      <c r="S79" s="193" t="str">
        <f t="shared" si="53"/>
        <v/>
      </c>
      <c r="T79" s="194" t="str">
        <f t="shared" si="40"/>
        <v/>
      </c>
      <c r="U79" s="192" t="str">
        <f t="shared" si="54"/>
        <v/>
      </c>
      <c r="V79" s="195" t="str">
        <f t="shared" si="41"/>
        <v/>
      </c>
      <c r="W79" s="195" t="str">
        <f t="shared" si="42"/>
        <v/>
      </c>
      <c r="X79" s="196" t="str">
        <f t="shared" si="55"/>
        <v/>
      </c>
      <c r="Y79" s="191" t="str">
        <f t="shared" si="26"/>
        <v/>
      </c>
      <c r="Z79" s="197" t="str">
        <f t="shared" si="43"/>
        <v/>
      </c>
      <c r="AA79" s="197" t="str">
        <f t="shared" si="44"/>
        <v/>
      </c>
      <c r="AB79" s="213"/>
      <c r="AC79" s="204"/>
    </row>
    <row r="80" spans="1:29" ht="11.4">
      <c r="A80" s="211" t="str">
        <f t="shared" si="56"/>
        <v/>
      </c>
      <c r="B80" s="211"/>
      <c r="C80" s="185"/>
      <c r="D80" s="186" t="str">
        <f t="shared" si="45"/>
        <v/>
      </c>
      <c r="E80" s="186" t="str">
        <f>IF(OR(C80="",C80=Data!$B$3),"",IF(C80=Data!$B$4,"L","S"))</f>
        <v/>
      </c>
      <c r="F80" s="186" t="str">
        <f t="shared" si="46"/>
        <v/>
      </c>
      <c r="G80" s="187" t="str">
        <f t="shared" si="37"/>
        <v/>
      </c>
      <c r="H80" s="188"/>
      <c r="I80" s="189" t="str">
        <f t="shared" si="47"/>
        <v/>
      </c>
      <c r="J80" s="189" t="str">
        <f t="shared" si="48"/>
        <v/>
      </c>
      <c r="K80" s="190" t="str">
        <f t="shared" si="49"/>
        <v/>
      </c>
      <c r="L80" s="190" t="str">
        <f t="shared" si="50"/>
        <v/>
      </c>
      <c r="M80" s="214"/>
      <c r="N80" s="214"/>
      <c r="O80" s="189" t="str">
        <f t="shared" si="51"/>
        <v/>
      </c>
      <c r="P80" s="191" t="str">
        <f t="shared" si="38"/>
        <v/>
      </c>
      <c r="Q80" s="192" t="str">
        <f t="shared" si="52"/>
        <v/>
      </c>
      <c r="R80" s="191" t="str">
        <f t="shared" si="39"/>
        <v/>
      </c>
      <c r="S80" s="193" t="str">
        <f t="shared" si="53"/>
        <v/>
      </c>
      <c r="T80" s="194" t="str">
        <f t="shared" si="40"/>
        <v/>
      </c>
      <c r="U80" s="192" t="str">
        <f t="shared" si="54"/>
        <v/>
      </c>
      <c r="V80" s="195" t="str">
        <f t="shared" si="41"/>
        <v/>
      </c>
      <c r="W80" s="195" t="str">
        <f t="shared" si="42"/>
        <v/>
      </c>
      <c r="X80" s="196" t="str">
        <f t="shared" si="55"/>
        <v/>
      </c>
      <c r="Y80" s="191" t="str">
        <f t="shared" si="26"/>
        <v/>
      </c>
      <c r="Z80" s="197" t="str">
        <f t="shared" si="43"/>
        <v/>
      </c>
      <c r="AA80" s="197" t="str">
        <f t="shared" si="44"/>
        <v/>
      </c>
      <c r="AB80" s="213"/>
      <c r="AC80" s="204"/>
    </row>
    <row r="81" spans="1:29" ht="11.4">
      <c r="A81" s="211" t="str">
        <f t="shared" si="56"/>
        <v/>
      </c>
      <c r="B81" s="211"/>
      <c r="C81" s="185"/>
      <c r="D81" s="186" t="str">
        <f t="shared" si="45"/>
        <v/>
      </c>
      <c r="E81" s="186" t="str">
        <f>IF(OR(C81="",C81=Data!$B$3),"",IF(C81=Data!$B$4,"L","S"))</f>
        <v/>
      </c>
      <c r="F81" s="186" t="str">
        <f t="shared" si="46"/>
        <v/>
      </c>
      <c r="G81" s="187" t="str">
        <f t="shared" si="37"/>
        <v/>
      </c>
      <c r="H81" s="188"/>
      <c r="I81" s="189" t="str">
        <f t="shared" si="47"/>
        <v/>
      </c>
      <c r="J81" s="189" t="str">
        <f t="shared" si="48"/>
        <v/>
      </c>
      <c r="K81" s="190" t="str">
        <f t="shared" si="49"/>
        <v/>
      </c>
      <c r="L81" s="190" t="str">
        <f t="shared" si="50"/>
        <v/>
      </c>
      <c r="M81" s="214"/>
      <c r="N81" s="214"/>
      <c r="O81" s="189" t="str">
        <f t="shared" si="51"/>
        <v/>
      </c>
      <c r="P81" s="191" t="str">
        <f t="shared" si="38"/>
        <v/>
      </c>
      <c r="Q81" s="192" t="str">
        <f t="shared" si="52"/>
        <v/>
      </c>
      <c r="R81" s="191" t="str">
        <f t="shared" si="39"/>
        <v/>
      </c>
      <c r="S81" s="193" t="str">
        <f t="shared" si="53"/>
        <v/>
      </c>
      <c r="T81" s="194" t="str">
        <f t="shared" si="40"/>
        <v/>
      </c>
      <c r="U81" s="192" t="str">
        <f t="shared" si="54"/>
        <v/>
      </c>
      <c r="V81" s="195" t="str">
        <f t="shared" si="41"/>
        <v/>
      </c>
      <c r="W81" s="195" t="str">
        <f t="shared" si="42"/>
        <v/>
      </c>
      <c r="X81" s="196" t="str">
        <f t="shared" si="55"/>
        <v/>
      </c>
      <c r="Y81" s="191" t="str">
        <f t="shared" si="26"/>
        <v/>
      </c>
      <c r="Z81" s="197" t="str">
        <f t="shared" si="43"/>
        <v/>
      </c>
      <c r="AA81" s="197" t="str">
        <f t="shared" si="44"/>
        <v/>
      </c>
      <c r="AB81" s="213"/>
      <c r="AC81" s="204"/>
    </row>
    <row r="82" spans="1:29" ht="11.4">
      <c r="A82" s="211" t="str">
        <f t="shared" si="56"/>
        <v/>
      </c>
      <c r="B82" s="211"/>
      <c r="C82" s="185"/>
      <c r="D82" s="186" t="str">
        <f t="shared" si="45"/>
        <v/>
      </c>
      <c r="E82" s="186" t="str">
        <f>IF(OR(C82="",C82=Data!$B$3),"",IF(C82=Data!$B$4,"L","S"))</f>
        <v/>
      </c>
      <c r="F82" s="186" t="str">
        <f t="shared" si="46"/>
        <v/>
      </c>
      <c r="G82" s="187" t="str">
        <f t="shared" si="37"/>
        <v/>
      </c>
      <c r="H82" s="188"/>
      <c r="I82" s="189" t="str">
        <f t="shared" si="47"/>
        <v/>
      </c>
      <c r="J82" s="189" t="str">
        <f t="shared" si="48"/>
        <v/>
      </c>
      <c r="K82" s="190" t="str">
        <f t="shared" si="49"/>
        <v/>
      </c>
      <c r="L82" s="190" t="str">
        <f t="shared" si="50"/>
        <v/>
      </c>
      <c r="M82" s="214"/>
      <c r="N82" s="214"/>
      <c r="O82" s="189" t="str">
        <f t="shared" si="51"/>
        <v/>
      </c>
      <c r="P82" s="191" t="str">
        <f t="shared" si="38"/>
        <v/>
      </c>
      <c r="Q82" s="192" t="str">
        <f t="shared" si="52"/>
        <v/>
      </c>
      <c r="R82" s="191" t="str">
        <f t="shared" si="39"/>
        <v/>
      </c>
      <c r="S82" s="193" t="str">
        <f t="shared" si="53"/>
        <v/>
      </c>
      <c r="T82" s="194" t="str">
        <f t="shared" si="40"/>
        <v/>
      </c>
      <c r="U82" s="192" t="str">
        <f t="shared" si="54"/>
        <v/>
      </c>
      <c r="V82" s="195" t="str">
        <f t="shared" si="41"/>
        <v/>
      </c>
      <c r="W82" s="195" t="str">
        <f t="shared" si="42"/>
        <v/>
      </c>
      <c r="X82" s="196" t="str">
        <f t="shared" si="55"/>
        <v/>
      </c>
      <c r="Y82" s="191" t="str">
        <f t="shared" si="26"/>
        <v/>
      </c>
      <c r="Z82" s="197" t="str">
        <f t="shared" si="43"/>
        <v/>
      </c>
      <c r="AA82" s="197" t="str">
        <f t="shared" si="44"/>
        <v/>
      </c>
      <c r="AB82" s="213"/>
      <c r="AC82" s="204"/>
    </row>
    <row r="83" spans="1:29" ht="11.4">
      <c r="A83" s="211" t="str">
        <f t="shared" si="56"/>
        <v/>
      </c>
      <c r="B83" s="211"/>
      <c r="C83" s="185"/>
      <c r="D83" s="186" t="str">
        <f t="shared" si="45"/>
        <v/>
      </c>
      <c r="E83" s="186" t="str">
        <f>IF(OR(C83="",C83=Data!$B$3),"",IF(C83=Data!$B$4,"L","S"))</f>
        <v/>
      </c>
      <c r="F83" s="186" t="str">
        <f t="shared" si="46"/>
        <v/>
      </c>
      <c r="G83" s="187" t="str">
        <f t="shared" si="37"/>
        <v/>
      </c>
      <c r="H83" s="188"/>
      <c r="I83" s="189" t="str">
        <f t="shared" si="47"/>
        <v/>
      </c>
      <c r="J83" s="189" t="str">
        <f t="shared" si="48"/>
        <v/>
      </c>
      <c r="K83" s="190" t="str">
        <f t="shared" si="49"/>
        <v/>
      </c>
      <c r="L83" s="190" t="str">
        <f t="shared" si="50"/>
        <v/>
      </c>
      <c r="M83" s="214"/>
      <c r="N83" s="214"/>
      <c r="O83" s="189" t="str">
        <f t="shared" si="51"/>
        <v/>
      </c>
      <c r="P83" s="191" t="str">
        <f t="shared" si="38"/>
        <v/>
      </c>
      <c r="Q83" s="192" t="str">
        <f t="shared" si="52"/>
        <v/>
      </c>
      <c r="R83" s="191" t="str">
        <f t="shared" si="39"/>
        <v/>
      </c>
      <c r="S83" s="193" t="str">
        <f t="shared" si="53"/>
        <v/>
      </c>
      <c r="T83" s="194" t="str">
        <f t="shared" si="40"/>
        <v/>
      </c>
      <c r="U83" s="192" t="str">
        <f t="shared" si="54"/>
        <v/>
      </c>
      <c r="V83" s="195" t="str">
        <f t="shared" si="41"/>
        <v/>
      </c>
      <c r="W83" s="195" t="str">
        <f t="shared" si="42"/>
        <v/>
      </c>
      <c r="X83" s="196" t="str">
        <f t="shared" si="55"/>
        <v/>
      </c>
      <c r="Y83" s="191" t="str">
        <f t="shared" si="26"/>
        <v/>
      </c>
      <c r="Z83" s="197" t="str">
        <f t="shared" si="43"/>
        <v/>
      </c>
      <c r="AA83" s="197" t="str">
        <f t="shared" si="44"/>
        <v/>
      </c>
      <c r="AB83" s="213"/>
      <c r="AC83" s="204"/>
    </row>
    <row r="84" spans="1:29" ht="11.4">
      <c r="A84" s="211" t="str">
        <f t="shared" si="56"/>
        <v/>
      </c>
      <c r="B84" s="211"/>
      <c r="C84" s="185"/>
      <c r="D84" s="186" t="str">
        <f t="shared" si="45"/>
        <v/>
      </c>
      <c r="E84" s="186" t="str">
        <f>IF(OR(C84="",C84=Data!$B$3),"",IF(C84=Data!$B$4,"L","S"))</f>
        <v/>
      </c>
      <c r="F84" s="186" t="str">
        <f t="shared" si="46"/>
        <v/>
      </c>
      <c r="G84" s="187" t="str">
        <f t="shared" si="37"/>
        <v/>
      </c>
      <c r="H84" s="188"/>
      <c r="I84" s="189" t="str">
        <f t="shared" si="47"/>
        <v/>
      </c>
      <c r="J84" s="189" t="str">
        <f t="shared" si="48"/>
        <v/>
      </c>
      <c r="K84" s="190" t="str">
        <f t="shared" si="49"/>
        <v/>
      </c>
      <c r="L84" s="190" t="str">
        <f t="shared" si="50"/>
        <v/>
      </c>
      <c r="M84" s="214"/>
      <c r="N84" s="214"/>
      <c r="O84" s="189" t="str">
        <f t="shared" si="51"/>
        <v/>
      </c>
      <c r="P84" s="191" t="str">
        <f t="shared" si="38"/>
        <v/>
      </c>
      <c r="Q84" s="192" t="str">
        <f t="shared" si="52"/>
        <v/>
      </c>
      <c r="R84" s="191" t="str">
        <f t="shared" si="39"/>
        <v/>
      </c>
      <c r="S84" s="193" t="str">
        <f t="shared" si="53"/>
        <v/>
      </c>
      <c r="T84" s="194" t="str">
        <f t="shared" si="40"/>
        <v/>
      </c>
      <c r="U84" s="192" t="str">
        <f t="shared" si="54"/>
        <v/>
      </c>
      <c r="V84" s="195" t="str">
        <f t="shared" si="41"/>
        <v/>
      </c>
      <c r="W84" s="195" t="str">
        <f t="shared" si="42"/>
        <v/>
      </c>
      <c r="X84" s="196" t="str">
        <f t="shared" si="55"/>
        <v/>
      </c>
      <c r="Y84" s="191" t="str">
        <f t="shared" ref="Y84:Y147" si="57">IF(Y83="","",IF(T84="","",Y83+T84))</f>
        <v/>
      </c>
      <c r="Z84" s="197" t="str">
        <f t="shared" si="43"/>
        <v/>
      </c>
      <c r="AA84" s="197" t="str">
        <f t="shared" si="44"/>
        <v/>
      </c>
      <c r="AB84" s="213"/>
      <c r="AC84" s="204"/>
    </row>
    <row r="85" spans="1:29" ht="11.4">
      <c r="A85" s="211" t="str">
        <f t="shared" si="56"/>
        <v/>
      </c>
      <c r="B85" s="211"/>
      <c r="C85" s="185"/>
      <c r="D85" s="186" t="str">
        <f t="shared" si="45"/>
        <v/>
      </c>
      <c r="E85" s="186" t="str">
        <f>IF(OR(C85="",C85=Data!$B$3),"",IF(C85=Data!$B$4,"L","S"))</f>
        <v/>
      </c>
      <c r="F85" s="186" t="str">
        <f t="shared" si="46"/>
        <v/>
      </c>
      <c r="G85" s="187" t="str">
        <f t="shared" si="37"/>
        <v/>
      </c>
      <c r="H85" s="188"/>
      <c r="I85" s="189" t="str">
        <f t="shared" si="47"/>
        <v/>
      </c>
      <c r="J85" s="189" t="str">
        <f t="shared" si="48"/>
        <v/>
      </c>
      <c r="K85" s="190" t="str">
        <f t="shared" si="49"/>
        <v/>
      </c>
      <c r="L85" s="190" t="str">
        <f t="shared" si="50"/>
        <v/>
      </c>
      <c r="M85" s="214"/>
      <c r="N85" s="214"/>
      <c r="O85" s="189" t="str">
        <f t="shared" si="51"/>
        <v/>
      </c>
      <c r="P85" s="191" t="str">
        <f t="shared" si="38"/>
        <v/>
      </c>
      <c r="Q85" s="192" t="str">
        <f t="shared" si="52"/>
        <v/>
      </c>
      <c r="R85" s="191" t="str">
        <f t="shared" si="39"/>
        <v/>
      </c>
      <c r="S85" s="193" t="str">
        <f t="shared" si="53"/>
        <v/>
      </c>
      <c r="T85" s="194" t="str">
        <f t="shared" si="40"/>
        <v/>
      </c>
      <c r="U85" s="192" t="str">
        <f t="shared" si="54"/>
        <v/>
      </c>
      <c r="V85" s="195" t="str">
        <f t="shared" si="41"/>
        <v/>
      </c>
      <c r="W85" s="195" t="str">
        <f t="shared" si="42"/>
        <v/>
      </c>
      <c r="X85" s="196" t="str">
        <f t="shared" si="55"/>
        <v/>
      </c>
      <c r="Y85" s="191" t="str">
        <f t="shared" si="57"/>
        <v/>
      </c>
      <c r="Z85" s="197" t="str">
        <f t="shared" si="43"/>
        <v/>
      </c>
      <c r="AA85" s="197" t="str">
        <f t="shared" si="44"/>
        <v/>
      </c>
      <c r="AB85" s="213"/>
      <c r="AC85" s="204"/>
    </row>
    <row r="86" spans="1:29" ht="11.4">
      <c r="A86" s="211" t="str">
        <f t="shared" si="56"/>
        <v/>
      </c>
      <c r="B86" s="211"/>
      <c r="C86" s="185"/>
      <c r="D86" s="186" t="str">
        <f t="shared" si="45"/>
        <v/>
      </c>
      <c r="E86" s="186" t="str">
        <f>IF(OR(C86="",C86=Data!$B$3),"",IF(C86=Data!$B$4,"L","S"))</f>
        <v/>
      </c>
      <c r="F86" s="186" t="str">
        <f t="shared" si="46"/>
        <v/>
      </c>
      <c r="G86" s="187" t="str">
        <f t="shared" si="37"/>
        <v/>
      </c>
      <c r="H86" s="188"/>
      <c r="I86" s="189" t="str">
        <f t="shared" si="47"/>
        <v/>
      </c>
      <c r="J86" s="189" t="str">
        <f t="shared" si="48"/>
        <v/>
      </c>
      <c r="K86" s="190" t="str">
        <f t="shared" si="49"/>
        <v/>
      </c>
      <c r="L86" s="190" t="str">
        <f t="shared" si="50"/>
        <v/>
      </c>
      <c r="M86" s="214"/>
      <c r="N86" s="214"/>
      <c r="O86" s="189" t="str">
        <f t="shared" si="51"/>
        <v/>
      </c>
      <c r="P86" s="191" t="str">
        <f t="shared" si="38"/>
        <v/>
      </c>
      <c r="Q86" s="192" t="str">
        <f t="shared" si="52"/>
        <v/>
      </c>
      <c r="R86" s="191" t="str">
        <f t="shared" si="39"/>
        <v/>
      </c>
      <c r="S86" s="193" t="str">
        <f t="shared" si="53"/>
        <v/>
      </c>
      <c r="T86" s="194" t="str">
        <f t="shared" si="40"/>
        <v/>
      </c>
      <c r="U86" s="192" t="str">
        <f t="shared" si="54"/>
        <v/>
      </c>
      <c r="V86" s="195" t="str">
        <f t="shared" si="41"/>
        <v/>
      </c>
      <c r="W86" s="195" t="str">
        <f t="shared" si="42"/>
        <v/>
      </c>
      <c r="X86" s="196" t="str">
        <f t="shared" si="55"/>
        <v/>
      </c>
      <c r="Y86" s="191" t="str">
        <f t="shared" si="57"/>
        <v/>
      </c>
      <c r="Z86" s="197" t="str">
        <f t="shared" si="43"/>
        <v/>
      </c>
      <c r="AA86" s="197" t="str">
        <f t="shared" si="44"/>
        <v/>
      </c>
      <c r="AB86" s="213"/>
      <c r="AC86" s="204"/>
    </row>
    <row r="87" spans="1:29" ht="11.4">
      <c r="A87" s="211" t="str">
        <f t="shared" si="56"/>
        <v/>
      </c>
      <c r="B87" s="211"/>
      <c r="C87" s="185"/>
      <c r="D87" s="186" t="str">
        <f t="shared" si="45"/>
        <v/>
      </c>
      <c r="E87" s="186" t="str">
        <f>IF(OR(C87="",C87=Data!$B$3),"",IF(C87=Data!$B$4,"L","S"))</f>
        <v/>
      </c>
      <c r="F87" s="186" t="str">
        <f t="shared" si="46"/>
        <v/>
      </c>
      <c r="G87" s="187" t="str">
        <f t="shared" si="37"/>
        <v/>
      </c>
      <c r="H87" s="188"/>
      <c r="I87" s="189" t="str">
        <f t="shared" si="47"/>
        <v/>
      </c>
      <c r="J87" s="189" t="str">
        <f t="shared" si="48"/>
        <v/>
      </c>
      <c r="K87" s="190" t="str">
        <f t="shared" si="49"/>
        <v/>
      </c>
      <c r="L87" s="190" t="str">
        <f t="shared" si="50"/>
        <v/>
      </c>
      <c r="M87" s="214"/>
      <c r="N87" s="214"/>
      <c r="O87" s="189" t="str">
        <f t="shared" si="51"/>
        <v/>
      </c>
      <c r="P87" s="191" t="str">
        <f t="shared" si="38"/>
        <v/>
      </c>
      <c r="Q87" s="192" t="str">
        <f t="shared" si="52"/>
        <v/>
      </c>
      <c r="R87" s="191" t="str">
        <f t="shared" si="39"/>
        <v/>
      </c>
      <c r="S87" s="193" t="str">
        <f t="shared" si="53"/>
        <v/>
      </c>
      <c r="T87" s="194" t="str">
        <f t="shared" si="40"/>
        <v/>
      </c>
      <c r="U87" s="192" t="str">
        <f t="shared" si="54"/>
        <v/>
      </c>
      <c r="V87" s="195" t="str">
        <f t="shared" si="41"/>
        <v/>
      </c>
      <c r="W87" s="195" t="str">
        <f t="shared" si="42"/>
        <v/>
      </c>
      <c r="X87" s="196" t="str">
        <f t="shared" si="55"/>
        <v/>
      </c>
      <c r="Y87" s="191" t="str">
        <f t="shared" si="57"/>
        <v/>
      </c>
      <c r="Z87" s="197" t="str">
        <f t="shared" si="43"/>
        <v/>
      </c>
      <c r="AA87" s="197" t="str">
        <f t="shared" si="44"/>
        <v/>
      </c>
      <c r="AB87" s="213"/>
      <c r="AC87" s="204"/>
    </row>
    <row r="88" spans="1:29" ht="11.4">
      <c r="A88" s="211" t="str">
        <f t="shared" si="56"/>
        <v/>
      </c>
      <c r="B88" s="211"/>
      <c r="C88" s="185"/>
      <c r="D88" s="186" t="str">
        <f t="shared" si="45"/>
        <v/>
      </c>
      <c r="E88" s="186" t="str">
        <f>IF(OR(C88="",C88=Data!$B$3),"",IF(C88=Data!$B$4,"L","S"))</f>
        <v/>
      </c>
      <c r="F88" s="186" t="str">
        <f t="shared" si="46"/>
        <v/>
      </c>
      <c r="G88" s="187" t="str">
        <f t="shared" si="37"/>
        <v/>
      </c>
      <c r="H88" s="188"/>
      <c r="I88" s="189" t="str">
        <f t="shared" si="47"/>
        <v/>
      </c>
      <c r="J88" s="189" t="str">
        <f t="shared" si="48"/>
        <v/>
      </c>
      <c r="K88" s="190" t="str">
        <f t="shared" si="49"/>
        <v/>
      </c>
      <c r="L88" s="190" t="str">
        <f t="shared" si="50"/>
        <v/>
      </c>
      <c r="M88" s="214"/>
      <c r="N88" s="214"/>
      <c r="O88" s="189" t="str">
        <f t="shared" si="51"/>
        <v/>
      </c>
      <c r="P88" s="191" t="str">
        <f t="shared" si="38"/>
        <v/>
      </c>
      <c r="Q88" s="192" t="str">
        <f t="shared" si="52"/>
        <v/>
      </c>
      <c r="R88" s="191" t="str">
        <f t="shared" si="39"/>
        <v/>
      </c>
      <c r="S88" s="193" t="str">
        <f t="shared" si="53"/>
        <v/>
      </c>
      <c r="T88" s="194" t="str">
        <f t="shared" si="40"/>
        <v/>
      </c>
      <c r="U88" s="192" t="str">
        <f t="shared" si="54"/>
        <v/>
      </c>
      <c r="V88" s="195" t="str">
        <f t="shared" si="41"/>
        <v/>
      </c>
      <c r="W88" s="195" t="str">
        <f t="shared" si="42"/>
        <v/>
      </c>
      <c r="X88" s="196" t="str">
        <f t="shared" si="55"/>
        <v/>
      </c>
      <c r="Y88" s="191" t="str">
        <f t="shared" si="57"/>
        <v/>
      </c>
      <c r="Z88" s="197" t="str">
        <f t="shared" si="43"/>
        <v/>
      </c>
      <c r="AA88" s="197" t="str">
        <f t="shared" si="44"/>
        <v/>
      </c>
      <c r="AB88" s="213"/>
      <c r="AC88" s="204"/>
    </row>
    <row r="89" spans="1:29" ht="11.4">
      <c r="A89" s="211" t="str">
        <f t="shared" si="56"/>
        <v/>
      </c>
      <c r="B89" s="211"/>
      <c r="C89" s="185"/>
      <c r="D89" s="186" t="str">
        <f t="shared" si="45"/>
        <v/>
      </c>
      <c r="E89" s="186" t="str">
        <f>IF(OR(C89="",C89=Data!$B$3),"",IF(C89=Data!$B$4,"L","S"))</f>
        <v/>
      </c>
      <c r="F89" s="186" t="str">
        <f t="shared" si="46"/>
        <v/>
      </c>
      <c r="G89" s="187" t="str">
        <f t="shared" si="37"/>
        <v/>
      </c>
      <c r="H89" s="188"/>
      <c r="I89" s="189" t="str">
        <f t="shared" si="47"/>
        <v/>
      </c>
      <c r="J89" s="189" t="str">
        <f t="shared" si="48"/>
        <v/>
      </c>
      <c r="K89" s="190" t="str">
        <f t="shared" si="49"/>
        <v/>
      </c>
      <c r="L89" s="190" t="str">
        <f t="shared" si="50"/>
        <v/>
      </c>
      <c r="M89" s="214"/>
      <c r="N89" s="214"/>
      <c r="O89" s="189" t="str">
        <f t="shared" si="51"/>
        <v/>
      </c>
      <c r="P89" s="191" t="str">
        <f t="shared" si="38"/>
        <v/>
      </c>
      <c r="Q89" s="192" t="str">
        <f t="shared" si="52"/>
        <v/>
      </c>
      <c r="R89" s="191" t="str">
        <f t="shared" si="39"/>
        <v/>
      </c>
      <c r="S89" s="193" t="str">
        <f t="shared" si="53"/>
        <v/>
      </c>
      <c r="T89" s="194" t="str">
        <f t="shared" si="40"/>
        <v/>
      </c>
      <c r="U89" s="192" t="str">
        <f t="shared" si="54"/>
        <v/>
      </c>
      <c r="V89" s="195" t="str">
        <f t="shared" si="41"/>
        <v/>
      </c>
      <c r="W89" s="195" t="str">
        <f t="shared" si="42"/>
        <v/>
      </c>
      <c r="X89" s="196" t="str">
        <f t="shared" si="55"/>
        <v/>
      </c>
      <c r="Y89" s="191" t="str">
        <f t="shared" si="57"/>
        <v/>
      </c>
      <c r="Z89" s="197" t="str">
        <f t="shared" si="43"/>
        <v/>
      </c>
      <c r="AA89" s="197" t="str">
        <f t="shared" si="44"/>
        <v/>
      </c>
      <c r="AB89" s="213"/>
      <c r="AC89" s="204"/>
    </row>
    <row r="90" spans="1:29" ht="11.4">
      <c r="A90" s="211" t="str">
        <f t="shared" si="56"/>
        <v/>
      </c>
      <c r="B90" s="211"/>
      <c r="C90" s="185"/>
      <c r="D90" s="186" t="str">
        <f t="shared" si="45"/>
        <v/>
      </c>
      <c r="E90" s="186" t="str">
        <f>IF(OR(C90="",C90=Data!$B$3),"",IF(C90=Data!$B$4,"L","S"))</f>
        <v/>
      </c>
      <c r="F90" s="186" t="str">
        <f t="shared" si="46"/>
        <v/>
      </c>
      <c r="G90" s="187" t="str">
        <f t="shared" si="37"/>
        <v/>
      </c>
      <c r="H90" s="188"/>
      <c r="I90" s="189" t="str">
        <f t="shared" si="47"/>
        <v/>
      </c>
      <c r="J90" s="189" t="str">
        <f t="shared" si="48"/>
        <v/>
      </c>
      <c r="K90" s="190" t="str">
        <f t="shared" si="49"/>
        <v/>
      </c>
      <c r="L90" s="190" t="str">
        <f t="shared" si="50"/>
        <v/>
      </c>
      <c r="M90" s="214"/>
      <c r="N90" s="214"/>
      <c r="O90" s="189" t="str">
        <f t="shared" si="51"/>
        <v/>
      </c>
      <c r="P90" s="191" t="str">
        <f t="shared" si="38"/>
        <v/>
      </c>
      <c r="Q90" s="192" t="str">
        <f t="shared" si="52"/>
        <v/>
      </c>
      <c r="R90" s="191" t="str">
        <f t="shared" si="39"/>
        <v/>
      </c>
      <c r="S90" s="193" t="str">
        <f t="shared" si="53"/>
        <v/>
      </c>
      <c r="T90" s="194" t="str">
        <f t="shared" si="40"/>
        <v/>
      </c>
      <c r="U90" s="192" t="str">
        <f t="shared" si="54"/>
        <v/>
      </c>
      <c r="V90" s="195" t="str">
        <f t="shared" si="41"/>
        <v/>
      </c>
      <c r="W90" s="195" t="str">
        <f t="shared" si="42"/>
        <v/>
      </c>
      <c r="X90" s="196" t="str">
        <f t="shared" si="55"/>
        <v/>
      </c>
      <c r="Y90" s="191" t="str">
        <f t="shared" si="57"/>
        <v/>
      </c>
      <c r="Z90" s="197" t="str">
        <f t="shared" si="43"/>
        <v/>
      </c>
      <c r="AA90" s="197" t="str">
        <f t="shared" si="44"/>
        <v/>
      </c>
      <c r="AB90" s="213"/>
      <c r="AC90" s="204"/>
    </row>
    <row r="91" spans="1:29" ht="11.4">
      <c r="A91" s="211" t="str">
        <f t="shared" si="56"/>
        <v/>
      </c>
      <c r="B91" s="211"/>
      <c r="C91" s="185"/>
      <c r="D91" s="186" t="str">
        <f t="shared" si="45"/>
        <v/>
      </c>
      <c r="E91" s="186" t="str">
        <f>IF(OR(C91="",C91=Data!$B$3),"",IF(C91=Data!$B$4,"L","S"))</f>
        <v/>
      </c>
      <c r="F91" s="186" t="str">
        <f t="shared" si="46"/>
        <v/>
      </c>
      <c r="G91" s="187" t="str">
        <f t="shared" si="37"/>
        <v/>
      </c>
      <c r="H91" s="188"/>
      <c r="I91" s="189" t="str">
        <f t="shared" si="47"/>
        <v/>
      </c>
      <c r="J91" s="189" t="str">
        <f t="shared" si="48"/>
        <v/>
      </c>
      <c r="K91" s="190" t="str">
        <f t="shared" si="49"/>
        <v/>
      </c>
      <c r="L91" s="190" t="str">
        <f t="shared" si="50"/>
        <v/>
      </c>
      <c r="M91" s="214"/>
      <c r="N91" s="214"/>
      <c r="O91" s="189" t="str">
        <f t="shared" si="51"/>
        <v/>
      </c>
      <c r="P91" s="191" t="str">
        <f t="shared" si="38"/>
        <v/>
      </c>
      <c r="Q91" s="192" t="str">
        <f t="shared" si="52"/>
        <v/>
      </c>
      <c r="R91" s="191" t="str">
        <f t="shared" si="39"/>
        <v/>
      </c>
      <c r="S91" s="193" t="str">
        <f t="shared" si="53"/>
        <v/>
      </c>
      <c r="T91" s="194" t="str">
        <f t="shared" si="40"/>
        <v/>
      </c>
      <c r="U91" s="192" t="str">
        <f t="shared" si="54"/>
        <v/>
      </c>
      <c r="V91" s="195" t="str">
        <f t="shared" si="41"/>
        <v/>
      </c>
      <c r="W91" s="195" t="str">
        <f t="shared" si="42"/>
        <v/>
      </c>
      <c r="X91" s="196" t="str">
        <f t="shared" si="55"/>
        <v/>
      </c>
      <c r="Y91" s="191" t="str">
        <f t="shared" si="57"/>
        <v/>
      </c>
      <c r="Z91" s="197" t="str">
        <f t="shared" si="43"/>
        <v/>
      </c>
      <c r="AA91" s="197" t="str">
        <f t="shared" si="44"/>
        <v/>
      </c>
      <c r="AB91" s="213"/>
      <c r="AC91" s="204"/>
    </row>
    <row r="92" spans="1:29" ht="11.4">
      <c r="A92" s="211" t="str">
        <f t="shared" si="56"/>
        <v/>
      </c>
      <c r="B92" s="211"/>
      <c r="C92" s="185"/>
      <c r="D92" s="186" t="str">
        <f t="shared" si="45"/>
        <v/>
      </c>
      <c r="E92" s="186" t="str">
        <f>IF(OR(C92="",C92=Data!$B$3),"",IF(C92=Data!$B$4,"L","S"))</f>
        <v/>
      </c>
      <c r="F92" s="186" t="str">
        <f t="shared" si="46"/>
        <v/>
      </c>
      <c r="G92" s="187" t="str">
        <f t="shared" si="37"/>
        <v/>
      </c>
      <c r="H92" s="188"/>
      <c r="I92" s="189" t="str">
        <f t="shared" si="47"/>
        <v/>
      </c>
      <c r="J92" s="189" t="str">
        <f t="shared" si="48"/>
        <v/>
      </c>
      <c r="K92" s="190" t="str">
        <f t="shared" si="49"/>
        <v/>
      </c>
      <c r="L92" s="190" t="str">
        <f t="shared" si="50"/>
        <v/>
      </c>
      <c r="M92" s="214"/>
      <c r="N92" s="214"/>
      <c r="O92" s="189" t="str">
        <f t="shared" si="51"/>
        <v/>
      </c>
      <c r="P92" s="191" t="str">
        <f t="shared" si="38"/>
        <v/>
      </c>
      <c r="Q92" s="192" t="str">
        <f t="shared" si="52"/>
        <v/>
      </c>
      <c r="R92" s="191" t="str">
        <f t="shared" si="39"/>
        <v/>
      </c>
      <c r="S92" s="193" t="str">
        <f t="shared" si="53"/>
        <v/>
      </c>
      <c r="T92" s="194" t="str">
        <f t="shared" si="40"/>
        <v/>
      </c>
      <c r="U92" s="192" t="str">
        <f t="shared" si="54"/>
        <v/>
      </c>
      <c r="V92" s="195" t="str">
        <f t="shared" si="41"/>
        <v/>
      </c>
      <c r="W92" s="195" t="str">
        <f t="shared" si="42"/>
        <v/>
      </c>
      <c r="X92" s="196" t="str">
        <f t="shared" si="55"/>
        <v/>
      </c>
      <c r="Y92" s="191" t="str">
        <f t="shared" si="57"/>
        <v/>
      </c>
      <c r="Z92" s="197" t="str">
        <f t="shared" si="43"/>
        <v/>
      </c>
      <c r="AA92" s="197" t="str">
        <f t="shared" si="44"/>
        <v/>
      </c>
      <c r="AB92" s="213"/>
      <c r="AC92" s="204"/>
    </row>
    <row r="93" spans="1:29" ht="11.4">
      <c r="A93" s="211" t="str">
        <f t="shared" si="56"/>
        <v/>
      </c>
      <c r="B93" s="211"/>
      <c r="C93" s="185"/>
      <c r="D93" s="186" t="str">
        <f t="shared" si="45"/>
        <v/>
      </c>
      <c r="E93" s="186" t="str">
        <f>IF(OR(C93="",C93=Data!$B$3),"",IF(C93=Data!$B$4,"L","S"))</f>
        <v/>
      </c>
      <c r="F93" s="186" t="str">
        <f t="shared" si="46"/>
        <v/>
      </c>
      <c r="G93" s="187" t="str">
        <f t="shared" si="37"/>
        <v/>
      </c>
      <c r="H93" s="188"/>
      <c r="I93" s="189" t="str">
        <f t="shared" si="47"/>
        <v/>
      </c>
      <c r="J93" s="189" t="str">
        <f t="shared" si="48"/>
        <v/>
      </c>
      <c r="K93" s="190" t="str">
        <f t="shared" si="49"/>
        <v/>
      </c>
      <c r="L93" s="190" t="str">
        <f t="shared" si="50"/>
        <v/>
      </c>
      <c r="M93" s="214"/>
      <c r="N93" s="214"/>
      <c r="O93" s="189" t="str">
        <f t="shared" si="51"/>
        <v/>
      </c>
      <c r="P93" s="191" t="str">
        <f t="shared" si="38"/>
        <v/>
      </c>
      <c r="Q93" s="192" t="str">
        <f t="shared" si="52"/>
        <v/>
      </c>
      <c r="R93" s="191" t="str">
        <f t="shared" si="39"/>
        <v/>
      </c>
      <c r="S93" s="193" t="str">
        <f t="shared" si="53"/>
        <v/>
      </c>
      <c r="T93" s="194" t="str">
        <f t="shared" si="40"/>
        <v/>
      </c>
      <c r="U93" s="192" t="str">
        <f t="shared" si="54"/>
        <v/>
      </c>
      <c r="V93" s="195" t="str">
        <f t="shared" si="41"/>
        <v/>
      </c>
      <c r="W93" s="195" t="str">
        <f t="shared" si="42"/>
        <v/>
      </c>
      <c r="X93" s="196" t="str">
        <f t="shared" si="55"/>
        <v/>
      </c>
      <c r="Y93" s="191" t="str">
        <f t="shared" si="57"/>
        <v/>
      </c>
      <c r="Z93" s="197" t="str">
        <f t="shared" si="43"/>
        <v/>
      </c>
      <c r="AA93" s="197" t="str">
        <f t="shared" si="44"/>
        <v/>
      </c>
      <c r="AB93" s="213"/>
      <c r="AC93" s="204"/>
    </row>
    <row r="94" spans="1:29" ht="11.4">
      <c r="A94" s="211" t="str">
        <f t="shared" si="56"/>
        <v/>
      </c>
      <c r="B94" s="211"/>
      <c r="C94" s="185"/>
      <c r="D94" s="186" t="str">
        <f t="shared" si="45"/>
        <v/>
      </c>
      <c r="E94" s="186" t="str">
        <f>IF(OR(C94="",C94=Data!$B$3),"",IF(C94=Data!$B$4,"L","S"))</f>
        <v/>
      </c>
      <c r="F94" s="186" t="str">
        <f t="shared" si="46"/>
        <v/>
      </c>
      <c r="G94" s="187" t="str">
        <f t="shared" si="37"/>
        <v/>
      </c>
      <c r="H94" s="188"/>
      <c r="I94" s="189" t="str">
        <f t="shared" si="47"/>
        <v/>
      </c>
      <c r="J94" s="189" t="str">
        <f t="shared" si="48"/>
        <v/>
      </c>
      <c r="K94" s="190" t="str">
        <f t="shared" si="49"/>
        <v/>
      </c>
      <c r="L94" s="190" t="str">
        <f t="shared" si="50"/>
        <v/>
      </c>
      <c r="M94" s="214"/>
      <c r="N94" s="214"/>
      <c r="O94" s="189" t="str">
        <f t="shared" si="51"/>
        <v/>
      </c>
      <c r="P94" s="191" t="str">
        <f t="shared" si="38"/>
        <v/>
      </c>
      <c r="Q94" s="192" t="str">
        <f t="shared" si="52"/>
        <v/>
      </c>
      <c r="R94" s="191" t="str">
        <f t="shared" si="39"/>
        <v/>
      </c>
      <c r="S94" s="193" t="str">
        <f t="shared" si="53"/>
        <v/>
      </c>
      <c r="T94" s="194" t="str">
        <f t="shared" si="40"/>
        <v/>
      </c>
      <c r="U94" s="192" t="str">
        <f t="shared" si="54"/>
        <v/>
      </c>
      <c r="V94" s="195" t="str">
        <f t="shared" si="41"/>
        <v/>
      </c>
      <c r="W94" s="195" t="str">
        <f t="shared" si="42"/>
        <v/>
      </c>
      <c r="X94" s="196" t="str">
        <f t="shared" si="55"/>
        <v/>
      </c>
      <c r="Y94" s="191" t="str">
        <f t="shared" si="57"/>
        <v/>
      </c>
      <c r="Z94" s="197" t="str">
        <f t="shared" si="43"/>
        <v/>
      </c>
      <c r="AA94" s="197" t="str">
        <f t="shared" si="44"/>
        <v/>
      </c>
      <c r="AB94" s="213"/>
      <c r="AC94" s="204"/>
    </row>
    <row r="95" spans="1:29" ht="11.4">
      <c r="A95" s="211" t="str">
        <f t="shared" si="56"/>
        <v/>
      </c>
      <c r="B95" s="211"/>
      <c r="C95" s="185"/>
      <c r="D95" s="186" t="str">
        <f t="shared" si="45"/>
        <v/>
      </c>
      <c r="E95" s="186" t="str">
        <f>IF(OR(C95="",C95=Data!$B$3),"",IF(C95=Data!$B$4,"L","S"))</f>
        <v/>
      </c>
      <c r="F95" s="186" t="str">
        <f t="shared" si="46"/>
        <v/>
      </c>
      <c r="G95" s="187" t="str">
        <f t="shared" si="37"/>
        <v/>
      </c>
      <c r="H95" s="188"/>
      <c r="I95" s="189" t="str">
        <f t="shared" si="47"/>
        <v/>
      </c>
      <c r="J95" s="189" t="str">
        <f t="shared" si="48"/>
        <v/>
      </c>
      <c r="K95" s="190" t="str">
        <f t="shared" si="49"/>
        <v/>
      </c>
      <c r="L95" s="190" t="str">
        <f t="shared" si="50"/>
        <v/>
      </c>
      <c r="M95" s="214"/>
      <c r="N95" s="214"/>
      <c r="O95" s="189" t="str">
        <f t="shared" si="51"/>
        <v/>
      </c>
      <c r="P95" s="191" t="str">
        <f t="shared" si="38"/>
        <v/>
      </c>
      <c r="Q95" s="192" t="str">
        <f t="shared" si="52"/>
        <v/>
      </c>
      <c r="R95" s="191" t="str">
        <f t="shared" si="39"/>
        <v/>
      </c>
      <c r="S95" s="193" t="str">
        <f t="shared" si="53"/>
        <v/>
      </c>
      <c r="T95" s="194" t="str">
        <f t="shared" si="40"/>
        <v/>
      </c>
      <c r="U95" s="192" t="str">
        <f t="shared" si="54"/>
        <v/>
      </c>
      <c r="V95" s="195" t="str">
        <f t="shared" si="41"/>
        <v/>
      </c>
      <c r="W95" s="195" t="str">
        <f t="shared" si="42"/>
        <v/>
      </c>
      <c r="X95" s="196" t="str">
        <f t="shared" si="55"/>
        <v/>
      </c>
      <c r="Y95" s="191" t="str">
        <f t="shared" si="57"/>
        <v/>
      </c>
      <c r="Z95" s="197" t="str">
        <f t="shared" si="43"/>
        <v/>
      </c>
      <c r="AA95" s="197" t="str">
        <f t="shared" si="44"/>
        <v/>
      </c>
      <c r="AB95" s="213"/>
      <c r="AC95" s="204"/>
    </row>
    <row r="96" spans="1:29" ht="11.4">
      <c r="A96" s="211" t="str">
        <f t="shared" si="56"/>
        <v/>
      </c>
      <c r="B96" s="211"/>
      <c r="C96" s="185"/>
      <c r="D96" s="186" t="str">
        <f t="shared" si="45"/>
        <v/>
      </c>
      <c r="E96" s="186" t="str">
        <f>IF(OR(C96="",C96=Data!$B$3),"",IF(C96=Data!$B$4,"L","S"))</f>
        <v/>
      </c>
      <c r="F96" s="186" t="str">
        <f t="shared" si="46"/>
        <v/>
      </c>
      <c r="G96" s="187" t="str">
        <f t="shared" si="37"/>
        <v/>
      </c>
      <c r="H96" s="188"/>
      <c r="I96" s="189" t="str">
        <f t="shared" si="47"/>
        <v/>
      </c>
      <c r="J96" s="189" t="str">
        <f t="shared" si="48"/>
        <v/>
      </c>
      <c r="K96" s="190" t="str">
        <f t="shared" si="49"/>
        <v/>
      </c>
      <c r="L96" s="190" t="str">
        <f t="shared" si="50"/>
        <v/>
      </c>
      <c r="M96" s="214"/>
      <c r="N96" s="214"/>
      <c r="O96" s="189" t="str">
        <f t="shared" si="51"/>
        <v/>
      </c>
      <c r="P96" s="191" t="str">
        <f t="shared" si="38"/>
        <v/>
      </c>
      <c r="Q96" s="192" t="str">
        <f t="shared" si="52"/>
        <v/>
      </c>
      <c r="R96" s="191" t="str">
        <f t="shared" si="39"/>
        <v/>
      </c>
      <c r="S96" s="193" t="str">
        <f t="shared" si="53"/>
        <v/>
      </c>
      <c r="T96" s="194" t="str">
        <f t="shared" si="40"/>
        <v/>
      </c>
      <c r="U96" s="192" t="str">
        <f t="shared" si="54"/>
        <v/>
      </c>
      <c r="V96" s="195" t="str">
        <f t="shared" si="41"/>
        <v/>
      </c>
      <c r="W96" s="195" t="str">
        <f t="shared" si="42"/>
        <v/>
      </c>
      <c r="X96" s="196" t="str">
        <f t="shared" si="55"/>
        <v/>
      </c>
      <c r="Y96" s="191" t="str">
        <f t="shared" si="57"/>
        <v/>
      </c>
      <c r="Z96" s="197" t="str">
        <f t="shared" si="43"/>
        <v/>
      </c>
      <c r="AA96" s="197" t="str">
        <f t="shared" si="44"/>
        <v/>
      </c>
      <c r="AB96" s="213"/>
      <c r="AC96" s="204"/>
    </row>
    <row r="97" spans="1:29" ht="11.4">
      <c r="A97" s="211" t="str">
        <f t="shared" si="56"/>
        <v/>
      </c>
      <c r="B97" s="211"/>
      <c r="C97" s="185"/>
      <c r="D97" s="186" t="str">
        <f t="shared" si="45"/>
        <v/>
      </c>
      <c r="E97" s="186" t="str">
        <f>IF(OR(C97="",C97=Data!$B$3),"",IF(C97=Data!$B$4,"L","S"))</f>
        <v/>
      </c>
      <c r="F97" s="186" t="str">
        <f t="shared" si="46"/>
        <v/>
      </c>
      <c r="G97" s="187" t="str">
        <f t="shared" si="37"/>
        <v/>
      </c>
      <c r="H97" s="188"/>
      <c r="I97" s="189" t="str">
        <f t="shared" si="47"/>
        <v/>
      </c>
      <c r="J97" s="189" t="str">
        <f t="shared" si="48"/>
        <v/>
      </c>
      <c r="K97" s="190" t="str">
        <f t="shared" si="49"/>
        <v/>
      </c>
      <c r="L97" s="190" t="str">
        <f t="shared" si="50"/>
        <v/>
      </c>
      <c r="M97" s="214"/>
      <c r="N97" s="214"/>
      <c r="O97" s="189" t="str">
        <f t="shared" si="51"/>
        <v/>
      </c>
      <c r="P97" s="191" t="str">
        <f t="shared" si="38"/>
        <v/>
      </c>
      <c r="Q97" s="192" t="str">
        <f t="shared" si="52"/>
        <v/>
      </c>
      <c r="R97" s="191" t="str">
        <f t="shared" si="39"/>
        <v/>
      </c>
      <c r="S97" s="193" t="str">
        <f t="shared" si="53"/>
        <v/>
      </c>
      <c r="T97" s="194" t="str">
        <f t="shared" si="40"/>
        <v/>
      </c>
      <c r="U97" s="192" t="str">
        <f t="shared" si="54"/>
        <v/>
      </c>
      <c r="V97" s="195" t="str">
        <f t="shared" si="41"/>
        <v/>
      </c>
      <c r="W97" s="195" t="str">
        <f t="shared" si="42"/>
        <v/>
      </c>
      <c r="X97" s="196" t="str">
        <f t="shared" si="55"/>
        <v/>
      </c>
      <c r="Y97" s="191" t="str">
        <f t="shared" si="57"/>
        <v/>
      </c>
      <c r="Z97" s="197" t="str">
        <f t="shared" si="43"/>
        <v/>
      </c>
      <c r="AA97" s="197" t="str">
        <f t="shared" si="44"/>
        <v/>
      </c>
      <c r="AB97" s="213"/>
      <c r="AC97" s="204"/>
    </row>
    <row r="98" spans="1:29" ht="11.4">
      <c r="A98" s="211" t="str">
        <f t="shared" si="56"/>
        <v/>
      </c>
      <c r="B98" s="211"/>
      <c r="C98" s="185"/>
      <c r="D98" s="186" t="str">
        <f t="shared" si="45"/>
        <v/>
      </c>
      <c r="E98" s="186" t="str">
        <f>IF(OR(C98="",C98=Data!$B$3),"",IF(C98=Data!$B$4,"L","S"))</f>
        <v/>
      </c>
      <c r="F98" s="186" t="str">
        <f t="shared" si="46"/>
        <v/>
      </c>
      <c r="G98" s="187" t="str">
        <f t="shared" si="37"/>
        <v/>
      </c>
      <c r="H98" s="188"/>
      <c r="I98" s="189" t="str">
        <f t="shared" si="47"/>
        <v/>
      </c>
      <c r="J98" s="189" t="str">
        <f t="shared" si="48"/>
        <v/>
      </c>
      <c r="K98" s="190" t="str">
        <f t="shared" si="49"/>
        <v/>
      </c>
      <c r="L98" s="190" t="str">
        <f t="shared" si="50"/>
        <v/>
      </c>
      <c r="M98" s="214"/>
      <c r="N98" s="214"/>
      <c r="O98" s="189" t="str">
        <f t="shared" si="51"/>
        <v/>
      </c>
      <c r="P98" s="191" t="str">
        <f t="shared" si="38"/>
        <v/>
      </c>
      <c r="Q98" s="192" t="str">
        <f t="shared" si="52"/>
        <v/>
      </c>
      <c r="R98" s="191" t="str">
        <f t="shared" si="39"/>
        <v/>
      </c>
      <c r="S98" s="193" t="str">
        <f t="shared" si="53"/>
        <v/>
      </c>
      <c r="T98" s="194" t="str">
        <f t="shared" si="40"/>
        <v/>
      </c>
      <c r="U98" s="192" t="str">
        <f t="shared" si="54"/>
        <v/>
      </c>
      <c r="V98" s="195" t="str">
        <f t="shared" si="41"/>
        <v/>
      </c>
      <c r="W98" s="195" t="str">
        <f t="shared" si="42"/>
        <v/>
      </c>
      <c r="X98" s="196" t="str">
        <f t="shared" si="55"/>
        <v/>
      </c>
      <c r="Y98" s="191" t="str">
        <f t="shared" si="57"/>
        <v/>
      </c>
      <c r="Z98" s="197" t="str">
        <f t="shared" si="43"/>
        <v/>
      </c>
      <c r="AA98" s="197" t="str">
        <f t="shared" si="44"/>
        <v/>
      </c>
      <c r="AB98" s="213"/>
      <c r="AC98" s="204"/>
    </row>
    <row r="99" spans="1:29" ht="11.4">
      <c r="A99" s="211" t="str">
        <f t="shared" si="56"/>
        <v/>
      </c>
      <c r="B99" s="211"/>
      <c r="C99" s="185"/>
      <c r="D99" s="186" t="str">
        <f t="shared" si="45"/>
        <v/>
      </c>
      <c r="E99" s="186" t="str">
        <f>IF(OR(C99="",C99=Data!$B$3),"",IF(C99=Data!$B$4,"L","S"))</f>
        <v/>
      </c>
      <c r="F99" s="186" t="str">
        <f t="shared" si="46"/>
        <v/>
      </c>
      <c r="G99" s="187" t="str">
        <f t="shared" si="37"/>
        <v/>
      </c>
      <c r="H99" s="188"/>
      <c r="I99" s="189" t="str">
        <f t="shared" si="47"/>
        <v/>
      </c>
      <c r="J99" s="189" t="str">
        <f t="shared" si="48"/>
        <v/>
      </c>
      <c r="K99" s="190" t="str">
        <f t="shared" si="49"/>
        <v/>
      </c>
      <c r="L99" s="190" t="str">
        <f t="shared" si="50"/>
        <v/>
      </c>
      <c r="M99" s="214"/>
      <c r="N99" s="214"/>
      <c r="O99" s="189" t="str">
        <f t="shared" si="51"/>
        <v/>
      </c>
      <c r="P99" s="191" t="str">
        <f t="shared" si="38"/>
        <v/>
      </c>
      <c r="Q99" s="192" t="str">
        <f t="shared" si="52"/>
        <v/>
      </c>
      <c r="R99" s="191" t="str">
        <f t="shared" si="39"/>
        <v/>
      </c>
      <c r="S99" s="193" t="str">
        <f t="shared" si="53"/>
        <v/>
      </c>
      <c r="T99" s="194" t="str">
        <f t="shared" si="40"/>
        <v/>
      </c>
      <c r="U99" s="192" t="str">
        <f t="shared" si="54"/>
        <v/>
      </c>
      <c r="V99" s="195" t="str">
        <f t="shared" si="41"/>
        <v/>
      </c>
      <c r="W99" s="195" t="str">
        <f t="shared" si="42"/>
        <v/>
      </c>
      <c r="X99" s="196" t="str">
        <f t="shared" si="55"/>
        <v/>
      </c>
      <c r="Y99" s="191" t="str">
        <f t="shared" si="57"/>
        <v/>
      </c>
      <c r="Z99" s="197" t="str">
        <f t="shared" si="43"/>
        <v/>
      </c>
      <c r="AA99" s="197" t="str">
        <f t="shared" si="44"/>
        <v/>
      </c>
      <c r="AB99" s="213"/>
      <c r="AC99" s="204"/>
    </row>
    <row r="100" spans="1:29" ht="11.4">
      <c r="A100" s="211" t="str">
        <f t="shared" si="56"/>
        <v/>
      </c>
      <c r="B100" s="211"/>
      <c r="C100" s="185"/>
      <c r="D100" s="186" t="str">
        <f t="shared" si="45"/>
        <v/>
      </c>
      <c r="E100" s="186" t="str">
        <f>IF(OR(C100="",C100=Data!$B$3),"",IF(C100=Data!$B$4,"L","S"))</f>
        <v/>
      </c>
      <c r="F100" s="186" t="str">
        <f t="shared" si="46"/>
        <v/>
      </c>
      <c r="G100" s="187" t="str">
        <f t="shared" si="37"/>
        <v/>
      </c>
      <c r="H100" s="188"/>
      <c r="I100" s="189" t="str">
        <f t="shared" si="47"/>
        <v/>
      </c>
      <c r="J100" s="189" t="str">
        <f t="shared" si="48"/>
        <v/>
      </c>
      <c r="K100" s="190" t="str">
        <f t="shared" si="49"/>
        <v/>
      </c>
      <c r="L100" s="190" t="str">
        <f t="shared" si="50"/>
        <v/>
      </c>
      <c r="M100" s="214"/>
      <c r="N100" s="214"/>
      <c r="O100" s="189" t="str">
        <f t="shared" si="51"/>
        <v/>
      </c>
      <c r="P100" s="191" t="str">
        <f t="shared" si="38"/>
        <v/>
      </c>
      <c r="Q100" s="192" t="str">
        <f t="shared" si="52"/>
        <v/>
      </c>
      <c r="R100" s="191" t="str">
        <f t="shared" si="39"/>
        <v/>
      </c>
      <c r="S100" s="193" t="str">
        <f t="shared" si="53"/>
        <v/>
      </c>
      <c r="T100" s="194" t="str">
        <f t="shared" si="40"/>
        <v/>
      </c>
      <c r="U100" s="192" t="str">
        <f t="shared" si="54"/>
        <v/>
      </c>
      <c r="V100" s="195" t="str">
        <f t="shared" si="41"/>
        <v/>
      </c>
      <c r="W100" s="195" t="str">
        <f t="shared" si="42"/>
        <v/>
      </c>
      <c r="X100" s="196" t="str">
        <f t="shared" si="55"/>
        <v/>
      </c>
      <c r="Y100" s="191" t="str">
        <f t="shared" si="57"/>
        <v/>
      </c>
      <c r="Z100" s="197" t="str">
        <f t="shared" si="43"/>
        <v/>
      </c>
      <c r="AA100" s="197" t="str">
        <f t="shared" si="44"/>
        <v/>
      </c>
      <c r="AB100" s="213"/>
      <c r="AC100" s="204"/>
    </row>
    <row r="101" spans="1:29" ht="11.4">
      <c r="A101" s="211" t="str">
        <f t="shared" si="56"/>
        <v/>
      </c>
      <c r="B101" s="211"/>
      <c r="C101" s="185"/>
      <c r="D101" s="186" t="str">
        <f t="shared" si="45"/>
        <v/>
      </c>
      <c r="E101" s="186" t="str">
        <f>IF(OR(C101="",C101=Data!$B$3),"",IF(C101=Data!$B$4,"L","S"))</f>
        <v/>
      </c>
      <c r="F101" s="186" t="str">
        <f t="shared" si="46"/>
        <v/>
      </c>
      <c r="G101" s="187" t="str">
        <f t="shared" si="37"/>
        <v/>
      </c>
      <c r="H101" s="188"/>
      <c r="I101" s="189" t="str">
        <f t="shared" si="47"/>
        <v/>
      </c>
      <c r="J101" s="189" t="str">
        <f t="shared" si="48"/>
        <v/>
      </c>
      <c r="K101" s="190" t="str">
        <f t="shared" si="49"/>
        <v/>
      </c>
      <c r="L101" s="190" t="str">
        <f t="shared" si="50"/>
        <v/>
      </c>
      <c r="M101" s="214"/>
      <c r="N101" s="214"/>
      <c r="O101" s="189" t="str">
        <f t="shared" si="51"/>
        <v/>
      </c>
      <c r="P101" s="191" t="str">
        <f t="shared" si="38"/>
        <v/>
      </c>
      <c r="Q101" s="192" t="str">
        <f t="shared" si="52"/>
        <v/>
      </c>
      <c r="R101" s="191" t="str">
        <f t="shared" si="39"/>
        <v/>
      </c>
      <c r="S101" s="193" t="str">
        <f t="shared" si="53"/>
        <v/>
      </c>
      <c r="T101" s="194" t="str">
        <f t="shared" si="40"/>
        <v/>
      </c>
      <c r="U101" s="192" t="str">
        <f t="shared" si="54"/>
        <v/>
      </c>
      <c r="V101" s="195" t="str">
        <f t="shared" si="41"/>
        <v/>
      </c>
      <c r="W101" s="195" t="str">
        <f t="shared" si="42"/>
        <v/>
      </c>
      <c r="X101" s="196" t="str">
        <f t="shared" si="55"/>
        <v/>
      </c>
      <c r="Y101" s="191" t="str">
        <f t="shared" si="57"/>
        <v/>
      </c>
      <c r="Z101" s="197" t="str">
        <f t="shared" si="43"/>
        <v/>
      </c>
      <c r="AA101" s="197" t="str">
        <f t="shared" si="44"/>
        <v/>
      </c>
      <c r="AB101" s="213"/>
      <c r="AC101" s="204"/>
    </row>
    <row r="102" spans="1:29" ht="11.4">
      <c r="A102" s="211" t="str">
        <f t="shared" si="56"/>
        <v/>
      </c>
      <c r="B102" s="211"/>
      <c r="C102" s="185"/>
      <c r="D102" s="186" t="str">
        <f t="shared" si="45"/>
        <v/>
      </c>
      <c r="E102" s="186" t="str">
        <f>IF(OR(C102="",C102=Data!$B$3),"",IF(C102=Data!$B$4,"L","S"))</f>
        <v/>
      </c>
      <c r="F102" s="186" t="str">
        <f t="shared" si="46"/>
        <v/>
      </c>
      <c r="G102" s="187" t="str">
        <f t="shared" si="37"/>
        <v/>
      </c>
      <c r="H102" s="188"/>
      <c r="I102" s="189" t="str">
        <f t="shared" si="47"/>
        <v/>
      </c>
      <c r="J102" s="189" t="str">
        <f t="shared" si="48"/>
        <v/>
      </c>
      <c r="K102" s="190" t="str">
        <f t="shared" si="49"/>
        <v/>
      </c>
      <c r="L102" s="190" t="str">
        <f t="shared" si="50"/>
        <v/>
      </c>
      <c r="M102" s="214"/>
      <c r="N102" s="214"/>
      <c r="O102" s="189" t="str">
        <f t="shared" si="51"/>
        <v/>
      </c>
      <c r="P102" s="191" t="str">
        <f t="shared" si="38"/>
        <v/>
      </c>
      <c r="Q102" s="192" t="str">
        <f t="shared" si="52"/>
        <v/>
      </c>
      <c r="R102" s="191" t="str">
        <f t="shared" si="39"/>
        <v/>
      </c>
      <c r="S102" s="193" t="str">
        <f t="shared" si="53"/>
        <v/>
      </c>
      <c r="T102" s="194" t="str">
        <f t="shared" si="40"/>
        <v/>
      </c>
      <c r="U102" s="192" t="str">
        <f t="shared" si="54"/>
        <v/>
      </c>
      <c r="V102" s="195" t="str">
        <f t="shared" si="41"/>
        <v/>
      </c>
      <c r="W102" s="195" t="str">
        <f t="shared" si="42"/>
        <v/>
      </c>
      <c r="X102" s="196" t="str">
        <f t="shared" si="55"/>
        <v/>
      </c>
      <c r="Y102" s="191" t="str">
        <f t="shared" si="57"/>
        <v/>
      </c>
      <c r="Z102" s="197" t="str">
        <f t="shared" si="43"/>
        <v/>
      </c>
      <c r="AA102" s="197" t="str">
        <f t="shared" si="44"/>
        <v/>
      </c>
      <c r="AB102" s="213"/>
      <c r="AC102" s="204"/>
    </row>
    <row r="103" spans="1:29" ht="11.4">
      <c r="A103" s="211" t="str">
        <f t="shared" si="56"/>
        <v/>
      </c>
      <c r="B103" s="211"/>
      <c r="C103" s="185"/>
      <c r="D103" s="186" t="str">
        <f t="shared" si="45"/>
        <v/>
      </c>
      <c r="E103" s="186" t="str">
        <f>IF(OR(C103="",C103=Data!$B$3),"",IF(C103=Data!$B$4,"L","S"))</f>
        <v/>
      </c>
      <c r="F103" s="186" t="str">
        <f t="shared" si="46"/>
        <v/>
      </c>
      <c r="G103" s="187" t="str">
        <f t="shared" si="37"/>
        <v/>
      </c>
      <c r="H103" s="188"/>
      <c r="I103" s="189" t="str">
        <f t="shared" si="47"/>
        <v/>
      </c>
      <c r="J103" s="189" t="str">
        <f t="shared" si="48"/>
        <v/>
      </c>
      <c r="K103" s="190" t="str">
        <f t="shared" si="49"/>
        <v/>
      </c>
      <c r="L103" s="190" t="str">
        <f t="shared" si="50"/>
        <v/>
      </c>
      <c r="M103" s="214"/>
      <c r="N103" s="214"/>
      <c r="O103" s="189" t="str">
        <f t="shared" si="51"/>
        <v/>
      </c>
      <c r="P103" s="191" t="str">
        <f t="shared" si="38"/>
        <v/>
      </c>
      <c r="Q103" s="192" t="str">
        <f t="shared" si="52"/>
        <v/>
      </c>
      <c r="R103" s="191" t="str">
        <f t="shared" si="39"/>
        <v/>
      </c>
      <c r="S103" s="193" t="str">
        <f t="shared" si="53"/>
        <v/>
      </c>
      <c r="T103" s="194" t="str">
        <f t="shared" si="40"/>
        <v/>
      </c>
      <c r="U103" s="192" t="str">
        <f t="shared" si="54"/>
        <v/>
      </c>
      <c r="V103" s="195" t="str">
        <f t="shared" si="41"/>
        <v/>
      </c>
      <c r="W103" s="195" t="str">
        <f t="shared" si="42"/>
        <v/>
      </c>
      <c r="X103" s="196" t="str">
        <f t="shared" si="55"/>
        <v/>
      </c>
      <c r="Y103" s="191" t="str">
        <f t="shared" si="57"/>
        <v/>
      </c>
      <c r="Z103" s="197" t="str">
        <f t="shared" si="43"/>
        <v/>
      </c>
      <c r="AA103" s="197" t="str">
        <f t="shared" si="44"/>
        <v/>
      </c>
      <c r="AB103" s="213"/>
      <c r="AC103" s="204"/>
    </row>
    <row r="104" spans="1:29" ht="11.4">
      <c r="A104" s="211" t="str">
        <f t="shared" si="56"/>
        <v/>
      </c>
      <c r="B104" s="211"/>
      <c r="C104" s="185"/>
      <c r="D104" s="186" t="str">
        <f t="shared" si="45"/>
        <v/>
      </c>
      <c r="E104" s="186" t="str">
        <f>IF(OR(C104="",C104=Data!$B$3),"",IF(C104=Data!$B$4,"L","S"))</f>
        <v/>
      </c>
      <c r="F104" s="186" t="str">
        <f t="shared" si="46"/>
        <v/>
      </c>
      <c r="G104" s="187" t="str">
        <f t="shared" si="37"/>
        <v/>
      </c>
      <c r="H104" s="188"/>
      <c r="I104" s="189" t="str">
        <f t="shared" si="47"/>
        <v/>
      </c>
      <c r="J104" s="189" t="str">
        <f t="shared" si="48"/>
        <v/>
      </c>
      <c r="K104" s="190" t="str">
        <f t="shared" si="49"/>
        <v/>
      </c>
      <c r="L104" s="190" t="str">
        <f t="shared" si="50"/>
        <v/>
      </c>
      <c r="M104" s="214"/>
      <c r="N104" s="214"/>
      <c r="O104" s="189" t="str">
        <f t="shared" si="51"/>
        <v/>
      </c>
      <c r="P104" s="191" t="str">
        <f t="shared" si="38"/>
        <v/>
      </c>
      <c r="Q104" s="192" t="str">
        <f t="shared" si="52"/>
        <v/>
      </c>
      <c r="R104" s="191" t="str">
        <f t="shared" si="39"/>
        <v/>
      </c>
      <c r="S104" s="193" t="str">
        <f t="shared" si="53"/>
        <v/>
      </c>
      <c r="T104" s="194" t="str">
        <f t="shared" si="40"/>
        <v/>
      </c>
      <c r="U104" s="192" t="str">
        <f t="shared" si="54"/>
        <v/>
      </c>
      <c r="V104" s="195" t="str">
        <f t="shared" si="41"/>
        <v/>
      </c>
      <c r="W104" s="195" t="str">
        <f t="shared" si="42"/>
        <v/>
      </c>
      <c r="X104" s="196" t="str">
        <f t="shared" si="55"/>
        <v/>
      </c>
      <c r="Y104" s="191" t="str">
        <f t="shared" si="57"/>
        <v/>
      </c>
      <c r="Z104" s="197" t="str">
        <f t="shared" si="43"/>
        <v/>
      </c>
      <c r="AA104" s="197" t="str">
        <f t="shared" si="44"/>
        <v/>
      </c>
      <c r="AB104" s="213"/>
      <c r="AC104" s="204"/>
    </row>
    <row r="105" spans="1:29" ht="11.4">
      <c r="A105" s="211" t="str">
        <f t="shared" si="56"/>
        <v/>
      </c>
      <c r="B105" s="211"/>
      <c r="C105" s="185"/>
      <c r="D105" s="186" t="str">
        <f t="shared" si="45"/>
        <v/>
      </c>
      <c r="E105" s="186" t="str">
        <f>IF(OR(C105="",C105=Data!$B$3),"",IF(C105=Data!$B$4,"L","S"))</f>
        <v/>
      </c>
      <c r="F105" s="186" t="str">
        <f t="shared" si="46"/>
        <v/>
      </c>
      <c r="G105" s="187" t="str">
        <f t="shared" si="37"/>
        <v/>
      </c>
      <c r="H105" s="188"/>
      <c r="I105" s="189" t="str">
        <f t="shared" si="47"/>
        <v/>
      </c>
      <c r="J105" s="189" t="str">
        <f t="shared" si="48"/>
        <v/>
      </c>
      <c r="K105" s="190" t="str">
        <f t="shared" si="49"/>
        <v/>
      </c>
      <c r="L105" s="190" t="str">
        <f t="shared" si="50"/>
        <v/>
      </c>
      <c r="M105" s="214"/>
      <c r="N105" s="214"/>
      <c r="O105" s="189" t="str">
        <f t="shared" si="51"/>
        <v/>
      </c>
      <c r="P105" s="191" t="str">
        <f t="shared" si="38"/>
        <v/>
      </c>
      <c r="Q105" s="192" t="str">
        <f t="shared" si="52"/>
        <v/>
      </c>
      <c r="R105" s="191" t="str">
        <f t="shared" si="39"/>
        <v/>
      </c>
      <c r="S105" s="193" t="str">
        <f t="shared" si="53"/>
        <v/>
      </c>
      <c r="T105" s="194" t="str">
        <f t="shared" si="40"/>
        <v/>
      </c>
      <c r="U105" s="192" t="str">
        <f t="shared" si="54"/>
        <v/>
      </c>
      <c r="V105" s="195" t="str">
        <f t="shared" si="41"/>
        <v/>
      </c>
      <c r="W105" s="195" t="str">
        <f t="shared" si="42"/>
        <v/>
      </c>
      <c r="X105" s="196" t="str">
        <f t="shared" si="55"/>
        <v/>
      </c>
      <c r="Y105" s="191" t="str">
        <f t="shared" si="57"/>
        <v/>
      </c>
      <c r="Z105" s="197" t="str">
        <f t="shared" si="43"/>
        <v/>
      </c>
      <c r="AA105" s="197" t="str">
        <f t="shared" si="44"/>
        <v/>
      </c>
      <c r="AB105" s="213"/>
      <c r="AC105" s="204"/>
    </row>
    <row r="106" spans="1:29" ht="11.4">
      <c r="A106" s="211" t="str">
        <f t="shared" si="56"/>
        <v/>
      </c>
      <c r="B106" s="211"/>
      <c r="C106" s="185"/>
      <c r="D106" s="186" t="str">
        <f t="shared" si="45"/>
        <v/>
      </c>
      <c r="E106" s="186" t="str">
        <f>IF(OR(C106="",C106=Data!$B$3),"",IF(C106=Data!$B$4,"L","S"))</f>
        <v/>
      </c>
      <c r="F106" s="186" t="str">
        <f t="shared" si="46"/>
        <v/>
      </c>
      <c r="G106" s="187" t="str">
        <f t="shared" si="37"/>
        <v/>
      </c>
      <c r="H106" s="188"/>
      <c r="I106" s="189" t="str">
        <f t="shared" si="47"/>
        <v/>
      </c>
      <c r="J106" s="189" t="str">
        <f t="shared" si="48"/>
        <v/>
      </c>
      <c r="K106" s="190" t="str">
        <f t="shared" si="49"/>
        <v/>
      </c>
      <c r="L106" s="190" t="str">
        <f t="shared" si="50"/>
        <v/>
      </c>
      <c r="M106" s="214"/>
      <c r="N106" s="214"/>
      <c r="O106" s="189" t="str">
        <f t="shared" si="51"/>
        <v/>
      </c>
      <c r="P106" s="191" t="str">
        <f t="shared" si="38"/>
        <v/>
      </c>
      <c r="Q106" s="192" t="str">
        <f t="shared" si="52"/>
        <v/>
      </c>
      <c r="R106" s="191" t="str">
        <f t="shared" si="39"/>
        <v/>
      </c>
      <c r="S106" s="193" t="str">
        <f t="shared" si="53"/>
        <v/>
      </c>
      <c r="T106" s="194" t="str">
        <f t="shared" si="40"/>
        <v/>
      </c>
      <c r="U106" s="192" t="str">
        <f t="shared" si="54"/>
        <v/>
      </c>
      <c r="V106" s="195" t="str">
        <f t="shared" si="41"/>
        <v/>
      </c>
      <c r="W106" s="195" t="str">
        <f t="shared" si="42"/>
        <v/>
      </c>
      <c r="X106" s="196" t="str">
        <f t="shared" si="55"/>
        <v/>
      </c>
      <c r="Y106" s="191" t="str">
        <f t="shared" si="57"/>
        <v/>
      </c>
      <c r="Z106" s="197" t="str">
        <f t="shared" si="43"/>
        <v/>
      </c>
      <c r="AA106" s="197" t="str">
        <f t="shared" si="44"/>
        <v/>
      </c>
      <c r="AB106" s="213"/>
      <c r="AC106" s="204"/>
    </row>
    <row r="107" spans="1:29" ht="11.4">
      <c r="A107" s="211" t="str">
        <f t="shared" si="56"/>
        <v/>
      </c>
      <c r="B107" s="211"/>
      <c r="C107" s="185"/>
      <c r="D107" s="186" t="str">
        <f t="shared" si="45"/>
        <v/>
      </c>
      <c r="E107" s="186" t="str">
        <f>IF(OR(C107="",C107=Data!$B$3),"",IF(C107=Data!$B$4,"L","S"))</f>
        <v/>
      </c>
      <c r="F107" s="186" t="str">
        <f t="shared" si="46"/>
        <v/>
      </c>
      <c r="G107" s="187" t="str">
        <f t="shared" si="37"/>
        <v/>
      </c>
      <c r="H107" s="188"/>
      <c r="I107" s="189" t="str">
        <f t="shared" si="47"/>
        <v/>
      </c>
      <c r="J107" s="189" t="str">
        <f t="shared" si="48"/>
        <v/>
      </c>
      <c r="K107" s="190" t="str">
        <f t="shared" si="49"/>
        <v/>
      </c>
      <c r="L107" s="190" t="str">
        <f t="shared" si="50"/>
        <v/>
      </c>
      <c r="M107" s="214"/>
      <c r="N107" s="214"/>
      <c r="O107" s="189" t="str">
        <f t="shared" si="51"/>
        <v/>
      </c>
      <c r="P107" s="191" t="str">
        <f t="shared" si="38"/>
        <v/>
      </c>
      <c r="Q107" s="192" t="str">
        <f t="shared" si="52"/>
        <v/>
      </c>
      <c r="R107" s="191" t="str">
        <f t="shared" si="39"/>
        <v/>
      </c>
      <c r="S107" s="193" t="str">
        <f t="shared" si="53"/>
        <v/>
      </c>
      <c r="T107" s="194" t="str">
        <f t="shared" si="40"/>
        <v/>
      </c>
      <c r="U107" s="192" t="str">
        <f t="shared" si="54"/>
        <v/>
      </c>
      <c r="V107" s="195" t="str">
        <f t="shared" si="41"/>
        <v/>
      </c>
      <c r="W107" s="195" t="str">
        <f t="shared" si="42"/>
        <v/>
      </c>
      <c r="X107" s="196" t="str">
        <f t="shared" si="55"/>
        <v/>
      </c>
      <c r="Y107" s="191" t="str">
        <f t="shared" si="57"/>
        <v/>
      </c>
      <c r="Z107" s="197" t="str">
        <f t="shared" si="43"/>
        <v/>
      </c>
      <c r="AA107" s="197" t="str">
        <f t="shared" si="44"/>
        <v/>
      </c>
      <c r="AB107" s="213"/>
      <c r="AC107" s="204"/>
    </row>
    <row r="108" spans="1:29" ht="11.4">
      <c r="A108" s="211" t="str">
        <f t="shared" si="56"/>
        <v/>
      </c>
      <c r="B108" s="211"/>
      <c r="C108" s="185"/>
      <c r="D108" s="186" t="str">
        <f t="shared" si="45"/>
        <v/>
      </c>
      <c r="E108" s="186" t="str">
        <f>IF(OR(C108="",C108=Data!$B$3),"",IF(C108=Data!$B$4,"L","S"))</f>
        <v/>
      </c>
      <c r="F108" s="186" t="str">
        <f t="shared" si="46"/>
        <v/>
      </c>
      <c r="G108" s="187" t="str">
        <f t="shared" si="37"/>
        <v/>
      </c>
      <c r="H108" s="188"/>
      <c r="I108" s="189" t="str">
        <f t="shared" si="47"/>
        <v/>
      </c>
      <c r="J108" s="189" t="str">
        <f t="shared" si="48"/>
        <v/>
      </c>
      <c r="K108" s="190" t="str">
        <f t="shared" si="49"/>
        <v/>
      </c>
      <c r="L108" s="190" t="str">
        <f t="shared" si="50"/>
        <v/>
      </c>
      <c r="M108" s="214"/>
      <c r="N108" s="214"/>
      <c r="O108" s="189" t="str">
        <f t="shared" si="51"/>
        <v/>
      </c>
      <c r="P108" s="191" t="str">
        <f t="shared" si="38"/>
        <v/>
      </c>
      <c r="Q108" s="192" t="str">
        <f t="shared" si="52"/>
        <v/>
      </c>
      <c r="R108" s="191" t="str">
        <f t="shared" si="39"/>
        <v/>
      </c>
      <c r="S108" s="193" t="str">
        <f t="shared" si="53"/>
        <v/>
      </c>
      <c r="T108" s="194" t="str">
        <f t="shared" si="40"/>
        <v/>
      </c>
      <c r="U108" s="192" t="str">
        <f t="shared" si="54"/>
        <v/>
      </c>
      <c r="V108" s="195" t="str">
        <f t="shared" si="41"/>
        <v/>
      </c>
      <c r="W108" s="195" t="str">
        <f t="shared" si="42"/>
        <v/>
      </c>
      <c r="X108" s="196" t="str">
        <f t="shared" si="55"/>
        <v/>
      </c>
      <c r="Y108" s="191" t="str">
        <f t="shared" si="57"/>
        <v/>
      </c>
      <c r="Z108" s="197" t="str">
        <f t="shared" si="43"/>
        <v/>
      </c>
      <c r="AA108" s="197" t="str">
        <f t="shared" si="44"/>
        <v/>
      </c>
      <c r="AB108" s="213"/>
      <c r="AC108" s="204"/>
    </row>
    <row r="109" spans="1:29" ht="11.4">
      <c r="A109" s="211" t="str">
        <f t="shared" si="56"/>
        <v/>
      </c>
      <c r="B109" s="211"/>
      <c r="C109" s="185"/>
      <c r="D109" s="186" t="str">
        <f t="shared" si="45"/>
        <v/>
      </c>
      <c r="E109" s="186" t="str">
        <f>IF(OR(C109="",C109=Data!$B$3),"",IF(C109=Data!$B$4,"L","S"))</f>
        <v/>
      </c>
      <c r="F109" s="186" t="str">
        <f t="shared" si="46"/>
        <v/>
      </c>
      <c r="G109" s="187" t="str">
        <f t="shared" si="37"/>
        <v/>
      </c>
      <c r="H109" s="188"/>
      <c r="I109" s="189" t="str">
        <f t="shared" si="47"/>
        <v/>
      </c>
      <c r="J109" s="189" t="str">
        <f t="shared" si="48"/>
        <v/>
      </c>
      <c r="K109" s="190" t="str">
        <f t="shared" si="49"/>
        <v/>
      </c>
      <c r="L109" s="190" t="str">
        <f t="shared" si="50"/>
        <v/>
      </c>
      <c r="M109" s="214"/>
      <c r="N109" s="214"/>
      <c r="O109" s="189" t="str">
        <f t="shared" si="51"/>
        <v/>
      </c>
      <c r="P109" s="191" t="str">
        <f t="shared" si="38"/>
        <v/>
      </c>
      <c r="Q109" s="192" t="str">
        <f t="shared" si="52"/>
        <v/>
      </c>
      <c r="R109" s="191" t="str">
        <f t="shared" si="39"/>
        <v/>
      </c>
      <c r="S109" s="193" t="str">
        <f t="shared" si="53"/>
        <v/>
      </c>
      <c r="T109" s="194" t="str">
        <f t="shared" si="40"/>
        <v/>
      </c>
      <c r="U109" s="192" t="str">
        <f t="shared" si="54"/>
        <v/>
      </c>
      <c r="V109" s="195" t="str">
        <f t="shared" si="41"/>
        <v/>
      </c>
      <c r="W109" s="195" t="str">
        <f t="shared" si="42"/>
        <v/>
      </c>
      <c r="X109" s="196" t="str">
        <f t="shared" si="55"/>
        <v/>
      </c>
      <c r="Y109" s="191" t="str">
        <f t="shared" si="57"/>
        <v/>
      </c>
      <c r="Z109" s="197" t="str">
        <f t="shared" si="43"/>
        <v/>
      </c>
      <c r="AA109" s="197" t="str">
        <f t="shared" si="44"/>
        <v/>
      </c>
      <c r="AB109" s="213"/>
      <c r="AC109" s="204"/>
    </row>
    <row r="110" spans="1:29" ht="11.4">
      <c r="A110" s="211" t="str">
        <f t="shared" si="56"/>
        <v/>
      </c>
      <c r="B110" s="211"/>
      <c r="C110" s="185"/>
      <c r="D110" s="186" t="str">
        <f t="shared" si="45"/>
        <v/>
      </c>
      <c r="E110" s="186" t="str">
        <f>IF(OR(C110="",C110=Data!$B$3),"",IF(C110=Data!$B$4,"L","S"))</f>
        <v/>
      </c>
      <c r="F110" s="186" t="str">
        <f t="shared" si="46"/>
        <v/>
      </c>
      <c r="G110" s="187" t="str">
        <f t="shared" si="37"/>
        <v/>
      </c>
      <c r="H110" s="188"/>
      <c r="I110" s="189" t="str">
        <f t="shared" si="47"/>
        <v/>
      </c>
      <c r="J110" s="189" t="str">
        <f t="shared" si="48"/>
        <v/>
      </c>
      <c r="K110" s="190" t="str">
        <f t="shared" si="49"/>
        <v/>
      </c>
      <c r="L110" s="190" t="str">
        <f t="shared" si="50"/>
        <v/>
      </c>
      <c r="M110" s="214"/>
      <c r="N110" s="214"/>
      <c r="O110" s="189" t="str">
        <f t="shared" si="51"/>
        <v/>
      </c>
      <c r="P110" s="191" t="str">
        <f t="shared" si="38"/>
        <v/>
      </c>
      <c r="Q110" s="192" t="str">
        <f t="shared" si="52"/>
        <v/>
      </c>
      <c r="R110" s="191" t="str">
        <f t="shared" si="39"/>
        <v/>
      </c>
      <c r="S110" s="193" t="str">
        <f t="shared" si="53"/>
        <v/>
      </c>
      <c r="T110" s="194" t="str">
        <f t="shared" si="40"/>
        <v/>
      </c>
      <c r="U110" s="192" t="str">
        <f t="shared" si="54"/>
        <v/>
      </c>
      <c r="V110" s="195" t="str">
        <f t="shared" si="41"/>
        <v/>
      </c>
      <c r="W110" s="195" t="str">
        <f t="shared" si="42"/>
        <v/>
      </c>
      <c r="X110" s="196" t="str">
        <f t="shared" si="55"/>
        <v/>
      </c>
      <c r="Y110" s="191" t="str">
        <f t="shared" si="57"/>
        <v/>
      </c>
      <c r="Z110" s="197" t="str">
        <f t="shared" si="43"/>
        <v/>
      </c>
      <c r="AA110" s="197" t="str">
        <f t="shared" si="44"/>
        <v/>
      </c>
      <c r="AB110" s="213"/>
      <c r="AC110" s="204"/>
    </row>
    <row r="111" spans="1:29" ht="11.4">
      <c r="A111" s="211" t="str">
        <f t="shared" si="56"/>
        <v/>
      </c>
      <c r="B111" s="211"/>
      <c r="C111" s="185"/>
      <c r="D111" s="186" t="str">
        <f t="shared" si="45"/>
        <v/>
      </c>
      <c r="E111" s="186" t="str">
        <f>IF(OR(C111="",C111=Data!$B$3),"",IF(C111=Data!$B$4,"L","S"))</f>
        <v/>
      </c>
      <c r="F111" s="186" t="str">
        <f t="shared" si="46"/>
        <v/>
      </c>
      <c r="G111" s="187" t="str">
        <f t="shared" si="37"/>
        <v/>
      </c>
      <c r="H111" s="188"/>
      <c r="I111" s="189" t="str">
        <f t="shared" si="47"/>
        <v/>
      </c>
      <c r="J111" s="189" t="str">
        <f t="shared" si="48"/>
        <v/>
      </c>
      <c r="K111" s="190" t="str">
        <f t="shared" si="49"/>
        <v/>
      </c>
      <c r="L111" s="190" t="str">
        <f t="shared" si="50"/>
        <v/>
      </c>
      <c r="M111" s="214"/>
      <c r="N111" s="214"/>
      <c r="O111" s="189" t="str">
        <f t="shared" si="51"/>
        <v/>
      </c>
      <c r="P111" s="191" t="str">
        <f t="shared" si="38"/>
        <v/>
      </c>
      <c r="Q111" s="192" t="str">
        <f t="shared" si="52"/>
        <v/>
      </c>
      <c r="R111" s="191" t="str">
        <f t="shared" si="39"/>
        <v/>
      </c>
      <c r="S111" s="193" t="str">
        <f t="shared" si="53"/>
        <v/>
      </c>
      <c r="T111" s="194" t="str">
        <f t="shared" si="40"/>
        <v/>
      </c>
      <c r="U111" s="192" t="str">
        <f t="shared" si="54"/>
        <v/>
      </c>
      <c r="V111" s="195" t="str">
        <f t="shared" si="41"/>
        <v/>
      </c>
      <c r="W111" s="195" t="str">
        <f t="shared" si="42"/>
        <v/>
      </c>
      <c r="X111" s="196" t="str">
        <f t="shared" si="55"/>
        <v/>
      </c>
      <c r="Y111" s="191" t="str">
        <f t="shared" si="57"/>
        <v/>
      </c>
      <c r="Z111" s="197" t="str">
        <f t="shared" si="43"/>
        <v/>
      </c>
      <c r="AA111" s="197" t="str">
        <f t="shared" si="44"/>
        <v/>
      </c>
      <c r="AB111" s="213"/>
      <c r="AC111" s="204"/>
    </row>
    <row r="112" spans="1:29" ht="11.4">
      <c r="A112" s="211" t="str">
        <f t="shared" si="56"/>
        <v/>
      </c>
      <c r="B112" s="211"/>
      <c r="C112" s="185"/>
      <c r="D112" s="186" t="str">
        <f t="shared" si="45"/>
        <v/>
      </c>
      <c r="E112" s="186" t="str">
        <f>IF(OR(C112="",C112=Data!$B$3),"",IF(C112=Data!$B$4,"L","S"))</f>
        <v/>
      </c>
      <c r="F112" s="186" t="str">
        <f t="shared" si="46"/>
        <v/>
      </c>
      <c r="G112" s="187" t="str">
        <f t="shared" si="37"/>
        <v/>
      </c>
      <c r="H112" s="188"/>
      <c r="I112" s="189" t="str">
        <f t="shared" si="47"/>
        <v/>
      </c>
      <c r="J112" s="189" t="str">
        <f t="shared" si="48"/>
        <v/>
      </c>
      <c r="K112" s="190" t="str">
        <f t="shared" si="49"/>
        <v/>
      </c>
      <c r="L112" s="190" t="str">
        <f t="shared" si="50"/>
        <v/>
      </c>
      <c r="M112" s="214"/>
      <c r="N112" s="214"/>
      <c r="O112" s="189" t="str">
        <f t="shared" si="51"/>
        <v/>
      </c>
      <c r="P112" s="191" t="str">
        <f t="shared" si="38"/>
        <v/>
      </c>
      <c r="Q112" s="192" t="str">
        <f t="shared" si="52"/>
        <v/>
      </c>
      <c r="R112" s="191" t="str">
        <f t="shared" si="39"/>
        <v/>
      </c>
      <c r="S112" s="193" t="str">
        <f t="shared" si="53"/>
        <v/>
      </c>
      <c r="T112" s="194" t="str">
        <f t="shared" si="40"/>
        <v/>
      </c>
      <c r="U112" s="192" t="str">
        <f t="shared" si="54"/>
        <v/>
      </c>
      <c r="V112" s="195" t="str">
        <f t="shared" si="41"/>
        <v/>
      </c>
      <c r="W112" s="195" t="str">
        <f t="shared" si="42"/>
        <v/>
      </c>
      <c r="X112" s="196" t="str">
        <f t="shared" si="55"/>
        <v/>
      </c>
      <c r="Y112" s="191" t="str">
        <f t="shared" si="57"/>
        <v/>
      </c>
      <c r="Z112" s="197" t="str">
        <f t="shared" si="43"/>
        <v/>
      </c>
      <c r="AA112" s="197" t="str">
        <f t="shared" si="44"/>
        <v/>
      </c>
      <c r="AB112" s="213"/>
      <c r="AC112" s="204"/>
    </row>
    <row r="113" spans="1:29" ht="11.4">
      <c r="A113" s="211" t="str">
        <f t="shared" si="56"/>
        <v/>
      </c>
      <c r="B113" s="211"/>
      <c r="C113" s="185"/>
      <c r="D113" s="186" t="str">
        <f t="shared" si="45"/>
        <v/>
      </c>
      <c r="E113" s="186" t="str">
        <f>IF(OR(C113="",C113=Data!$B$3),"",IF(C113=Data!$B$4,"L","S"))</f>
        <v/>
      </c>
      <c r="F113" s="186" t="str">
        <f t="shared" si="46"/>
        <v/>
      </c>
      <c r="G113" s="187" t="str">
        <f t="shared" si="37"/>
        <v/>
      </c>
      <c r="H113" s="188"/>
      <c r="I113" s="189" t="str">
        <f t="shared" si="47"/>
        <v/>
      </c>
      <c r="J113" s="189" t="str">
        <f t="shared" si="48"/>
        <v/>
      </c>
      <c r="K113" s="190" t="str">
        <f t="shared" si="49"/>
        <v/>
      </c>
      <c r="L113" s="190" t="str">
        <f t="shared" si="50"/>
        <v/>
      </c>
      <c r="M113" s="214"/>
      <c r="N113" s="214"/>
      <c r="O113" s="189" t="str">
        <f t="shared" si="51"/>
        <v/>
      </c>
      <c r="P113" s="191" t="str">
        <f t="shared" si="38"/>
        <v/>
      </c>
      <c r="Q113" s="192" t="str">
        <f t="shared" si="52"/>
        <v/>
      </c>
      <c r="R113" s="191" t="str">
        <f t="shared" si="39"/>
        <v/>
      </c>
      <c r="S113" s="193" t="str">
        <f t="shared" si="53"/>
        <v/>
      </c>
      <c r="T113" s="194" t="str">
        <f t="shared" si="40"/>
        <v/>
      </c>
      <c r="U113" s="192" t="str">
        <f t="shared" si="54"/>
        <v/>
      </c>
      <c r="V113" s="195" t="str">
        <f t="shared" si="41"/>
        <v/>
      </c>
      <c r="W113" s="195" t="str">
        <f t="shared" si="42"/>
        <v/>
      </c>
      <c r="X113" s="196" t="str">
        <f t="shared" si="55"/>
        <v/>
      </c>
      <c r="Y113" s="191" t="str">
        <f t="shared" si="57"/>
        <v/>
      </c>
      <c r="Z113" s="197" t="str">
        <f t="shared" si="43"/>
        <v/>
      </c>
      <c r="AA113" s="197" t="str">
        <f t="shared" si="44"/>
        <v/>
      </c>
      <c r="AB113" s="213"/>
      <c r="AC113" s="204"/>
    </row>
    <row r="114" spans="1:29" ht="11.4">
      <c r="A114" s="211" t="str">
        <f t="shared" si="56"/>
        <v/>
      </c>
      <c r="B114" s="211"/>
      <c r="C114" s="185"/>
      <c r="D114" s="186" t="str">
        <f t="shared" si="45"/>
        <v/>
      </c>
      <c r="E114" s="186" t="str">
        <f>IF(OR(C114="",C114=Data!$B$3),"",IF(C114=Data!$B$4,"L","S"))</f>
        <v/>
      </c>
      <c r="F114" s="186" t="str">
        <f t="shared" si="46"/>
        <v/>
      </c>
      <c r="G114" s="187" t="str">
        <f t="shared" si="37"/>
        <v/>
      </c>
      <c r="H114" s="188"/>
      <c r="I114" s="189" t="str">
        <f t="shared" si="47"/>
        <v/>
      </c>
      <c r="J114" s="189" t="str">
        <f t="shared" si="48"/>
        <v/>
      </c>
      <c r="K114" s="190" t="str">
        <f t="shared" si="49"/>
        <v/>
      </c>
      <c r="L114" s="190" t="str">
        <f t="shared" si="50"/>
        <v/>
      </c>
      <c r="M114" s="214"/>
      <c r="N114" s="214"/>
      <c r="O114" s="189" t="str">
        <f t="shared" si="51"/>
        <v/>
      </c>
      <c r="P114" s="191" t="str">
        <f t="shared" si="38"/>
        <v/>
      </c>
      <c r="Q114" s="192" t="str">
        <f t="shared" si="52"/>
        <v/>
      </c>
      <c r="R114" s="191" t="str">
        <f t="shared" si="39"/>
        <v/>
      </c>
      <c r="S114" s="193" t="str">
        <f t="shared" si="53"/>
        <v/>
      </c>
      <c r="T114" s="194" t="str">
        <f t="shared" si="40"/>
        <v/>
      </c>
      <c r="U114" s="192" t="str">
        <f t="shared" si="54"/>
        <v/>
      </c>
      <c r="V114" s="195" t="str">
        <f t="shared" si="41"/>
        <v/>
      </c>
      <c r="W114" s="195" t="str">
        <f t="shared" si="42"/>
        <v/>
      </c>
      <c r="X114" s="196" t="str">
        <f t="shared" si="55"/>
        <v/>
      </c>
      <c r="Y114" s="191" t="str">
        <f t="shared" si="57"/>
        <v/>
      </c>
      <c r="Z114" s="197" t="str">
        <f t="shared" si="43"/>
        <v/>
      </c>
      <c r="AA114" s="197" t="str">
        <f t="shared" si="44"/>
        <v/>
      </c>
      <c r="AB114" s="213"/>
      <c r="AC114" s="204"/>
    </row>
    <row r="115" spans="1:29" ht="11.4">
      <c r="A115" s="211" t="str">
        <f t="shared" si="56"/>
        <v/>
      </c>
      <c r="B115" s="211"/>
      <c r="C115" s="185"/>
      <c r="D115" s="186" t="str">
        <f t="shared" si="45"/>
        <v/>
      </c>
      <c r="E115" s="186" t="str">
        <f>IF(OR(C115="",C115=Data!$B$3),"",IF(C115=Data!$B$4,"L","S"))</f>
        <v/>
      </c>
      <c r="F115" s="186" t="str">
        <f t="shared" si="46"/>
        <v/>
      </c>
      <c r="G115" s="187" t="str">
        <f t="shared" si="37"/>
        <v/>
      </c>
      <c r="H115" s="188"/>
      <c r="I115" s="189" t="str">
        <f t="shared" si="47"/>
        <v/>
      </c>
      <c r="J115" s="189" t="str">
        <f t="shared" si="48"/>
        <v/>
      </c>
      <c r="K115" s="190" t="str">
        <f t="shared" si="49"/>
        <v/>
      </c>
      <c r="L115" s="190" t="str">
        <f t="shared" si="50"/>
        <v/>
      </c>
      <c r="M115" s="214"/>
      <c r="N115" s="214"/>
      <c r="O115" s="189" t="str">
        <f t="shared" si="51"/>
        <v/>
      </c>
      <c r="P115" s="191" t="str">
        <f t="shared" si="38"/>
        <v/>
      </c>
      <c r="Q115" s="192" t="str">
        <f t="shared" si="52"/>
        <v/>
      </c>
      <c r="R115" s="191" t="str">
        <f t="shared" si="39"/>
        <v/>
      </c>
      <c r="S115" s="193" t="str">
        <f t="shared" si="53"/>
        <v/>
      </c>
      <c r="T115" s="194" t="str">
        <f t="shared" si="40"/>
        <v/>
      </c>
      <c r="U115" s="192" t="str">
        <f t="shared" si="54"/>
        <v/>
      </c>
      <c r="V115" s="195" t="str">
        <f t="shared" si="41"/>
        <v/>
      </c>
      <c r="W115" s="195" t="str">
        <f t="shared" si="42"/>
        <v/>
      </c>
      <c r="X115" s="196" t="str">
        <f t="shared" si="55"/>
        <v/>
      </c>
      <c r="Y115" s="191" t="str">
        <f t="shared" si="57"/>
        <v/>
      </c>
      <c r="Z115" s="197" t="str">
        <f t="shared" si="43"/>
        <v/>
      </c>
      <c r="AA115" s="197" t="str">
        <f t="shared" si="44"/>
        <v/>
      </c>
      <c r="AB115" s="213"/>
      <c r="AC115" s="204"/>
    </row>
    <row r="116" spans="1:29" ht="11.4">
      <c r="A116" s="211" t="str">
        <f t="shared" si="56"/>
        <v/>
      </c>
      <c r="B116" s="211"/>
      <c r="C116" s="185"/>
      <c r="D116" s="186" t="str">
        <f t="shared" si="45"/>
        <v/>
      </c>
      <c r="E116" s="186" t="str">
        <f>IF(OR(C116="",C116=Data!$B$3),"",IF(C116=Data!$B$4,"L","S"))</f>
        <v/>
      </c>
      <c r="F116" s="186" t="str">
        <f t="shared" si="46"/>
        <v/>
      </c>
      <c r="G116" s="187" t="str">
        <f t="shared" si="37"/>
        <v/>
      </c>
      <c r="H116" s="188"/>
      <c r="I116" s="189" t="str">
        <f t="shared" si="47"/>
        <v/>
      </c>
      <c r="J116" s="189" t="str">
        <f t="shared" si="48"/>
        <v/>
      </c>
      <c r="K116" s="190" t="str">
        <f t="shared" si="49"/>
        <v/>
      </c>
      <c r="L116" s="190" t="str">
        <f t="shared" si="50"/>
        <v/>
      </c>
      <c r="M116" s="214"/>
      <c r="N116" s="214"/>
      <c r="O116" s="189" t="str">
        <f t="shared" si="51"/>
        <v/>
      </c>
      <c r="P116" s="191" t="str">
        <f t="shared" si="38"/>
        <v/>
      </c>
      <c r="Q116" s="192" t="str">
        <f t="shared" si="52"/>
        <v/>
      </c>
      <c r="R116" s="191" t="str">
        <f t="shared" si="39"/>
        <v/>
      </c>
      <c r="S116" s="193" t="str">
        <f t="shared" si="53"/>
        <v/>
      </c>
      <c r="T116" s="194" t="str">
        <f t="shared" si="40"/>
        <v/>
      </c>
      <c r="U116" s="192" t="str">
        <f t="shared" si="54"/>
        <v/>
      </c>
      <c r="V116" s="195" t="str">
        <f t="shared" si="41"/>
        <v/>
      </c>
      <c r="W116" s="195" t="str">
        <f t="shared" si="42"/>
        <v/>
      </c>
      <c r="X116" s="196" t="str">
        <f t="shared" si="55"/>
        <v/>
      </c>
      <c r="Y116" s="191" t="str">
        <f t="shared" si="57"/>
        <v/>
      </c>
      <c r="Z116" s="197" t="str">
        <f t="shared" si="43"/>
        <v/>
      </c>
      <c r="AA116" s="197" t="str">
        <f t="shared" si="44"/>
        <v/>
      </c>
      <c r="AB116" s="213"/>
      <c r="AC116" s="204"/>
    </row>
    <row r="117" spans="1:29" ht="11.4">
      <c r="A117" s="211" t="str">
        <f t="shared" si="56"/>
        <v/>
      </c>
      <c r="B117" s="211"/>
      <c r="C117" s="185"/>
      <c r="D117" s="186" t="str">
        <f t="shared" si="45"/>
        <v/>
      </c>
      <c r="E117" s="186" t="str">
        <f>IF(OR(C117="",C117=Data!$B$3),"",IF(C117=Data!$B$4,"L","S"))</f>
        <v/>
      </c>
      <c r="F117" s="186" t="str">
        <f t="shared" si="46"/>
        <v/>
      </c>
      <c r="G117" s="187" t="str">
        <f t="shared" si="37"/>
        <v/>
      </c>
      <c r="H117" s="188"/>
      <c r="I117" s="189" t="str">
        <f t="shared" si="47"/>
        <v/>
      </c>
      <c r="J117" s="189" t="str">
        <f t="shared" si="48"/>
        <v/>
      </c>
      <c r="K117" s="190" t="str">
        <f t="shared" si="49"/>
        <v/>
      </c>
      <c r="L117" s="190" t="str">
        <f t="shared" si="50"/>
        <v/>
      </c>
      <c r="M117" s="214"/>
      <c r="N117" s="214"/>
      <c r="O117" s="189" t="str">
        <f t="shared" si="51"/>
        <v/>
      </c>
      <c r="P117" s="191" t="str">
        <f t="shared" si="38"/>
        <v/>
      </c>
      <c r="Q117" s="192" t="str">
        <f t="shared" si="52"/>
        <v/>
      </c>
      <c r="R117" s="191" t="str">
        <f t="shared" si="39"/>
        <v/>
      </c>
      <c r="S117" s="193" t="str">
        <f t="shared" si="53"/>
        <v/>
      </c>
      <c r="T117" s="194" t="str">
        <f t="shared" si="40"/>
        <v/>
      </c>
      <c r="U117" s="192" t="str">
        <f t="shared" si="54"/>
        <v/>
      </c>
      <c r="V117" s="195" t="str">
        <f t="shared" si="41"/>
        <v/>
      </c>
      <c r="W117" s="195" t="str">
        <f t="shared" si="42"/>
        <v/>
      </c>
      <c r="X117" s="196" t="str">
        <f t="shared" si="55"/>
        <v/>
      </c>
      <c r="Y117" s="191" t="str">
        <f t="shared" si="57"/>
        <v/>
      </c>
      <c r="Z117" s="197" t="str">
        <f t="shared" si="43"/>
        <v/>
      </c>
      <c r="AA117" s="197" t="str">
        <f t="shared" si="44"/>
        <v/>
      </c>
      <c r="AB117" s="213"/>
      <c r="AC117" s="204"/>
    </row>
    <row r="118" spans="1:29" ht="11.4">
      <c r="A118" s="211" t="str">
        <f t="shared" si="56"/>
        <v/>
      </c>
      <c r="B118" s="211"/>
      <c r="C118" s="185"/>
      <c r="D118" s="186" t="str">
        <f t="shared" si="45"/>
        <v/>
      </c>
      <c r="E118" s="186" t="str">
        <f>IF(OR(C118="",C118=Data!$B$3),"",IF(C118=Data!$B$4,"L","S"))</f>
        <v/>
      </c>
      <c r="F118" s="186" t="str">
        <f t="shared" si="46"/>
        <v/>
      </c>
      <c r="G118" s="187" t="str">
        <f t="shared" si="37"/>
        <v/>
      </c>
      <c r="H118" s="188"/>
      <c r="I118" s="189" t="str">
        <f t="shared" si="47"/>
        <v/>
      </c>
      <c r="J118" s="189" t="str">
        <f t="shared" si="48"/>
        <v/>
      </c>
      <c r="K118" s="190" t="str">
        <f t="shared" si="49"/>
        <v/>
      </c>
      <c r="L118" s="190" t="str">
        <f t="shared" si="50"/>
        <v/>
      </c>
      <c r="M118" s="214"/>
      <c r="N118" s="214"/>
      <c r="O118" s="189" t="str">
        <f t="shared" si="51"/>
        <v/>
      </c>
      <c r="P118" s="191" t="str">
        <f t="shared" si="38"/>
        <v/>
      </c>
      <c r="Q118" s="192" t="str">
        <f t="shared" si="52"/>
        <v/>
      </c>
      <c r="R118" s="191" t="str">
        <f t="shared" si="39"/>
        <v/>
      </c>
      <c r="S118" s="193" t="str">
        <f t="shared" si="53"/>
        <v/>
      </c>
      <c r="T118" s="194" t="str">
        <f t="shared" si="40"/>
        <v/>
      </c>
      <c r="U118" s="192" t="str">
        <f t="shared" si="54"/>
        <v/>
      </c>
      <c r="V118" s="195" t="str">
        <f t="shared" si="41"/>
        <v/>
      </c>
      <c r="W118" s="195" t="str">
        <f t="shared" si="42"/>
        <v/>
      </c>
      <c r="X118" s="196" t="str">
        <f t="shared" si="55"/>
        <v/>
      </c>
      <c r="Y118" s="191" t="str">
        <f t="shared" si="57"/>
        <v/>
      </c>
      <c r="Z118" s="197" t="str">
        <f t="shared" si="43"/>
        <v/>
      </c>
      <c r="AA118" s="197" t="str">
        <f t="shared" si="44"/>
        <v/>
      </c>
      <c r="AB118" s="213"/>
      <c r="AC118" s="204"/>
    </row>
    <row r="119" spans="1:29" ht="11.4">
      <c r="A119" s="211" t="str">
        <f t="shared" si="56"/>
        <v/>
      </c>
      <c r="B119" s="211"/>
      <c r="C119" s="185"/>
      <c r="D119" s="186" t="str">
        <f t="shared" si="45"/>
        <v/>
      </c>
      <c r="E119" s="186" t="str">
        <f>IF(OR(C119="",C119=Data!$B$3),"",IF(C119=Data!$B$4,"L","S"))</f>
        <v/>
      </c>
      <c r="F119" s="186" t="str">
        <f t="shared" si="46"/>
        <v/>
      </c>
      <c r="G119" s="187" t="str">
        <f t="shared" si="37"/>
        <v/>
      </c>
      <c r="H119" s="188"/>
      <c r="I119" s="189" t="str">
        <f t="shared" si="47"/>
        <v/>
      </c>
      <c r="J119" s="189" t="str">
        <f t="shared" si="48"/>
        <v/>
      </c>
      <c r="K119" s="190" t="str">
        <f t="shared" si="49"/>
        <v/>
      </c>
      <c r="L119" s="190" t="str">
        <f t="shared" si="50"/>
        <v/>
      </c>
      <c r="M119" s="214"/>
      <c r="N119" s="214"/>
      <c r="O119" s="189" t="str">
        <f t="shared" si="51"/>
        <v/>
      </c>
      <c r="P119" s="191" t="str">
        <f t="shared" si="38"/>
        <v/>
      </c>
      <c r="Q119" s="192" t="str">
        <f t="shared" si="52"/>
        <v/>
      </c>
      <c r="R119" s="191" t="str">
        <f t="shared" si="39"/>
        <v/>
      </c>
      <c r="S119" s="193" t="str">
        <f t="shared" si="53"/>
        <v/>
      </c>
      <c r="T119" s="194" t="str">
        <f t="shared" si="40"/>
        <v/>
      </c>
      <c r="U119" s="192" t="str">
        <f t="shared" si="54"/>
        <v/>
      </c>
      <c r="V119" s="195" t="str">
        <f t="shared" si="41"/>
        <v/>
      </c>
      <c r="W119" s="195" t="str">
        <f t="shared" si="42"/>
        <v/>
      </c>
      <c r="X119" s="196" t="str">
        <f t="shared" si="55"/>
        <v/>
      </c>
      <c r="Y119" s="191" t="str">
        <f t="shared" si="57"/>
        <v/>
      </c>
      <c r="Z119" s="197" t="str">
        <f t="shared" si="43"/>
        <v/>
      </c>
      <c r="AA119" s="197" t="str">
        <f t="shared" si="44"/>
        <v/>
      </c>
      <c r="AB119" s="213"/>
      <c r="AC119" s="204"/>
    </row>
    <row r="120" spans="1:29" ht="11.4">
      <c r="A120" s="211" t="str">
        <f t="shared" si="56"/>
        <v/>
      </c>
      <c r="B120" s="211"/>
      <c r="C120" s="185"/>
      <c r="D120" s="186" t="str">
        <f t="shared" si="45"/>
        <v/>
      </c>
      <c r="E120" s="186" t="str">
        <f>IF(OR(C120="",C120=Data!$B$3),"",IF(C120=Data!$B$4,"L","S"))</f>
        <v/>
      </c>
      <c r="F120" s="186" t="str">
        <f t="shared" si="46"/>
        <v/>
      </c>
      <c r="G120" s="187" t="str">
        <f t="shared" si="37"/>
        <v/>
      </c>
      <c r="H120" s="188"/>
      <c r="I120" s="189" t="str">
        <f t="shared" si="47"/>
        <v/>
      </c>
      <c r="J120" s="189" t="str">
        <f t="shared" si="48"/>
        <v/>
      </c>
      <c r="K120" s="190" t="str">
        <f t="shared" si="49"/>
        <v/>
      </c>
      <c r="L120" s="190" t="str">
        <f t="shared" si="50"/>
        <v/>
      </c>
      <c r="M120" s="214"/>
      <c r="N120" s="214"/>
      <c r="O120" s="189" t="str">
        <f t="shared" si="51"/>
        <v/>
      </c>
      <c r="P120" s="191" t="str">
        <f t="shared" si="38"/>
        <v/>
      </c>
      <c r="Q120" s="192" t="str">
        <f t="shared" si="52"/>
        <v/>
      </c>
      <c r="R120" s="191" t="str">
        <f t="shared" si="39"/>
        <v/>
      </c>
      <c r="S120" s="193" t="str">
        <f t="shared" si="53"/>
        <v/>
      </c>
      <c r="T120" s="194" t="str">
        <f t="shared" si="40"/>
        <v/>
      </c>
      <c r="U120" s="192" t="str">
        <f t="shared" si="54"/>
        <v/>
      </c>
      <c r="V120" s="195" t="str">
        <f t="shared" si="41"/>
        <v/>
      </c>
      <c r="W120" s="195" t="str">
        <f t="shared" si="42"/>
        <v/>
      </c>
      <c r="X120" s="196" t="str">
        <f t="shared" si="55"/>
        <v/>
      </c>
      <c r="Y120" s="191" t="str">
        <f t="shared" si="57"/>
        <v/>
      </c>
      <c r="Z120" s="197" t="str">
        <f t="shared" si="43"/>
        <v/>
      </c>
      <c r="AA120" s="197" t="str">
        <f t="shared" si="44"/>
        <v/>
      </c>
      <c r="AB120" s="213"/>
      <c r="AC120" s="204"/>
    </row>
    <row r="121" spans="1:29" ht="11.4">
      <c r="A121" s="211" t="str">
        <f t="shared" si="56"/>
        <v/>
      </c>
      <c r="B121" s="211"/>
      <c r="C121" s="185"/>
      <c r="D121" s="186" t="str">
        <f t="shared" si="45"/>
        <v/>
      </c>
      <c r="E121" s="186" t="str">
        <f>IF(OR(C121="",C121=Data!$B$3),"",IF(C121=Data!$B$4,"L","S"))</f>
        <v/>
      </c>
      <c r="F121" s="186" t="str">
        <f t="shared" si="46"/>
        <v/>
      </c>
      <c r="G121" s="187" t="str">
        <f t="shared" si="37"/>
        <v/>
      </c>
      <c r="H121" s="188"/>
      <c r="I121" s="189" t="str">
        <f t="shared" si="47"/>
        <v/>
      </c>
      <c r="J121" s="189" t="str">
        <f t="shared" si="48"/>
        <v/>
      </c>
      <c r="K121" s="190" t="str">
        <f t="shared" si="49"/>
        <v/>
      </c>
      <c r="L121" s="190" t="str">
        <f t="shared" si="50"/>
        <v/>
      </c>
      <c r="M121" s="214"/>
      <c r="N121" s="214"/>
      <c r="O121" s="189" t="str">
        <f t="shared" si="51"/>
        <v/>
      </c>
      <c r="P121" s="191" t="str">
        <f t="shared" si="38"/>
        <v/>
      </c>
      <c r="Q121" s="192" t="str">
        <f t="shared" si="52"/>
        <v/>
      </c>
      <c r="R121" s="191" t="str">
        <f t="shared" si="39"/>
        <v/>
      </c>
      <c r="S121" s="193" t="str">
        <f t="shared" si="53"/>
        <v/>
      </c>
      <c r="T121" s="194" t="str">
        <f t="shared" si="40"/>
        <v/>
      </c>
      <c r="U121" s="192" t="str">
        <f t="shared" si="54"/>
        <v/>
      </c>
      <c r="V121" s="195" t="str">
        <f t="shared" si="41"/>
        <v/>
      </c>
      <c r="W121" s="195" t="str">
        <f t="shared" si="42"/>
        <v/>
      </c>
      <c r="X121" s="196" t="str">
        <f t="shared" si="55"/>
        <v/>
      </c>
      <c r="Y121" s="191" t="str">
        <f t="shared" si="57"/>
        <v/>
      </c>
      <c r="Z121" s="197" t="str">
        <f t="shared" si="43"/>
        <v/>
      </c>
      <c r="AA121" s="197" t="str">
        <f t="shared" si="44"/>
        <v/>
      </c>
      <c r="AB121" s="213"/>
      <c r="AC121" s="204"/>
    </row>
    <row r="122" spans="1:29" ht="11.4">
      <c r="A122" s="211" t="str">
        <f t="shared" si="56"/>
        <v/>
      </c>
      <c r="B122" s="211"/>
      <c r="C122" s="185"/>
      <c r="D122" s="186" t="str">
        <f t="shared" si="45"/>
        <v/>
      </c>
      <c r="E122" s="186" t="str">
        <f>IF(OR(C122="",C122=Data!$B$3),"",IF(C122=Data!$B$4,"L","S"))</f>
        <v/>
      </c>
      <c r="F122" s="186" t="str">
        <f t="shared" si="46"/>
        <v/>
      </c>
      <c r="G122" s="187" t="str">
        <f t="shared" si="37"/>
        <v/>
      </c>
      <c r="H122" s="188"/>
      <c r="I122" s="189" t="str">
        <f t="shared" si="47"/>
        <v/>
      </c>
      <c r="J122" s="189" t="str">
        <f t="shared" si="48"/>
        <v/>
      </c>
      <c r="K122" s="190" t="str">
        <f t="shared" si="49"/>
        <v/>
      </c>
      <c r="L122" s="190" t="str">
        <f t="shared" si="50"/>
        <v/>
      </c>
      <c r="M122" s="214"/>
      <c r="N122" s="214"/>
      <c r="O122" s="189" t="str">
        <f t="shared" si="51"/>
        <v/>
      </c>
      <c r="P122" s="191" t="str">
        <f t="shared" si="38"/>
        <v/>
      </c>
      <c r="Q122" s="192" t="str">
        <f t="shared" si="52"/>
        <v/>
      </c>
      <c r="R122" s="191" t="str">
        <f t="shared" si="39"/>
        <v/>
      </c>
      <c r="S122" s="193" t="str">
        <f t="shared" si="53"/>
        <v/>
      </c>
      <c r="T122" s="194" t="str">
        <f t="shared" si="40"/>
        <v/>
      </c>
      <c r="U122" s="192" t="str">
        <f t="shared" si="54"/>
        <v/>
      </c>
      <c r="V122" s="195" t="str">
        <f t="shared" si="41"/>
        <v/>
      </c>
      <c r="W122" s="195" t="str">
        <f t="shared" si="42"/>
        <v/>
      </c>
      <c r="X122" s="196" t="str">
        <f t="shared" si="55"/>
        <v/>
      </c>
      <c r="Y122" s="191" t="str">
        <f t="shared" si="57"/>
        <v/>
      </c>
      <c r="Z122" s="197" t="str">
        <f t="shared" si="43"/>
        <v/>
      </c>
      <c r="AA122" s="197" t="str">
        <f t="shared" si="44"/>
        <v/>
      </c>
      <c r="AB122" s="213"/>
      <c r="AC122" s="204"/>
    </row>
    <row r="123" spans="1:29" ht="11.4">
      <c r="A123" s="211" t="str">
        <f t="shared" si="56"/>
        <v/>
      </c>
      <c r="B123" s="211"/>
      <c r="C123" s="185"/>
      <c r="D123" s="186" t="str">
        <f t="shared" si="45"/>
        <v/>
      </c>
      <c r="E123" s="186" t="str">
        <f>IF(OR(C123="",C123=Data!$B$3),"",IF(C123=Data!$B$4,"L","S"))</f>
        <v/>
      </c>
      <c r="F123" s="186" t="str">
        <f t="shared" si="46"/>
        <v/>
      </c>
      <c r="G123" s="187" t="str">
        <f t="shared" si="37"/>
        <v/>
      </c>
      <c r="H123" s="188"/>
      <c r="I123" s="189" t="str">
        <f t="shared" si="47"/>
        <v/>
      </c>
      <c r="J123" s="189" t="str">
        <f t="shared" si="48"/>
        <v/>
      </c>
      <c r="K123" s="190" t="str">
        <f t="shared" si="49"/>
        <v/>
      </c>
      <c r="L123" s="190" t="str">
        <f t="shared" si="50"/>
        <v/>
      </c>
      <c r="M123" s="214"/>
      <c r="N123" s="214"/>
      <c r="O123" s="189" t="str">
        <f t="shared" si="51"/>
        <v/>
      </c>
      <c r="P123" s="191" t="str">
        <f t="shared" si="38"/>
        <v/>
      </c>
      <c r="Q123" s="192" t="str">
        <f t="shared" si="52"/>
        <v/>
      </c>
      <c r="R123" s="191" t="str">
        <f t="shared" si="39"/>
        <v/>
      </c>
      <c r="S123" s="193" t="str">
        <f t="shared" si="53"/>
        <v/>
      </c>
      <c r="T123" s="194" t="str">
        <f t="shared" si="40"/>
        <v/>
      </c>
      <c r="U123" s="192" t="str">
        <f t="shared" si="54"/>
        <v/>
      </c>
      <c r="V123" s="195" t="str">
        <f t="shared" si="41"/>
        <v/>
      </c>
      <c r="W123" s="195" t="str">
        <f t="shared" si="42"/>
        <v/>
      </c>
      <c r="X123" s="196" t="str">
        <f t="shared" si="55"/>
        <v/>
      </c>
      <c r="Y123" s="191" t="str">
        <f t="shared" si="57"/>
        <v/>
      </c>
      <c r="Z123" s="197" t="str">
        <f t="shared" si="43"/>
        <v/>
      </c>
      <c r="AA123" s="197" t="str">
        <f t="shared" si="44"/>
        <v/>
      </c>
      <c r="AB123" s="213"/>
      <c r="AC123" s="204"/>
    </row>
    <row r="124" spans="1:29" ht="11.4">
      <c r="A124" s="211" t="str">
        <f t="shared" si="56"/>
        <v/>
      </c>
      <c r="B124" s="211"/>
      <c r="C124" s="185"/>
      <c r="D124" s="186" t="str">
        <f t="shared" si="45"/>
        <v/>
      </c>
      <c r="E124" s="186" t="str">
        <f>IF(OR(C124="",C124=Data!$B$3),"",IF(C124=Data!$B$4,"L","S"))</f>
        <v/>
      </c>
      <c r="F124" s="186" t="str">
        <f t="shared" si="46"/>
        <v/>
      </c>
      <c r="G124" s="187" t="str">
        <f t="shared" si="37"/>
        <v/>
      </c>
      <c r="H124" s="188"/>
      <c r="I124" s="189" t="str">
        <f t="shared" si="47"/>
        <v/>
      </c>
      <c r="J124" s="189" t="str">
        <f t="shared" si="48"/>
        <v/>
      </c>
      <c r="K124" s="190" t="str">
        <f t="shared" si="49"/>
        <v/>
      </c>
      <c r="L124" s="190" t="str">
        <f t="shared" si="50"/>
        <v/>
      </c>
      <c r="M124" s="214"/>
      <c r="N124" s="214"/>
      <c r="O124" s="189" t="str">
        <f t="shared" si="51"/>
        <v/>
      </c>
      <c r="P124" s="191" t="str">
        <f t="shared" si="38"/>
        <v/>
      </c>
      <c r="Q124" s="192" t="str">
        <f t="shared" si="52"/>
        <v/>
      </c>
      <c r="R124" s="191" t="str">
        <f t="shared" si="39"/>
        <v/>
      </c>
      <c r="S124" s="193" t="str">
        <f t="shared" si="53"/>
        <v/>
      </c>
      <c r="T124" s="194" t="str">
        <f t="shared" si="40"/>
        <v/>
      </c>
      <c r="U124" s="192" t="str">
        <f t="shared" si="54"/>
        <v/>
      </c>
      <c r="V124" s="195" t="str">
        <f t="shared" si="41"/>
        <v/>
      </c>
      <c r="W124" s="195" t="str">
        <f t="shared" si="42"/>
        <v/>
      </c>
      <c r="X124" s="196" t="str">
        <f t="shared" si="55"/>
        <v/>
      </c>
      <c r="Y124" s="191" t="str">
        <f t="shared" si="57"/>
        <v/>
      </c>
      <c r="Z124" s="197" t="str">
        <f t="shared" si="43"/>
        <v/>
      </c>
      <c r="AA124" s="197" t="str">
        <f t="shared" si="44"/>
        <v/>
      </c>
      <c r="AB124" s="213"/>
      <c r="AC124" s="204"/>
    </row>
    <row r="125" spans="1:29" ht="11.4">
      <c r="A125" s="211" t="str">
        <f t="shared" si="56"/>
        <v/>
      </c>
      <c r="B125" s="211"/>
      <c r="C125" s="185"/>
      <c r="D125" s="186" t="str">
        <f t="shared" si="45"/>
        <v/>
      </c>
      <c r="E125" s="186" t="str">
        <f>IF(OR(C125="",C125=Data!$B$3),"",IF(C125=Data!$B$4,"L","S"))</f>
        <v/>
      </c>
      <c r="F125" s="186" t="str">
        <f t="shared" si="46"/>
        <v/>
      </c>
      <c r="G125" s="187" t="str">
        <f t="shared" si="37"/>
        <v/>
      </c>
      <c r="H125" s="188"/>
      <c r="I125" s="189" t="str">
        <f t="shared" si="47"/>
        <v/>
      </c>
      <c r="J125" s="189" t="str">
        <f t="shared" si="48"/>
        <v/>
      </c>
      <c r="K125" s="190" t="str">
        <f t="shared" si="49"/>
        <v/>
      </c>
      <c r="L125" s="190" t="str">
        <f t="shared" si="50"/>
        <v/>
      </c>
      <c r="M125" s="214"/>
      <c r="N125" s="214"/>
      <c r="O125" s="189" t="str">
        <f t="shared" si="51"/>
        <v/>
      </c>
      <c r="P125" s="191" t="str">
        <f t="shared" si="38"/>
        <v/>
      </c>
      <c r="Q125" s="192" t="str">
        <f t="shared" si="52"/>
        <v/>
      </c>
      <c r="R125" s="191" t="str">
        <f t="shared" si="39"/>
        <v/>
      </c>
      <c r="S125" s="193" t="str">
        <f t="shared" si="53"/>
        <v/>
      </c>
      <c r="T125" s="194" t="str">
        <f t="shared" si="40"/>
        <v/>
      </c>
      <c r="U125" s="192" t="str">
        <f t="shared" si="54"/>
        <v/>
      </c>
      <c r="V125" s="195" t="str">
        <f t="shared" si="41"/>
        <v/>
      </c>
      <c r="W125" s="195" t="str">
        <f t="shared" si="42"/>
        <v/>
      </c>
      <c r="X125" s="196" t="str">
        <f t="shared" si="55"/>
        <v/>
      </c>
      <c r="Y125" s="191" t="str">
        <f t="shared" si="57"/>
        <v/>
      </c>
      <c r="Z125" s="197" t="str">
        <f t="shared" si="43"/>
        <v/>
      </c>
      <c r="AA125" s="197" t="str">
        <f t="shared" si="44"/>
        <v/>
      </c>
      <c r="AB125" s="213"/>
      <c r="AC125" s="204"/>
    </row>
    <row r="126" spans="1:29" ht="11.4">
      <c r="A126" s="211" t="str">
        <f t="shared" si="56"/>
        <v/>
      </c>
      <c r="B126" s="211"/>
      <c r="C126" s="185"/>
      <c r="D126" s="186" t="str">
        <f t="shared" si="45"/>
        <v/>
      </c>
      <c r="E126" s="186" t="str">
        <f>IF(OR(C126="",C126=Data!$B$3),"",IF(C126=Data!$B$4,"L","S"))</f>
        <v/>
      </c>
      <c r="F126" s="186" t="str">
        <f t="shared" si="46"/>
        <v/>
      </c>
      <c r="G126" s="187" t="str">
        <f t="shared" si="37"/>
        <v/>
      </c>
      <c r="H126" s="188"/>
      <c r="I126" s="189" t="str">
        <f t="shared" si="47"/>
        <v/>
      </c>
      <c r="J126" s="189" t="str">
        <f t="shared" si="48"/>
        <v/>
      </c>
      <c r="K126" s="190" t="str">
        <f t="shared" si="49"/>
        <v/>
      </c>
      <c r="L126" s="190" t="str">
        <f t="shared" si="50"/>
        <v/>
      </c>
      <c r="M126" s="214"/>
      <c r="N126" s="214"/>
      <c r="O126" s="189" t="str">
        <f t="shared" si="51"/>
        <v/>
      </c>
      <c r="P126" s="191" t="str">
        <f t="shared" si="38"/>
        <v/>
      </c>
      <c r="Q126" s="192" t="str">
        <f t="shared" si="52"/>
        <v/>
      </c>
      <c r="R126" s="191" t="str">
        <f t="shared" si="39"/>
        <v/>
      </c>
      <c r="S126" s="193" t="str">
        <f t="shared" si="53"/>
        <v/>
      </c>
      <c r="T126" s="194" t="str">
        <f t="shared" si="40"/>
        <v/>
      </c>
      <c r="U126" s="192" t="str">
        <f t="shared" si="54"/>
        <v/>
      </c>
      <c r="V126" s="195" t="str">
        <f t="shared" si="41"/>
        <v/>
      </c>
      <c r="W126" s="195" t="str">
        <f t="shared" si="42"/>
        <v/>
      </c>
      <c r="X126" s="196" t="str">
        <f t="shared" si="55"/>
        <v/>
      </c>
      <c r="Y126" s="191" t="str">
        <f t="shared" si="57"/>
        <v/>
      </c>
      <c r="Z126" s="197" t="str">
        <f t="shared" si="43"/>
        <v/>
      </c>
      <c r="AA126" s="197" t="str">
        <f t="shared" si="44"/>
        <v/>
      </c>
      <c r="AB126" s="213"/>
      <c r="AC126" s="204"/>
    </row>
    <row r="127" spans="1:29" ht="11.4">
      <c r="A127" s="211" t="str">
        <f t="shared" si="56"/>
        <v/>
      </c>
      <c r="B127" s="211"/>
      <c r="C127" s="185"/>
      <c r="D127" s="186" t="str">
        <f t="shared" si="45"/>
        <v/>
      </c>
      <c r="E127" s="186" t="str">
        <f>IF(OR(C127="",C127=Data!$B$3),"",IF(C127=Data!$B$4,"L","S"))</f>
        <v/>
      </c>
      <c r="F127" s="186" t="str">
        <f t="shared" si="46"/>
        <v/>
      </c>
      <c r="G127" s="187" t="str">
        <f t="shared" si="37"/>
        <v/>
      </c>
      <c r="H127" s="188"/>
      <c r="I127" s="189" t="str">
        <f t="shared" si="47"/>
        <v/>
      </c>
      <c r="J127" s="189" t="str">
        <f t="shared" si="48"/>
        <v/>
      </c>
      <c r="K127" s="190" t="str">
        <f t="shared" si="49"/>
        <v/>
      </c>
      <c r="L127" s="190" t="str">
        <f t="shared" si="50"/>
        <v/>
      </c>
      <c r="M127" s="214"/>
      <c r="N127" s="214"/>
      <c r="O127" s="189" t="str">
        <f t="shared" si="51"/>
        <v/>
      </c>
      <c r="P127" s="191" t="str">
        <f t="shared" si="38"/>
        <v/>
      </c>
      <c r="Q127" s="192" t="str">
        <f t="shared" si="52"/>
        <v/>
      </c>
      <c r="R127" s="191" t="str">
        <f t="shared" si="39"/>
        <v/>
      </c>
      <c r="S127" s="193" t="str">
        <f t="shared" si="53"/>
        <v/>
      </c>
      <c r="T127" s="194" t="str">
        <f t="shared" si="40"/>
        <v/>
      </c>
      <c r="U127" s="192" t="str">
        <f t="shared" si="54"/>
        <v/>
      </c>
      <c r="V127" s="195" t="str">
        <f t="shared" si="41"/>
        <v/>
      </c>
      <c r="W127" s="195" t="str">
        <f t="shared" si="42"/>
        <v/>
      </c>
      <c r="X127" s="196" t="str">
        <f t="shared" si="55"/>
        <v/>
      </c>
      <c r="Y127" s="191" t="str">
        <f t="shared" si="57"/>
        <v/>
      </c>
      <c r="Z127" s="197" t="str">
        <f t="shared" si="43"/>
        <v/>
      </c>
      <c r="AA127" s="197" t="str">
        <f t="shared" si="44"/>
        <v/>
      </c>
      <c r="AB127" s="213"/>
      <c r="AC127" s="204"/>
    </row>
    <row r="128" spans="1:29" ht="11.4">
      <c r="A128" s="211" t="str">
        <f t="shared" si="56"/>
        <v/>
      </c>
      <c r="B128" s="211"/>
      <c r="C128" s="185"/>
      <c r="D128" s="186" t="str">
        <f t="shared" si="45"/>
        <v/>
      </c>
      <c r="E128" s="186" t="str">
        <f>IF(OR(C128="",C128=Data!$B$3),"",IF(C128=Data!$B$4,"L","S"))</f>
        <v/>
      </c>
      <c r="F128" s="186" t="str">
        <f t="shared" si="46"/>
        <v/>
      </c>
      <c r="G128" s="187" t="str">
        <f t="shared" si="37"/>
        <v/>
      </c>
      <c r="H128" s="188"/>
      <c r="I128" s="189" t="str">
        <f t="shared" si="47"/>
        <v/>
      </c>
      <c r="J128" s="189" t="str">
        <f t="shared" si="48"/>
        <v/>
      </c>
      <c r="K128" s="190" t="str">
        <f t="shared" si="49"/>
        <v/>
      </c>
      <c r="L128" s="190" t="str">
        <f t="shared" si="50"/>
        <v/>
      </c>
      <c r="M128" s="214"/>
      <c r="N128" s="214"/>
      <c r="O128" s="189" t="str">
        <f t="shared" si="51"/>
        <v/>
      </c>
      <c r="P128" s="191" t="str">
        <f t="shared" si="38"/>
        <v/>
      </c>
      <c r="Q128" s="192" t="str">
        <f t="shared" si="52"/>
        <v/>
      </c>
      <c r="R128" s="191" t="str">
        <f t="shared" si="39"/>
        <v/>
      </c>
      <c r="S128" s="193" t="str">
        <f t="shared" si="53"/>
        <v/>
      </c>
      <c r="T128" s="194" t="str">
        <f t="shared" si="40"/>
        <v/>
      </c>
      <c r="U128" s="192" t="str">
        <f t="shared" si="54"/>
        <v/>
      </c>
      <c r="V128" s="195" t="str">
        <f t="shared" si="41"/>
        <v/>
      </c>
      <c r="W128" s="195" t="str">
        <f t="shared" si="42"/>
        <v/>
      </c>
      <c r="X128" s="196" t="str">
        <f t="shared" si="55"/>
        <v/>
      </c>
      <c r="Y128" s="191" t="str">
        <f t="shared" si="57"/>
        <v/>
      </c>
      <c r="Z128" s="197" t="str">
        <f t="shared" si="43"/>
        <v/>
      </c>
      <c r="AA128" s="197" t="str">
        <f t="shared" si="44"/>
        <v/>
      </c>
      <c r="AB128" s="213"/>
      <c r="AC128" s="204"/>
    </row>
    <row r="129" spans="1:29" ht="11.4">
      <c r="A129" s="211" t="str">
        <f t="shared" si="56"/>
        <v/>
      </c>
      <c r="B129" s="211"/>
      <c r="C129" s="185"/>
      <c r="D129" s="186" t="str">
        <f t="shared" si="45"/>
        <v/>
      </c>
      <c r="E129" s="186" t="str">
        <f>IF(OR(C129="",C129=Data!$B$3),"",IF(C129=Data!$B$4,"L","S"))</f>
        <v/>
      </c>
      <c r="F129" s="186" t="str">
        <f t="shared" si="46"/>
        <v/>
      </c>
      <c r="G129" s="187" t="str">
        <f t="shared" si="37"/>
        <v/>
      </c>
      <c r="H129" s="188"/>
      <c r="I129" s="189" t="str">
        <f t="shared" si="47"/>
        <v/>
      </c>
      <c r="J129" s="189" t="str">
        <f t="shared" si="48"/>
        <v/>
      </c>
      <c r="K129" s="190" t="str">
        <f t="shared" si="49"/>
        <v/>
      </c>
      <c r="L129" s="190" t="str">
        <f t="shared" si="50"/>
        <v/>
      </c>
      <c r="M129" s="214"/>
      <c r="N129" s="214"/>
      <c r="O129" s="189" t="str">
        <f t="shared" si="51"/>
        <v/>
      </c>
      <c r="P129" s="191" t="str">
        <f t="shared" si="38"/>
        <v/>
      </c>
      <c r="Q129" s="192" t="str">
        <f t="shared" si="52"/>
        <v/>
      </c>
      <c r="R129" s="191" t="str">
        <f t="shared" si="39"/>
        <v/>
      </c>
      <c r="S129" s="193" t="str">
        <f t="shared" si="53"/>
        <v/>
      </c>
      <c r="T129" s="194" t="str">
        <f t="shared" si="40"/>
        <v/>
      </c>
      <c r="U129" s="192" t="str">
        <f t="shared" si="54"/>
        <v/>
      </c>
      <c r="V129" s="195" t="str">
        <f t="shared" si="41"/>
        <v/>
      </c>
      <c r="W129" s="195" t="str">
        <f t="shared" si="42"/>
        <v/>
      </c>
      <c r="X129" s="196" t="str">
        <f t="shared" si="55"/>
        <v/>
      </c>
      <c r="Y129" s="191" t="str">
        <f t="shared" si="57"/>
        <v/>
      </c>
      <c r="Z129" s="197" t="str">
        <f t="shared" si="43"/>
        <v/>
      </c>
      <c r="AA129" s="197" t="str">
        <f t="shared" si="44"/>
        <v/>
      </c>
      <c r="AB129" s="213"/>
      <c r="AC129" s="204"/>
    </row>
    <row r="130" spans="1:29" ht="11.4">
      <c r="A130" s="211" t="str">
        <f t="shared" si="56"/>
        <v/>
      </c>
      <c r="B130" s="211"/>
      <c r="C130" s="185"/>
      <c r="D130" s="186" t="str">
        <f t="shared" si="45"/>
        <v/>
      </c>
      <c r="E130" s="186" t="str">
        <f>IF(OR(C130="",C130=Data!$B$3),"",IF(C130=Data!$B$4,"L","S"))</f>
        <v/>
      </c>
      <c r="F130" s="186" t="str">
        <f t="shared" si="46"/>
        <v/>
      </c>
      <c r="G130" s="187" t="str">
        <f t="shared" si="37"/>
        <v/>
      </c>
      <c r="H130" s="188"/>
      <c r="I130" s="189" t="str">
        <f t="shared" si="47"/>
        <v/>
      </c>
      <c r="J130" s="189" t="str">
        <f t="shared" si="48"/>
        <v/>
      </c>
      <c r="K130" s="190" t="str">
        <f t="shared" si="49"/>
        <v/>
      </c>
      <c r="L130" s="190" t="str">
        <f t="shared" si="50"/>
        <v/>
      </c>
      <c r="M130" s="214"/>
      <c r="N130" s="214"/>
      <c r="O130" s="189" t="str">
        <f t="shared" si="51"/>
        <v/>
      </c>
      <c r="P130" s="191" t="str">
        <f t="shared" si="38"/>
        <v/>
      </c>
      <c r="Q130" s="192" t="str">
        <f t="shared" si="52"/>
        <v/>
      </c>
      <c r="R130" s="191" t="str">
        <f t="shared" si="39"/>
        <v/>
      </c>
      <c r="S130" s="193" t="str">
        <f t="shared" si="53"/>
        <v/>
      </c>
      <c r="T130" s="194" t="str">
        <f t="shared" si="40"/>
        <v/>
      </c>
      <c r="U130" s="192" t="str">
        <f t="shared" si="54"/>
        <v/>
      </c>
      <c r="V130" s="195" t="str">
        <f t="shared" si="41"/>
        <v/>
      </c>
      <c r="W130" s="195" t="str">
        <f t="shared" si="42"/>
        <v/>
      </c>
      <c r="X130" s="196" t="str">
        <f t="shared" si="55"/>
        <v/>
      </c>
      <c r="Y130" s="191" t="str">
        <f t="shared" si="57"/>
        <v/>
      </c>
      <c r="Z130" s="197" t="str">
        <f t="shared" si="43"/>
        <v/>
      </c>
      <c r="AA130" s="197" t="str">
        <f t="shared" si="44"/>
        <v/>
      </c>
      <c r="AB130" s="213"/>
      <c r="AC130" s="204"/>
    </row>
    <row r="131" spans="1:29" ht="11.4">
      <c r="A131" s="211" t="str">
        <f t="shared" si="56"/>
        <v/>
      </c>
      <c r="B131" s="211"/>
      <c r="C131" s="185"/>
      <c r="D131" s="186" t="str">
        <f t="shared" si="45"/>
        <v/>
      </c>
      <c r="E131" s="186" t="str">
        <f>IF(OR(C131="",C131=Data!$B$3),"",IF(C131=Data!$B$4,"L","S"))</f>
        <v/>
      </c>
      <c r="F131" s="186" t="str">
        <f t="shared" si="46"/>
        <v/>
      </c>
      <c r="G131" s="187" t="str">
        <f t="shared" si="37"/>
        <v/>
      </c>
      <c r="H131" s="188"/>
      <c r="I131" s="189" t="str">
        <f t="shared" si="47"/>
        <v/>
      </c>
      <c r="J131" s="189" t="str">
        <f t="shared" si="48"/>
        <v/>
      </c>
      <c r="K131" s="190" t="str">
        <f t="shared" si="49"/>
        <v/>
      </c>
      <c r="L131" s="190" t="str">
        <f t="shared" si="50"/>
        <v/>
      </c>
      <c r="M131" s="214"/>
      <c r="N131" s="214"/>
      <c r="O131" s="189" t="str">
        <f t="shared" si="51"/>
        <v/>
      </c>
      <c r="P131" s="191" t="str">
        <f t="shared" si="38"/>
        <v/>
      </c>
      <c r="Q131" s="192" t="str">
        <f t="shared" si="52"/>
        <v/>
      </c>
      <c r="R131" s="191" t="str">
        <f t="shared" si="39"/>
        <v/>
      </c>
      <c r="S131" s="193" t="str">
        <f t="shared" si="53"/>
        <v/>
      </c>
      <c r="T131" s="194" t="str">
        <f t="shared" si="40"/>
        <v/>
      </c>
      <c r="U131" s="192" t="str">
        <f t="shared" si="54"/>
        <v/>
      </c>
      <c r="V131" s="195" t="str">
        <f t="shared" si="41"/>
        <v/>
      </c>
      <c r="W131" s="195" t="str">
        <f t="shared" si="42"/>
        <v/>
      </c>
      <c r="X131" s="196" t="str">
        <f t="shared" si="55"/>
        <v/>
      </c>
      <c r="Y131" s="191" t="str">
        <f t="shared" si="57"/>
        <v/>
      </c>
      <c r="Z131" s="197" t="str">
        <f t="shared" si="43"/>
        <v/>
      </c>
      <c r="AA131" s="197" t="str">
        <f t="shared" si="44"/>
        <v/>
      </c>
      <c r="AB131" s="213"/>
      <c r="AC131" s="204"/>
    </row>
    <row r="132" spans="1:29" ht="11.4">
      <c r="A132" s="211" t="str">
        <f t="shared" si="56"/>
        <v/>
      </c>
      <c r="B132" s="211"/>
      <c r="C132" s="185"/>
      <c r="D132" s="186" t="str">
        <f t="shared" si="45"/>
        <v/>
      </c>
      <c r="E132" s="186" t="str">
        <f>IF(OR(C132="",C132=Data!$B$3),"",IF(C132=Data!$B$4,"L","S"))</f>
        <v/>
      </c>
      <c r="F132" s="186" t="str">
        <f t="shared" si="46"/>
        <v/>
      </c>
      <c r="G132" s="187" t="str">
        <f t="shared" si="37"/>
        <v/>
      </c>
      <c r="H132" s="188"/>
      <c r="I132" s="189" t="str">
        <f t="shared" si="47"/>
        <v/>
      </c>
      <c r="J132" s="189" t="str">
        <f t="shared" si="48"/>
        <v/>
      </c>
      <c r="K132" s="190" t="str">
        <f t="shared" si="49"/>
        <v/>
      </c>
      <c r="L132" s="190" t="str">
        <f t="shared" si="50"/>
        <v/>
      </c>
      <c r="M132" s="214"/>
      <c r="N132" s="214"/>
      <c r="O132" s="189" t="str">
        <f t="shared" si="51"/>
        <v/>
      </c>
      <c r="P132" s="191" t="str">
        <f t="shared" si="38"/>
        <v/>
      </c>
      <c r="Q132" s="192" t="str">
        <f t="shared" si="52"/>
        <v/>
      </c>
      <c r="R132" s="191" t="str">
        <f t="shared" si="39"/>
        <v/>
      </c>
      <c r="S132" s="193" t="str">
        <f t="shared" si="53"/>
        <v/>
      </c>
      <c r="T132" s="194" t="str">
        <f t="shared" si="40"/>
        <v/>
      </c>
      <c r="U132" s="192" t="str">
        <f t="shared" si="54"/>
        <v/>
      </c>
      <c r="V132" s="195" t="str">
        <f t="shared" si="41"/>
        <v/>
      </c>
      <c r="W132" s="195" t="str">
        <f t="shared" si="42"/>
        <v/>
      </c>
      <c r="X132" s="196" t="str">
        <f t="shared" si="55"/>
        <v/>
      </c>
      <c r="Y132" s="191" t="str">
        <f t="shared" si="57"/>
        <v/>
      </c>
      <c r="Z132" s="197" t="str">
        <f t="shared" si="43"/>
        <v/>
      </c>
      <c r="AA132" s="197" t="str">
        <f t="shared" si="44"/>
        <v/>
      </c>
      <c r="AB132" s="213"/>
      <c r="AC132" s="204"/>
    </row>
    <row r="133" spans="1:29" ht="11.4">
      <c r="A133" s="211" t="str">
        <f t="shared" si="56"/>
        <v/>
      </c>
      <c r="B133" s="211"/>
      <c r="C133" s="185"/>
      <c r="D133" s="186" t="str">
        <f t="shared" si="45"/>
        <v/>
      </c>
      <c r="E133" s="186" t="str">
        <f>IF(OR(C133="",C133=Data!$B$3),"",IF(C133=Data!$B$4,"L","S"))</f>
        <v/>
      </c>
      <c r="F133" s="186" t="str">
        <f t="shared" si="46"/>
        <v/>
      </c>
      <c r="G133" s="187" t="str">
        <f t="shared" si="37"/>
        <v/>
      </c>
      <c r="H133" s="188"/>
      <c r="I133" s="189" t="str">
        <f t="shared" si="47"/>
        <v/>
      </c>
      <c r="J133" s="189" t="str">
        <f t="shared" si="48"/>
        <v/>
      </c>
      <c r="K133" s="190" t="str">
        <f t="shared" si="49"/>
        <v/>
      </c>
      <c r="L133" s="190" t="str">
        <f t="shared" si="50"/>
        <v/>
      </c>
      <c r="M133" s="214"/>
      <c r="N133" s="214"/>
      <c r="O133" s="189" t="str">
        <f t="shared" si="51"/>
        <v/>
      </c>
      <c r="P133" s="191" t="str">
        <f t="shared" si="38"/>
        <v/>
      </c>
      <c r="Q133" s="192" t="str">
        <f t="shared" si="52"/>
        <v/>
      </c>
      <c r="R133" s="191" t="str">
        <f t="shared" si="39"/>
        <v/>
      </c>
      <c r="S133" s="193" t="str">
        <f t="shared" si="53"/>
        <v/>
      </c>
      <c r="T133" s="194" t="str">
        <f t="shared" si="40"/>
        <v/>
      </c>
      <c r="U133" s="192" t="str">
        <f t="shared" si="54"/>
        <v/>
      </c>
      <c r="V133" s="195" t="str">
        <f t="shared" si="41"/>
        <v/>
      </c>
      <c r="W133" s="195" t="str">
        <f t="shared" si="42"/>
        <v/>
      </c>
      <c r="X133" s="196" t="str">
        <f t="shared" si="55"/>
        <v/>
      </c>
      <c r="Y133" s="191" t="str">
        <f t="shared" si="57"/>
        <v/>
      </c>
      <c r="Z133" s="197" t="str">
        <f t="shared" si="43"/>
        <v/>
      </c>
      <c r="AA133" s="197" t="str">
        <f t="shared" si="44"/>
        <v/>
      </c>
      <c r="AB133" s="213"/>
      <c r="AC133" s="204"/>
    </row>
    <row r="134" spans="1:29" ht="11.4">
      <c r="A134" s="211" t="str">
        <f t="shared" si="56"/>
        <v/>
      </c>
      <c r="B134" s="211"/>
      <c r="C134" s="185"/>
      <c r="D134" s="186" t="str">
        <f t="shared" si="45"/>
        <v/>
      </c>
      <c r="E134" s="186" t="str">
        <f>IF(OR(C134="",C134=Data!$B$3),"",IF(C134=Data!$B$4,"L","S"))</f>
        <v/>
      </c>
      <c r="F134" s="186" t="str">
        <f t="shared" si="46"/>
        <v/>
      </c>
      <c r="G134" s="187" t="str">
        <f t="shared" si="37"/>
        <v/>
      </c>
      <c r="H134" s="188"/>
      <c r="I134" s="189" t="str">
        <f t="shared" si="47"/>
        <v/>
      </c>
      <c r="J134" s="189" t="str">
        <f t="shared" si="48"/>
        <v/>
      </c>
      <c r="K134" s="190" t="str">
        <f t="shared" si="49"/>
        <v/>
      </c>
      <c r="L134" s="190" t="str">
        <f t="shared" si="50"/>
        <v/>
      </c>
      <c r="M134" s="214"/>
      <c r="N134" s="214"/>
      <c r="O134" s="189" t="str">
        <f t="shared" si="51"/>
        <v/>
      </c>
      <c r="P134" s="191" t="str">
        <f t="shared" si="38"/>
        <v/>
      </c>
      <c r="Q134" s="192" t="str">
        <f t="shared" si="52"/>
        <v/>
      </c>
      <c r="R134" s="191" t="str">
        <f t="shared" si="39"/>
        <v/>
      </c>
      <c r="S134" s="193" t="str">
        <f t="shared" si="53"/>
        <v/>
      </c>
      <c r="T134" s="194" t="str">
        <f t="shared" si="40"/>
        <v/>
      </c>
      <c r="U134" s="192" t="str">
        <f t="shared" si="54"/>
        <v/>
      </c>
      <c r="V134" s="195" t="str">
        <f t="shared" si="41"/>
        <v/>
      </c>
      <c r="W134" s="195" t="str">
        <f t="shared" si="42"/>
        <v/>
      </c>
      <c r="X134" s="196" t="str">
        <f t="shared" si="55"/>
        <v/>
      </c>
      <c r="Y134" s="191" t="str">
        <f t="shared" si="57"/>
        <v/>
      </c>
      <c r="Z134" s="197" t="str">
        <f t="shared" si="43"/>
        <v/>
      </c>
      <c r="AA134" s="197" t="str">
        <f t="shared" si="44"/>
        <v/>
      </c>
      <c r="AB134" s="213"/>
      <c r="AC134" s="204"/>
    </row>
    <row r="135" spans="1:29" ht="11.4">
      <c r="A135" s="211" t="str">
        <f t="shared" si="56"/>
        <v/>
      </c>
      <c r="B135" s="211"/>
      <c r="C135" s="185"/>
      <c r="D135" s="186" t="str">
        <f t="shared" si="45"/>
        <v/>
      </c>
      <c r="E135" s="186" t="str">
        <f>IF(OR(C135="",C135=Data!$B$3),"",IF(C135=Data!$B$4,"L","S"))</f>
        <v/>
      </c>
      <c r="F135" s="186" t="str">
        <f t="shared" si="46"/>
        <v/>
      </c>
      <c r="G135" s="187" t="str">
        <f t="shared" si="37"/>
        <v/>
      </c>
      <c r="H135" s="188"/>
      <c r="I135" s="189" t="str">
        <f t="shared" si="47"/>
        <v/>
      </c>
      <c r="J135" s="189" t="str">
        <f t="shared" si="48"/>
        <v/>
      </c>
      <c r="K135" s="190" t="str">
        <f t="shared" si="49"/>
        <v/>
      </c>
      <c r="L135" s="190" t="str">
        <f t="shared" si="50"/>
        <v/>
      </c>
      <c r="M135" s="214"/>
      <c r="N135" s="214"/>
      <c r="O135" s="189" t="str">
        <f t="shared" si="51"/>
        <v/>
      </c>
      <c r="P135" s="191" t="str">
        <f t="shared" si="38"/>
        <v/>
      </c>
      <c r="Q135" s="192" t="str">
        <f t="shared" si="52"/>
        <v/>
      </c>
      <c r="R135" s="191" t="str">
        <f t="shared" si="39"/>
        <v/>
      </c>
      <c r="S135" s="193" t="str">
        <f t="shared" si="53"/>
        <v/>
      </c>
      <c r="T135" s="194" t="str">
        <f t="shared" si="40"/>
        <v/>
      </c>
      <c r="U135" s="192" t="str">
        <f t="shared" si="54"/>
        <v/>
      </c>
      <c r="V135" s="195" t="str">
        <f t="shared" si="41"/>
        <v/>
      </c>
      <c r="W135" s="195" t="str">
        <f t="shared" si="42"/>
        <v/>
      </c>
      <c r="X135" s="196" t="str">
        <f t="shared" si="55"/>
        <v/>
      </c>
      <c r="Y135" s="191" t="str">
        <f t="shared" si="57"/>
        <v/>
      </c>
      <c r="Z135" s="197" t="str">
        <f t="shared" si="43"/>
        <v/>
      </c>
      <c r="AA135" s="197" t="str">
        <f t="shared" si="44"/>
        <v/>
      </c>
      <c r="AB135" s="213"/>
      <c r="AC135" s="204"/>
    </row>
    <row r="136" spans="1:29" ht="11.4">
      <c r="A136" s="211" t="str">
        <f t="shared" si="56"/>
        <v/>
      </c>
      <c r="B136" s="211"/>
      <c r="C136" s="185"/>
      <c r="D136" s="186" t="str">
        <f t="shared" si="45"/>
        <v/>
      </c>
      <c r="E136" s="186" t="str">
        <f>IF(OR(C136="",C136=Data!$B$3),"",IF(C136=Data!$B$4,"L","S"))</f>
        <v/>
      </c>
      <c r="F136" s="186" t="str">
        <f t="shared" si="46"/>
        <v/>
      </c>
      <c r="G136" s="187" t="str">
        <f t="shared" si="37"/>
        <v/>
      </c>
      <c r="H136" s="188"/>
      <c r="I136" s="189" t="str">
        <f t="shared" si="47"/>
        <v/>
      </c>
      <c r="J136" s="189" t="str">
        <f t="shared" si="48"/>
        <v/>
      </c>
      <c r="K136" s="190" t="str">
        <f t="shared" si="49"/>
        <v/>
      </c>
      <c r="L136" s="190" t="str">
        <f t="shared" si="50"/>
        <v/>
      </c>
      <c r="M136" s="214"/>
      <c r="N136" s="214"/>
      <c r="O136" s="189" t="str">
        <f t="shared" si="51"/>
        <v/>
      </c>
      <c r="P136" s="191" t="str">
        <f t="shared" si="38"/>
        <v/>
      </c>
      <c r="Q136" s="192" t="str">
        <f t="shared" si="52"/>
        <v/>
      </c>
      <c r="R136" s="191" t="str">
        <f t="shared" si="39"/>
        <v/>
      </c>
      <c r="S136" s="193" t="str">
        <f t="shared" si="53"/>
        <v/>
      </c>
      <c r="T136" s="194" t="str">
        <f t="shared" si="40"/>
        <v/>
      </c>
      <c r="U136" s="192" t="str">
        <f t="shared" si="54"/>
        <v/>
      </c>
      <c r="V136" s="195" t="str">
        <f t="shared" si="41"/>
        <v/>
      </c>
      <c r="W136" s="195" t="str">
        <f t="shared" si="42"/>
        <v/>
      </c>
      <c r="X136" s="196" t="str">
        <f t="shared" si="55"/>
        <v/>
      </c>
      <c r="Y136" s="191" t="str">
        <f t="shared" si="57"/>
        <v/>
      </c>
      <c r="Z136" s="197" t="str">
        <f t="shared" si="43"/>
        <v/>
      </c>
      <c r="AA136" s="197" t="str">
        <f t="shared" si="44"/>
        <v/>
      </c>
      <c r="AB136" s="213"/>
      <c r="AC136" s="204"/>
    </row>
    <row r="137" spans="1:29" ht="11.4">
      <c r="A137" s="211" t="str">
        <f t="shared" si="56"/>
        <v/>
      </c>
      <c r="B137" s="211"/>
      <c r="C137" s="185"/>
      <c r="D137" s="186" t="str">
        <f t="shared" si="45"/>
        <v/>
      </c>
      <c r="E137" s="186" t="str">
        <f>IF(OR(C137="",C137=Data!$B$3),"",IF(C137=Data!$B$4,"L","S"))</f>
        <v/>
      </c>
      <c r="F137" s="186" t="str">
        <f t="shared" si="46"/>
        <v/>
      </c>
      <c r="G137" s="187" t="str">
        <f t="shared" si="37"/>
        <v/>
      </c>
      <c r="H137" s="188"/>
      <c r="I137" s="189" t="str">
        <f t="shared" si="47"/>
        <v/>
      </c>
      <c r="J137" s="189" t="str">
        <f t="shared" si="48"/>
        <v/>
      </c>
      <c r="K137" s="190" t="str">
        <f t="shared" si="49"/>
        <v/>
      </c>
      <c r="L137" s="190" t="str">
        <f t="shared" si="50"/>
        <v/>
      </c>
      <c r="M137" s="214"/>
      <c r="N137" s="214"/>
      <c r="O137" s="189" t="str">
        <f t="shared" si="51"/>
        <v/>
      </c>
      <c r="P137" s="191" t="str">
        <f t="shared" si="38"/>
        <v/>
      </c>
      <c r="Q137" s="192" t="str">
        <f t="shared" si="52"/>
        <v/>
      </c>
      <c r="R137" s="191" t="str">
        <f t="shared" si="39"/>
        <v/>
      </c>
      <c r="S137" s="193" t="str">
        <f t="shared" si="53"/>
        <v/>
      </c>
      <c r="T137" s="194" t="str">
        <f t="shared" si="40"/>
        <v/>
      </c>
      <c r="U137" s="192" t="str">
        <f t="shared" si="54"/>
        <v/>
      </c>
      <c r="V137" s="195" t="str">
        <f t="shared" si="41"/>
        <v/>
      </c>
      <c r="W137" s="195" t="str">
        <f t="shared" si="42"/>
        <v/>
      </c>
      <c r="X137" s="196" t="str">
        <f t="shared" si="55"/>
        <v/>
      </c>
      <c r="Y137" s="191" t="str">
        <f t="shared" si="57"/>
        <v/>
      </c>
      <c r="Z137" s="197" t="str">
        <f t="shared" si="43"/>
        <v/>
      </c>
      <c r="AA137" s="197" t="str">
        <f t="shared" si="44"/>
        <v/>
      </c>
      <c r="AB137" s="213"/>
      <c r="AC137" s="204"/>
    </row>
    <row r="138" spans="1:29" ht="11.4">
      <c r="A138" s="211" t="str">
        <f t="shared" si="56"/>
        <v/>
      </c>
      <c r="B138" s="211"/>
      <c r="C138" s="185"/>
      <c r="D138" s="186" t="str">
        <f t="shared" si="45"/>
        <v/>
      </c>
      <c r="E138" s="186" t="str">
        <f>IF(OR(C138="",C138=Data!$B$3),"",IF(C138=Data!$B$4,"L","S"))</f>
        <v/>
      </c>
      <c r="F138" s="186" t="str">
        <f t="shared" si="46"/>
        <v/>
      </c>
      <c r="G138" s="187" t="str">
        <f t="shared" si="37"/>
        <v/>
      </c>
      <c r="H138" s="188"/>
      <c r="I138" s="189" t="str">
        <f t="shared" si="47"/>
        <v/>
      </c>
      <c r="J138" s="189" t="str">
        <f t="shared" si="48"/>
        <v/>
      </c>
      <c r="K138" s="190" t="str">
        <f t="shared" si="49"/>
        <v/>
      </c>
      <c r="L138" s="190" t="str">
        <f t="shared" si="50"/>
        <v/>
      </c>
      <c r="M138" s="214"/>
      <c r="N138" s="214"/>
      <c r="O138" s="189" t="str">
        <f t="shared" si="51"/>
        <v/>
      </c>
      <c r="P138" s="191" t="str">
        <f t="shared" si="38"/>
        <v/>
      </c>
      <c r="Q138" s="192" t="str">
        <f t="shared" si="52"/>
        <v/>
      </c>
      <c r="R138" s="191" t="str">
        <f t="shared" si="39"/>
        <v/>
      </c>
      <c r="S138" s="193" t="str">
        <f t="shared" si="53"/>
        <v/>
      </c>
      <c r="T138" s="194" t="str">
        <f t="shared" si="40"/>
        <v/>
      </c>
      <c r="U138" s="192" t="str">
        <f t="shared" si="54"/>
        <v/>
      </c>
      <c r="V138" s="195" t="str">
        <f t="shared" si="41"/>
        <v/>
      </c>
      <c r="W138" s="195" t="str">
        <f t="shared" si="42"/>
        <v/>
      </c>
      <c r="X138" s="196" t="str">
        <f t="shared" si="55"/>
        <v/>
      </c>
      <c r="Y138" s="191" t="str">
        <f t="shared" si="57"/>
        <v/>
      </c>
      <c r="Z138" s="197" t="str">
        <f t="shared" si="43"/>
        <v/>
      </c>
      <c r="AA138" s="197" t="str">
        <f t="shared" si="44"/>
        <v/>
      </c>
      <c r="AB138" s="213"/>
      <c r="AC138" s="204"/>
    </row>
    <row r="139" spans="1:29" ht="11.4">
      <c r="A139" s="211" t="str">
        <f t="shared" si="56"/>
        <v/>
      </c>
      <c r="B139" s="211"/>
      <c r="C139" s="185"/>
      <c r="D139" s="186" t="str">
        <f t="shared" si="45"/>
        <v/>
      </c>
      <c r="E139" s="186" t="str">
        <f>IF(OR(C139="",C139=Data!$B$3),"",IF(C139=Data!$B$4,"L","S"))</f>
        <v/>
      </c>
      <c r="F139" s="186" t="str">
        <f t="shared" si="46"/>
        <v/>
      </c>
      <c r="G139" s="187" t="str">
        <f t="shared" si="37"/>
        <v/>
      </c>
      <c r="H139" s="188"/>
      <c r="I139" s="189" t="str">
        <f t="shared" si="47"/>
        <v/>
      </c>
      <c r="J139" s="189" t="str">
        <f t="shared" si="48"/>
        <v/>
      </c>
      <c r="K139" s="190" t="str">
        <f t="shared" si="49"/>
        <v/>
      </c>
      <c r="L139" s="190" t="str">
        <f t="shared" si="50"/>
        <v/>
      </c>
      <c r="M139" s="214"/>
      <c r="N139" s="214"/>
      <c r="O139" s="189" t="str">
        <f t="shared" si="51"/>
        <v/>
      </c>
      <c r="P139" s="191" t="str">
        <f t="shared" si="38"/>
        <v/>
      </c>
      <c r="Q139" s="192" t="str">
        <f t="shared" si="52"/>
        <v/>
      </c>
      <c r="R139" s="191" t="str">
        <f t="shared" si="39"/>
        <v/>
      </c>
      <c r="S139" s="193" t="str">
        <f t="shared" si="53"/>
        <v/>
      </c>
      <c r="T139" s="194" t="str">
        <f t="shared" si="40"/>
        <v/>
      </c>
      <c r="U139" s="192" t="str">
        <f t="shared" si="54"/>
        <v/>
      </c>
      <c r="V139" s="195" t="str">
        <f t="shared" si="41"/>
        <v/>
      </c>
      <c r="W139" s="195" t="str">
        <f t="shared" si="42"/>
        <v/>
      </c>
      <c r="X139" s="196" t="str">
        <f t="shared" si="55"/>
        <v/>
      </c>
      <c r="Y139" s="191" t="str">
        <f t="shared" si="57"/>
        <v/>
      </c>
      <c r="Z139" s="197" t="str">
        <f t="shared" si="43"/>
        <v/>
      </c>
      <c r="AA139" s="197" t="str">
        <f t="shared" si="44"/>
        <v/>
      </c>
      <c r="AB139" s="213"/>
      <c r="AC139" s="204"/>
    </row>
    <row r="140" spans="1:29" ht="11.4">
      <c r="A140" s="211" t="str">
        <f t="shared" si="56"/>
        <v/>
      </c>
      <c r="B140" s="211"/>
      <c r="C140" s="185"/>
      <c r="D140" s="186" t="str">
        <f t="shared" si="45"/>
        <v/>
      </c>
      <c r="E140" s="186" t="str">
        <f>IF(OR(C140="",C140=Data!$B$3),"",IF(C140=Data!$B$4,"L","S"))</f>
        <v/>
      </c>
      <c r="F140" s="186" t="str">
        <f t="shared" si="46"/>
        <v/>
      </c>
      <c r="G140" s="187" t="str">
        <f t="shared" ref="G140:G203" si="58">IF(A140="","",$D$3)</f>
        <v/>
      </c>
      <c r="H140" s="188"/>
      <c r="I140" s="189" t="str">
        <f t="shared" si="47"/>
        <v/>
      </c>
      <c r="J140" s="189" t="str">
        <f t="shared" si="48"/>
        <v/>
      </c>
      <c r="K140" s="190" t="str">
        <f t="shared" si="49"/>
        <v/>
      </c>
      <c r="L140" s="190" t="str">
        <f t="shared" si="50"/>
        <v/>
      </c>
      <c r="M140" s="214"/>
      <c r="N140" s="214"/>
      <c r="O140" s="189" t="str">
        <f t="shared" si="51"/>
        <v/>
      </c>
      <c r="P140" s="191" t="str">
        <f t="shared" ref="P140:P203" si="59">IF(O140="","",IF(L140*F140*G140=0,0,L140*F140*G140))</f>
        <v/>
      </c>
      <c r="Q140" s="192" t="str">
        <f t="shared" si="52"/>
        <v/>
      </c>
      <c r="R140" s="191" t="str">
        <f t="shared" ref="R140:R203" si="60">IF(O140&lt;&gt;"",IF(K140*F140*G140=0,"",K140*F140*G140),"")</f>
        <v/>
      </c>
      <c r="S140" s="193" t="str">
        <f t="shared" si="53"/>
        <v/>
      </c>
      <c r="T140" s="194" t="str">
        <f t="shared" ref="T140:T203" si="61">IF(X140="","",X140*F140*G140)</f>
        <v/>
      </c>
      <c r="U140" s="192" t="str">
        <f t="shared" si="54"/>
        <v/>
      </c>
      <c r="V140" s="195" t="str">
        <f t="shared" ref="V140:V203" si="62">IF(O140="","",IF(AND(O140&gt;I140,E140="L"),1, IF(AND(I140&gt;O140,E140="S"),1,0)))</f>
        <v/>
      </c>
      <c r="W140" s="195" t="str">
        <f t="shared" ref="W140:W203" si="63">IF(O140="","",IF(AND(O140&lt;I140,E140="L"),1, IF(AND(I140&lt;O140,E140="S"),1,0)))</f>
        <v/>
      </c>
      <c r="X140" s="196" t="str">
        <f t="shared" si="55"/>
        <v/>
      </c>
      <c r="Y140" s="191" t="str">
        <f t="shared" si="57"/>
        <v/>
      </c>
      <c r="Z140" s="197" t="str">
        <f t="shared" ref="Z140:Z203" si="64">IF(M140="","",MONTH(M140))</f>
        <v/>
      </c>
      <c r="AA140" s="197" t="str">
        <f t="shared" ref="AA140:AA203" si="65">IF(M140="","",YEAR(M140))</f>
        <v/>
      </c>
      <c r="AB140" s="213"/>
      <c r="AC140" s="204"/>
    </row>
    <row r="141" spans="1:29" ht="11.4">
      <c r="A141" s="211" t="str">
        <f t="shared" si="56"/>
        <v/>
      </c>
      <c r="B141" s="211"/>
      <c r="C141" s="185"/>
      <c r="D141" s="186" t="str">
        <f t="shared" ref="D141:D204" si="66">IF(A141&lt;&gt;"","GBPUSD","")</f>
        <v/>
      </c>
      <c r="E141" s="186" t="str">
        <f>IF(OR(C141="",C141=Data!$B$3),"",IF(C141=Data!$B$4,"L","S"))</f>
        <v/>
      </c>
      <c r="F141" s="186" t="str">
        <f t="shared" ref="F141:F204" si="67">IF(A141&lt;&gt;"",$D$2,"")</f>
        <v/>
      </c>
      <c r="G141" s="187" t="str">
        <f t="shared" si="58"/>
        <v/>
      </c>
      <c r="H141" s="188"/>
      <c r="I141" s="189" t="str">
        <f t="shared" ref="I141:I204" si="68">IF(H141="","",IF(E141="L",H141+$D$4*0.0001,H141-$D$4*0.0001))</f>
        <v/>
      </c>
      <c r="J141" s="189" t="str">
        <f t="shared" ref="J141:J204" si="69">IF(AND(H141&lt;&gt;"",I141&lt;&gt;""),IF(E141="L",I141+(I141-H141)*3,I141-(H141-I141)*3),"")</f>
        <v/>
      </c>
      <c r="K141" s="190" t="str">
        <f t="shared" ref="K141:K204" si="70">IF(AND(E141&lt;&gt;"",AND(I141&lt;&gt;"",J141&lt;&gt;"")),IF(E141="L",(J141-I141)*IF(I141&gt;10,IF(SEARCH("JPY",D141),10,100),10000),(I141-J141)*IF(I141&gt;10,IF(SEARCH("JPY",D141),10,100),10000)),"")</f>
        <v/>
      </c>
      <c r="L141" s="190" t="str">
        <f t="shared" ref="L141:L204" si="71">IF(AND(E141&lt;&gt;"",AND(H141&lt;&gt;"",I141&lt;&gt;"")),IF(E141="L",(I141-H141)*IF(I141&gt;10,IF(SEARCH("JPY",D141),10,100),10000),(H141-I141)*IF(I141&gt;10,IF(SEARCH("JPY",D141),10,100),10000)),"")</f>
        <v/>
      </c>
      <c r="M141" s="214"/>
      <c r="N141" s="214"/>
      <c r="O141" s="189" t="str">
        <f t="shared" ref="O141:O204" si="72">IF(H141&lt;&gt;"",H141, "")</f>
        <v/>
      </c>
      <c r="P141" s="191" t="str">
        <f t="shared" si="59"/>
        <v/>
      </c>
      <c r="Q141" s="192" t="str">
        <f t="shared" ref="Q141:Q204" si="73">IF(P141="","",IF(P141=0,0,P141/$I$4))</f>
        <v/>
      </c>
      <c r="R141" s="191" t="str">
        <f t="shared" si="60"/>
        <v/>
      </c>
      <c r="S141" s="193" t="str">
        <f t="shared" ref="S141:S204" si="74">IF(P141="","",IF(P141=0,0,R141/P141))</f>
        <v/>
      </c>
      <c r="T141" s="194" t="str">
        <f t="shared" si="61"/>
        <v/>
      </c>
      <c r="U141" s="192" t="str">
        <f t="shared" ref="U141:U204" si="75">IF(T141="","",IF($I$4="","",T141/$I$4))</f>
        <v/>
      </c>
      <c r="V141" s="195" t="str">
        <f t="shared" si="62"/>
        <v/>
      </c>
      <c r="W141" s="195" t="str">
        <f t="shared" si="63"/>
        <v/>
      </c>
      <c r="X141" s="196" t="str">
        <f t="shared" ref="X141:X204" si="76">IF((O141=""),"",IF(E141="L",1,-1)*(O141-I141)*IF(O141&gt;10,IF(SEARCH("JPY",D141),10,100),10000))</f>
        <v/>
      </c>
      <c r="Y141" s="191" t="str">
        <f t="shared" si="57"/>
        <v/>
      </c>
      <c r="Z141" s="197" t="str">
        <f t="shared" si="64"/>
        <v/>
      </c>
      <c r="AA141" s="197" t="str">
        <f t="shared" si="65"/>
        <v/>
      </c>
      <c r="AB141" s="213"/>
      <c r="AC141" s="204"/>
    </row>
    <row r="142" spans="1:29" ht="11.4">
      <c r="A142" s="211" t="str">
        <f t="shared" ref="A142:A205" si="77">IF(C142="","",A141+1)</f>
        <v/>
      </c>
      <c r="B142" s="211"/>
      <c r="C142" s="185"/>
      <c r="D142" s="186" t="str">
        <f t="shared" si="66"/>
        <v/>
      </c>
      <c r="E142" s="186" t="str">
        <f>IF(OR(C142="",C142=Data!$B$3),"",IF(C142=Data!$B$4,"L","S"))</f>
        <v/>
      </c>
      <c r="F142" s="186" t="str">
        <f t="shared" si="67"/>
        <v/>
      </c>
      <c r="G142" s="187" t="str">
        <f t="shared" si="58"/>
        <v/>
      </c>
      <c r="H142" s="188"/>
      <c r="I142" s="189" t="str">
        <f t="shared" si="68"/>
        <v/>
      </c>
      <c r="J142" s="189" t="str">
        <f t="shared" si="69"/>
        <v/>
      </c>
      <c r="K142" s="190" t="str">
        <f t="shared" si="70"/>
        <v/>
      </c>
      <c r="L142" s="190" t="str">
        <f t="shared" si="71"/>
        <v/>
      </c>
      <c r="M142" s="214"/>
      <c r="N142" s="214"/>
      <c r="O142" s="189" t="str">
        <f t="shared" si="72"/>
        <v/>
      </c>
      <c r="P142" s="191" t="str">
        <f t="shared" si="59"/>
        <v/>
      </c>
      <c r="Q142" s="192" t="str">
        <f t="shared" si="73"/>
        <v/>
      </c>
      <c r="R142" s="191" t="str">
        <f t="shared" si="60"/>
        <v/>
      </c>
      <c r="S142" s="193" t="str">
        <f t="shared" si="74"/>
        <v/>
      </c>
      <c r="T142" s="194" t="str">
        <f t="shared" si="61"/>
        <v/>
      </c>
      <c r="U142" s="192" t="str">
        <f t="shared" si="75"/>
        <v/>
      </c>
      <c r="V142" s="195" t="str">
        <f t="shared" si="62"/>
        <v/>
      </c>
      <c r="W142" s="195" t="str">
        <f t="shared" si="63"/>
        <v/>
      </c>
      <c r="X142" s="196" t="str">
        <f t="shared" si="76"/>
        <v/>
      </c>
      <c r="Y142" s="191" t="str">
        <f t="shared" si="57"/>
        <v/>
      </c>
      <c r="Z142" s="197" t="str">
        <f t="shared" si="64"/>
        <v/>
      </c>
      <c r="AA142" s="197" t="str">
        <f t="shared" si="65"/>
        <v/>
      </c>
      <c r="AB142" s="213"/>
      <c r="AC142" s="204"/>
    </row>
    <row r="143" spans="1:29" ht="11.4">
      <c r="A143" s="211" t="str">
        <f t="shared" si="77"/>
        <v/>
      </c>
      <c r="B143" s="211"/>
      <c r="C143" s="185"/>
      <c r="D143" s="186" t="str">
        <f t="shared" si="66"/>
        <v/>
      </c>
      <c r="E143" s="186" t="str">
        <f>IF(OR(C143="",C143=Data!$B$3),"",IF(C143=Data!$B$4,"L","S"))</f>
        <v/>
      </c>
      <c r="F143" s="186" t="str">
        <f t="shared" si="67"/>
        <v/>
      </c>
      <c r="G143" s="187" t="str">
        <f t="shared" si="58"/>
        <v/>
      </c>
      <c r="H143" s="188"/>
      <c r="I143" s="189" t="str">
        <f t="shared" si="68"/>
        <v/>
      </c>
      <c r="J143" s="189" t="str">
        <f t="shared" si="69"/>
        <v/>
      </c>
      <c r="K143" s="190" t="str">
        <f t="shared" si="70"/>
        <v/>
      </c>
      <c r="L143" s="190" t="str">
        <f t="shared" si="71"/>
        <v/>
      </c>
      <c r="M143" s="214"/>
      <c r="N143" s="214"/>
      <c r="O143" s="189" t="str">
        <f t="shared" si="72"/>
        <v/>
      </c>
      <c r="P143" s="191" t="str">
        <f t="shared" si="59"/>
        <v/>
      </c>
      <c r="Q143" s="192" t="str">
        <f t="shared" si="73"/>
        <v/>
      </c>
      <c r="R143" s="191" t="str">
        <f t="shared" si="60"/>
        <v/>
      </c>
      <c r="S143" s="193" t="str">
        <f t="shared" si="74"/>
        <v/>
      </c>
      <c r="T143" s="194" t="str">
        <f t="shared" si="61"/>
        <v/>
      </c>
      <c r="U143" s="192" t="str">
        <f t="shared" si="75"/>
        <v/>
      </c>
      <c r="V143" s="195" t="str">
        <f t="shared" si="62"/>
        <v/>
      </c>
      <c r="W143" s="195" t="str">
        <f t="shared" si="63"/>
        <v/>
      </c>
      <c r="X143" s="196" t="str">
        <f t="shared" si="76"/>
        <v/>
      </c>
      <c r="Y143" s="191" t="str">
        <f t="shared" si="57"/>
        <v/>
      </c>
      <c r="Z143" s="197" t="str">
        <f t="shared" si="64"/>
        <v/>
      </c>
      <c r="AA143" s="197" t="str">
        <f t="shared" si="65"/>
        <v/>
      </c>
      <c r="AB143" s="213"/>
      <c r="AC143" s="204"/>
    </row>
    <row r="144" spans="1:29" ht="11.4">
      <c r="A144" s="211" t="str">
        <f t="shared" si="77"/>
        <v/>
      </c>
      <c r="B144" s="211"/>
      <c r="C144" s="185"/>
      <c r="D144" s="186" t="str">
        <f t="shared" si="66"/>
        <v/>
      </c>
      <c r="E144" s="186" t="str">
        <f>IF(OR(C144="",C144=Data!$B$3),"",IF(C144=Data!$B$4,"L","S"))</f>
        <v/>
      </c>
      <c r="F144" s="186" t="str">
        <f t="shared" si="67"/>
        <v/>
      </c>
      <c r="G144" s="187" t="str">
        <f t="shared" si="58"/>
        <v/>
      </c>
      <c r="H144" s="188"/>
      <c r="I144" s="189" t="str">
        <f t="shared" si="68"/>
        <v/>
      </c>
      <c r="J144" s="189" t="str">
        <f t="shared" si="69"/>
        <v/>
      </c>
      <c r="K144" s="190" t="str">
        <f t="shared" si="70"/>
        <v/>
      </c>
      <c r="L144" s="190" t="str">
        <f t="shared" si="71"/>
        <v/>
      </c>
      <c r="M144" s="214"/>
      <c r="N144" s="214"/>
      <c r="O144" s="189" t="str">
        <f t="shared" si="72"/>
        <v/>
      </c>
      <c r="P144" s="191" t="str">
        <f t="shared" si="59"/>
        <v/>
      </c>
      <c r="Q144" s="192" t="str">
        <f t="shared" si="73"/>
        <v/>
      </c>
      <c r="R144" s="191" t="str">
        <f t="shared" si="60"/>
        <v/>
      </c>
      <c r="S144" s="193" t="str">
        <f t="shared" si="74"/>
        <v/>
      </c>
      <c r="T144" s="194" t="str">
        <f t="shared" si="61"/>
        <v/>
      </c>
      <c r="U144" s="192" t="str">
        <f t="shared" si="75"/>
        <v/>
      </c>
      <c r="V144" s="195" t="str">
        <f t="shared" si="62"/>
        <v/>
      </c>
      <c r="W144" s="195" t="str">
        <f t="shared" si="63"/>
        <v/>
      </c>
      <c r="X144" s="196" t="str">
        <f t="shared" si="76"/>
        <v/>
      </c>
      <c r="Y144" s="191" t="str">
        <f t="shared" si="57"/>
        <v/>
      </c>
      <c r="Z144" s="197" t="str">
        <f t="shared" si="64"/>
        <v/>
      </c>
      <c r="AA144" s="197" t="str">
        <f t="shared" si="65"/>
        <v/>
      </c>
      <c r="AB144" s="213"/>
      <c r="AC144" s="204"/>
    </row>
    <row r="145" spans="1:29" ht="11.4">
      <c r="A145" s="211" t="str">
        <f t="shared" si="77"/>
        <v/>
      </c>
      <c r="B145" s="211"/>
      <c r="C145" s="185"/>
      <c r="D145" s="186" t="str">
        <f t="shared" si="66"/>
        <v/>
      </c>
      <c r="E145" s="186" t="str">
        <f>IF(OR(C145="",C145=Data!$B$3),"",IF(C145=Data!$B$4,"L","S"))</f>
        <v/>
      </c>
      <c r="F145" s="186" t="str">
        <f t="shared" si="67"/>
        <v/>
      </c>
      <c r="G145" s="187" t="str">
        <f t="shared" si="58"/>
        <v/>
      </c>
      <c r="H145" s="188"/>
      <c r="I145" s="189" t="str">
        <f t="shared" si="68"/>
        <v/>
      </c>
      <c r="J145" s="189" t="str">
        <f t="shared" si="69"/>
        <v/>
      </c>
      <c r="K145" s="190" t="str">
        <f t="shared" si="70"/>
        <v/>
      </c>
      <c r="L145" s="190" t="str">
        <f t="shared" si="71"/>
        <v/>
      </c>
      <c r="M145" s="214"/>
      <c r="N145" s="214"/>
      <c r="O145" s="189" t="str">
        <f t="shared" si="72"/>
        <v/>
      </c>
      <c r="P145" s="191" t="str">
        <f t="shared" si="59"/>
        <v/>
      </c>
      <c r="Q145" s="192" t="str">
        <f t="shared" si="73"/>
        <v/>
      </c>
      <c r="R145" s="191" t="str">
        <f t="shared" si="60"/>
        <v/>
      </c>
      <c r="S145" s="193" t="str">
        <f t="shared" si="74"/>
        <v/>
      </c>
      <c r="T145" s="194" t="str">
        <f t="shared" si="61"/>
        <v/>
      </c>
      <c r="U145" s="192" t="str">
        <f t="shared" si="75"/>
        <v/>
      </c>
      <c r="V145" s="195" t="str">
        <f t="shared" si="62"/>
        <v/>
      </c>
      <c r="W145" s="195" t="str">
        <f t="shared" si="63"/>
        <v/>
      </c>
      <c r="X145" s="196" t="str">
        <f t="shared" si="76"/>
        <v/>
      </c>
      <c r="Y145" s="191" t="str">
        <f t="shared" si="57"/>
        <v/>
      </c>
      <c r="Z145" s="197" t="str">
        <f t="shared" si="64"/>
        <v/>
      </c>
      <c r="AA145" s="197" t="str">
        <f t="shared" si="65"/>
        <v/>
      </c>
      <c r="AB145" s="213"/>
      <c r="AC145" s="204"/>
    </row>
    <row r="146" spans="1:29" ht="11.4">
      <c r="A146" s="211" t="str">
        <f t="shared" si="77"/>
        <v/>
      </c>
      <c r="B146" s="211"/>
      <c r="C146" s="185"/>
      <c r="D146" s="186" t="str">
        <f t="shared" si="66"/>
        <v/>
      </c>
      <c r="E146" s="186" t="str">
        <f>IF(OR(C146="",C146=Data!$B$3),"",IF(C146=Data!$B$4,"L","S"))</f>
        <v/>
      </c>
      <c r="F146" s="186" t="str">
        <f t="shared" si="67"/>
        <v/>
      </c>
      <c r="G146" s="187" t="str">
        <f t="shared" si="58"/>
        <v/>
      </c>
      <c r="H146" s="188"/>
      <c r="I146" s="189" t="str">
        <f t="shared" si="68"/>
        <v/>
      </c>
      <c r="J146" s="189" t="str">
        <f t="shared" si="69"/>
        <v/>
      </c>
      <c r="K146" s="190" t="str">
        <f t="shared" si="70"/>
        <v/>
      </c>
      <c r="L146" s="190" t="str">
        <f t="shared" si="71"/>
        <v/>
      </c>
      <c r="M146" s="214"/>
      <c r="N146" s="214"/>
      <c r="O146" s="189" t="str">
        <f t="shared" si="72"/>
        <v/>
      </c>
      <c r="P146" s="191" t="str">
        <f t="shared" si="59"/>
        <v/>
      </c>
      <c r="Q146" s="192" t="str">
        <f t="shared" si="73"/>
        <v/>
      </c>
      <c r="R146" s="191" t="str">
        <f t="shared" si="60"/>
        <v/>
      </c>
      <c r="S146" s="193" t="str">
        <f t="shared" si="74"/>
        <v/>
      </c>
      <c r="T146" s="194" t="str">
        <f t="shared" si="61"/>
        <v/>
      </c>
      <c r="U146" s="192" t="str">
        <f t="shared" si="75"/>
        <v/>
      </c>
      <c r="V146" s="195" t="str">
        <f t="shared" si="62"/>
        <v/>
      </c>
      <c r="W146" s="195" t="str">
        <f t="shared" si="63"/>
        <v/>
      </c>
      <c r="X146" s="196" t="str">
        <f t="shared" si="76"/>
        <v/>
      </c>
      <c r="Y146" s="191" t="str">
        <f t="shared" si="57"/>
        <v/>
      </c>
      <c r="Z146" s="197" t="str">
        <f t="shared" si="64"/>
        <v/>
      </c>
      <c r="AA146" s="197" t="str">
        <f t="shared" si="65"/>
        <v/>
      </c>
      <c r="AB146" s="213"/>
      <c r="AC146" s="204"/>
    </row>
    <row r="147" spans="1:29" ht="11.4">
      <c r="A147" s="211" t="str">
        <f t="shared" si="77"/>
        <v/>
      </c>
      <c r="B147" s="211"/>
      <c r="C147" s="185"/>
      <c r="D147" s="186" t="str">
        <f t="shared" si="66"/>
        <v/>
      </c>
      <c r="E147" s="186" t="str">
        <f>IF(OR(C147="",C147=Data!$B$3),"",IF(C147=Data!$B$4,"L","S"))</f>
        <v/>
      </c>
      <c r="F147" s="186" t="str">
        <f t="shared" si="67"/>
        <v/>
      </c>
      <c r="G147" s="187" t="str">
        <f t="shared" si="58"/>
        <v/>
      </c>
      <c r="H147" s="188"/>
      <c r="I147" s="189" t="str">
        <f t="shared" si="68"/>
        <v/>
      </c>
      <c r="J147" s="189" t="str">
        <f t="shared" si="69"/>
        <v/>
      </c>
      <c r="K147" s="190" t="str">
        <f t="shared" si="70"/>
        <v/>
      </c>
      <c r="L147" s="190" t="str">
        <f t="shared" si="71"/>
        <v/>
      </c>
      <c r="M147" s="214"/>
      <c r="N147" s="214"/>
      <c r="O147" s="189" t="str">
        <f t="shared" si="72"/>
        <v/>
      </c>
      <c r="P147" s="191" t="str">
        <f t="shared" si="59"/>
        <v/>
      </c>
      <c r="Q147" s="192" t="str">
        <f t="shared" si="73"/>
        <v/>
      </c>
      <c r="R147" s="191" t="str">
        <f t="shared" si="60"/>
        <v/>
      </c>
      <c r="S147" s="193" t="str">
        <f t="shared" si="74"/>
        <v/>
      </c>
      <c r="T147" s="194" t="str">
        <f t="shared" si="61"/>
        <v/>
      </c>
      <c r="U147" s="192" t="str">
        <f t="shared" si="75"/>
        <v/>
      </c>
      <c r="V147" s="195" t="str">
        <f t="shared" si="62"/>
        <v/>
      </c>
      <c r="W147" s="195" t="str">
        <f t="shared" si="63"/>
        <v/>
      </c>
      <c r="X147" s="196" t="str">
        <f t="shared" si="76"/>
        <v/>
      </c>
      <c r="Y147" s="191" t="str">
        <f t="shared" si="57"/>
        <v/>
      </c>
      <c r="Z147" s="197" t="str">
        <f t="shared" si="64"/>
        <v/>
      </c>
      <c r="AA147" s="197" t="str">
        <f t="shared" si="65"/>
        <v/>
      </c>
      <c r="AB147" s="213"/>
      <c r="AC147" s="204"/>
    </row>
    <row r="148" spans="1:29" ht="11.4">
      <c r="A148" s="211" t="str">
        <f t="shared" si="77"/>
        <v/>
      </c>
      <c r="B148" s="211"/>
      <c r="C148" s="185"/>
      <c r="D148" s="186" t="str">
        <f t="shared" si="66"/>
        <v/>
      </c>
      <c r="E148" s="186" t="str">
        <f>IF(OR(C148="",C148=Data!$B$3),"",IF(C148=Data!$B$4,"L","S"))</f>
        <v/>
      </c>
      <c r="F148" s="186" t="str">
        <f t="shared" si="67"/>
        <v/>
      </c>
      <c r="G148" s="187" t="str">
        <f t="shared" si="58"/>
        <v/>
      </c>
      <c r="H148" s="188"/>
      <c r="I148" s="189" t="str">
        <f t="shared" si="68"/>
        <v/>
      </c>
      <c r="J148" s="189" t="str">
        <f t="shared" si="69"/>
        <v/>
      </c>
      <c r="K148" s="190" t="str">
        <f t="shared" si="70"/>
        <v/>
      </c>
      <c r="L148" s="190" t="str">
        <f t="shared" si="71"/>
        <v/>
      </c>
      <c r="M148" s="214"/>
      <c r="N148" s="214"/>
      <c r="O148" s="189" t="str">
        <f t="shared" si="72"/>
        <v/>
      </c>
      <c r="P148" s="191" t="str">
        <f t="shared" si="59"/>
        <v/>
      </c>
      <c r="Q148" s="192" t="str">
        <f t="shared" si="73"/>
        <v/>
      </c>
      <c r="R148" s="191" t="str">
        <f t="shared" si="60"/>
        <v/>
      </c>
      <c r="S148" s="193" t="str">
        <f t="shared" si="74"/>
        <v/>
      </c>
      <c r="T148" s="194" t="str">
        <f t="shared" si="61"/>
        <v/>
      </c>
      <c r="U148" s="192" t="str">
        <f t="shared" si="75"/>
        <v/>
      </c>
      <c r="V148" s="195" t="str">
        <f t="shared" si="62"/>
        <v/>
      </c>
      <c r="W148" s="195" t="str">
        <f t="shared" si="63"/>
        <v/>
      </c>
      <c r="X148" s="196" t="str">
        <f t="shared" si="76"/>
        <v/>
      </c>
      <c r="Y148" s="191" t="str">
        <f t="shared" ref="Y148:Y211" si="78">IF(Y147="","",IF(T148="","",Y147+T148))</f>
        <v/>
      </c>
      <c r="Z148" s="197" t="str">
        <f t="shared" si="64"/>
        <v/>
      </c>
      <c r="AA148" s="197" t="str">
        <f t="shared" si="65"/>
        <v/>
      </c>
      <c r="AB148" s="213"/>
      <c r="AC148" s="204"/>
    </row>
    <row r="149" spans="1:29" ht="11.4">
      <c r="A149" s="211" t="str">
        <f t="shared" si="77"/>
        <v/>
      </c>
      <c r="B149" s="211"/>
      <c r="C149" s="185"/>
      <c r="D149" s="186" t="str">
        <f t="shared" si="66"/>
        <v/>
      </c>
      <c r="E149" s="186" t="str">
        <f>IF(OR(C149="",C149=Data!$B$3),"",IF(C149=Data!$B$4,"L","S"))</f>
        <v/>
      </c>
      <c r="F149" s="186" t="str">
        <f t="shared" si="67"/>
        <v/>
      </c>
      <c r="G149" s="187" t="str">
        <f t="shared" si="58"/>
        <v/>
      </c>
      <c r="H149" s="188"/>
      <c r="I149" s="189" t="str">
        <f t="shared" si="68"/>
        <v/>
      </c>
      <c r="J149" s="189" t="str">
        <f t="shared" si="69"/>
        <v/>
      </c>
      <c r="K149" s="190" t="str">
        <f t="shared" si="70"/>
        <v/>
      </c>
      <c r="L149" s="190" t="str">
        <f t="shared" si="71"/>
        <v/>
      </c>
      <c r="M149" s="214"/>
      <c r="N149" s="214"/>
      <c r="O149" s="189" t="str">
        <f t="shared" si="72"/>
        <v/>
      </c>
      <c r="P149" s="191" t="str">
        <f t="shared" si="59"/>
        <v/>
      </c>
      <c r="Q149" s="192" t="str">
        <f t="shared" si="73"/>
        <v/>
      </c>
      <c r="R149" s="191" t="str">
        <f t="shared" si="60"/>
        <v/>
      </c>
      <c r="S149" s="193" t="str">
        <f t="shared" si="74"/>
        <v/>
      </c>
      <c r="T149" s="194" t="str">
        <f t="shared" si="61"/>
        <v/>
      </c>
      <c r="U149" s="192" t="str">
        <f t="shared" si="75"/>
        <v/>
      </c>
      <c r="V149" s="195" t="str">
        <f t="shared" si="62"/>
        <v/>
      </c>
      <c r="W149" s="195" t="str">
        <f t="shared" si="63"/>
        <v/>
      </c>
      <c r="X149" s="196" t="str">
        <f t="shared" si="76"/>
        <v/>
      </c>
      <c r="Y149" s="191" t="str">
        <f t="shared" si="78"/>
        <v/>
      </c>
      <c r="Z149" s="197" t="str">
        <f t="shared" si="64"/>
        <v/>
      </c>
      <c r="AA149" s="197" t="str">
        <f t="shared" si="65"/>
        <v/>
      </c>
      <c r="AB149" s="213"/>
      <c r="AC149" s="204"/>
    </row>
    <row r="150" spans="1:29" ht="11.4">
      <c r="A150" s="211" t="str">
        <f t="shared" si="77"/>
        <v/>
      </c>
      <c r="B150" s="211"/>
      <c r="C150" s="185"/>
      <c r="D150" s="186" t="str">
        <f t="shared" si="66"/>
        <v/>
      </c>
      <c r="E150" s="186" t="str">
        <f>IF(OR(C150="",C150=Data!$B$3),"",IF(C150=Data!$B$4,"L","S"))</f>
        <v/>
      </c>
      <c r="F150" s="186" t="str">
        <f t="shared" si="67"/>
        <v/>
      </c>
      <c r="G150" s="187" t="str">
        <f t="shared" si="58"/>
        <v/>
      </c>
      <c r="H150" s="188"/>
      <c r="I150" s="189" t="str">
        <f t="shared" si="68"/>
        <v/>
      </c>
      <c r="J150" s="189" t="str">
        <f t="shared" si="69"/>
        <v/>
      </c>
      <c r="K150" s="190" t="str">
        <f t="shared" si="70"/>
        <v/>
      </c>
      <c r="L150" s="190" t="str">
        <f t="shared" si="71"/>
        <v/>
      </c>
      <c r="M150" s="214"/>
      <c r="N150" s="214"/>
      <c r="O150" s="189" t="str">
        <f t="shared" si="72"/>
        <v/>
      </c>
      <c r="P150" s="191" t="str">
        <f t="shared" si="59"/>
        <v/>
      </c>
      <c r="Q150" s="192" t="str">
        <f t="shared" si="73"/>
        <v/>
      </c>
      <c r="R150" s="191" t="str">
        <f t="shared" si="60"/>
        <v/>
      </c>
      <c r="S150" s="193" t="str">
        <f t="shared" si="74"/>
        <v/>
      </c>
      <c r="T150" s="194" t="str">
        <f t="shared" si="61"/>
        <v/>
      </c>
      <c r="U150" s="192" t="str">
        <f t="shared" si="75"/>
        <v/>
      </c>
      <c r="V150" s="195" t="str">
        <f t="shared" si="62"/>
        <v/>
      </c>
      <c r="W150" s="195" t="str">
        <f t="shared" si="63"/>
        <v/>
      </c>
      <c r="X150" s="196" t="str">
        <f t="shared" si="76"/>
        <v/>
      </c>
      <c r="Y150" s="191" t="str">
        <f t="shared" si="78"/>
        <v/>
      </c>
      <c r="Z150" s="197" t="str">
        <f t="shared" si="64"/>
        <v/>
      </c>
      <c r="AA150" s="197" t="str">
        <f t="shared" si="65"/>
        <v/>
      </c>
      <c r="AB150" s="213"/>
      <c r="AC150" s="204"/>
    </row>
    <row r="151" spans="1:29" ht="11.4">
      <c r="A151" s="211" t="str">
        <f t="shared" si="77"/>
        <v/>
      </c>
      <c r="B151" s="211"/>
      <c r="C151" s="185"/>
      <c r="D151" s="186" t="str">
        <f t="shared" si="66"/>
        <v/>
      </c>
      <c r="E151" s="186" t="str">
        <f>IF(OR(C151="",C151=Data!$B$3),"",IF(C151=Data!$B$4,"L","S"))</f>
        <v/>
      </c>
      <c r="F151" s="186" t="str">
        <f t="shared" si="67"/>
        <v/>
      </c>
      <c r="G151" s="187" t="str">
        <f t="shared" si="58"/>
        <v/>
      </c>
      <c r="H151" s="188"/>
      <c r="I151" s="189" t="str">
        <f t="shared" si="68"/>
        <v/>
      </c>
      <c r="J151" s="189" t="str">
        <f t="shared" si="69"/>
        <v/>
      </c>
      <c r="K151" s="190" t="str">
        <f t="shared" si="70"/>
        <v/>
      </c>
      <c r="L151" s="190" t="str">
        <f t="shared" si="71"/>
        <v/>
      </c>
      <c r="M151" s="214"/>
      <c r="N151" s="214"/>
      <c r="O151" s="189" t="str">
        <f t="shared" si="72"/>
        <v/>
      </c>
      <c r="P151" s="191" t="str">
        <f t="shared" si="59"/>
        <v/>
      </c>
      <c r="Q151" s="192" t="str">
        <f t="shared" si="73"/>
        <v/>
      </c>
      <c r="R151" s="191" t="str">
        <f t="shared" si="60"/>
        <v/>
      </c>
      <c r="S151" s="193" t="str">
        <f t="shared" si="74"/>
        <v/>
      </c>
      <c r="T151" s="194" t="str">
        <f t="shared" si="61"/>
        <v/>
      </c>
      <c r="U151" s="192" t="str">
        <f t="shared" si="75"/>
        <v/>
      </c>
      <c r="V151" s="195" t="str">
        <f t="shared" si="62"/>
        <v/>
      </c>
      <c r="W151" s="195" t="str">
        <f t="shared" si="63"/>
        <v/>
      </c>
      <c r="X151" s="196" t="str">
        <f t="shared" si="76"/>
        <v/>
      </c>
      <c r="Y151" s="191" t="str">
        <f t="shared" si="78"/>
        <v/>
      </c>
      <c r="Z151" s="197" t="str">
        <f t="shared" si="64"/>
        <v/>
      </c>
      <c r="AA151" s="197" t="str">
        <f t="shared" si="65"/>
        <v/>
      </c>
      <c r="AB151" s="213"/>
      <c r="AC151" s="204"/>
    </row>
    <row r="152" spans="1:29" ht="11.4">
      <c r="A152" s="211" t="str">
        <f t="shared" si="77"/>
        <v/>
      </c>
      <c r="B152" s="211"/>
      <c r="C152" s="185"/>
      <c r="D152" s="186" t="str">
        <f t="shared" si="66"/>
        <v/>
      </c>
      <c r="E152" s="186" t="str">
        <f>IF(OR(C152="",C152=Data!$B$3),"",IF(C152=Data!$B$4,"L","S"))</f>
        <v/>
      </c>
      <c r="F152" s="186" t="str">
        <f t="shared" si="67"/>
        <v/>
      </c>
      <c r="G152" s="187" t="str">
        <f t="shared" si="58"/>
        <v/>
      </c>
      <c r="H152" s="188"/>
      <c r="I152" s="189" t="str">
        <f t="shared" si="68"/>
        <v/>
      </c>
      <c r="J152" s="189" t="str">
        <f t="shared" si="69"/>
        <v/>
      </c>
      <c r="K152" s="190" t="str">
        <f t="shared" si="70"/>
        <v/>
      </c>
      <c r="L152" s="190" t="str">
        <f t="shared" si="71"/>
        <v/>
      </c>
      <c r="M152" s="214"/>
      <c r="N152" s="214"/>
      <c r="O152" s="189" t="str">
        <f t="shared" si="72"/>
        <v/>
      </c>
      <c r="P152" s="191" t="str">
        <f t="shared" si="59"/>
        <v/>
      </c>
      <c r="Q152" s="192" t="str">
        <f t="shared" si="73"/>
        <v/>
      </c>
      <c r="R152" s="191" t="str">
        <f t="shared" si="60"/>
        <v/>
      </c>
      <c r="S152" s="193" t="str">
        <f t="shared" si="74"/>
        <v/>
      </c>
      <c r="T152" s="194" t="str">
        <f t="shared" si="61"/>
        <v/>
      </c>
      <c r="U152" s="192" t="str">
        <f t="shared" si="75"/>
        <v/>
      </c>
      <c r="V152" s="195" t="str">
        <f t="shared" si="62"/>
        <v/>
      </c>
      <c r="W152" s="195" t="str">
        <f t="shared" si="63"/>
        <v/>
      </c>
      <c r="X152" s="196" t="str">
        <f t="shared" si="76"/>
        <v/>
      </c>
      <c r="Y152" s="191" t="str">
        <f t="shared" si="78"/>
        <v/>
      </c>
      <c r="Z152" s="197" t="str">
        <f t="shared" si="64"/>
        <v/>
      </c>
      <c r="AA152" s="197" t="str">
        <f t="shared" si="65"/>
        <v/>
      </c>
      <c r="AB152" s="213"/>
      <c r="AC152" s="204"/>
    </row>
    <row r="153" spans="1:29" ht="11.4">
      <c r="A153" s="211" t="str">
        <f t="shared" si="77"/>
        <v/>
      </c>
      <c r="B153" s="211"/>
      <c r="C153" s="185"/>
      <c r="D153" s="186" t="str">
        <f t="shared" si="66"/>
        <v/>
      </c>
      <c r="E153" s="186" t="str">
        <f>IF(OR(C153="",C153=Data!$B$3),"",IF(C153=Data!$B$4,"L","S"))</f>
        <v/>
      </c>
      <c r="F153" s="186" t="str">
        <f t="shared" si="67"/>
        <v/>
      </c>
      <c r="G153" s="187" t="str">
        <f t="shared" si="58"/>
        <v/>
      </c>
      <c r="H153" s="188"/>
      <c r="I153" s="189" t="str">
        <f t="shared" si="68"/>
        <v/>
      </c>
      <c r="J153" s="189" t="str">
        <f t="shared" si="69"/>
        <v/>
      </c>
      <c r="K153" s="190" t="str">
        <f t="shared" si="70"/>
        <v/>
      </c>
      <c r="L153" s="190" t="str">
        <f t="shared" si="71"/>
        <v/>
      </c>
      <c r="M153" s="214"/>
      <c r="N153" s="214"/>
      <c r="O153" s="189" t="str">
        <f t="shared" si="72"/>
        <v/>
      </c>
      <c r="P153" s="191" t="str">
        <f t="shared" si="59"/>
        <v/>
      </c>
      <c r="Q153" s="192" t="str">
        <f t="shared" si="73"/>
        <v/>
      </c>
      <c r="R153" s="191" t="str">
        <f t="shared" si="60"/>
        <v/>
      </c>
      <c r="S153" s="193" t="str">
        <f t="shared" si="74"/>
        <v/>
      </c>
      <c r="T153" s="194" t="str">
        <f t="shared" si="61"/>
        <v/>
      </c>
      <c r="U153" s="192" t="str">
        <f t="shared" si="75"/>
        <v/>
      </c>
      <c r="V153" s="195" t="str">
        <f t="shared" si="62"/>
        <v/>
      </c>
      <c r="W153" s="195" t="str">
        <f t="shared" si="63"/>
        <v/>
      </c>
      <c r="X153" s="196" t="str">
        <f t="shared" si="76"/>
        <v/>
      </c>
      <c r="Y153" s="191" t="str">
        <f t="shared" si="78"/>
        <v/>
      </c>
      <c r="Z153" s="197" t="str">
        <f t="shared" si="64"/>
        <v/>
      </c>
      <c r="AA153" s="197" t="str">
        <f t="shared" si="65"/>
        <v/>
      </c>
      <c r="AB153" s="213"/>
      <c r="AC153" s="204"/>
    </row>
    <row r="154" spans="1:29" ht="11.4">
      <c r="A154" s="211" t="str">
        <f t="shared" si="77"/>
        <v/>
      </c>
      <c r="B154" s="211"/>
      <c r="C154" s="185"/>
      <c r="D154" s="186" t="str">
        <f t="shared" si="66"/>
        <v/>
      </c>
      <c r="E154" s="186" t="str">
        <f>IF(OR(C154="",C154=Data!$B$3),"",IF(C154=Data!$B$4,"L","S"))</f>
        <v/>
      </c>
      <c r="F154" s="186" t="str">
        <f t="shared" si="67"/>
        <v/>
      </c>
      <c r="G154" s="187" t="str">
        <f t="shared" si="58"/>
        <v/>
      </c>
      <c r="H154" s="188"/>
      <c r="I154" s="189" t="str">
        <f t="shared" si="68"/>
        <v/>
      </c>
      <c r="J154" s="189" t="str">
        <f t="shared" si="69"/>
        <v/>
      </c>
      <c r="K154" s="190" t="str">
        <f t="shared" si="70"/>
        <v/>
      </c>
      <c r="L154" s="190" t="str">
        <f t="shared" si="71"/>
        <v/>
      </c>
      <c r="M154" s="214"/>
      <c r="N154" s="214"/>
      <c r="O154" s="189" t="str">
        <f t="shared" si="72"/>
        <v/>
      </c>
      <c r="P154" s="191" t="str">
        <f t="shared" si="59"/>
        <v/>
      </c>
      <c r="Q154" s="192" t="str">
        <f t="shared" si="73"/>
        <v/>
      </c>
      <c r="R154" s="191" t="str">
        <f t="shared" si="60"/>
        <v/>
      </c>
      <c r="S154" s="193" t="str">
        <f t="shared" si="74"/>
        <v/>
      </c>
      <c r="T154" s="194" t="str">
        <f t="shared" si="61"/>
        <v/>
      </c>
      <c r="U154" s="192" t="str">
        <f t="shared" si="75"/>
        <v/>
      </c>
      <c r="V154" s="195" t="str">
        <f t="shared" si="62"/>
        <v/>
      </c>
      <c r="W154" s="195" t="str">
        <f t="shared" si="63"/>
        <v/>
      </c>
      <c r="X154" s="196" t="str">
        <f t="shared" si="76"/>
        <v/>
      </c>
      <c r="Y154" s="191" t="str">
        <f t="shared" si="78"/>
        <v/>
      </c>
      <c r="Z154" s="197" t="str">
        <f t="shared" si="64"/>
        <v/>
      </c>
      <c r="AA154" s="197" t="str">
        <f t="shared" si="65"/>
        <v/>
      </c>
      <c r="AB154" s="213"/>
      <c r="AC154" s="204"/>
    </row>
    <row r="155" spans="1:29" ht="11.4">
      <c r="A155" s="211" t="str">
        <f t="shared" si="77"/>
        <v/>
      </c>
      <c r="B155" s="211"/>
      <c r="C155" s="185"/>
      <c r="D155" s="186" t="str">
        <f t="shared" si="66"/>
        <v/>
      </c>
      <c r="E155" s="186" t="str">
        <f>IF(OR(C155="",C155=Data!$B$3),"",IF(C155=Data!$B$4,"L","S"))</f>
        <v/>
      </c>
      <c r="F155" s="186" t="str">
        <f t="shared" si="67"/>
        <v/>
      </c>
      <c r="G155" s="187" t="str">
        <f t="shared" si="58"/>
        <v/>
      </c>
      <c r="H155" s="188"/>
      <c r="I155" s="189" t="str">
        <f t="shared" si="68"/>
        <v/>
      </c>
      <c r="J155" s="189" t="str">
        <f t="shared" si="69"/>
        <v/>
      </c>
      <c r="K155" s="190" t="str">
        <f t="shared" si="70"/>
        <v/>
      </c>
      <c r="L155" s="190" t="str">
        <f t="shared" si="71"/>
        <v/>
      </c>
      <c r="M155" s="214"/>
      <c r="N155" s="214"/>
      <c r="O155" s="189" t="str">
        <f t="shared" si="72"/>
        <v/>
      </c>
      <c r="P155" s="191" t="str">
        <f t="shared" si="59"/>
        <v/>
      </c>
      <c r="Q155" s="192" t="str">
        <f t="shared" si="73"/>
        <v/>
      </c>
      <c r="R155" s="191" t="str">
        <f t="shared" si="60"/>
        <v/>
      </c>
      <c r="S155" s="193" t="str">
        <f t="shared" si="74"/>
        <v/>
      </c>
      <c r="T155" s="194" t="str">
        <f t="shared" si="61"/>
        <v/>
      </c>
      <c r="U155" s="192" t="str">
        <f t="shared" si="75"/>
        <v/>
      </c>
      <c r="V155" s="195" t="str">
        <f t="shared" si="62"/>
        <v/>
      </c>
      <c r="W155" s="195" t="str">
        <f t="shared" si="63"/>
        <v/>
      </c>
      <c r="X155" s="196" t="str">
        <f t="shared" si="76"/>
        <v/>
      </c>
      <c r="Y155" s="191" t="str">
        <f t="shared" si="78"/>
        <v/>
      </c>
      <c r="Z155" s="197" t="str">
        <f t="shared" si="64"/>
        <v/>
      </c>
      <c r="AA155" s="197" t="str">
        <f t="shared" si="65"/>
        <v/>
      </c>
      <c r="AB155" s="213"/>
      <c r="AC155" s="204"/>
    </row>
    <row r="156" spans="1:29" ht="11.4">
      <c r="A156" s="211" t="str">
        <f t="shared" si="77"/>
        <v/>
      </c>
      <c r="B156" s="211"/>
      <c r="C156" s="185"/>
      <c r="D156" s="186" t="str">
        <f t="shared" si="66"/>
        <v/>
      </c>
      <c r="E156" s="186" t="str">
        <f>IF(OR(C156="",C156=Data!$B$3),"",IF(C156=Data!$B$4,"L","S"))</f>
        <v/>
      </c>
      <c r="F156" s="186" t="str">
        <f t="shared" si="67"/>
        <v/>
      </c>
      <c r="G156" s="187" t="str">
        <f t="shared" si="58"/>
        <v/>
      </c>
      <c r="H156" s="188"/>
      <c r="I156" s="189" t="str">
        <f t="shared" si="68"/>
        <v/>
      </c>
      <c r="J156" s="189" t="str">
        <f t="shared" si="69"/>
        <v/>
      </c>
      <c r="K156" s="190" t="str">
        <f t="shared" si="70"/>
        <v/>
      </c>
      <c r="L156" s="190" t="str">
        <f t="shared" si="71"/>
        <v/>
      </c>
      <c r="M156" s="214"/>
      <c r="N156" s="214"/>
      <c r="O156" s="189" t="str">
        <f t="shared" si="72"/>
        <v/>
      </c>
      <c r="P156" s="191" t="str">
        <f t="shared" si="59"/>
        <v/>
      </c>
      <c r="Q156" s="192" t="str">
        <f t="shared" si="73"/>
        <v/>
      </c>
      <c r="R156" s="191" t="str">
        <f t="shared" si="60"/>
        <v/>
      </c>
      <c r="S156" s="193" t="str">
        <f t="shared" si="74"/>
        <v/>
      </c>
      <c r="T156" s="194" t="str">
        <f t="shared" si="61"/>
        <v/>
      </c>
      <c r="U156" s="192" t="str">
        <f t="shared" si="75"/>
        <v/>
      </c>
      <c r="V156" s="195" t="str">
        <f t="shared" si="62"/>
        <v/>
      </c>
      <c r="W156" s="195" t="str">
        <f t="shared" si="63"/>
        <v/>
      </c>
      <c r="X156" s="196" t="str">
        <f t="shared" si="76"/>
        <v/>
      </c>
      <c r="Y156" s="191" t="str">
        <f t="shared" si="78"/>
        <v/>
      </c>
      <c r="Z156" s="197" t="str">
        <f t="shared" si="64"/>
        <v/>
      </c>
      <c r="AA156" s="197" t="str">
        <f t="shared" si="65"/>
        <v/>
      </c>
      <c r="AB156" s="213"/>
      <c r="AC156" s="204"/>
    </row>
    <row r="157" spans="1:29" ht="11.4">
      <c r="A157" s="211" t="str">
        <f t="shared" si="77"/>
        <v/>
      </c>
      <c r="B157" s="211"/>
      <c r="C157" s="185"/>
      <c r="D157" s="186" t="str">
        <f t="shared" si="66"/>
        <v/>
      </c>
      <c r="E157" s="186" t="str">
        <f>IF(OR(C157="",C157=Data!$B$3),"",IF(C157=Data!$B$4,"L","S"))</f>
        <v/>
      </c>
      <c r="F157" s="186" t="str">
        <f t="shared" si="67"/>
        <v/>
      </c>
      <c r="G157" s="187" t="str">
        <f t="shared" si="58"/>
        <v/>
      </c>
      <c r="H157" s="188"/>
      <c r="I157" s="189" t="str">
        <f t="shared" si="68"/>
        <v/>
      </c>
      <c r="J157" s="189" t="str">
        <f t="shared" si="69"/>
        <v/>
      </c>
      <c r="K157" s="190" t="str">
        <f t="shared" si="70"/>
        <v/>
      </c>
      <c r="L157" s="190" t="str">
        <f t="shared" si="71"/>
        <v/>
      </c>
      <c r="M157" s="214"/>
      <c r="N157" s="214"/>
      <c r="O157" s="189" t="str">
        <f t="shared" si="72"/>
        <v/>
      </c>
      <c r="P157" s="191" t="str">
        <f t="shared" si="59"/>
        <v/>
      </c>
      <c r="Q157" s="192" t="str">
        <f t="shared" si="73"/>
        <v/>
      </c>
      <c r="R157" s="191" t="str">
        <f t="shared" si="60"/>
        <v/>
      </c>
      <c r="S157" s="193" t="str">
        <f t="shared" si="74"/>
        <v/>
      </c>
      <c r="T157" s="194" t="str">
        <f t="shared" si="61"/>
        <v/>
      </c>
      <c r="U157" s="192" t="str">
        <f t="shared" si="75"/>
        <v/>
      </c>
      <c r="V157" s="195" t="str">
        <f t="shared" si="62"/>
        <v/>
      </c>
      <c r="W157" s="195" t="str">
        <f t="shared" si="63"/>
        <v/>
      </c>
      <c r="X157" s="196" t="str">
        <f t="shared" si="76"/>
        <v/>
      </c>
      <c r="Y157" s="191" t="str">
        <f t="shared" si="78"/>
        <v/>
      </c>
      <c r="Z157" s="197" t="str">
        <f t="shared" si="64"/>
        <v/>
      </c>
      <c r="AA157" s="197" t="str">
        <f t="shared" si="65"/>
        <v/>
      </c>
      <c r="AB157" s="213"/>
      <c r="AC157" s="204"/>
    </row>
    <row r="158" spans="1:29" ht="11.4">
      <c r="A158" s="211" t="str">
        <f t="shared" si="77"/>
        <v/>
      </c>
      <c r="B158" s="211"/>
      <c r="C158" s="185"/>
      <c r="D158" s="186" t="str">
        <f t="shared" si="66"/>
        <v/>
      </c>
      <c r="E158" s="186" t="str">
        <f>IF(OR(C158="",C158=Data!$B$3),"",IF(C158=Data!$B$4,"L","S"))</f>
        <v/>
      </c>
      <c r="F158" s="186" t="str">
        <f t="shared" si="67"/>
        <v/>
      </c>
      <c r="G158" s="187" t="str">
        <f t="shared" si="58"/>
        <v/>
      </c>
      <c r="H158" s="188"/>
      <c r="I158" s="189" t="str">
        <f t="shared" si="68"/>
        <v/>
      </c>
      <c r="J158" s="189" t="str">
        <f t="shared" si="69"/>
        <v/>
      </c>
      <c r="K158" s="190" t="str">
        <f t="shared" si="70"/>
        <v/>
      </c>
      <c r="L158" s="190" t="str">
        <f t="shared" si="71"/>
        <v/>
      </c>
      <c r="M158" s="214"/>
      <c r="N158" s="214"/>
      <c r="O158" s="189" t="str">
        <f t="shared" si="72"/>
        <v/>
      </c>
      <c r="P158" s="191" t="str">
        <f t="shared" si="59"/>
        <v/>
      </c>
      <c r="Q158" s="192" t="str">
        <f t="shared" si="73"/>
        <v/>
      </c>
      <c r="R158" s="191" t="str">
        <f t="shared" si="60"/>
        <v/>
      </c>
      <c r="S158" s="193" t="str">
        <f t="shared" si="74"/>
        <v/>
      </c>
      <c r="T158" s="194" t="str">
        <f t="shared" si="61"/>
        <v/>
      </c>
      <c r="U158" s="192" t="str">
        <f t="shared" si="75"/>
        <v/>
      </c>
      <c r="V158" s="195" t="str">
        <f t="shared" si="62"/>
        <v/>
      </c>
      <c r="W158" s="195" t="str">
        <f t="shared" si="63"/>
        <v/>
      </c>
      <c r="X158" s="196" t="str">
        <f t="shared" si="76"/>
        <v/>
      </c>
      <c r="Y158" s="191" t="str">
        <f t="shared" si="78"/>
        <v/>
      </c>
      <c r="Z158" s="197" t="str">
        <f t="shared" si="64"/>
        <v/>
      </c>
      <c r="AA158" s="197" t="str">
        <f t="shared" si="65"/>
        <v/>
      </c>
      <c r="AB158" s="213"/>
      <c r="AC158" s="204"/>
    </row>
    <row r="159" spans="1:29" ht="11.4">
      <c r="A159" s="211" t="str">
        <f t="shared" si="77"/>
        <v/>
      </c>
      <c r="B159" s="211"/>
      <c r="C159" s="185"/>
      <c r="D159" s="186" t="str">
        <f t="shared" si="66"/>
        <v/>
      </c>
      <c r="E159" s="186" t="str">
        <f>IF(OR(C159="",C159=Data!$B$3),"",IF(C159=Data!$B$4,"L","S"))</f>
        <v/>
      </c>
      <c r="F159" s="186" t="str">
        <f t="shared" si="67"/>
        <v/>
      </c>
      <c r="G159" s="187" t="str">
        <f t="shared" si="58"/>
        <v/>
      </c>
      <c r="H159" s="188"/>
      <c r="I159" s="189" t="str">
        <f t="shared" si="68"/>
        <v/>
      </c>
      <c r="J159" s="189" t="str">
        <f t="shared" si="69"/>
        <v/>
      </c>
      <c r="K159" s="190" t="str">
        <f t="shared" si="70"/>
        <v/>
      </c>
      <c r="L159" s="190" t="str">
        <f t="shared" si="71"/>
        <v/>
      </c>
      <c r="M159" s="214"/>
      <c r="N159" s="214"/>
      <c r="O159" s="189" t="str">
        <f t="shared" si="72"/>
        <v/>
      </c>
      <c r="P159" s="191" t="str">
        <f t="shared" si="59"/>
        <v/>
      </c>
      <c r="Q159" s="192" t="str">
        <f t="shared" si="73"/>
        <v/>
      </c>
      <c r="R159" s="191" t="str">
        <f t="shared" si="60"/>
        <v/>
      </c>
      <c r="S159" s="193" t="str">
        <f t="shared" si="74"/>
        <v/>
      </c>
      <c r="T159" s="194" t="str">
        <f t="shared" si="61"/>
        <v/>
      </c>
      <c r="U159" s="192" t="str">
        <f t="shared" si="75"/>
        <v/>
      </c>
      <c r="V159" s="195" t="str">
        <f t="shared" si="62"/>
        <v/>
      </c>
      <c r="W159" s="195" t="str">
        <f t="shared" si="63"/>
        <v/>
      </c>
      <c r="X159" s="196" t="str">
        <f t="shared" si="76"/>
        <v/>
      </c>
      <c r="Y159" s="191" t="str">
        <f t="shared" si="78"/>
        <v/>
      </c>
      <c r="Z159" s="197" t="str">
        <f t="shared" si="64"/>
        <v/>
      </c>
      <c r="AA159" s="197" t="str">
        <f t="shared" si="65"/>
        <v/>
      </c>
      <c r="AB159" s="213"/>
      <c r="AC159" s="204"/>
    </row>
    <row r="160" spans="1:29" ht="11.4">
      <c r="A160" s="211" t="str">
        <f t="shared" si="77"/>
        <v/>
      </c>
      <c r="B160" s="211"/>
      <c r="C160" s="185"/>
      <c r="D160" s="186" t="str">
        <f t="shared" si="66"/>
        <v/>
      </c>
      <c r="E160" s="186" t="str">
        <f>IF(OR(C160="",C160=Data!$B$3),"",IF(C160=Data!$B$4,"L","S"))</f>
        <v/>
      </c>
      <c r="F160" s="186" t="str">
        <f t="shared" si="67"/>
        <v/>
      </c>
      <c r="G160" s="187" t="str">
        <f t="shared" si="58"/>
        <v/>
      </c>
      <c r="H160" s="188"/>
      <c r="I160" s="189" t="str">
        <f t="shared" si="68"/>
        <v/>
      </c>
      <c r="J160" s="189" t="str">
        <f t="shared" si="69"/>
        <v/>
      </c>
      <c r="K160" s="190" t="str">
        <f t="shared" si="70"/>
        <v/>
      </c>
      <c r="L160" s="190" t="str">
        <f t="shared" si="71"/>
        <v/>
      </c>
      <c r="M160" s="214"/>
      <c r="N160" s="214"/>
      <c r="O160" s="189" t="str">
        <f t="shared" si="72"/>
        <v/>
      </c>
      <c r="P160" s="191" t="str">
        <f t="shared" si="59"/>
        <v/>
      </c>
      <c r="Q160" s="192" t="str">
        <f t="shared" si="73"/>
        <v/>
      </c>
      <c r="R160" s="191" t="str">
        <f t="shared" si="60"/>
        <v/>
      </c>
      <c r="S160" s="193" t="str">
        <f t="shared" si="74"/>
        <v/>
      </c>
      <c r="T160" s="194" t="str">
        <f t="shared" si="61"/>
        <v/>
      </c>
      <c r="U160" s="192" t="str">
        <f t="shared" si="75"/>
        <v/>
      </c>
      <c r="V160" s="195" t="str">
        <f t="shared" si="62"/>
        <v/>
      </c>
      <c r="W160" s="195" t="str">
        <f t="shared" si="63"/>
        <v/>
      </c>
      <c r="X160" s="196" t="str">
        <f t="shared" si="76"/>
        <v/>
      </c>
      <c r="Y160" s="191" t="str">
        <f t="shared" si="78"/>
        <v/>
      </c>
      <c r="Z160" s="197" t="str">
        <f t="shared" si="64"/>
        <v/>
      </c>
      <c r="AA160" s="197" t="str">
        <f t="shared" si="65"/>
        <v/>
      </c>
      <c r="AB160" s="213"/>
      <c r="AC160" s="204"/>
    </row>
    <row r="161" spans="1:29" ht="11.4">
      <c r="A161" s="211" t="str">
        <f t="shared" si="77"/>
        <v/>
      </c>
      <c r="B161" s="211"/>
      <c r="C161" s="185"/>
      <c r="D161" s="186" t="str">
        <f t="shared" si="66"/>
        <v/>
      </c>
      <c r="E161" s="186" t="str">
        <f>IF(OR(C161="",C161=Data!$B$3),"",IF(C161=Data!$B$4,"L","S"))</f>
        <v/>
      </c>
      <c r="F161" s="186" t="str">
        <f t="shared" si="67"/>
        <v/>
      </c>
      <c r="G161" s="187" t="str">
        <f t="shared" si="58"/>
        <v/>
      </c>
      <c r="H161" s="188"/>
      <c r="I161" s="189" t="str">
        <f t="shared" si="68"/>
        <v/>
      </c>
      <c r="J161" s="189" t="str">
        <f t="shared" si="69"/>
        <v/>
      </c>
      <c r="K161" s="190" t="str">
        <f t="shared" si="70"/>
        <v/>
      </c>
      <c r="L161" s="190" t="str">
        <f t="shared" si="71"/>
        <v/>
      </c>
      <c r="M161" s="214"/>
      <c r="N161" s="214"/>
      <c r="O161" s="189" t="str">
        <f t="shared" si="72"/>
        <v/>
      </c>
      <c r="P161" s="191" t="str">
        <f t="shared" si="59"/>
        <v/>
      </c>
      <c r="Q161" s="192" t="str">
        <f t="shared" si="73"/>
        <v/>
      </c>
      <c r="R161" s="191" t="str">
        <f t="shared" si="60"/>
        <v/>
      </c>
      <c r="S161" s="193" t="str">
        <f t="shared" si="74"/>
        <v/>
      </c>
      <c r="T161" s="194" t="str">
        <f t="shared" si="61"/>
        <v/>
      </c>
      <c r="U161" s="192" t="str">
        <f t="shared" si="75"/>
        <v/>
      </c>
      <c r="V161" s="195" t="str">
        <f t="shared" si="62"/>
        <v/>
      </c>
      <c r="W161" s="195" t="str">
        <f t="shared" si="63"/>
        <v/>
      </c>
      <c r="X161" s="196" t="str">
        <f t="shared" si="76"/>
        <v/>
      </c>
      <c r="Y161" s="191" t="str">
        <f t="shared" si="78"/>
        <v/>
      </c>
      <c r="Z161" s="197" t="str">
        <f t="shared" si="64"/>
        <v/>
      </c>
      <c r="AA161" s="197" t="str">
        <f t="shared" si="65"/>
        <v/>
      </c>
      <c r="AB161" s="213"/>
      <c r="AC161" s="204"/>
    </row>
    <row r="162" spans="1:29" ht="11.4">
      <c r="A162" s="211" t="str">
        <f t="shared" si="77"/>
        <v/>
      </c>
      <c r="B162" s="211"/>
      <c r="C162" s="185"/>
      <c r="D162" s="186" t="str">
        <f t="shared" si="66"/>
        <v/>
      </c>
      <c r="E162" s="186" t="str">
        <f>IF(OR(C162="",C162=Data!$B$3),"",IF(C162=Data!$B$4,"L","S"))</f>
        <v/>
      </c>
      <c r="F162" s="186" t="str">
        <f t="shared" si="67"/>
        <v/>
      </c>
      <c r="G162" s="187" t="str">
        <f t="shared" si="58"/>
        <v/>
      </c>
      <c r="H162" s="188"/>
      <c r="I162" s="189" t="str">
        <f t="shared" si="68"/>
        <v/>
      </c>
      <c r="J162" s="189" t="str">
        <f t="shared" si="69"/>
        <v/>
      </c>
      <c r="K162" s="190" t="str">
        <f t="shared" si="70"/>
        <v/>
      </c>
      <c r="L162" s="190" t="str">
        <f t="shared" si="71"/>
        <v/>
      </c>
      <c r="M162" s="214"/>
      <c r="N162" s="214"/>
      <c r="O162" s="189" t="str">
        <f t="shared" si="72"/>
        <v/>
      </c>
      <c r="P162" s="191" t="str">
        <f t="shared" si="59"/>
        <v/>
      </c>
      <c r="Q162" s="192" t="str">
        <f t="shared" si="73"/>
        <v/>
      </c>
      <c r="R162" s="191" t="str">
        <f t="shared" si="60"/>
        <v/>
      </c>
      <c r="S162" s="193" t="str">
        <f t="shared" si="74"/>
        <v/>
      </c>
      <c r="T162" s="194" t="str">
        <f t="shared" si="61"/>
        <v/>
      </c>
      <c r="U162" s="192" t="str">
        <f t="shared" si="75"/>
        <v/>
      </c>
      <c r="V162" s="195" t="str">
        <f t="shared" si="62"/>
        <v/>
      </c>
      <c r="W162" s="195" t="str">
        <f t="shared" si="63"/>
        <v/>
      </c>
      <c r="X162" s="196" t="str">
        <f t="shared" si="76"/>
        <v/>
      </c>
      <c r="Y162" s="191" t="str">
        <f t="shared" si="78"/>
        <v/>
      </c>
      <c r="Z162" s="197" t="str">
        <f t="shared" si="64"/>
        <v/>
      </c>
      <c r="AA162" s="197" t="str">
        <f t="shared" si="65"/>
        <v/>
      </c>
      <c r="AB162" s="213"/>
      <c r="AC162" s="204"/>
    </row>
    <row r="163" spans="1:29" ht="11.4">
      <c r="A163" s="211" t="str">
        <f t="shared" si="77"/>
        <v/>
      </c>
      <c r="B163" s="211"/>
      <c r="C163" s="185"/>
      <c r="D163" s="186" t="str">
        <f t="shared" si="66"/>
        <v/>
      </c>
      <c r="E163" s="186" t="str">
        <f>IF(OR(C163="",C163=Data!$B$3),"",IF(C163=Data!$B$4,"L","S"))</f>
        <v/>
      </c>
      <c r="F163" s="186" t="str">
        <f t="shared" si="67"/>
        <v/>
      </c>
      <c r="G163" s="187" t="str">
        <f t="shared" si="58"/>
        <v/>
      </c>
      <c r="H163" s="188"/>
      <c r="I163" s="189" t="str">
        <f t="shared" si="68"/>
        <v/>
      </c>
      <c r="J163" s="189" t="str">
        <f t="shared" si="69"/>
        <v/>
      </c>
      <c r="K163" s="190" t="str">
        <f t="shared" si="70"/>
        <v/>
      </c>
      <c r="L163" s="190" t="str">
        <f t="shared" si="71"/>
        <v/>
      </c>
      <c r="M163" s="214"/>
      <c r="N163" s="214"/>
      <c r="O163" s="189" t="str">
        <f t="shared" si="72"/>
        <v/>
      </c>
      <c r="P163" s="191" t="str">
        <f t="shared" si="59"/>
        <v/>
      </c>
      <c r="Q163" s="192" t="str">
        <f t="shared" si="73"/>
        <v/>
      </c>
      <c r="R163" s="191" t="str">
        <f t="shared" si="60"/>
        <v/>
      </c>
      <c r="S163" s="193" t="str">
        <f t="shared" si="74"/>
        <v/>
      </c>
      <c r="T163" s="194" t="str">
        <f t="shared" si="61"/>
        <v/>
      </c>
      <c r="U163" s="192" t="str">
        <f t="shared" si="75"/>
        <v/>
      </c>
      <c r="V163" s="195" t="str">
        <f t="shared" si="62"/>
        <v/>
      </c>
      <c r="W163" s="195" t="str">
        <f t="shared" si="63"/>
        <v/>
      </c>
      <c r="X163" s="196" t="str">
        <f t="shared" si="76"/>
        <v/>
      </c>
      <c r="Y163" s="191" t="str">
        <f t="shared" si="78"/>
        <v/>
      </c>
      <c r="Z163" s="197" t="str">
        <f t="shared" si="64"/>
        <v/>
      </c>
      <c r="AA163" s="197" t="str">
        <f t="shared" si="65"/>
        <v/>
      </c>
      <c r="AB163" s="213"/>
      <c r="AC163" s="204"/>
    </row>
    <row r="164" spans="1:29" ht="11.4">
      <c r="A164" s="211" t="str">
        <f t="shared" si="77"/>
        <v/>
      </c>
      <c r="B164" s="211"/>
      <c r="C164" s="185"/>
      <c r="D164" s="186" t="str">
        <f t="shared" si="66"/>
        <v/>
      </c>
      <c r="E164" s="186" t="str">
        <f>IF(OR(C164="",C164=Data!$B$3),"",IF(C164=Data!$B$4,"L","S"))</f>
        <v/>
      </c>
      <c r="F164" s="186" t="str">
        <f t="shared" si="67"/>
        <v/>
      </c>
      <c r="G164" s="187" t="str">
        <f t="shared" si="58"/>
        <v/>
      </c>
      <c r="H164" s="188"/>
      <c r="I164" s="189" t="str">
        <f t="shared" si="68"/>
        <v/>
      </c>
      <c r="J164" s="189" t="str">
        <f t="shared" si="69"/>
        <v/>
      </c>
      <c r="K164" s="190" t="str">
        <f t="shared" si="70"/>
        <v/>
      </c>
      <c r="L164" s="190" t="str">
        <f t="shared" si="71"/>
        <v/>
      </c>
      <c r="M164" s="214"/>
      <c r="N164" s="214"/>
      <c r="O164" s="189" t="str">
        <f t="shared" si="72"/>
        <v/>
      </c>
      <c r="P164" s="191" t="str">
        <f t="shared" si="59"/>
        <v/>
      </c>
      <c r="Q164" s="192" t="str">
        <f t="shared" si="73"/>
        <v/>
      </c>
      <c r="R164" s="191" t="str">
        <f t="shared" si="60"/>
        <v/>
      </c>
      <c r="S164" s="193" t="str">
        <f t="shared" si="74"/>
        <v/>
      </c>
      <c r="T164" s="194" t="str">
        <f t="shared" si="61"/>
        <v/>
      </c>
      <c r="U164" s="192" t="str">
        <f t="shared" si="75"/>
        <v/>
      </c>
      <c r="V164" s="195" t="str">
        <f t="shared" si="62"/>
        <v/>
      </c>
      <c r="W164" s="195" t="str">
        <f t="shared" si="63"/>
        <v/>
      </c>
      <c r="X164" s="196" t="str">
        <f t="shared" si="76"/>
        <v/>
      </c>
      <c r="Y164" s="191" t="str">
        <f t="shared" si="78"/>
        <v/>
      </c>
      <c r="Z164" s="197" t="str">
        <f t="shared" si="64"/>
        <v/>
      </c>
      <c r="AA164" s="197" t="str">
        <f t="shared" si="65"/>
        <v/>
      </c>
      <c r="AB164" s="213"/>
      <c r="AC164" s="204"/>
    </row>
    <row r="165" spans="1:29" ht="11.4">
      <c r="A165" s="211" t="str">
        <f t="shared" si="77"/>
        <v/>
      </c>
      <c r="B165" s="211"/>
      <c r="C165" s="185"/>
      <c r="D165" s="186" t="str">
        <f t="shared" si="66"/>
        <v/>
      </c>
      <c r="E165" s="186" t="str">
        <f>IF(OR(C165="",C165=Data!$B$3),"",IF(C165=Data!$B$4,"L","S"))</f>
        <v/>
      </c>
      <c r="F165" s="186" t="str">
        <f t="shared" si="67"/>
        <v/>
      </c>
      <c r="G165" s="187" t="str">
        <f t="shared" si="58"/>
        <v/>
      </c>
      <c r="H165" s="188"/>
      <c r="I165" s="189" t="str">
        <f t="shared" si="68"/>
        <v/>
      </c>
      <c r="J165" s="189" t="str">
        <f t="shared" si="69"/>
        <v/>
      </c>
      <c r="K165" s="190" t="str">
        <f t="shared" si="70"/>
        <v/>
      </c>
      <c r="L165" s="190" t="str">
        <f t="shared" si="71"/>
        <v/>
      </c>
      <c r="M165" s="214"/>
      <c r="N165" s="214"/>
      <c r="O165" s="189" t="str">
        <f t="shared" si="72"/>
        <v/>
      </c>
      <c r="P165" s="191" t="str">
        <f t="shared" si="59"/>
        <v/>
      </c>
      <c r="Q165" s="192" t="str">
        <f t="shared" si="73"/>
        <v/>
      </c>
      <c r="R165" s="191" t="str">
        <f t="shared" si="60"/>
        <v/>
      </c>
      <c r="S165" s="193" t="str">
        <f t="shared" si="74"/>
        <v/>
      </c>
      <c r="T165" s="194" t="str">
        <f t="shared" si="61"/>
        <v/>
      </c>
      <c r="U165" s="192" t="str">
        <f t="shared" si="75"/>
        <v/>
      </c>
      <c r="V165" s="195" t="str">
        <f t="shared" si="62"/>
        <v/>
      </c>
      <c r="W165" s="195" t="str">
        <f t="shared" si="63"/>
        <v/>
      </c>
      <c r="X165" s="196" t="str">
        <f t="shared" si="76"/>
        <v/>
      </c>
      <c r="Y165" s="191" t="str">
        <f t="shared" si="78"/>
        <v/>
      </c>
      <c r="Z165" s="197" t="str">
        <f t="shared" si="64"/>
        <v/>
      </c>
      <c r="AA165" s="197" t="str">
        <f t="shared" si="65"/>
        <v/>
      </c>
      <c r="AB165" s="213"/>
      <c r="AC165" s="204"/>
    </row>
    <row r="166" spans="1:29" ht="11.4">
      <c r="A166" s="211" t="str">
        <f t="shared" si="77"/>
        <v/>
      </c>
      <c r="B166" s="211"/>
      <c r="C166" s="185"/>
      <c r="D166" s="186" t="str">
        <f t="shared" si="66"/>
        <v/>
      </c>
      <c r="E166" s="186" t="str">
        <f>IF(OR(C166="",C166=Data!$B$3),"",IF(C166=Data!$B$4,"L","S"))</f>
        <v/>
      </c>
      <c r="F166" s="186" t="str">
        <f t="shared" si="67"/>
        <v/>
      </c>
      <c r="G166" s="187" t="str">
        <f t="shared" si="58"/>
        <v/>
      </c>
      <c r="H166" s="188"/>
      <c r="I166" s="189" t="str">
        <f t="shared" si="68"/>
        <v/>
      </c>
      <c r="J166" s="189" t="str">
        <f t="shared" si="69"/>
        <v/>
      </c>
      <c r="K166" s="190" t="str">
        <f t="shared" si="70"/>
        <v/>
      </c>
      <c r="L166" s="190" t="str">
        <f t="shared" si="71"/>
        <v/>
      </c>
      <c r="M166" s="214"/>
      <c r="N166" s="214"/>
      <c r="O166" s="189" t="str">
        <f t="shared" si="72"/>
        <v/>
      </c>
      <c r="P166" s="191" t="str">
        <f t="shared" si="59"/>
        <v/>
      </c>
      <c r="Q166" s="192" t="str">
        <f t="shared" si="73"/>
        <v/>
      </c>
      <c r="R166" s="191" t="str">
        <f t="shared" si="60"/>
        <v/>
      </c>
      <c r="S166" s="193" t="str">
        <f t="shared" si="74"/>
        <v/>
      </c>
      <c r="T166" s="194" t="str">
        <f t="shared" si="61"/>
        <v/>
      </c>
      <c r="U166" s="192" t="str">
        <f t="shared" si="75"/>
        <v/>
      </c>
      <c r="V166" s="195" t="str">
        <f t="shared" si="62"/>
        <v/>
      </c>
      <c r="W166" s="195" t="str">
        <f t="shared" si="63"/>
        <v/>
      </c>
      <c r="X166" s="196" t="str">
        <f t="shared" si="76"/>
        <v/>
      </c>
      <c r="Y166" s="191" t="str">
        <f t="shared" si="78"/>
        <v/>
      </c>
      <c r="Z166" s="197" t="str">
        <f t="shared" si="64"/>
        <v/>
      </c>
      <c r="AA166" s="197" t="str">
        <f t="shared" si="65"/>
        <v/>
      </c>
      <c r="AB166" s="213"/>
      <c r="AC166" s="204"/>
    </row>
    <row r="167" spans="1:29" ht="11.4">
      <c r="A167" s="211" t="str">
        <f t="shared" si="77"/>
        <v/>
      </c>
      <c r="B167" s="211"/>
      <c r="C167" s="185"/>
      <c r="D167" s="186" t="str">
        <f t="shared" si="66"/>
        <v/>
      </c>
      <c r="E167" s="186" t="str">
        <f>IF(OR(C167="",C167=Data!$B$3),"",IF(C167=Data!$B$4,"L","S"))</f>
        <v/>
      </c>
      <c r="F167" s="186" t="str">
        <f t="shared" si="67"/>
        <v/>
      </c>
      <c r="G167" s="187" t="str">
        <f t="shared" si="58"/>
        <v/>
      </c>
      <c r="H167" s="188"/>
      <c r="I167" s="189" t="str">
        <f t="shared" si="68"/>
        <v/>
      </c>
      <c r="J167" s="189" t="str">
        <f t="shared" si="69"/>
        <v/>
      </c>
      <c r="K167" s="190" t="str">
        <f t="shared" si="70"/>
        <v/>
      </c>
      <c r="L167" s="190" t="str">
        <f t="shared" si="71"/>
        <v/>
      </c>
      <c r="M167" s="214"/>
      <c r="N167" s="214"/>
      <c r="O167" s="189" t="str">
        <f t="shared" si="72"/>
        <v/>
      </c>
      <c r="P167" s="191" t="str">
        <f t="shared" si="59"/>
        <v/>
      </c>
      <c r="Q167" s="192" t="str">
        <f t="shared" si="73"/>
        <v/>
      </c>
      <c r="R167" s="191" t="str">
        <f t="shared" si="60"/>
        <v/>
      </c>
      <c r="S167" s="193" t="str">
        <f t="shared" si="74"/>
        <v/>
      </c>
      <c r="T167" s="194" t="str">
        <f t="shared" si="61"/>
        <v/>
      </c>
      <c r="U167" s="192" t="str">
        <f t="shared" si="75"/>
        <v/>
      </c>
      <c r="V167" s="195" t="str">
        <f t="shared" si="62"/>
        <v/>
      </c>
      <c r="W167" s="195" t="str">
        <f t="shared" si="63"/>
        <v/>
      </c>
      <c r="X167" s="196" t="str">
        <f t="shared" si="76"/>
        <v/>
      </c>
      <c r="Y167" s="191" t="str">
        <f t="shared" si="78"/>
        <v/>
      </c>
      <c r="Z167" s="197" t="str">
        <f t="shared" si="64"/>
        <v/>
      </c>
      <c r="AA167" s="197" t="str">
        <f t="shared" si="65"/>
        <v/>
      </c>
      <c r="AB167" s="213"/>
      <c r="AC167" s="204"/>
    </row>
    <row r="168" spans="1:29" ht="11.4">
      <c r="A168" s="211" t="str">
        <f t="shared" si="77"/>
        <v/>
      </c>
      <c r="B168" s="211"/>
      <c r="C168" s="185"/>
      <c r="D168" s="186" t="str">
        <f t="shared" si="66"/>
        <v/>
      </c>
      <c r="E168" s="186" t="str">
        <f>IF(OR(C168="",C168=Data!$B$3),"",IF(C168=Data!$B$4,"L","S"))</f>
        <v/>
      </c>
      <c r="F168" s="186" t="str">
        <f t="shared" si="67"/>
        <v/>
      </c>
      <c r="G168" s="187" t="str">
        <f t="shared" si="58"/>
        <v/>
      </c>
      <c r="H168" s="188"/>
      <c r="I168" s="189" t="str">
        <f t="shared" si="68"/>
        <v/>
      </c>
      <c r="J168" s="189" t="str">
        <f t="shared" si="69"/>
        <v/>
      </c>
      <c r="K168" s="190" t="str">
        <f t="shared" si="70"/>
        <v/>
      </c>
      <c r="L168" s="190" t="str">
        <f t="shared" si="71"/>
        <v/>
      </c>
      <c r="M168" s="214"/>
      <c r="N168" s="214"/>
      <c r="O168" s="189" t="str">
        <f t="shared" si="72"/>
        <v/>
      </c>
      <c r="P168" s="191" t="str">
        <f t="shared" si="59"/>
        <v/>
      </c>
      <c r="Q168" s="192" t="str">
        <f t="shared" si="73"/>
        <v/>
      </c>
      <c r="R168" s="191" t="str">
        <f t="shared" si="60"/>
        <v/>
      </c>
      <c r="S168" s="193" t="str">
        <f t="shared" si="74"/>
        <v/>
      </c>
      <c r="T168" s="194" t="str">
        <f t="shared" si="61"/>
        <v/>
      </c>
      <c r="U168" s="192" t="str">
        <f t="shared" si="75"/>
        <v/>
      </c>
      <c r="V168" s="195" t="str">
        <f t="shared" si="62"/>
        <v/>
      </c>
      <c r="W168" s="195" t="str">
        <f t="shared" si="63"/>
        <v/>
      </c>
      <c r="X168" s="196" t="str">
        <f t="shared" si="76"/>
        <v/>
      </c>
      <c r="Y168" s="191" t="str">
        <f t="shared" si="78"/>
        <v/>
      </c>
      <c r="Z168" s="197" t="str">
        <f t="shared" si="64"/>
        <v/>
      </c>
      <c r="AA168" s="197" t="str">
        <f t="shared" si="65"/>
        <v/>
      </c>
      <c r="AB168" s="213"/>
      <c r="AC168" s="204"/>
    </row>
    <row r="169" spans="1:29" ht="11.4">
      <c r="A169" s="211" t="str">
        <f t="shared" si="77"/>
        <v/>
      </c>
      <c r="B169" s="211"/>
      <c r="C169" s="185"/>
      <c r="D169" s="186" t="str">
        <f t="shared" si="66"/>
        <v/>
      </c>
      <c r="E169" s="186" t="str">
        <f>IF(OR(C169="",C169=Data!$B$3),"",IF(C169=Data!$B$4,"L","S"))</f>
        <v/>
      </c>
      <c r="F169" s="186" t="str">
        <f t="shared" si="67"/>
        <v/>
      </c>
      <c r="G169" s="187" t="str">
        <f t="shared" si="58"/>
        <v/>
      </c>
      <c r="H169" s="188"/>
      <c r="I169" s="189" t="str">
        <f t="shared" si="68"/>
        <v/>
      </c>
      <c r="J169" s="189" t="str">
        <f t="shared" si="69"/>
        <v/>
      </c>
      <c r="K169" s="190" t="str">
        <f t="shared" si="70"/>
        <v/>
      </c>
      <c r="L169" s="190" t="str">
        <f t="shared" si="71"/>
        <v/>
      </c>
      <c r="M169" s="214"/>
      <c r="N169" s="214"/>
      <c r="O169" s="189" t="str">
        <f t="shared" si="72"/>
        <v/>
      </c>
      <c r="P169" s="191" t="str">
        <f t="shared" si="59"/>
        <v/>
      </c>
      <c r="Q169" s="192" t="str">
        <f t="shared" si="73"/>
        <v/>
      </c>
      <c r="R169" s="191" t="str">
        <f t="shared" si="60"/>
        <v/>
      </c>
      <c r="S169" s="193" t="str">
        <f t="shared" si="74"/>
        <v/>
      </c>
      <c r="T169" s="194" t="str">
        <f t="shared" si="61"/>
        <v/>
      </c>
      <c r="U169" s="192" t="str">
        <f t="shared" si="75"/>
        <v/>
      </c>
      <c r="V169" s="195" t="str">
        <f t="shared" si="62"/>
        <v/>
      </c>
      <c r="W169" s="195" t="str">
        <f t="shared" si="63"/>
        <v/>
      </c>
      <c r="X169" s="196" t="str">
        <f t="shared" si="76"/>
        <v/>
      </c>
      <c r="Y169" s="191" t="str">
        <f t="shared" si="78"/>
        <v/>
      </c>
      <c r="Z169" s="197" t="str">
        <f t="shared" si="64"/>
        <v/>
      </c>
      <c r="AA169" s="197" t="str">
        <f t="shared" si="65"/>
        <v/>
      </c>
      <c r="AB169" s="213"/>
      <c r="AC169" s="204"/>
    </row>
    <row r="170" spans="1:29" ht="11.4">
      <c r="A170" s="211" t="str">
        <f t="shared" si="77"/>
        <v/>
      </c>
      <c r="B170" s="211"/>
      <c r="C170" s="185"/>
      <c r="D170" s="186" t="str">
        <f t="shared" si="66"/>
        <v/>
      </c>
      <c r="E170" s="186" t="str">
        <f>IF(OR(C170="",C170=Data!$B$3),"",IF(C170=Data!$B$4,"L","S"))</f>
        <v/>
      </c>
      <c r="F170" s="186" t="str">
        <f t="shared" si="67"/>
        <v/>
      </c>
      <c r="G170" s="187" t="str">
        <f t="shared" si="58"/>
        <v/>
      </c>
      <c r="H170" s="188"/>
      <c r="I170" s="189" t="str">
        <f t="shared" si="68"/>
        <v/>
      </c>
      <c r="J170" s="189" t="str">
        <f t="shared" si="69"/>
        <v/>
      </c>
      <c r="K170" s="190" t="str">
        <f t="shared" si="70"/>
        <v/>
      </c>
      <c r="L170" s="190" t="str">
        <f t="shared" si="71"/>
        <v/>
      </c>
      <c r="M170" s="214"/>
      <c r="N170" s="214"/>
      <c r="O170" s="189" t="str">
        <f t="shared" si="72"/>
        <v/>
      </c>
      <c r="P170" s="191" t="str">
        <f t="shared" si="59"/>
        <v/>
      </c>
      <c r="Q170" s="192" t="str">
        <f t="shared" si="73"/>
        <v/>
      </c>
      <c r="R170" s="191" t="str">
        <f t="shared" si="60"/>
        <v/>
      </c>
      <c r="S170" s="193" t="str">
        <f t="shared" si="74"/>
        <v/>
      </c>
      <c r="T170" s="194" t="str">
        <f t="shared" si="61"/>
        <v/>
      </c>
      <c r="U170" s="192" t="str">
        <f t="shared" si="75"/>
        <v/>
      </c>
      <c r="V170" s="195" t="str">
        <f t="shared" si="62"/>
        <v/>
      </c>
      <c r="W170" s="195" t="str">
        <f t="shared" si="63"/>
        <v/>
      </c>
      <c r="X170" s="196" t="str">
        <f t="shared" si="76"/>
        <v/>
      </c>
      <c r="Y170" s="191" t="str">
        <f t="shared" si="78"/>
        <v/>
      </c>
      <c r="Z170" s="197" t="str">
        <f t="shared" si="64"/>
        <v/>
      </c>
      <c r="AA170" s="197" t="str">
        <f t="shared" si="65"/>
        <v/>
      </c>
      <c r="AB170" s="213"/>
      <c r="AC170" s="204"/>
    </row>
    <row r="171" spans="1:29" ht="11.4">
      <c r="A171" s="211" t="str">
        <f t="shared" si="77"/>
        <v/>
      </c>
      <c r="B171" s="211"/>
      <c r="C171" s="185"/>
      <c r="D171" s="186" t="str">
        <f t="shared" si="66"/>
        <v/>
      </c>
      <c r="E171" s="186" t="str">
        <f>IF(OR(C171="",C171=Data!$B$3),"",IF(C171=Data!$B$4,"L","S"))</f>
        <v/>
      </c>
      <c r="F171" s="186" t="str">
        <f t="shared" si="67"/>
        <v/>
      </c>
      <c r="G171" s="187" t="str">
        <f t="shared" si="58"/>
        <v/>
      </c>
      <c r="H171" s="188"/>
      <c r="I171" s="189" t="str">
        <f t="shared" si="68"/>
        <v/>
      </c>
      <c r="J171" s="189" t="str">
        <f t="shared" si="69"/>
        <v/>
      </c>
      <c r="K171" s="190" t="str">
        <f t="shared" si="70"/>
        <v/>
      </c>
      <c r="L171" s="190" t="str">
        <f t="shared" si="71"/>
        <v/>
      </c>
      <c r="M171" s="214"/>
      <c r="N171" s="214"/>
      <c r="O171" s="189" t="str">
        <f t="shared" si="72"/>
        <v/>
      </c>
      <c r="P171" s="191" t="str">
        <f t="shared" si="59"/>
        <v/>
      </c>
      <c r="Q171" s="192" t="str">
        <f t="shared" si="73"/>
        <v/>
      </c>
      <c r="R171" s="191" t="str">
        <f t="shared" si="60"/>
        <v/>
      </c>
      <c r="S171" s="193" t="str">
        <f t="shared" si="74"/>
        <v/>
      </c>
      <c r="T171" s="194" t="str">
        <f t="shared" si="61"/>
        <v/>
      </c>
      <c r="U171" s="192" t="str">
        <f t="shared" si="75"/>
        <v/>
      </c>
      <c r="V171" s="195" t="str">
        <f t="shared" si="62"/>
        <v/>
      </c>
      <c r="W171" s="195" t="str">
        <f t="shared" si="63"/>
        <v/>
      </c>
      <c r="X171" s="196" t="str">
        <f t="shared" si="76"/>
        <v/>
      </c>
      <c r="Y171" s="191" t="str">
        <f t="shared" si="78"/>
        <v/>
      </c>
      <c r="Z171" s="197" t="str">
        <f t="shared" si="64"/>
        <v/>
      </c>
      <c r="AA171" s="197" t="str">
        <f t="shared" si="65"/>
        <v/>
      </c>
      <c r="AB171" s="213"/>
      <c r="AC171" s="204"/>
    </row>
    <row r="172" spans="1:29" ht="11.4">
      <c r="A172" s="211" t="str">
        <f t="shared" si="77"/>
        <v/>
      </c>
      <c r="B172" s="211"/>
      <c r="C172" s="185"/>
      <c r="D172" s="186" t="str">
        <f t="shared" si="66"/>
        <v/>
      </c>
      <c r="E172" s="186" t="str">
        <f>IF(OR(C172="",C172=Data!$B$3),"",IF(C172=Data!$B$4,"L","S"))</f>
        <v/>
      </c>
      <c r="F172" s="186" t="str">
        <f t="shared" si="67"/>
        <v/>
      </c>
      <c r="G172" s="187" t="str">
        <f t="shared" si="58"/>
        <v/>
      </c>
      <c r="H172" s="188"/>
      <c r="I172" s="189" t="str">
        <f t="shared" si="68"/>
        <v/>
      </c>
      <c r="J172" s="189" t="str">
        <f t="shared" si="69"/>
        <v/>
      </c>
      <c r="K172" s="190" t="str">
        <f t="shared" si="70"/>
        <v/>
      </c>
      <c r="L172" s="190" t="str">
        <f t="shared" si="71"/>
        <v/>
      </c>
      <c r="M172" s="214"/>
      <c r="N172" s="214"/>
      <c r="O172" s="189" t="str">
        <f t="shared" si="72"/>
        <v/>
      </c>
      <c r="P172" s="191" t="str">
        <f t="shared" si="59"/>
        <v/>
      </c>
      <c r="Q172" s="192" t="str">
        <f t="shared" si="73"/>
        <v/>
      </c>
      <c r="R172" s="191" t="str">
        <f t="shared" si="60"/>
        <v/>
      </c>
      <c r="S172" s="193" t="str">
        <f t="shared" si="74"/>
        <v/>
      </c>
      <c r="T172" s="194" t="str">
        <f t="shared" si="61"/>
        <v/>
      </c>
      <c r="U172" s="192" t="str">
        <f t="shared" si="75"/>
        <v/>
      </c>
      <c r="V172" s="195" t="str">
        <f t="shared" si="62"/>
        <v/>
      </c>
      <c r="W172" s="195" t="str">
        <f t="shared" si="63"/>
        <v/>
      </c>
      <c r="X172" s="196" t="str">
        <f t="shared" si="76"/>
        <v/>
      </c>
      <c r="Y172" s="191" t="str">
        <f t="shared" si="78"/>
        <v/>
      </c>
      <c r="Z172" s="197" t="str">
        <f t="shared" si="64"/>
        <v/>
      </c>
      <c r="AA172" s="197" t="str">
        <f t="shared" si="65"/>
        <v/>
      </c>
      <c r="AB172" s="213"/>
      <c r="AC172" s="204"/>
    </row>
    <row r="173" spans="1:29" ht="11.4">
      <c r="A173" s="211" t="str">
        <f t="shared" si="77"/>
        <v/>
      </c>
      <c r="B173" s="211"/>
      <c r="C173" s="185"/>
      <c r="D173" s="186" t="str">
        <f t="shared" si="66"/>
        <v/>
      </c>
      <c r="E173" s="186" t="str">
        <f>IF(OR(C173="",C173=Data!$B$3),"",IF(C173=Data!$B$4,"L","S"))</f>
        <v/>
      </c>
      <c r="F173" s="186" t="str">
        <f t="shared" si="67"/>
        <v/>
      </c>
      <c r="G173" s="187" t="str">
        <f t="shared" si="58"/>
        <v/>
      </c>
      <c r="H173" s="188"/>
      <c r="I173" s="189" t="str">
        <f t="shared" si="68"/>
        <v/>
      </c>
      <c r="J173" s="189" t="str">
        <f t="shared" si="69"/>
        <v/>
      </c>
      <c r="K173" s="190" t="str">
        <f t="shared" si="70"/>
        <v/>
      </c>
      <c r="L173" s="190" t="str">
        <f t="shared" si="71"/>
        <v/>
      </c>
      <c r="M173" s="214"/>
      <c r="N173" s="214"/>
      <c r="O173" s="189" t="str">
        <f t="shared" si="72"/>
        <v/>
      </c>
      <c r="P173" s="191" t="str">
        <f t="shared" si="59"/>
        <v/>
      </c>
      <c r="Q173" s="192" t="str">
        <f t="shared" si="73"/>
        <v/>
      </c>
      <c r="R173" s="191" t="str">
        <f t="shared" si="60"/>
        <v/>
      </c>
      <c r="S173" s="193" t="str">
        <f t="shared" si="74"/>
        <v/>
      </c>
      <c r="T173" s="194" t="str">
        <f t="shared" si="61"/>
        <v/>
      </c>
      <c r="U173" s="192" t="str">
        <f t="shared" si="75"/>
        <v/>
      </c>
      <c r="V173" s="195" t="str">
        <f t="shared" si="62"/>
        <v/>
      </c>
      <c r="W173" s="195" t="str">
        <f t="shared" si="63"/>
        <v/>
      </c>
      <c r="X173" s="196" t="str">
        <f t="shared" si="76"/>
        <v/>
      </c>
      <c r="Y173" s="191" t="str">
        <f t="shared" si="78"/>
        <v/>
      </c>
      <c r="Z173" s="197" t="str">
        <f t="shared" si="64"/>
        <v/>
      </c>
      <c r="AA173" s="197" t="str">
        <f t="shared" si="65"/>
        <v/>
      </c>
      <c r="AB173" s="213"/>
      <c r="AC173" s="204"/>
    </row>
    <row r="174" spans="1:29" ht="11.4">
      <c r="A174" s="211" t="str">
        <f t="shared" si="77"/>
        <v/>
      </c>
      <c r="B174" s="211"/>
      <c r="C174" s="185"/>
      <c r="D174" s="186" t="str">
        <f t="shared" si="66"/>
        <v/>
      </c>
      <c r="E174" s="186" t="str">
        <f>IF(OR(C174="",C174=Data!$B$3),"",IF(C174=Data!$B$4,"L","S"))</f>
        <v/>
      </c>
      <c r="F174" s="186" t="str">
        <f t="shared" si="67"/>
        <v/>
      </c>
      <c r="G174" s="187" t="str">
        <f t="shared" si="58"/>
        <v/>
      </c>
      <c r="H174" s="188"/>
      <c r="I174" s="189" t="str">
        <f t="shared" si="68"/>
        <v/>
      </c>
      <c r="J174" s="189" t="str">
        <f t="shared" si="69"/>
        <v/>
      </c>
      <c r="K174" s="190" t="str">
        <f t="shared" si="70"/>
        <v/>
      </c>
      <c r="L174" s="190" t="str">
        <f t="shared" si="71"/>
        <v/>
      </c>
      <c r="M174" s="214"/>
      <c r="N174" s="214"/>
      <c r="O174" s="189" t="str">
        <f t="shared" si="72"/>
        <v/>
      </c>
      <c r="P174" s="191" t="str">
        <f t="shared" si="59"/>
        <v/>
      </c>
      <c r="Q174" s="192" t="str">
        <f t="shared" si="73"/>
        <v/>
      </c>
      <c r="R174" s="191" t="str">
        <f t="shared" si="60"/>
        <v/>
      </c>
      <c r="S174" s="193" t="str">
        <f t="shared" si="74"/>
        <v/>
      </c>
      <c r="T174" s="194" t="str">
        <f t="shared" si="61"/>
        <v/>
      </c>
      <c r="U174" s="192" t="str">
        <f t="shared" si="75"/>
        <v/>
      </c>
      <c r="V174" s="195" t="str">
        <f t="shared" si="62"/>
        <v/>
      </c>
      <c r="W174" s="195" t="str">
        <f t="shared" si="63"/>
        <v/>
      </c>
      <c r="X174" s="196" t="str">
        <f t="shared" si="76"/>
        <v/>
      </c>
      <c r="Y174" s="191" t="str">
        <f t="shared" si="78"/>
        <v/>
      </c>
      <c r="Z174" s="197" t="str">
        <f t="shared" si="64"/>
        <v/>
      </c>
      <c r="AA174" s="197" t="str">
        <f t="shared" si="65"/>
        <v/>
      </c>
      <c r="AB174" s="213"/>
      <c r="AC174" s="204"/>
    </row>
    <row r="175" spans="1:29" ht="11.4">
      <c r="A175" s="211" t="str">
        <f t="shared" si="77"/>
        <v/>
      </c>
      <c r="B175" s="211"/>
      <c r="C175" s="185"/>
      <c r="D175" s="186" t="str">
        <f t="shared" si="66"/>
        <v/>
      </c>
      <c r="E175" s="186" t="str">
        <f>IF(OR(C175="",C175=Data!$B$3),"",IF(C175=Data!$B$4,"L","S"))</f>
        <v/>
      </c>
      <c r="F175" s="186" t="str">
        <f t="shared" si="67"/>
        <v/>
      </c>
      <c r="G175" s="187" t="str">
        <f t="shared" si="58"/>
        <v/>
      </c>
      <c r="H175" s="188"/>
      <c r="I175" s="189" t="str">
        <f t="shared" si="68"/>
        <v/>
      </c>
      <c r="J175" s="189" t="str">
        <f t="shared" si="69"/>
        <v/>
      </c>
      <c r="K175" s="190" t="str">
        <f t="shared" si="70"/>
        <v/>
      </c>
      <c r="L175" s="190" t="str">
        <f t="shared" si="71"/>
        <v/>
      </c>
      <c r="M175" s="214"/>
      <c r="N175" s="214"/>
      <c r="O175" s="189" t="str">
        <f t="shared" si="72"/>
        <v/>
      </c>
      <c r="P175" s="191" t="str">
        <f t="shared" si="59"/>
        <v/>
      </c>
      <c r="Q175" s="192" t="str">
        <f t="shared" si="73"/>
        <v/>
      </c>
      <c r="R175" s="191" t="str">
        <f t="shared" si="60"/>
        <v/>
      </c>
      <c r="S175" s="193" t="str">
        <f t="shared" si="74"/>
        <v/>
      </c>
      <c r="T175" s="194" t="str">
        <f t="shared" si="61"/>
        <v/>
      </c>
      <c r="U175" s="192" t="str">
        <f t="shared" si="75"/>
        <v/>
      </c>
      <c r="V175" s="195" t="str">
        <f t="shared" si="62"/>
        <v/>
      </c>
      <c r="W175" s="195" t="str">
        <f t="shared" si="63"/>
        <v/>
      </c>
      <c r="X175" s="196" t="str">
        <f t="shared" si="76"/>
        <v/>
      </c>
      <c r="Y175" s="191" t="str">
        <f t="shared" si="78"/>
        <v/>
      </c>
      <c r="Z175" s="197" t="str">
        <f t="shared" si="64"/>
        <v/>
      </c>
      <c r="AA175" s="197" t="str">
        <f t="shared" si="65"/>
        <v/>
      </c>
      <c r="AB175" s="213"/>
      <c r="AC175" s="204"/>
    </row>
    <row r="176" spans="1:29" ht="11.4">
      <c r="A176" s="211" t="str">
        <f t="shared" si="77"/>
        <v/>
      </c>
      <c r="B176" s="211"/>
      <c r="C176" s="185"/>
      <c r="D176" s="186" t="str">
        <f t="shared" si="66"/>
        <v/>
      </c>
      <c r="E176" s="186" t="str">
        <f>IF(OR(C176="",C176=Data!$B$3),"",IF(C176=Data!$B$4,"L","S"))</f>
        <v/>
      </c>
      <c r="F176" s="186" t="str">
        <f t="shared" si="67"/>
        <v/>
      </c>
      <c r="G176" s="187" t="str">
        <f t="shared" si="58"/>
        <v/>
      </c>
      <c r="H176" s="188"/>
      <c r="I176" s="189" t="str">
        <f t="shared" si="68"/>
        <v/>
      </c>
      <c r="J176" s="189" t="str">
        <f t="shared" si="69"/>
        <v/>
      </c>
      <c r="K176" s="190" t="str">
        <f t="shared" si="70"/>
        <v/>
      </c>
      <c r="L176" s="190" t="str">
        <f t="shared" si="71"/>
        <v/>
      </c>
      <c r="M176" s="214"/>
      <c r="N176" s="214"/>
      <c r="O176" s="189" t="str">
        <f t="shared" si="72"/>
        <v/>
      </c>
      <c r="P176" s="191" t="str">
        <f t="shared" si="59"/>
        <v/>
      </c>
      <c r="Q176" s="192" t="str">
        <f t="shared" si="73"/>
        <v/>
      </c>
      <c r="R176" s="191" t="str">
        <f t="shared" si="60"/>
        <v/>
      </c>
      <c r="S176" s="193" t="str">
        <f t="shared" si="74"/>
        <v/>
      </c>
      <c r="T176" s="194" t="str">
        <f t="shared" si="61"/>
        <v/>
      </c>
      <c r="U176" s="192" t="str">
        <f t="shared" si="75"/>
        <v/>
      </c>
      <c r="V176" s="195" t="str">
        <f t="shared" si="62"/>
        <v/>
      </c>
      <c r="W176" s="195" t="str">
        <f t="shared" si="63"/>
        <v/>
      </c>
      <c r="X176" s="196" t="str">
        <f t="shared" si="76"/>
        <v/>
      </c>
      <c r="Y176" s="191" t="str">
        <f t="shared" si="78"/>
        <v/>
      </c>
      <c r="Z176" s="197" t="str">
        <f t="shared" si="64"/>
        <v/>
      </c>
      <c r="AA176" s="197" t="str">
        <f t="shared" si="65"/>
        <v/>
      </c>
      <c r="AB176" s="213"/>
      <c r="AC176" s="204"/>
    </row>
    <row r="177" spans="1:29" ht="11.4">
      <c r="A177" s="211" t="str">
        <f t="shared" si="77"/>
        <v/>
      </c>
      <c r="B177" s="211"/>
      <c r="C177" s="185"/>
      <c r="D177" s="186" t="str">
        <f t="shared" si="66"/>
        <v/>
      </c>
      <c r="E177" s="186" t="str">
        <f>IF(OR(C177="",C177=Data!$B$3),"",IF(C177=Data!$B$4,"L","S"))</f>
        <v/>
      </c>
      <c r="F177" s="186" t="str">
        <f t="shared" si="67"/>
        <v/>
      </c>
      <c r="G177" s="187" t="str">
        <f t="shared" si="58"/>
        <v/>
      </c>
      <c r="H177" s="188"/>
      <c r="I177" s="189" t="str">
        <f t="shared" si="68"/>
        <v/>
      </c>
      <c r="J177" s="189" t="str">
        <f t="shared" si="69"/>
        <v/>
      </c>
      <c r="K177" s="190" t="str">
        <f t="shared" si="70"/>
        <v/>
      </c>
      <c r="L177" s="190" t="str">
        <f t="shared" si="71"/>
        <v/>
      </c>
      <c r="M177" s="214"/>
      <c r="N177" s="214"/>
      <c r="O177" s="189" t="str">
        <f t="shared" si="72"/>
        <v/>
      </c>
      <c r="P177" s="191" t="str">
        <f t="shared" si="59"/>
        <v/>
      </c>
      <c r="Q177" s="192" t="str">
        <f t="shared" si="73"/>
        <v/>
      </c>
      <c r="R177" s="191" t="str">
        <f t="shared" si="60"/>
        <v/>
      </c>
      <c r="S177" s="193" t="str">
        <f t="shared" si="74"/>
        <v/>
      </c>
      <c r="T177" s="194" t="str">
        <f t="shared" si="61"/>
        <v/>
      </c>
      <c r="U177" s="192" t="str">
        <f t="shared" si="75"/>
        <v/>
      </c>
      <c r="V177" s="195" t="str">
        <f t="shared" si="62"/>
        <v/>
      </c>
      <c r="W177" s="195" t="str">
        <f t="shared" si="63"/>
        <v/>
      </c>
      <c r="X177" s="196" t="str">
        <f t="shared" si="76"/>
        <v/>
      </c>
      <c r="Y177" s="191" t="str">
        <f t="shared" si="78"/>
        <v/>
      </c>
      <c r="Z177" s="197" t="str">
        <f t="shared" si="64"/>
        <v/>
      </c>
      <c r="AA177" s="197" t="str">
        <f t="shared" si="65"/>
        <v/>
      </c>
      <c r="AB177" s="213"/>
      <c r="AC177" s="204"/>
    </row>
    <row r="178" spans="1:29" ht="11.4">
      <c r="A178" s="211" t="str">
        <f t="shared" si="77"/>
        <v/>
      </c>
      <c r="B178" s="211"/>
      <c r="C178" s="185"/>
      <c r="D178" s="186" t="str">
        <f t="shared" si="66"/>
        <v/>
      </c>
      <c r="E178" s="186" t="str">
        <f>IF(OR(C178="",C178=Data!$B$3),"",IF(C178=Data!$B$4,"L","S"))</f>
        <v/>
      </c>
      <c r="F178" s="186" t="str">
        <f t="shared" si="67"/>
        <v/>
      </c>
      <c r="G178" s="187" t="str">
        <f t="shared" si="58"/>
        <v/>
      </c>
      <c r="H178" s="188"/>
      <c r="I178" s="189" t="str">
        <f t="shared" si="68"/>
        <v/>
      </c>
      <c r="J178" s="189" t="str">
        <f t="shared" si="69"/>
        <v/>
      </c>
      <c r="K178" s="190" t="str">
        <f t="shared" si="70"/>
        <v/>
      </c>
      <c r="L178" s="190" t="str">
        <f t="shared" si="71"/>
        <v/>
      </c>
      <c r="M178" s="214"/>
      <c r="N178" s="214"/>
      <c r="O178" s="189" t="str">
        <f t="shared" si="72"/>
        <v/>
      </c>
      <c r="P178" s="191" t="str">
        <f t="shared" si="59"/>
        <v/>
      </c>
      <c r="Q178" s="192" t="str">
        <f t="shared" si="73"/>
        <v/>
      </c>
      <c r="R178" s="191" t="str">
        <f t="shared" si="60"/>
        <v/>
      </c>
      <c r="S178" s="193" t="str">
        <f t="shared" si="74"/>
        <v/>
      </c>
      <c r="T178" s="194" t="str">
        <f t="shared" si="61"/>
        <v/>
      </c>
      <c r="U178" s="192" t="str">
        <f t="shared" si="75"/>
        <v/>
      </c>
      <c r="V178" s="195" t="str">
        <f t="shared" si="62"/>
        <v/>
      </c>
      <c r="W178" s="195" t="str">
        <f t="shared" si="63"/>
        <v/>
      </c>
      <c r="X178" s="196" t="str">
        <f t="shared" si="76"/>
        <v/>
      </c>
      <c r="Y178" s="191" t="str">
        <f t="shared" si="78"/>
        <v/>
      </c>
      <c r="Z178" s="197" t="str">
        <f t="shared" si="64"/>
        <v/>
      </c>
      <c r="AA178" s="197" t="str">
        <f t="shared" si="65"/>
        <v/>
      </c>
      <c r="AB178" s="213"/>
      <c r="AC178" s="204"/>
    </row>
    <row r="179" spans="1:29" ht="11.4">
      <c r="A179" s="211" t="str">
        <f t="shared" si="77"/>
        <v/>
      </c>
      <c r="B179" s="211"/>
      <c r="C179" s="185"/>
      <c r="D179" s="186" t="str">
        <f t="shared" si="66"/>
        <v/>
      </c>
      <c r="E179" s="186" t="str">
        <f>IF(OR(C179="",C179=Data!$B$3),"",IF(C179=Data!$B$4,"L","S"))</f>
        <v/>
      </c>
      <c r="F179" s="186" t="str">
        <f t="shared" si="67"/>
        <v/>
      </c>
      <c r="G179" s="187" t="str">
        <f t="shared" si="58"/>
        <v/>
      </c>
      <c r="H179" s="188"/>
      <c r="I179" s="189" t="str">
        <f t="shared" si="68"/>
        <v/>
      </c>
      <c r="J179" s="189" t="str">
        <f t="shared" si="69"/>
        <v/>
      </c>
      <c r="K179" s="190" t="str">
        <f t="shared" si="70"/>
        <v/>
      </c>
      <c r="L179" s="190" t="str">
        <f t="shared" si="71"/>
        <v/>
      </c>
      <c r="M179" s="214"/>
      <c r="N179" s="214"/>
      <c r="O179" s="189" t="str">
        <f t="shared" si="72"/>
        <v/>
      </c>
      <c r="P179" s="191" t="str">
        <f t="shared" si="59"/>
        <v/>
      </c>
      <c r="Q179" s="192" t="str">
        <f t="shared" si="73"/>
        <v/>
      </c>
      <c r="R179" s="191" t="str">
        <f t="shared" si="60"/>
        <v/>
      </c>
      <c r="S179" s="193" t="str">
        <f t="shared" si="74"/>
        <v/>
      </c>
      <c r="T179" s="194" t="str">
        <f t="shared" si="61"/>
        <v/>
      </c>
      <c r="U179" s="192" t="str">
        <f t="shared" si="75"/>
        <v/>
      </c>
      <c r="V179" s="195" t="str">
        <f t="shared" si="62"/>
        <v/>
      </c>
      <c r="W179" s="195" t="str">
        <f t="shared" si="63"/>
        <v/>
      </c>
      <c r="X179" s="196" t="str">
        <f t="shared" si="76"/>
        <v/>
      </c>
      <c r="Y179" s="191" t="str">
        <f t="shared" si="78"/>
        <v/>
      </c>
      <c r="Z179" s="197" t="str">
        <f t="shared" si="64"/>
        <v/>
      </c>
      <c r="AA179" s="197" t="str">
        <f t="shared" si="65"/>
        <v/>
      </c>
      <c r="AB179" s="213"/>
      <c r="AC179" s="204"/>
    </row>
    <row r="180" spans="1:29" ht="11.4">
      <c r="A180" s="211" t="str">
        <f t="shared" si="77"/>
        <v/>
      </c>
      <c r="B180" s="211"/>
      <c r="C180" s="185"/>
      <c r="D180" s="186" t="str">
        <f t="shared" si="66"/>
        <v/>
      </c>
      <c r="E180" s="186" t="str">
        <f>IF(OR(C180="",C180=Data!$B$3),"",IF(C180=Data!$B$4,"L","S"))</f>
        <v/>
      </c>
      <c r="F180" s="186" t="str">
        <f t="shared" si="67"/>
        <v/>
      </c>
      <c r="G180" s="187" t="str">
        <f t="shared" si="58"/>
        <v/>
      </c>
      <c r="H180" s="188"/>
      <c r="I180" s="189" t="str">
        <f t="shared" si="68"/>
        <v/>
      </c>
      <c r="J180" s="189" t="str">
        <f t="shared" si="69"/>
        <v/>
      </c>
      <c r="K180" s="190" t="str">
        <f t="shared" si="70"/>
        <v/>
      </c>
      <c r="L180" s="190" t="str">
        <f t="shared" si="71"/>
        <v/>
      </c>
      <c r="M180" s="214"/>
      <c r="N180" s="214"/>
      <c r="O180" s="189" t="str">
        <f t="shared" si="72"/>
        <v/>
      </c>
      <c r="P180" s="191" t="str">
        <f t="shared" si="59"/>
        <v/>
      </c>
      <c r="Q180" s="192" t="str">
        <f t="shared" si="73"/>
        <v/>
      </c>
      <c r="R180" s="191" t="str">
        <f t="shared" si="60"/>
        <v/>
      </c>
      <c r="S180" s="193" t="str">
        <f t="shared" si="74"/>
        <v/>
      </c>
      <c r="T180" s="194" t="str">
        <f t="shared" si="61"/>
        <v/>
      </c>
      <c r="U180" s="192" t="str">
        <f t="shared" si="75"/>
        <v/>
      </c>
      <c r="V180" s="195" t="str">
        <f t="shared" si="62"/>
        <v/>
      </c>
      <c r="W180" s="195" t="str">
        <f t="shared" si="63"/>
        <v/>
      </c>
      <c r="X180" s="196" t="str">
        <f t="shared" si="76"/>
        <v/>
      </c>
      <c r="Y180" s="191" t="str">
        <f t="shared" si="78"/>
        <v/>
      </c>
      <c r="Z180" s="197" t="str">
        <f t="shared" si="64"/>
        <v/>
      </c>
      <c r="AA180" s="197" t="str">
        <f t="shared" si="65"/>
        <v/>
      </c>
      <c r="AB180" s="213"/>
      <c r="AC180" s="204"/>
    </row>
    <row r="181" spans="1:29" ht="11.4">
      <c r="A181" s="211" t="str">
        <f t="shared" si="77"/>
        <v/>
      </c>
      <c r="B181" s="211"/>
      <c r="C181" s="185"/>
      <c r="D181" s="186" t="str">
        <f t="shared" si="66"/>
        <v/>
      </c>
      <c r="E181" s="186" t="str">
        <f>IF(OR(C181="",C181=Data!$B$3),"",IF(C181=Data!$B$4,"L","S"))</f>
        <v/>
      </c>
      <c r="F181" s="186" t="str">
        <f t="shared" si="67"/>
        <v/>
      </c>
      <c r="G181" s="187" t="str">
        <f t="shared" si="58"/>
        <v/>
      </c>
      <c r="H181" s="188"/>
      <c r="I181" s="189" t="str">
        <f t="shared" si="68"/>
        <v/>
      </c>
      <c r="J181" s="189" t="str">
        <f t="shared" si="69"/>
        <v/>
      </c>
      <c r="K181" s="190" t="str">
        <f t="shared" si="70"/>
        <v/>
      </c>
      <c r="L181" s="190" t="str">
        <f t="shared" si="71"/>
        <v/>
      </c>
      <c r="M181" s="214"/>
      <c r="N181" s="214"/>
      <c r="O181" s="189" t="str">
        <f t="shared" si="72"/>
        <v/>
      </c>
      <c r="P181" s="191" t="str">
        <f t="shared" si="59"/>
        <v/>
      </c>
      <c r="Q181" s="192" t="str">
        <f t="shared" si="73"/>
        <v/>
      </c>
      <c r="R181" s="191" t="str">
        <f t="shared" si="60"/>
        <v/>
      </c>
      <c r="S181" s="193" t="str">
        <f t="shared" si="74"/>
        <v/>
      </c>
      <c r="T181" s="194" t="str">
        <f t="shared" si="61"/>
        <v/>
      </c>
      <c r="U181" s="192" t="str">
        <f t="shared" si="75"/>
        <v/>
      </c>
      <c r="V181" s="195" t="str">
        <f t="shared" si="62"/>
        <v/>
      </c>
      <c r="W181" s="195" t="str">
        <f t="shared" si="63"/>
        <v/>
      </c>
      <c r="X181" s="196" t="str">
        <f t="shared" si="76"/>
        <v/>
      </c>
      <c r="Y181" s="191" t="str">
        <f t="shared" si="78"/>
        <v/>
      </c>
      <c r="Z181" s="197" t="str">
        <f t="shared" si="64"/>
        <v/>
      </c>
      <c r="AA181" s="197" t="str">
        <f t="shared" si="65"/>
        <v/>
      </c>
      <c r="AB181" s="213"/>
      <c r="AC181" s="204"/>
    </row>
    <row r="182" spans="1:29" ht="11.4">
      <c r="A182" s="211" t="str">
        <f t="shared" si="77"/>
        <v/>
      </c>
      <c r="B182" s="211"/>
      <c r="C182" s="185"/>
      <c r="D182" s="186" t="str">
        <f t="shared" si="66"/>
        <v/>
      </c>
      <c r="E182" s="186" t="str">
        <f>IF(OR(C182="",C182=Data!$B$3),"",IF(C182=Data!$B$4,"L","S"))</f>
        <v/>
      </c>
      <c r="F182" s="186" t="str">
        <f t="shared" si="67"/>
        <v/>
      </c>
      <c r="G182" s="187" t="str">
        <f t="shared" si="58"/>
        <v/>
      </c>
      <c r="H182" s="188"/>
      <c r="I182" s="189" t="str">
        <f t="shared" si="68"/>
        <v/>
      </c>
      <c r="J182" s="189" t="str">
        <f t="shared" si="69"/>
        <v/>
      </c>
      <c r="K182" s="190" t="str">
        <f t="shared" si="70"/>
        <v/>
      </c>
      <c r="L182" s="190" t="str">
        <f t="shared" si="71"/>
        <v/>
      </c>
      <c r="M182" s="214"/>
      <c r="N182" s="214"/>
      <c r="O182" s="189" t="str">
        <f t="shared" si="72"/>
        <v/>
      </c>
      <c r="P182" s="191" t="str">
        <f t="shared" si="59"/>
        <v/>
      </c>
      <c r="Q182" s="192" t="str">
        <f t="shared" si="73"/>
        <v/>
      </c>
      <c r="R182" s="191" t="str">
        <f t="shared" si="60"/>
        <v/>
      </c>
      <c r="S182" s="193" t="str">
        <f t="shared" si="74"/>
        <v/>
      </c>
      <c r="T182" s="194" t="str">
        <f t="shared" si="61"/>
        <v/>
      </c>
      <c r="U182" s="192" t="str">
        <f t="shared" si="75"/>
        <v/>
      </c>
      <c r="V182" s="195" t="str">
        <f t="shared" si="62"/>
        <v/>
      </c>
      <c r="W182" s="195" t="str">
        <f t="shared" si="63"/>
        <v/>
      </c>
      <c r="X182" s="196" t="str">
        <f t="shared" si="76"/>
        <v/>
      </c>
      <c r="Y182" s="191" t="str">
        <f t="shared" si="78"/>
        <v/>
      </c>
      <c r="Z182" s="197" t="str">
        <f t="shared" si="64"/>
        <v/>
      </c>
      <c r="AA182" s="197" t="str">
        <f t="shared" si="65"/>
        <v/>
      </c>
      <c r="AB182" s="213"/>
      <c r="AC182" s="204"/>
    </row>
    <row r="183" spans="1:29" ht="11.4">
      <c r="A183" s="211" t="str">
        <f t="shared" si="77"/>
        <v/>
      </c>
      <c r="B183" s="211"/>
      <c r="C183" s="185"/>
      <c r="D183" s="186" t="str">
        <f t="shared" si="66"/>
        <v/>
      </c>
      <c r="E183" s="186" t="str">
        <f>IF(OR(C183="",C183=Data!$B$3),"",IF(C183=Data!$B$4,"L","S"))</f>
        <v/>
      </c>
      <c r="F183" s="186" t="str">
        <f t="shared" si="67"/>
        <v/>
      </c>
      <c r="G183" s="187" t="str">
        <f t="shared" si="58"/>
        <v/>
      </c>
      <c r="H183" s="188"/>
      <c r="I183" s="189" t="str">
        <f t="shared" si="68"/>
        <v/>
      </c>
      <c r="J183" s="189" t="str">
        <f t="shared" si="69"/>
        <v/>
      </c>
      <c r="K183" s="190" t="str">
        <f t="shared" si="70"/>
        <v/>
      </c>
      <c r="L183" s="190" t="str">
        <f t="shared" si="71"/>
        <v/>
      </c>
      <c r="M183" s="214"/>
      <c r="N183" s="214"/>
      <c r="O183" s="189" t="str">
        <f t="shared" si="72"/>
        <v/>
      </c>
      <c r="P183" s="191" t="str">
        <f t="shared" si="59"/>
        <v/>
      </c>
      <c r="Q183" s="192" t="str">
        <f t="shared" si="73"/>
        <v/>
      </c>
      <c r="R183" s="191" t="str">
        <f t="shared" si="60"/>
        <v/>
      </c>
      <c r="S183" s="193" t="str">
        <f t="shared" si="74"/>
        <v/>
      </c>
      <c r="T183" s="194" t="str">
        <f t="shared" si="61"/>
        <v/>
      </c>
      <c r="U183" s="192" t="str">
        <f t="shared" si="75"/>
        <v/>
      </c>
      <c r="V183" s="195" t="str">
        <f t="shared" si="62"/>
        <v/>
      </c>
      <c r="W183" s="195" t="str">
        <f t="shared" si="63"/>
        <v/>
      </c>
      <c r="X183" s="196" t="str">
        <f t="shared" si="76"/>
        <v/>
      </c>
      <c r="Y183" s="191" t="str">
        <f t="shared" si="78"/>
        <v/>
      </c>
      <c r="Z183" s="197" t="str">
        <f t="shared" si="64"/>
        <v/>
      </c>
      <c r="AA183" s="197" t="str">
        <f t="shared" si="65"/>
        <v/>
      </c>
      <c r="AB183" s="213"/>
      <c r="AC183" s="204"/>
    </row>
    <row r="184" spans="1:29" ht="11.4">
      <c r="A184" s="211" t="str">
        <f t="shared" si="77"/>
        <v/>
      </c>
      <c r="B184" s="211"/>
      <c r="C184" s="185"/>
      <c r="D184" s="186" t="str">
        <f t="shared" si="66"/>
        <v/>
      </c>
      <c r="E184" s="186" t="str">
        <f>IF(OR(C184="",C184=Data!$B$3),"",IF(C184=Data!$B$4,"L","S"))</f>
        <v/>
      </c>
      <c r="F184" s="186" t="str">
        <f t="shared" si="67"/>
        <v/>
      </c>
      <c r="G184" s="187" t="str">
        <f t="shared" si="58"/>
        <v/>
      </c>
      <c r="H184" s="188"/>
      <c r="I184" s="189" t="str">
        <f t="shared" si="68"/>
        <v/>
      </c>
      <c r="J184" s="189" t="str">
        <f t="shared" si="69"/>
        <v/>
      </c>
      <c r="K184" s="190" t="str">
        <f t="shared" si="70"/>
        <v/>
      </c>
      <c r="L184" s="190" t="str">
        <f t="shared" si="71"/>
        <v/>
      </c>
      <c r="M184" s="214"/>
      <c r="N184" s="214"/>
      <c r="O184" s="189" t="str">
        <f t="shared" si="72"/>
        <v/>
      </c>
      <c r="P184" s="191" t="str">
        <f t="shared" si="59"/>
        <v/>
      </c>
      <c r="Q184" s="192" t="str">
        <f t="shared" si="73"/>
        <v/>
      </c>
      <c r="R184" s="191" t="str">
        <f t="shared" si="60"/>
        <v/>
      </c>
      <c r="S184" s="193" t="str">
        <f t="shared" si="74"/>
        <v/>
      </c>
      <c r="T184" s="194" t="str">
        <f t="shared" si="61"/>
        <v/>
      </c>
      <c r="U184" s="192" t="str">
        <f t="shared" si="75"/>
        <v/>
      </c>
      <c r="V184" s="195" t="str">
        <f t="shared" si="62"/>
        <v/>
      </c>
      <c r="W184" s="195" t="str">
        <f t="shared" si="63"/>
        <v/>
      </c>
      <c r="X184" s="196" t="str">
        <f t="shared" si="76"/>
        <v/>
      </c>
      <c r="Y184" s="191" t="str">
        <f t="shared" si="78"/>
        <v/>
      </c>
      <c r="Z184" s="197" t="str">
        <f t="shared" si="64"/>
        <v/>
      </c>
      <c r="AA184" s="197" t="str">
        <f t="shared" si="65"/>
        <v/>
      </c>
      <c r="AB184" s="213"/>
      <c r="AC184" s="204"/>
    </row>
    <row r="185" spans="1:29" ht="11.4">
      <c r="A185" s="211" t="str">
        <f t="shared" si="77"/>
        <v/>
      </c>
      <c r="B185" s="211"/>
      <c r="C185" s="185"/>
      <c r="D185" s="186" t="str">
        <f t="shared" si="66"/>
        <v/>
      </c>
      <c r="E185" s="186" t="str">
        <f>IF(OR(C185="",C185=Data!$B$3),"",IF(C185=Data!$B$4,"L","S"))</f>
        <v/>
      </c>
      <c r="F185" s="186" t="str">
        <f t="shared" si="67"/>
        <v/>
      </c>
      <c r="G185" s="187" t="str">
        <f t="shared" si="58"/>
        <v/>
      </c>
      <c r="H185" s="188"/>
      <c r="I185" s="189" t="str">
        <f t="shared" si="68"/>
        <v/>
      </c>
      <c r="J185" s="189" t="str">
        <f t="shared" si="69"/>
        <v/>
      </c>
      <c r="K185" s="190" t="str">
        <f t="shared" si="70"/>
        <v/>
      </c>
      <c r="L185" s="190" t="str">
        <f t="shared" si="71"/>
        <v/>
      </c>
      <c r="M185" s="214"/>
      <c r="N185" s="214"/>
      <c r="O185" s="189" t="str">
        <f t="shared" si="72"/>
        <v/>
      </c>
      <c r="P185" s="191" t="str">
        <f t="shared" si="59"/>
        <v/>
      </c>
      <c r="Q185" s="192" t="str">
        <f t="shared" si="73"/>
        <v/>
      </c>
      <c r="R185" s="191" t="str">
        <f t="shared" si="60"/>
        <v/>
      </c>
      <c r="S185" s="193" t="str">
        <f t="shared" si="74"/>
        <v/>
      </c>
      <c r="T185" s="194" t="str">
        <f t="shared" si="61"/>
        <v/>
      </c>
      <c r="U185" s="192" t="str">
        <f t="shared" si="75"/>
        <v/>
      </c>
      <c r="V185" s="195" t="str">
        <f t="shared" si="62"/>
        <v/>
      </c>
      <c r="W185" s="195" t="str">
        <f t="shared" si="63"/>
        <v/>
      </c>
      <c r="X185" s="196" t="str">
        <f t="shared" si="76"/>
        <v/>
      </c>
      <c r="Y185" s="191" t="str">
        <f t="shared" si="78"/>
        <v/>
      </c>
      <c r="Z185" s="197" t="str">
        <f t="shared" si="64"/>
        <v/>
      </c>
      <c r="AA185" s="197" t="str">
        <f t="shared" si="65"/>
        <v/>
      </c>
      <c r="AB185" s="213"/>
      <c r="AC185" s="204"/>
    </row>
    <row r="186" spans="1:29" ht="11.4">
      <c r="A186" s="211" t="str">
        <f t="shared" si="77"/>
        <v/>
      </c>
      <c r="B186" s="211"/>
      <c r="C186" s="185"/>
      <c r="D186" s="186" t="str">
        <f t="shared" si="66"/>
        <v/>
      </c>
      <c r="E186" s="186" t="str">
        <f>IF(OR(C186="",C186=Data!$B$3),"",IF(C186=Data!$B$4,"L","S"))</f>
        <v/>
      </c>
      <c r="F186" s="186" t="str">
        <f t="shared" si="67"/>
        <v/>
      </c>
      <c r="G186" s="187" t="str">
        <f t="shared" si="58"/>
        <v/>
      </c>
      <c r="H186" s="188"/>
      <c r="I186" s="189" t="str">
        <f t="shared" si="68"/>
        <v/>
      </c>
      <c r="J186" s="189" t="str">
        <f t="shared" si="69"/>
        <v/>
      </c>
      <c r="K186" s="190" t="str">
        <f t="shared" si="70"/>
        <v/>
      </c>
      <c r="L186" s="190" t="str">
        <f t="shared" si="71"/>
        <v/>
      </c>
      <c r="M186" s="214"/>
      <c r="N186" s="214"/>
      <c r="O186" s="189" t="str">
        <f t="shared" si="72"/>
        <v/>
      </c>
      <c r="P186" s="191" t="str">
        <f t="shared" si="59"/>
        <v/>
      </c>
      <c r="Q186" s="192" t="str">
        <f t="shared" si="73"/>
        <v/>
      </c>
      <c r="R186" s="191" t="str">
        <f t="shared" si="60"/>
        <v/>
      </c>
      <c r="S186" s="193" t="str">
        <f t="shared" si="74"/>
        <v/>
      </c>
      <c r="T186" s="194" t="str">
        <f t="shared" si="61"/>
        <v/>
      </c>
      <c r="U186" s="192" t="str">
        <f t="shared" si="75"/>
        <v/>
      </c>
      <c r="V186" s="195" t="str">
        <f t="shared" si="62"/>
        <v/>
      </c>
      <c r="W186" s="195" t="str">
        <f t="shared" si="63"/>
        <v/>
      </c>
      <c r="X186" s="196" t="str">
        <f t="shared" si="76"/>
        <v/>
      </c>
      <c r="Y186" s="191" t="str">
        <f t="shared" si="78"/>
        <v/>
      </c>
      <c r="Z186" s="197" t="str">
        <f t="shared" si="64"/>
        <v/>
      </c>
      <c r="AA186" s="197" t="str">
        <f t="shared" si="65"/>
        <v/>
      </c>
      <c r="AB186" s="213"/>
      <c r="AC186" s="204"/>
    </row>
    <row r="187" spans="1:29" ht="11.4">
      <c r="A187" s="211" t="str">
        <f t="shared" si="77"/>
        <v/>
      </c>
      <c r="B187" s="211"/>
      <c r="C187" s="185"/>
      <c r="D187" s="186" t="str">
        <f t="shared" si="66"/>
        <v/>
      </c>
      <c r="E187" s="186" t="str">
        <f>IF(OR(C187="",C187=Data!$B$3),"",IF(C187=Data!$B$4,"L","S"))</f>
        <v/>
      </c>
      <c r="F187" s="186" t="str">
        <f t="shared" si="67"/>
        <v/>
      </c>
      <c r="G187" s="187" t="str">
        <f t="shared" si="58"/>
        <v/>
      </c>
      <c r="H187" s="188"/>
      <c r="I187" s="189" t="str">
        <f t="shared" si="68"/>
        <v/>
      </c>
      <c r="J187" s="189" t="str">
        <f t="shared" si="69"/>
        <v/>
      </c>
      <c r="K187" s="190" t="str">
        <f t="shared" si="70"/>
        <v/>
      </c>
      <c r="L187" s="190" t="str">
        <f t="shared" si="71"/>
        <v/>
      </c>
      <c r="M187" s="214"/>
      <c r="N187" s="214"/>
      <c r="O187" s="189" t="str">
        <f t="shared" si="72"/>
        <v/>
      </c>
      <c r="P187" s="191" t="str">
        <f t="shared" si="59"/>
        <v/>
      </c>
      <c r="Q187" s="192" t="str">
        <f t="shared" si="73"/>
        <v/>
      </c>
      <c r="R187" s="191" t="str">
        <f t="shared" si="60"/>
        <v/>
      </c>
      <c r="S187" s="193" t="str">
        <f t="shared" si="74"/>
        <v/>
      </c>
      <c r="T187" s="194" t="str">
        <f t="shared" si="61"/>
        <v/>
      </c>
      <c r="U187" s="192" t="str">
        <f t="shared" si="75"/>
        <v/>
      </c>
      <c r="V187" s="195" t="str">
        <f t="shared" si="62"/>
        <v/>
      </c>
      <c r="W187" s="195" t="str">
        <f t="shared" si="63"/>
        <v/>
      </c>
      <c r="X187" s="196" t="str">
        <f t="shared" si="76"/>
        <v/>
      </c>
      <c r="Y187" s="191" t="str">
        <f t="shared" si="78"/>
        <v/>
      </c>
      <c r="Z187" s="197" t="str">
        <f t="shared" si="64"/>
        <v/>
      </c>
      <c r="AA187" s="197" t="str">
        <f t="shared" si="65"/>
        <v/>
      </c>
      <c r="AB187" s="213"/>
      <c r="AC187" s="204"/>
    </row>
    <row r="188" spans="1:29" ht="11.4">
      <c r="A188" s="211" t="str">
        <f t="shared" si="77"/>
        <v/>
      </c>
      <c r="B188" s="211"/>
      <c r="C188" s="185"/>
      <c r="D188" s="186" t="str">
        <f t="shared" si="66"/>
        <v/>
      </c>
      <c r="E188" s="186" t="str">
        <f>IF(OR(C188="",C188=Data!$B$3),"",IF(C188=Data!$B$4,"L","S"))</f>
        <v/>
      </c>
      <c r="F188" s="186" t="str">
        <f t="shared" si="67"/>
        <v/>
      </c>
      <c r="G188" s="187" t="str">
        <f t="shared" si="58"/>
        <v/>
      </c>
      <c r="H188" s="188"/>
      <c r="I188" s="189" t="str">
        <f t="shared" si="68"/>
        <v/>
      </c>
      <c r="J188" s="189" t="str">
        <f t="shared" si="69"/>
        <v/>
      </c>
      <c r="K188" s="190" t="str">
        <f t="shared" si="70"/>
        <v/>
      </c>
      <c r="L188" s="190" t="str">
        <f t="shared" si="71"/>
        <v/>
      </c>
      <c r="M188" s="214"/>
      <c r="N188" s="214"/>
      <c r="O188" s="189" t="str">
        <f t="shared" si="72"/>
        <v/>
      </c>
      <c r="P188" s="191" t="str">
        <f t="shared" si="59"/>
        <v/>
      </c>
      <c r="Q188" s="192" t="str">
        <f t="shared" si="73"/>
        <v/>
      </c>
      <c r="R188" s="191" t="str">
        <f t="shared" si="60"/>
        <v/>
      </c>
      <c r="S188" s="193" t="str">
        <f t="shared" si="74"/>
        <v/>
      </c>
      <c r="T188" s="194" t="str">
        <f t="shared" si="61"/>
        <v/>
      </c>
      <c r="U188" s="192" t="str">
        <f t="shared" si="75"/>
        <v/>
      </c>
      <c r="V188" s="195" t="str">
        <f t="shared" si="62"/>
        <v/>
      </c>
      <c r="W188" s="195" t="str">
        <f t="shared" si="63"/>
        <v/>
      </c>
      <c r="X188" s="196" t="str">
        <f t="shared" si="76"/>
        <v/>
      </c>
      <c r="Y188" s="191" t="str">
        <f t="shared" si="78"/>
        <v/>
      </c>
      <c r="Z188" s="197" t="str">
        <f t="shared" si="64"/>
        <v/>
      </c>
      <c r="AA188" s="197" t="str">
        <f t="shared" si="65"/>
        <v/>
      </c>
      <c r="AB188" s="213"/>
      <c r="AC188" s="204"/>
    </row>
    <row r="189" spans="1:29" ht="11.4">
      <c r="A189" s="211" t="str">
        <f t="shared" si="77"/>
        <v/>
      </c>
      <c r="B189" s="211"/>
      <c r="C189" s="185"/>
      <c r="D189" s="186" t="str">
        <f t="shared" si="66"/>
        <v/>
      </c>
      <c r="E189" s="186" t="str">
        <f>IF(OR(C189="",C189=Data!$B$3),"",IF(C189=Data!$B$4,"L","S"))</f>
        <v/>
      </c>
      <c r="F189" s="186" t="str">
        <f t="shared" si="67"/>
        <v/>
      </c>
      <c r="G189" s="187" t="str">
        <f t="shared" si="58"/>
        <v/>
      </c>
      <c r="H189" s="188"/>
      <c r="I189" s="189" t="str">
        <f t="shared" si="68"/>
        <v/>
      </c>
      <c r="J189" s="189" t="str">
        <f t="shared" si="69"/>
        <v/>
      </c>
      <c r="K189" s="190" t="str">
        <f t="shared" si="70"/>
        <v/>
      </c>
      <c r="L189" s="190" t="str">
        <f t="shared" si="71"/>
        <v/>
      </c>
      <c r="M189" s="214"/>
      <c r="N189" s="214"/>
      <c r="O189" s="189" t="str">
        <f t="shared" si="72"/>
        <v/>
      </c>
      <c r="P189" s="191" t="str">
        <f t="shared" si="59"/>
        <v/>
      </c>
      <c r="Q189" s="192" t="str">
        <f t="shared" si="73"/>
        <v/>
      </c>
      <c r="R189" s="191" t="str">
        <f t="shared" si="60"/>
        <v/>
      </c>
      <c r="S189" s="193" t="str">
        <f t="shared" si="74"/>
        <v/>
      </c>
      <c r="T189" s="194" t="str">
        <f t="shared" si="61"/>
        <v/>
      </c>
      <c r="U189" s="192" t="str">
        <f t="shared" si="75"/>
        <v/>
      </c>
      <c r="V189" s="195" t="str">
        <f t="shared" si="62"/>
        <v/>
      </c>
      <c r="W189" s="195" t="str">
        <f t="shared" si="63"/>
        <v/>
      </c>
      <c r="X189" s="196" t="str">
        <f t="shared" si="76"/>
        <v/>
      </c>
      <c r="Y189" s="191" t="str">
        <f t="shared" si="78"/>
        <v/>
      </c>
      <c r="Z189" s="197" t="str">
        <f t="shared" si="64"/>
        <v/>
      </c>
      <c r="AA189" s="197" t="str">
        <f t="shared" si="65"/>
        <v/>
      </c>
      <c r="AB189" s="213"/>
      <c r="AC189" s="204"/>
    </row>
    <row r="190" spans="1:29" ht="11.4">
      <c r="A190" s="211" t="str">
        <f t="shared" si="77"/>
        <v/>
      </c>
      <c r="B190" s="211"/>
      <c r="C190" s="185"/>
      <c r="D190" s="186" t="str">
        <f t="shared" si="66"/>
        <v/>
      </c>
      <c r="E190" s="186" t="str">
        <f>IF(OR(C190="",C190=Data!$B$3),"",IF(C190=Data!$B$4,"L","S"))</f>
        <v/>
      </c>
      <c r="F190" s="186" t="str">
        <f t="shared" si="67"/>
        <v/>
      </c>
      <c r="G190" s="187" t="str">
        <f t="shared" si="58"/>
        <v/>
      </c>
      <c r="H190" s="188"/>
      <c r="I190" s="189" t="str">
        <f t="shared" si="68"/>
        <v/>
      </c>
      <c r="J190" s="189" t="str">
        <f t="shared" si="69"/>
        <v/>
      </c>
      <c r="K190" s="190" t="str">
        <f t="shared" si="70"/>
        <v/>
      </c>
      <c r="L190" s="190" t="str">
        <f t="shared" si="71"/>
        <v/>
      </c>
      <c r="M190" s="214"/>
      <c r="N190" s="214"/>
      <c r="O190" s="189" t="str">
        <f t="shared" si="72"/>
        <v/>
      </c>
      <c r="P190" s="191" t="str">
        <f t="shared" si="59"/>
        <v/>
      </c>
      <c r="Q190" s="192" t="str">
        <f t="shared" si="73"/>
        <v/>
      </c>
      <c r="R190" s="191" t="str">
        <f t="shared" si="60"/>
        <v/>
      </c>
      <c r="S190" s="193" t="str">
        <f t="shared" si="74"/>
        <v/>
      </c>
      <c r="T190" s="194" t="str">
        <f t="shared" si="61"/>
        <v/>
      </c>
      <c r="U190" s="192" t="str">
        <f t="shared" si="75"/>
        <v/>
      </c>
      <c r="V190" s="195" t="str">
        <f t="shared" si="62"/>
        <v/>
      </c>
      <c r="W190" s="195" t="str">
        <f t="shared" si="63"/>
        <v/>
      </c>
      <c r="X190" s="196" t="str">
        <f t="shared" si="76"/>
        <v/>
      </c>
      <c r="Y190" s="191" t="str">
        <f t="shared" si="78"/>
        <v/>
      </c>
      <c r="Z190" s="197" t="str">
        <f t="shared" si="64"/>
        <v/>
      </c>
      <c r="AA190" s="197" t="str">
        <f t="shared" si="65"/>
        <v/>
      </c>
      <c r="AB190" s="213"/>
      <c r="AC190" s="204"/>
    </row>
    <row r="191" spans="1:29" ht="11.4">
      <c r="A191" s="211" t="str">
        <f t="shared" si="77"/>
        <v/>
      </c>
      <c r="B191" s="211"/>
      <c r="C191" s="185"/>
      <c r="D191" s="186" t="str">
        <f t="shared" si="66"/>
        <v/>
      </c>
      <c r="E191" s="186" t="str">
        <f>IF(OR(C191="",C191=Data!$B$3),"",IF(C191=Data!$B$4,"L","S"))</f>
        <v/>
      </c>
      <c r="F191" s="186" t="str">
        <f t="shared" si="67"/>
        <v/>
      </c>
      <c r="G191" s="187" t="str">
        <f t="shared" si="58"/>
        <v/>
      </c>
      <c r="H191" s="188"/>
      <c r="I191" s="189" t="str">
        <f t="shared" si="68"/>
        <v/>
      </c>
      <c r="J191" s="189" t="str">
        <f t="shared" si="69"/>
        <v/>
      </c>
      <c r="K191" s="190" t="str">
        <f t="shared" si="70"/>
        <v/>
      </c>
      <c r="L191" s="190" t="str">
        <f t="shared" si="71"/>
        <v/>
      </c>
      <c r="M191" s="214"/>
      <c r="N191" s="214"/>
      <c r="O191" s="189" t="str">
        <f t="shared" si="72"/>
        <v/>
      </c>
      <c r="P191" s="191" t="str">
        <f t="shared" si="59"/>
        <v/>
      </c>
      <c r="Q191" s="192" t="str">
        <f t="shared" si="73"/>
        <v/>
      </c>
      <c r="R191" s="191" t="str">
        <f t="shared" si="60"/>
        <v/>
      </c>
      <c r="S191" s="193" t="str">
        <f t="shared" si="74"/>
        <v/>
      </c>
      <c r="T191" s="194" t="str">
        <f t="shared" si="61"/>
        <v/>
      </c>
      <c r="U191" s="192" t="str">
        <f t="shared" si="75"/>
        <v/>
      </c>
      <c r="V191" s="195" t="str">
        <f t="shared" si="62"/>
        <v/>
      </c>
      <c r="W191" s="195" t="str">
        <f t="shared" si="63"/>
        <v/>
      </c>
      <c r="X191" s="196" t="str">
        <f t="shared" si="76"/>
        <v/>
      </c>
      <c r="Y191" s="191" t="str">
        <f t="shared" si="78"/>
        <v/>
      </c>
      <c r="Z191" s="197" t="str">
        <f t="shared" si="64"/>
        <v/>
      </c>
      <c r="AA191" s="197" t="str">
        <f t="shared" si="65"/>
        <v/>
      </c>
      <c r="AB191" s="213"/>
      <c r="AC191" s="204"/>
    </row>
    <row r="192" spans="1:29" ht="11.4">
      <c r="A192" s="211" t="str">
        <f t="shared" si="77"/>
        <v/>
      </c>
      <c r="B192" s="211"/>
      <c r="C192" s="185"/>
      <c r="D192" s="186" t="str">
        <f t="shared" si="66"/>
        <v/>
      </c>
      <c r="E192" s="186" t="str">
        <f>IF(OR(C192="",C192=Data!$B$3),"",IF(C192=Data!$B$4,"L","S"))</f>
        <v/>
      </c>
      <c r="F192" s="186" t="str">
        <f t="shared" si="67"/>
        <v/>
      </c>
      <c r="G192" s="187" t="str">
        <f t="shared" si="58"/>
        <v/>
      </c>
      <c r="H192" s="188"/>
      <c r="I192" s="189" t="str">
        <f t="shared" si="68"/>
        <v/>
      </c>
      <c r="J192" s="189" t="str">
        <f t="shared" si="69"/>
        <v/>
      </c>
      <c r="K192" s="190" t="str">
        <f t="shared" si="70"/>
        <v/>
      </c>
      <c r="L192" s="190" t="str">
        <f t="shared" si="71"/>
        <v/>
      </c>
      <c r="M192" s="214"/>
      <c r="N192" s="214"/>
      <c r="O192" s="189" t="str">
        <f t="shared" si="72"/>
        <v/>
      </c>
      <c r="P192" s="191" t="str">
        <f t="shared" si="59"/>
        <v/>
      </c>
      <c r="Q192" s="192" t="str">
        <f t="shared" si="73"/>
        <v/>
      </c>
      <c r="R192" s="191" t="str">
        <f t="shared" si="60"/>
        <v/>
      </c>
      <c r="S192" s="193" t="str">
        <f t="shared" si="74"/>
        <v/>
      </c>
      <c r="T192" s="194" t="str">
        <f t="shared" si="61"/>
        <v/>
      </c>
      <c r="U192" s="192" t="str">
        <f t="shared" si="75"/>
        <v/>
      </c>
      <c r="V192" s="195" t="str">
        <f t="shared" si="62"/>
        <v/>
      </c>
      <c r="W192" s="195" t="str">
        <f t="shared" si="63"/>
        <v/>
      </c>
      <c r="X192" s="196" t="str">
        <f t="shared" si="76"/>
        <v/>
      </c>
      <c r="Y192" s="191" t="str">
        <f t="shared" si="78"/>
        <v/>
      </c>
      <c r="Z192" s="197" t="str">
        <f t="shared" si="64"/>
        <v/>
      </c>
      <c r="AA192" s="197" t="str">
        <f t="shared" si="65"/>
        <v/>
      </c>
      <c r="AB192" s="213"/>
      <c r="AC192" s="204"/>
    </row>
    <row r="193" spans="1:29" ht="11.4">
      <c r="A193" s="211" t="str">
        <f t="shared" si="77"/>
        <v/>
      </c>
      <c r="B193" s="211"/>
      <c r="C193" s="185"/>
      <c r="D193" s="186" t="str">
        <f t="shared" si="66"/>
        <v/>
      </c>
      <c r="E193" s="186" t="str">
        <f>IF(OR(C193="",C193=Data!$B$3),"",IF(C193=Data!$B$4,"L","S"))</f>
        <v/>
      </c>
      <c r="F193" s="186" t="str">
        <f t="shared" si="67"/>
        <v/>
      </c>
      <c r="G193" s="187" t="str">
        <f t="shared" si="58"/>
        <v/>
      </c>
      <c r="H193" s="188"/>
      <c r="I193" s="189" t="str">
        <f t="shared" si="68"/>
        <v/>
      </c>
      <c r="J193" s="189" t="str">
        <f t="shared" si="69"/>
        <v/>
      </c>
      <c r="K193" s="190" t="str">
        <f t="shared" si="70"/>
        <v/>
      </c>
      <c r="L193" s="190" t="str">
        <f t="shared" si="71"/>
        <v/>
      </c>
      <c r="M193" s="214"/>
      <c r="N193" s="214"/>
      <c r="O193" s="189" t="str">
        <f t="shared" si="72"/>
        <v/>
      </c>
      <c r="P193" s="191" t="str">
        <f t="shared" si="59"/>
        <v/>
      </c>
      <c r="Q193" s="192" t="str">
        <f t="shared" si="73"/>
        <v/>
      </c>
      <c r="R193" s="191" t="str">
        <f t="shared" si="60"/>
        <v/>
      </c>
      <c r="S193" s="193" t="str">
        <f t="shared" si="74"/>
        <v/>
      </c>
      <c r="T193" s="194" t="str">
        <f t="shared" si="61"/>
        <v/>
      </c>
      <c r="U193" s="192" t="str">
        <f t="shared" si="75"/>
        <v/>
      </c>
      <c r="V193" s="195" t="str">
        <f t="shared" si="62"/>
        <v/>
      </c>
      <c r="W193" s="195" t="str">
        <f t="shared" si="63"/>
        <v/>
      </c>
      <c r="X193" s="196" t="str">
        <f t="shared" si="76"/>
        <v/>
      </c>
      <c r="Y193" s="191" t="str">
        <f t="shared" si="78"/>
        <v/>
      </c>
      <c r="Z193" s="197" t="str">
        <f t="shared" si="64"/>
        <v/>
      </c>
      <c r="AA193" s="197" t="str">
        <f t="shared" si="65"/>
        <v/>
      </c>
      <c r="AB193" s="213"/>
      <c r="AC193" s="204"/>
    </row>
    <row r="194" spans="1:29" ht="11.4">
      <c r="A194" s="211" t="str">
        <f t="shared" si="77"/>
        <v/>
      </c>
      <c r="B194" s="211"/>
      <c r="C194" s="185"/>
      <c r="D194" s="186" t="str">
        <f t="shared" si="66"/>
        <v/>
      </c>
      <c r="E194" s="186" t="str">
        <f>IF(OR(C194="",C194=Data!$B$3),"",IF(C194=Data!$B$4,"L","S"))</f>
        <v/>
      </c>
      <c r="F194" s="186" t="str">
        <f t="shared" si="67"/>
        <v/>
      </c>
      <c r="G194" s="187" t="str">
        <f t="shared" si="58"/>
        <v/>
      </c>
      <c r="H194" s="188"/>
      <c r="I194" s="189" t="str">
        <f t="shared" si="68"/>
        <v/>
      </c>
      <c r="J194" s="189" t="str">
        <f t="shared" si="69"/>
        <v/>
      </c>
      <c r="K194" s="190" t="str">
        <f t="shared" si="70"/>
        <v/>
      </c>
      <c r="L194" s="190" t="str">
        <f t="shared" si="71"/>
        <v/>
      </c>
      <c r="M194" s="214"/>
      <c r="N194" s="214"/>
      <c r="O194" s="189" t="str">
        <f t="shared" si="72"/>
        <v/>
      </c>
      <c r="P194" s="191" t="str">
        <f t="shared" si="59"/>
        <v/>
      </c>
      <c r="Q194" s="192" t="str">
        <f t="shared" si="73"/>
        <v/>
      </c>
      <c r="R194" s="191" t="str">
        <f t="shared" si="60"/>
        <v/>
      </c>
      <c r="S194" s="193" t="str">
        <f t="shared" si="74"/>
        <v/>
      </c>
      <c r="T194" s="194" t="str">
        <f t="shared" si="61"/>
        <v/>
      </c>
      <c r="U194" s="192" t="str">
        <f t="shared" si="75"/>
        <v/>
      </c>
      <c r="V194" s="195" t="str">
        <f t="shared" si="62"/>
        <v/>
      </c>
      <c r="W194" s="195" t="str">
        <f t="shared" si="63"/>
        <v/>
      </c>
      <c r="X194" s="196" t="str">
        <f t="shared" si="76"/>
        <v/>
      </c>
      <c r="Y194" s="191" t="str">
        <f t="shared" si="78"/>
        <v/>
      </c>
      <c r="Z194" s="197" t="str">
        <f t="shared" si="64"/>
        <v/>
      </c>
      <c r="AA194" s="197" t="str">
        <f t="shared" si="65"/>
        <v/>
      </c>
      <c r="AB194" s="213"/>
      <c r="AC194" s="204"/>
    </row>
    <row r="195" spans="1:29" ht="11.4">
      <c r="A195" s="211" t="str">
        <f t="shared" si="77"/>
        <v/>
      </c>
      <c r="B195" s="211"/>
      <c r="C195" s="185"/>
      <c r="D195" s="186" t="str">
        <f t="shared" si="66"/>
        <v/>
      </c>
      <c r="E195" s="186" t="str">
        <f>IF(OR(C195="",C195=Data!$B$3),"",IF(C195=Data!$B$4,"L","S"))</f>
        <v/>
      </c>
      <c r="F195" s="186" t="str">
        <f t="shared" si="67"/>
        <v/>
      </c>
      <c r="G195" s="187" t="str">
        <f t="shared" si="58"/>
        <v/>
      </c>
      <c r="H195" s="188"/>
      <c r="I195" s="189" t="str">
        <f t="shared" si="68"/>
        <v/>
      </c>
      <c r="J195" s="189" t="str">
        <f t="shared" si="69"/>
        <v/>
      </c>
      <c r="K195" s="190" t="str">
        <f t="shared" si="70"/>
        <v/>
      </c>
      <c r="L195" s="190" t="str">
        <f t="shared" si="71"/>
        <v/>
      </c>
      <c r="M195" s="214"/>
      <c r="N195" s="214"/>
      <c r="O195" s="189" t="str">
        <f t="shared" si="72"/>
        <v/>
      </c>
      <c r="P195" s="191" t="str">
        <f t="shared" si="59"/>
        <v/>
      </c>
      <c r="Q195" s="192" t="str">
        <f t="shared" si="73"/>
        <v/>
      </c>
      <c r="R195" s="191" t="str">
        <f t="shared" si="60"/>
        <v/>
      </c>
      <c r="S195" s="193" t="str">
        <f t="shared" si="74"/>
        <v/>
      </c>
      <c r="T195" s="194" t="str">
        <f t="shared" si="61"/>
        <v/>
      </c>
      <c r="U195" s="192" t="str">
        <f t="shared" si="75"/>
        <v/>
      </c>
      <c r="V195" s="195" t="str">
        <f t="shared" si="62"/>
        <v/>
      </c>
      <c r="W195" s="195" t="str">
        <f t="shared" si="63"/>
        <v/>
      </c>
      <c r="X195" s="196" t="str">
        <f t="shared" si="76"/>
        <v/>
      </c>
      <c r="Y195" s="191" t="str">
        <f t="shared" si="78"/>
        <v/>
      </c>
      <c r="Z195" s="197" t="str">
        <f t="shared" si="64"/>
        <v/>
      </c>
      <c r="AA195" s="197" t="str">
        <f t="shared" si="65"/>
        <v/>
      </c>
      <c r="AB195" s="213"/>
      <c r="AC195" s="204"/>
    </row>
    <row r="196" spans="1:29" ht="11.4">
      <c r="A196" s="211" t="str">
        <f t="shared" si="77"/>
        <v/>
      </c>
      <c r="B196" s="211"/>
      <c r="C196" s="185"/>
      <c r="D196" s="186" t="str">
        <f t="shared" si="66"/>
        <v/>
      </c>
      <c r="E196" s="186" t="str">
        <f>IF(OR(C196="",C196=Data!$B$3),"",IF(C196=Data!$B$4,"L","S"))</f>
        <v/>
      </c>
      <c r="F196" s="186" t="str">
        <f t="shared" si="67"/>
        <v/>
      </c>
      <c r="G196" s="187" t="str">
        <f t="shared" si="58"/>
        <v/>
      </c>
      <c r="H196" s="188"/>
      <c r="I196" s="189" t="str">
        <f t="shared" si="68"/>
        <v/>
      </c>
      <c r="J196" s="189" t="str">
        <f t="shared" si="69"/>
        <v/>
      </c>
      <c r="K196" s="190" t="str">
        <f t="shared" si="70"/>
        <v/>
      </c>
      <c r="L196" s="190" t="str">
        <f t="shared" si="71"/>
        <v/>
      </c>
      <c r="M196" s="214"/>
      <c r="N196" s="214"/>
      <c r="O196" s="189" t="str">
        <f t="shared" si="72"/>
        <v/>
      </c>
      <c r="P196" s="191" t="str">
        <f t="shared" si="59"/>
        <v/>
      </c>
      <c r="Q196" s="192" t="str">
        <f t="shared" si="73"/>
        <v/>
      </c>
      <c r="R196" s="191" t="str">
        <f t="shared" si="60"/>
        <v/>
      </c>
      <c r="S196" s="193" t="str">
        <f t="shared" si="74"/>
        <v/>
      </c>
      <c r="T196" s="194" t="str">
        <f t="shared" si="61"/>
        <v/>
      </c>
      <c r="U196" s="192" t="str">
        <f t="shared" si="75"/>
        <v/>
      </c>
      <c r="V196" s="195" t="str">
        <f t="shared" si="62"/>
        <v/>
      </c>
      <c r="W196" s="195" t="str">
        <f t="shared" si="63"/>
        <v/>
      </c>
      <c r="X196" s="196" t="str">
        <f t="shared" si="76"/>
        <v/>
      </c>
      <c r="Y196" s="191" t="str">
        <f t="shared" si="78"/>
        <v/>
      </c>
      <c r="Z196" s="197" t="str">
        <f t="shared" si="64"/>
        <v/>
      </c>
      <c r="AA196" s="197" t="str">
        <f t="shared" si="65"/>
        <v/>
      </c>
      <c r="AB196" s="213"/>
      <c r="AC196" s="204"/>
    </row>
    <row r="197" spans="1:29" ht="11.4">
      <c r="A197" s="211" t="str">
        <f t="shared" si="77"/>
        <v/>
      </c>
      <c r="B197" s="211"/>
      <c r="C197" s="185"/>
      <c r="D197" s="186" t="str">
        <f t="shared" si="66"/>
        <v/>
      </c>
      <c r="E197" s="186" t="str">
        <f>IF(OR(C197="",C197=Data!$B$3),"",IF(C197=Data!$B$4,"L","S"))</f>
        <v/>
      </c>
      <c r="F197" s="186" t="str">
        <f t="shared" si="67"/>
        <v/>
      </c>
      <c r="G197" s="187" t="str">
        <f t="shared" si="58"/>
        <v/>
      </c>
      <c r="H197" s="188"/>
      <c r="I197" s="189" t="str">
        <f t="shared" si="68"/>
        <v/>
      </c>
      <c r="J197" s="189" t="str">
        <f t="shared" si="69"/>
        <v/>
      </c>
      <c r="K197" s="190" t="str">
        <f t="shared" si="70"/>
        <v/>
      </c>
      <c r="L197" s="190" t="str">
        <f t="shared" si="71"/>
        <v/>
      </c>
      <c r="M197" s="214"/>
      <c r="N197" s="214"/>
      <c r="O197" s="189" t="str">
        <f t="shared" si="72"/>
        <v/>
      </c>
      <c r="P197" s="191" t="str">
        <f t="shared" si="59"/>
        <v/>
      </c>
      <c r="Q197" s="192" t="str">
        <f t="shared" si="73"/>
        <v/>
      </c>
      <c r="R197" s="191" t="str">
        <f t="shared" si="60"/>
        <v/>
      </c>
      <c r="S197" s="193" t="str">
        <f t="shared" si="74"/>
        <v/>
      </c>
      <c r="T197" s="194" t="str">
        <f t="shared" si="61"/>
        <v/>
      </c>
      <c r="U197" s="192" t="str">
        <f t="shared" si="75"/>
        <v/>
      </c>
      <c r="V197" s="195" t="str">
        <f t="shared" si="62"/>
        <v/>
      </c>
      <c r="W197" s="195" t="str">
        <f t="shared" si="63"/>
        <v/>
      </c>
      <c r="X197" s="196" t="str">
        <f t="shared" si="76"/>
        <v/>
      </c>
      <c r="Y197" s="191" t="str">
        <f t="shared" si="78"/>
        <v/>
      </c>
      <c r="Z197" s="197" t="str">
        <f t="shared" si="64"/>
        <v/>
      </c>
      <c r="AA197" s="197" t="str">
        <f t="shared" si="65"/>
        <v/>
      </c>
      <c r="AB197" s="213"/>
      <c r="AC197" s="204"/>
    </row>
    <row r="198" spans="1:29" ht="11.4">
      <c r="A198" s="211" t="str">
        <f t="shared" si="77"/>
        <v/>
      </c>
      <c r="B198" s="211"/>
      <c r="C198" s="185"/>
      <c r="D198" s="186" t="str">
        <f t="shared" si="66"/>
        <v/>
      </c>
      <c r="E198" s="186" t="str">
        <f>IF(OR(C198="",C198=Data!$B$3),"",IF(C198=Data!$B$4,"L","S"))</f>
        <v/>
      </c>
      <c r="F198" s="186" t="str">
        <f t="shared" si="67"/>
        <v/>
      </c>
      <c r="G198" s="187" t="str">
        <f t="shared" si="58"/>
        <v/>
      </c>
      <c r="H198" s="188"/>
      <c r="I198" s="189" t="str">
        <f t="shared" si="68"/>
        <v/>
      </c>
      <c r="J198" s="189" t="str">
        <f t="shared" si="69"/>
        <v/>
      </c>
      <c r="K198" s="190" t="str">
        <f t="shared" si="70"/>
        <v/>
      </c>
      <c r="L198" s="190" t="str">
        <f t="shared" si="71"/>
        <v/>
      </c>
      <c r="M198" s="214"/>
      <c r="N198" s="214"/>
      <c r="O198" s="189" t="str">
        <f t="shared" si="72"/>
        <v/>
      </c>
      <c r="P198" s="191" t="str">
        <f t="shared" si="59"/>
        <v/>
      </c>
      <c r="Q198" s="192" t="str">
        <f t="shared" si="73"/>
        <v/>
      </c>
      <c r="R198" s="191" t="str">
        <f t="shared" si="60"/>
        <v/>
      </c>
      <c r="S198" s="193" t="str">
        <f t="shared" si="74"/>
        <v/>
      </c>
      <c r="T198" s="194" t="str">
        <f t="shared" si="61"/>
        <v/>
      </c>
      <c r="U198" s="192" t="str">
        <f t="shared" si="75"/>
        <v/>
      </c>
      <c r="V198" s="195" t="str">
        <f t="shared" si="62"/>
        <v/>
      </c>
      <c r="W198" s="195" t="str">
        <f t="shared" si="63"/>
        <v/>
      </c>
      <c r="X198" s="196" t="str">
        <f t="shared" si="76"/>
        <v/>
      </c>
      <c r="Y198" s="191" t="str">
        <f t="shared" si="78"/>
        <v/>
      </c>
      <c r="Z198" s="197" t="str">
        <f t="shared" si="64"/>
        <v/>
      </c>
      <c r="AA198" s="197" t="str">
        <f t="shared" si="65"/>
        <v/>
      </c>
      <c r="AB198" s="213"/>
      <c r="AC198" s="204"/>
    </row>
    <row r="199" spans="1:29" ht="11.4">
      <c r="A199" s="211" t="str">
        <f t="shared" si="77"/>
        <v/>
      </c>
      <c r="B199" s="211"/>
      <c r="C199" s="185"/>
      <c r="D199" s="186" t="str">
        <f t="shared" si="66"/>
        <v/>
      </c>
      <c r="E199" s="186" t="str">
        <f>IF(OR(C199="",C199=Data!$B$3),"",IF(C199=Data!$B$4,"L","S"))</f>
        <v/>
      </c>
      <c r="F199" s="186" t="str">
        <f t="shared" si="67"/>
        <v/>
      </c>
      <c r="G199" s="187" t="str">
        <f t="shared" si="58"/>
        <v/>
      </c>
      <c r="H199" s="188"/>
      <c r="I199" s="189" t="str">
        <f t="shared" si="68"/>
        <v/>
      </c>
      <c r="J199" s="189" t="str">
        <f t="shared" si="69"/>
        <v/>
      </c>
      <c r="K199" s="190" t="str">
        <f t="shared" si="70"/>
        <v/>
      </c>
      <c r="L199" s="190" t="str">
        <f t="shared" si="71"/>
        <v/>
      </c>
      <c r="M199" s="214"/>
      <c r="N199" s="214"/>
      <c r="O199" s="189" t="str">
        <f t="shared" si="72"/>
        <v/>
      </c>
      <c r="P199" s="191" t="str">
        <f t="shared" si="59"/>
        <v/>
      </c>
      <c r="Q199" s="192" t="str">
        <f t="shared" si="73"/>
        <v/>
      </c>
      <c r="R199" s="191" t="str">
        <f t="shared" si="60"/>
        <v/>
      </c>
      <c r="S199" s="193" t="str">
        <f t="shared" si="74"/>
        <v/>
      </c>
      <c r="T199" s="194" t="str">
        <f t="shared" si="61"/>
        <v/>
      </c>
      <c r="U199" s="192" t="str">
        <f t="shared" si="75"/>
        <v/>
      </c>
      <c r="V199" s="195" t="str">
        <f t="shared" si="62"/>
        <v/>
      </c>
      <c r="W199" s="195" t="str">
        <f t="shared" si="63"/>
        <v/>
      </c>
      <c r="X199" s="196" t="str">
        <f t="shared" si="76"/>
        <v/>
      </c>
      <c r="Y199" s="191" t="str">
        <f t="shared" si="78"/>
        <v/>
      </c>
      <c r="Z199" s="197" t="str">
        <f t="shared" si="64"/>
        <v/>
      </c>
      <c r="AA199" s="197" t="str">
        <f t="shared" si="65"/>
        <v/>
      </c>
      <c r="AB199" s="213"/>
      <c r="AC199" s="204"/>
    </row>
    <row r="200" spans="1:29" ht="11.4">
      <c r="A200" s="211" t="str">
        <f t="shared" si="77"/>
        <v/>
      </c>
      <c r="B200" s="211"/>
      <c r="C200" s="185"/>
      <c r="D200" s="186" t="str">
        <f t="shared" si="66"/>
        <v/>
      </c>
      <c r="E200" s="186" t="str">
        <f>IF(OR(C200="",C200=Data!$B$3),"",IF(C200=Data!$B$4,"L","S"))</f>
        <v/>
      </c>
      <c r="F200" s="186" t="str">
        <f t="shared" si="67"/>
        <v/>
      </c>
      <c r="G200" s="187" t="str">
        <f t="shared" si="58"/>
        <v/>
      </c>
      <c r="H200" s="188"/>
      <c r="I200" s="189" t="str">
        <f t="shared" si="68"/>
        <v/>
      </c>
      <c r="J200" s="189" t="str">
        <f t="shared" si="69"/>
        <v/>
      </c>
      <c r="K200" s="190" t="str">
        <f t="shared" si="70"/>
        <v/>
      </c>
      <c r="L200" s="190" t="str">
        <f t="shared" si="71"/>
        <v/>
      </c>
      <c r="M200" s="214"/>
      <c r="N200" s="214"/>
      <c r="O200" s="189" t="str">
        <f t="shared" si="72"/>
        <v/>
      </c>
      <c r="P200" s="191" t="str">
        <f t="shared" si="59"/>
        <v/>
      </c>
      <c r="Q200" s="192" t="str">
        <f t="shared" si="73"/>
        <v/>
      </c>
      <c r="R200" s="191" t="str">
        <f t="shared" si="60"/>
        <v/>
      </c>
      <c r="S200" s="193" t="str">
        <f t="shared" si="74"/>
        <v/>
      </c>
      <c r="T200" s="194" t="str">
        <f t="shared" si="61"/>
        <v/>
      </c>
      <c r="U200" s="192" t="str">
        <f t="shared" si="75"/>
        <v/>
      </c>
      <c r="V200" s="195" t="str">
        <f t="shared" si="62"/>
        <v/>
      </c>
      <c r="W200" s="195" t="str">
        <f t="shared" si="63"/>
        <v/>
      </c>
      <c r="X200" s="196" t="str">
        <f t="shared" si="76"/>
        <v/>
      </c>
      <c r="Y200" s="191" t="str">
        <f t="shared" si="78"/>
        <v/>
      </c>
      <c r="Z200" s="197" t="str">
        <f t="shared" si="64"/>
        <v/>
      </c>
      <c r="AA200" s="197" t="str">
        <f t="shared" si="65"/>
        <v/>
      </c>
      <c r="AB200" s="213"/>
      <c r="AC200" s="204"/>
    </row>
    <row r="201" spans="1:29" ht="11.4">
      <c r="A201" s="211" t="str">
        <f t="shared" si="77"/>
        <v/>
      </c>
      <c r="B201" s="211"/>
      <c r="C201" s="185"/>
      <c r="D201" s="186" t="str">
        <f t="shared" si="66"/>
        <v/>
      </c>
      <c r="E201" s="186" t="str">
        <f>IF(OR(C201="",C201=Data!$B$3),"",IF(C201=Data!$B$4,"L","S"))</f>
        <v/>
      </c>
      <c r="F201" s="186" t="str">
        <f t="shared" si="67"/>
        <v/>
      </c>
      <c r="G201" s="187" t="str">
        <f t="shared" si="58"/>
        <v/>
      </c>
      <c r="H201" s="188"/>
      <c r="I201" s="189" t="str">
        <f t="shared" si="68"/>
        <v/>
      </c>
      <c r="J201" s="189" t="str">
        <f t="shared" si="69"/>
        <v/>
      </c>
      <c r="K201" s="190" t="str">
        <f t="shared" si="70"/>
        <v/>
      </c>
      <c r="L201" s="190" t="str">
        <f t="shared" si="71"/>
        <v/>
      </c>
      <c r="M201" s="214"/>
      <c r="N201" s="214"/>
      <c r="O201" s="189" t="str">
        <f t="shared" si="72"/>
        <v/>
      </c>
      <c r="P201" s="191" t="str">
        <f t="shared" si="59"/>
        <v/>
      </c>
      <c r="Q201" s="192" t="str">
        <f t="shared" si="73"/>
        <v/>
      </c>
      <c r="R201" s="191" t="str">
        <f t="shared" si="60"/>
        <v/>
      </c>
      <c r="S201" s="193" t="str">
        <f t="shared" si="74"/>
        <v/>
      </c>
      <c r="T201" s="194" t="str">
        <f t="shared" si="61"/>
        <v/>
      </c>
      <c r="U201" s="192" t="str">
        <f t="shared" si="75"/>
        <v/>
      </c>
      <c r="V201" s="195" t="str">
        <f t="shared" si="62"/>
        <v/>
      </c>
      <c r="W201" s="195" t="str">
        <f t="shared" si="63"/>
        <v/>
      </c>
      <c r="X201" s="196" t="str">
        <f t="shared" si="76"/>
        <v/>
      </c>
      <c r="Y201" s="191" t="str">
        <f t="shared" si="78"/>
        <v/>
      </c>
      <c r="Z201" s="197" t="str">
        <f t="shared" si="64"/>
        <v/>
      </c>
      <c r="AA201" s="197" t="str">
        <f t="shared" si="65"/>
        <v/>
      </c>
      <c r="AB201" s="213"/>
      <c r="AC201" s="204"/>
    </row>
    <row r="202" spans="1:29" ht="11.4">
      <c r="A202" s="211" t="str">
        <f t="shared" si="77"/>
        <v/>
      </c>
      <c r="B202" s="211"/>
      <c r="C202" s="185"/>
      <c r="D202" s="186" t="str">
        <f t="shared" si="66"/>
        <v/>
      </c>
      <c r="E202" s="186" t="str">
        <f>IF(OR(C202="",C202=Data!$B$3),"",IF(C202=Data!$B$4,"L","S"))</f>
        <v/>
      </c>
      <c r="F202" s="186" t="str">
        <f t="shared" si="67"/>
        <v/>
      </c>
      <c r="G202" s="187" t="str">
        <f t="shared" si="58"/>
        <v/>
      </c>
      <c r="H202" s="188"/>
      <c r="I202" s="189" t="str">
        <f t="shared" si="68"/>
        <v/>
      </c>
      <c r="J202" s="189" t="str">
        <f t="shared" si="69"/>
        <v/>
      </c>
      <c r="K202" s="190" t="str">
        <f t="shared" si="70"/>
        <v/>
      </c>
      <c r="L202" s="190" t="str">
        <f t="shared" si="71"/>
        <v/>
      </c>
      <c r="M202" s="214"/>
      <c r="N202" s="214"/>
      <c r="O202" s="189" t="str">
        <f t="shared" si="72"/>
        <v/>
      </c>
      <c r="P202" s="191" t="str">
        <f t="shared" si="59"/>
        <v/>
      </c>
      <c r="Q202" s="192" t="str">
        <f t="shared" si="73"/>
        <v/>
      </c>
      <c r="R202" s="191" t="str">
        <f t="shared" si="60"/>
        <v/>
      </c>
      <c r="S202" s="193" t="str">
        <f t="shared" si="74"/>
        <v/>
      </c>
      <c r="T202" s="194" t="str">
        <f t="shared" si="61"/>
        <v/>
      </c>
      <c r="U202" s="192" t="str">
        <f t="shared" si="75"/>
        <v/>
      </c>
      <c r="V202" s="195" t="str">
        <f t="shared" si="62"/>
        <v/>
      </c>
      <c r="W202" s="195" t="str">
        <f t="shared" si="63"/>
        <v/>
      </c>
      <c r="X202" s="196" t="str">
        <f t="shared" si="76"/>
        <v/>
      </c>
      <c r="Y202" s="191" t="str">
        <f t="shared" si="78"/>
        <v/>
      </c>
      <c r="Z202" s="197" t="str">
        <f t="shared" si="64"/>
        <v/>
      </c>
      <c r="AA202" s="197" t="str">
        <f t="shared" si="65"/>
        <v/>
      </c>
      <c r="AB202" s="213"/>
      <c r="AC202" s="204"/>
    </row>
    <row r="203" spans="1:29" ht="11.4">
      <c r="A203" s="211" t="str">
        <f t="shared" si="77"/>
        <v/>
      </c>
      <c r="B203" s="211"/>
      <c r="C203" s="185"/>
      <c r="D203" s="186" t="str">
        <f t="shared" si="66"/>
        <v/>
      </c>
      <c r="E203" s="186" t="str">
        <f>IF(OR(C203="",C203=Data!$B$3),"",IF(C203=Data!$B$4,"L","S"))</f>
        <v/>
      </c>
      <c r="F203" s="186" t="str">
        <f t="shared" si="67"/>
        <v/>
      </c>
      <c r="G203" s="187" t="str">
        <f t="shared" si="58"/>
        <v/>
      </c>
      <c r="H203" s="188"/>
      <c r="I203" s="189" t="str">
        <f t="shared" si="68"/>
        <v/>
      </c>
      <c r="J203" s="189" t="str">
        <f t="shared" si="69"/>
        <v/>
      </c>
      <c r="K203" s="190" t="str">
        <f t="shared" si="70"/>
        <v/>
      </c>
      <c r="L203" s="190" t="str">
        <f t="shared" si="71"/>
        <v/>
      </c>
      <c r="M203" s="214"/>
      <c r="N203" s="214"/>
      <c r="O203" s="189" t="str">
        <f t="shared" si="72"/>
        <v/>
      </c>
      <c r="P203" s="191" t="str">
        <f t="shared" si="59"/>
        <v/>
      </c>
      <c r="Q203" s="192" t="str">
        <f t="shared" si="73"/>
        <v/>
      </c>
      <c r="R203" s="191" t="str">
        <f t="shared" si="60"/>
        <v/>
      </c>
      <c r="S203" s="193" t="str">
        <f t="shared" si="74"/>
        <v/>
      </c>
      <c r="T203" s="194" t="str">
        <f t="shared" si="61"/>
        <v/>
      </c>
      <c r="U203" s="192" t="str">
        <f t="shared" si="75"/>
        <v/>
      </c>
      <c r="V203" s="195" t="str">
        <f t="shared" si="62"/>
        <v/>
      </c>
      <c r="W203" s="195" t="str">
        <f t="shared" si="63"/>
        <v/>
      </c>
      <c r="X203" s="196" t="str">
        <f t="shared" si="76"/>
        <v/>
      </c>
      <c r="Y203" s="191" t="str">
        <f t="shared" si="78"/>
        <v/>
      </c>
      <c r="Z203" s="197" t="str">
        <f t="shared" si="64"/>
        <v/>
      </c>
      <c r="AA203" s="197" t="str">
        <f t="shared" si="65"/>
        <v/>
      </c>
      <c r="AB203" s="213"/>
      <c r="AC203" s="204"/>
    </row>
    <row r="204" spans="1:29" ht="11.4">
      <c r="A204" s="211" t="str">
        <f t="shared" si="77"/>
        <v/>
      </c>
      <c r="B204" s="211"/>
      <c r="C204" s="185"/>
      <c r="D204" s="186" t="str">
        <f t="shared" si="66"/>
        <v/>
      </c>
      <c r="E204" s="186" t="str">
        <f>IF(OR(C204="",C204=Data!$B$3),"",IF(C204=Data!$B$4,"L","S"))</f>
        <v/>
      </c>
      <c r="F204" s="186" t="str">
        <f t="shared" si="67"/>
        <v/>
      </c>
      <c r="G204" s="187" t="str">
        <f t="shared" ref="G204:G267" si="79">IF(A204="","",$D$3)</f>
        <v/>
      </c>
      <c r="H204" s="188"/>
      <c r="I204" s="189" t="str">
        <f t="shared" si="68"/>
        <v/>
      </c>
      <c r="J204" s="189" t="str">
        <f t="shared" si="69"/>
        <v/>
      </c>
      <c r="K204" s="190" t="str">
        <f t="shared" si="70"/>
        <v/>
      </c>
      <c r="L204" s="190" t="str">
        <f t="shared" si="71"/>
        <v/>
      </c>
      <c r="M204" s="214"/>
      <c r="N204" s="214"/>
      <c r="O204" s="189" t="str">
        <f t="shared" si="72"/>
        <v/>
      </c>
      <c r="P204" s="191" t="str">
        <f t="shared" ref="P204:P267" si="80">IF(O204="","",IF(L204*F204*G204=0,0,L204*F204*G204))</f>
        <v/>
      </c>
      <c r="Q204" s="192" t="str">
        <f t="shared" si="73"/>
        <v/>
      </c>
      <c r="R204" s="191" t="str">
        <f t="shared" ref="R204:R267" si="81">IF(O204&lt;&gt;"",IF(K204*F204*G204=0,"",K204*F204*G204),"")</f>
        <v/>
      </c>
      <c r="S204" s="193" t="str">
        <f t="shared" si="74"/>
        <v/>
      </c>
      <c r="T204" s="194" t="str">
        <f t="shared" ref="T204:T267" si="82">IF(X204="","",X204*F204*G204)</f>
        <v/>
      </c>
      <c r="U204" s="192" t="str">
        <f t="shared" si="75"/>
        <v/>
      </c>
      <c r="V204" s="195" t="str">
        <f t="shared" ref="V204:V267" si="83">IF(O204="","",IF(AND(O204&gt;I204,E204="L"),1, IF(AND(I204&gt;O204,E204="S"),1,0)))</f>
        <v/>
      </c>
      <c r="W204" s="195" t="str">
        <f t="shared" ref="W204:W267" si="84">IF(O204="","",IF(AND(O204&lt;I204,E204="L"),1, IF(AND(I204&lt;O204,E204="S"),1,0)))</f>
        <v/>
      </c>
      <c r="X204" s="196" t="str">
        <f t="shared" si="76"/>
        <v/>
      </c>
      <c r="Y204" s="191" t="str">
        <f t="shared" si="78"/>
        <v/>
      </c>
      <c r="Z204" s="197" t="str">
        <f t="shared" ref="Z204:Z267" si="85">IF(M204="","",MONTH(M204))</f>
        <v/>
      </c>
      <c r="AA204" s="197" t="str">
        <f t="shared" ref="AA204:AA267" si="86">IF(M204="","",YEAR(M204))</f>
        <v/>
      </c>
      <c r="AB204" s="213"/>
      <c r="AC204" s="204"/>
    </row>
    <row r="205" spans="1:29" ht="11.4">
      <c r="A205" s="211" t="str">
        <f t="shared" si="77"/>
        <v/>
      </c>
      <c r="B205" s="211"/>
      <c r="C205" s="185"/>
      <c r="D205" s="186" t="str">
        <f t="shared" ref="D205:D268" si="87">IF(A205&lt;&gt;"","GBPUSD","")</f>
        <v/>
      </c>
      <c r="E205" s="186" t="str">
        <f>IF(OR(C205="",C205=Data!$B$3),"",IF(C205=Data!$B$4,"L","S"))</f>
        <v/>
      </c>
      <c r="F205" s="186" t="str">
        <f t="shared" ref="F205:F268" si="88">IF(A205&lt;&gt;"",$D$2,"")</f>
        <v/>
      </c>
      <c r="G205" s="187" t="str">
        <f t="shared" si="79"/>
        <v/>
      </c>
      <c r="H205" s="188"/>
      <c r="I205" s="189" t="str">
        <f t="shared" ref="I205:I268" si="89">IF(H205="","",IF(E205="L",H205+$D$4*0.0001,H205-$D$4*0.0001))</f>
        <v/>
      </c>
      <c r="J205" s="189" t="str">
        <f t="shared" ref="J205:J268" si="90">IF(AND(H205&lt;&gt;"",I205&lt;&gt;""),IF(E205="L",I205+(I205-H205)*3,I205-(H205-I205)*3),"")</f>
        <v/>
      </c>
      <c r="K205" s="190" t="str">
        <f t="shared" ref="K205:K268" si="91">IF(AND(E205&lt;&gt;"",AND(I205&lt;&gt;"",J205&lt;&gt;"")),IF(E205="L",(J205-I205)*IF(I205&gt;10,IF(SEARCH("JPY",D205),10,100),10000),(I205-J205)*IF(I205&gt;10,IF(SEARCH("JPY",D205),10,100),10000)),"")</f>
        <v/>
      </c>
      <c r="L205" s="190" t="str">
        <f t="shared" ref="L205:L268" si="92">IF(AND(E205&lt;&gt;"",AND(H205&lt;&gt;"",I205&lt;&gt;"")),IF(E205="L",(I205-H205)*IF(I205&gt;10,IF(SEARCH("JPY",D205),10,100),10000),(H205-I205)*IF(I205&gt;10,IF(SEARCH("JPY",D205),10,100),10000)),"")</f>
        <v/>
      </c>
      <c r="M205" s="214"/>
      <c r="N205" s="214"/>
      <c r="O205" s="189" t="str">
        <f t="shared" ref="O205:O268" si="93">IF(H205&lt;&gt;"",H205, "")</f>
        <v/>
      </c>
      <c r="P205" s="191" t="str">
        <f t="shared" si="80"/>
        <v/>
      </c>
      <c r="Q205" s="192" t="str">
        <f t="shared" ref="Q205:Q268" si="94">IF(P205="","",IF(P205=0,0,P205/$I$4))</f>
        <v/>
      </c>
      <c r="R205" s="191" t="str">
        <f t="shared" si="81"/>
        <v/>
      </c>
      <c r="S205" s="193" t="str">
        <f t="shared" ref="S205:S268" si="95">IF(P205="","",IF(P205=0,0,R205/P205))</f>
        <v/>
      </c>
      <c r="T205" s="194" t="str">
        <f t="shared" si="82"/>
        <v/>
      </c>
      <c r="U205" s="192" t="str">
        <f t="shared" ref="U205:U268" si="96">IF(T205="","",IF($I$4="","",T205/$I$4))</f>
        <v/>
      </c>
      <c r="V205" s="195" t="str">
        <f t="shared" si="83"/>
        <v/>
      </c>
      <c r="W205" s="195" t="str">
        <f t="shared" si="84"/>
        <v/>
      </c>
      <c r="X205" s="196" t="str">
        <f t="shared" ref="X205:X268" si="97">IF((O205=""),"",IF(E205="L",1,-1)*(O205-I205)*IF(O205&gt;10,IF(SEARCH("JPY",D205),10,100),10000))</f>
        <v/>
      </c>
      <c r="Y205" s="191" t="str">
        <f t="shared" si="78"/>
        <v/>
      </c>
      <c r="Z205" s="197" t="str">
        <f t="shared" si="85"/>
        <v/>
      </c>
      <c r="AA205" s="197" t="str">
        <f t="shared" si="86"/>
        <v/>
      </c>
      <c r="AB205" s="213"/>
      <c r="AC205" s="204"/>
    </row>
    <row r="206" spans="1:29" ht="11.4">
      <c r="A206" s="211" t="str">
        <f t="shared" ref="A206:A269" si="98">IF(C206="","",A205+1)</f>
        <v/>
      </c>
      <c r="B206" s="211"/>
      <c r="C206" s="185"/>
      <c r="D206" s="186" t="str">
        <f t="shared" si="87"/>
        <v/>
      </c>
      <c r="E206" s="186" t="str">
        <f>IF(OR(C206="",C206=Data!$B$3),"",IF(C206=Data!$B$4,"L","S"))</f>
        <v/>
      </c>
      <c r="F206" s="186" t="str">
        <f t="shared" si="88"/>
        <v/>
      </c>
      <c r="G206" s="187" t="str">
        <f t="shared" si="79"/>
        <v/>
      </c>
      <c r="H206" s="188"/>
      <c r="I206" s="189" t="str">
        <f t="shared" si="89"/>
        <v/>
      </c>
      <c r="J206" s="189" t="str">
        <f t="shared" si="90"/>
        <v/>
      </c>
      <c r="K206" s="190" t="str">
        <f t="shared" si="91"/>
        <v/>
      </c>
      <c r="L206" s="190" t="str">
        <f t="shared" si="92"/>
        <v/>
      </c>
      <c r="M206" s="214"/>
      <c r="N206" s="214"/>
      <c r="O206" s="189" t="str">
        <f t="shared" si="93"/>
        <v/>
      </c>
      <c r="P206" s="191" t="str">
        <f t="shared" si="80"/>
        <v/>
      </c>
      <c r="Q206" s="192" t="str">
        <f t="shared" si="94"/>
        <v/>
      </c>
      <c r="R206" s="191" t="str">
        <f t="shared" si="81"/>
        <v/>
      </c>
      <c r="S206" s="193" t="str">
        <f t="shared" si="95"/>
        <v/>
      </c>
      <c r="T206" s="194" t="str">
        <f t="shared" si="82"/>
        <v/>
      </c>
      <c r="U206" s="192" t="str">
        <f t="shared" si="96"/>
        <v/>
      </c>
      <c r="V206" s="195" t="str">
        <f t="shared" si="83"/>
        <v/>
      </c>
      <c r="W206" s="195" t="str">
        <f t="shared" si="84"/>
        <v/>
      </c>
      <c r="X206" s="196" t="str">
        <f t="shared" si="97"/>
        <v/>
      </c>
      <c r="Y206" s="191" t="str">
        <f t="shared" si="78"/>
        <v/>
      </c>
      <c r="Z206" s="197" t="str">
        <f t="shared" si="85"/>
        <v/>
      </c>
      <c r="AA206" s="197" t="str">
        <f t="shared" si="86"/>
        <v/>
      </c>
      <c r="AB206" s="213"/>
      <c r="AC206" s="204"/>
    </row>
    <row r="207" spans="1:29" ht="11.4">
      <c r="A207" s="211" t="str">
        <f t="shared" si="98"/>
        <v/>
      </c>
      <c r="B207" s="211"/>
      <c r="C207" s="185"/>
      <c r="D207" s="186" t="str">
        <f t="shared" si="87"/>
        <v/>
      </c>
      <c r="E207" s="186" t="str">
        <f>IF(OR(C207="",C207=Data!$B$3),"",IF(C207=Data!$B$4,"L","S"))</f>
        <v/>
      </c>
      <c r="F207" s="186" t="str">
        <f t="shared" si="88"/>
        <v/>
      </c>
      <c r="G207" s="187" t="str">
        <f t="shared" si="79"/>
        <v/>
      </c>
      <c r="H207" s="188"/>
      <c r="I207" s="189" t="str">
        <f t="shared" si="89"/>
        <v/>
      </c>
      <c r="J207" s="189" t="str">
        <f t="shared" si="90"/>
        <v/>
      </c>
      <c r="K207" s="190" t="str">
        <f t="shared" si="91"/>
        <v/>
      </c>
      <c r="L207" s="190" t="str">
        <f t="shared" si="92"/>
        <v/>
      </c>
      <c r="M207" s="214"/>
      <c r="N207" s="214"/>
      <c r="O207" s="189" t="str">
        <f t="shared" si="93"/>
        <v/>
      </c>
      <c r="P207" s="191" t="str">
        <f t="shared" si="80"/>
        <v/>
      </c>
      <c r="Q207" s="192" t="str">
        <f t="shared" si="94"/>
        <v/>
      </c>
      <c r="R207" s="191" t="str">
        <f t="shared" si="81"/>
        <v/>
      </c>
      <c r="S207" s="193" t="str">
        <f t="shared" si="95"/>
        <v/>
      </c>
      <c r="T207" s="194" t="str">
        <f t="shared" si="82"/>
        <v/>
      </c>
      <c r="U207" s="192" t="str">
        <f t="shared" si="96"/>
        <v/>
      </c>
      <c r="V207" s="195" t="str">
        <f t="shared" si="83"/>
        <v/>
      </c>
      <c r="W207" s="195" t="str">
        <f t="shared" si="84"/>
        <v/>
      </c>
      <c r="X207" s="196" t="str">
        <f t="shared" si="97"/>
        <v/>
      </c>
      <c r="Y207" s="191" t="str">
        <f t="shared" si="78"/>
        <v/>
      </c>
      <c r="Z207" s="197" t="str">
        <f t="shared" si="85"/>
        <v/>
      </c>
      <c r="AA207" s="197" t="str">
        <f t="shared" si="86"/>
        <v/>
      </c>
      <c r="AB207" s="213"/>
      <c r="AC207" s="204"/>
    </row>
    <row r="208" spans="1:29" ht="11.4">
      <c r="A208" s="211" t="str">
        <f t="shared" si="98"/>
        <v/>
      </c>
      <c r="B208" s="211"/>
      <c r="C208" s="185"/>
      <c r="D208" s="186" t="str">
        <f t="shared" si="87"/>
        <v/>
      </c>
      <c r="E208" s="186" t="str">
        <f>IF(OR(C208="",C208=Data!$B$3),"",IF(C208=Data!$B$4,"L","S"))</f>
        <v/>
      </c>
      <c r="F208" s="186" t="str">
        <f t="shared" si="88"/>
        <v/>
      </c>
      <c r="G208" s="187" t="str">
        <f t="shared" si="79"/>
        <v/>
      </c>
      <c r="H208" s="188"/>
      <c r="I208" s="189" t="str">
        <f t="shared" si="89"/>
        <v/>
      </c>
      <c r="J208" s="189" t="str">
        <f t="shared" si="90"/>
        <v/>
      </c>
      <c r="K208" s="190" t="str">
        <f t="shared" si="91"/>
        <v/>
      </c>
      <c r="L208" s="190" t="str">
        <f t="shared" si="92"/>
        <v/>
      </c>
      <c r="M208" s="214"/>
      <c r="N208" s="214"/>
      <c r="O208" s="189" t="str">
        <f t="shared" si="93"/>
        <v/>
      </c>
      <c r="P208" s="191" t="str">
        <f t="shared" si="80"/>
        <v/>
      </c>
      <c r="Q208" s="192" t="str">
        <f t="shared" si="94"/>
        <v/>
      </c>
      <c r="R208" s="191" t="str">
        <f t="shared" si="81"/>
        <v/>
      </c>
      <c r="S208" s="193" t="str">
        <f t="shared" si="95"/>
        <v/>
      </c>
      <c r="T208" s="194" t="str">
        <f t="shared" si="82"/>
        <v/>
      </c>
      <c r="U208" s="192" t="str">
        <f t="shared" si="96"/>
        <v/>
      </c>
      <c r="V208" s="195" t="str">
        <f t="shared" si="83"/>
        <v/>
      </c>
      <c r="W208" s="195" t="str">
        <f t="shared" si="84"/>
        <v/>
      </c>
      <c r="X208" s="196" t="str">
        <f t="shared" si="97"/>
        <v/>
      </c>
      <c r="Y208" s="191" t="str">
        <f t="shared" si="78"/>
        <v/>
      </c>
      <c r="Z208" s="197" t="str">
        <f t="shared" si="85"/>
        <v/>
      </c>
      <c r="AA208" s="197" t="str">
        <f t="shared" si="86"/>
        <v/>
      </c>
      <c r="AB208" s="213"/>
      <c r="AC208" s="204"/>
    </row>
    <row r="209" spans="1:29" ht="11.4">
      <c r="A209" s="211" t="str">
        <f t="shared" si="98"/>
        <v/>
      </c>
      <c r="B209" s="211"/>
      <c r="C209" s="185"/>
      <c r="D209" s="186" t="str">
        <f t="shared" si="87"/>
        <v/>
      </c>
      <c r="E209" s="186" t="str">
        <f>IF(OR(C209="",C209=Data!$B$3),"",IF(C209=Data!$B$4,"L","S"))</f>
        <v/>
      </c>
      <c r="F209" s="186" t="str">
        <f t="shared" si="88"/>
        <v/>
      </c>
      <c r="G209" s="187" t="str">
        <f t="shared" si="79"/>
        <v/>
      </c>
      <c r="H209" s="188"/>
      <c r="I209" s="189" t="str">
        <f t="shared" si="89"/>
        <v/>
      </c>
      <c r="J209" s="189" t="str">
        <f t="shared" si="90"/>
        <v/>
      </c>
      <c r="K209" s="190" t="str">
        <f t="shared" si="91"/>
        <v/>
      </c>
      <c r="L209" s="190" t="str">
        <f t="shared" si="92"/>
        <v/>
      </c>
      <c r="M209" s="214"/>
      <c r="N209" s="214"/>
      <c r="O209" s="189" t="str">
        <f t="shared" si="93"/>
        <v/>
      </c>
      <c r="P209" s="191" t="str">
        <f t="shared" si="80"/>
        <v/>
      </c>
      <c r="Q209" s="192" t="str">
        <f t="shared" si="94"/>
        <v/>
      </c>
      <c r="R209" s="191" t="str">
        <f t="shared" si="81"/>
        <v/>
      </c>
      <c r="S209" s="193" t="str">
        <f t="shared" si="95"/>
        <v/>
      </c>
      <c r="T209" s="194" t="str">
        <f t="shared" si="82"/>
        <v/>
      </c>
      <c r="U209" s="192" t="str">
        <f t="shared" si="96"/>
        <v/>
      </c>
      <c r="V209" s="195" t="str">
        <f t="shared" si="83"/>
        <v/>
      </c>
      <c r="W209" s="195" t="str">
        <f t="shared" si="84"/>
        <v/>
      </c>
      <c r="X209" s="196" t="str">
        <f t="shared" si="97"/>
        <v/>
      </c>
      <c r="Y209" s="191" t="str">
        <f t="shared" si="78"/>
        <v/>
      </c>
      <c r="Z209" s="197" t="str">
        <f t="shared" si="85"/>
        <v/>
      </c>
      <c r="AA209" s="197" t="str">
        <f t="shared" si="86"/>
        <v/>
      </c>
      <c r="AB209" s="213"/>
      <c r="AC209" s="204"/>
    </row>
    <row r="210" spans="1:29" ht="11.4">
      <c r="A210" s="211" t="str">
        <f t="shared" si="98"/>
        <v/>
      </c>
      <c r="B210" s="211"/>
      <c r="C210" s="185"/>
      <c r="D210" s="186" t="str">
        <f t="shared" si="87"/>
        <v/>
      </c>
      <c r="E210" s="186" t="str">
        <f>IF(OR(C210="",C210=Data!$B$3),"",IF(C210=Data!$B$4,"L","S"))</f>
        <v/>
      </c>
      <c r="F210" s="186" t="str">
        <f t="shared" si="88"/>
        <v/>
      </c>
      <c r="G210" s="187" t="str">
        <f t="shared" si="79"/>
        <v/>
      </c>
      <c r="H210" s="188"/>
      <c r="I210" s="189" t="str">
        <f t="shared" si="89"/>
        <v/>
      </c>
      <c r="J210" s="189" t="str">
        <f t="shared" si="90"/>
        <v/>
      </c>
      <c r="K210" s="190" t="str">
        <f t="shared" si="91"/>
        <v/>
      </c>
      <c r="L210" s="190" t="str">
        <f t="shared" si="92"/>
        <v/>
      </c>
      <c r="M210" s="214"/>
      <c r="N210" s="214"/>
      <c r="O210" s="189" t="str">
        <f t="shared" si="93"/>
        <v/>
      </c>
      <c r="P210" s="191" t="str">
        <f t="shared" si="80"/>
        <v/>
      </c>
      <c r="Q210" s="192" t="str">
        <f t="shared" si="94"/>
        <v/>
      </c>
      <c r="R210" s="191" t="str">
        <f t="shared" si="81"/>
        <v/>
      </c>
      <c r="S210" s="193" t="str">
        <f t="shared" si="95"/>
        <v/>
      </c>
      <c r="T210" s="194" t="str">
        <f t="shared" si="82"/>
        <v/>
      </c>
      <c r="U210" s="192" t="str">
        <f t="shared" si="96"/>
        <v/>
      </c>
      <c r="V210" s="195" t="str">
        <f t="shared" si="83"/>
        <v/>
      </c>
      <c r="W210" s="195" t="str">
        <f t="shared" si="84"/>
        <v/>
      </c>
      <c r="X210" s="196" t="str">
        <f t="shared" si="97"/>
        <v/>
      </c>
      <c r="Y210" s="191" t="str">
        <f t="shared" si="78"/>
        <v/>
      </c>
      <c r="Z210" s="197" t="str">
        <f t="shared" si="85"/>
        <v/>
      </c>
      <c r="AA210" s="197" t="str">
        <f t="shared" si="86"/>
        <v/>
      </c>
      <c r="AB210" s="213"/>
      <c r="AC210" s="204"/>
    </row>
    <row r="211" spans="1:29" ht="11.4">
      <c r="A211" s="211" t="str">
        <f t="shared" si="98"/>
        <v/>
      </c>
      <c r="B211" s="211"/>
      <c r="C211" s="185"/>
      <c r="D211" s="186" t="str">
        <f t="shared" si="87"/>
        <v/>
      </c>
      <c r="E211" s="186" t="str">
        <f>IF(OR(C211="",C211=Data!$B$3),"",IF(C211=Data!$B$4,"L","S"))</f>
        <v/>
      </c>
      <c r="F211" s="186" t="str">
        <f t="shared" si="88"/>
        <v/>
      </c>
      <c r="G211" s="187" t="str">
        <f t="shared" si="79"/>
        <v/>
      </c>
      <c r="H211" s="188"/>
      <c r="I211" s="189" t="str">
        <f t="shared" si="89"/>
        <v/>
      </c>
      <c r="J211" s="189" t="str">
        <f t="shared" si="90"/>
        <v/>
      </c>
      <c r="K211" s="190" t="str">
        <f t="shared" si="91"/>
        <v/>
      </c>
      <c r="L211" s="190" t="str">
        <f t="shared" si="92"/>
        <v/>
      </c>
      <c r="M211" s="214"/>
      <c r="N211" s="214"/>
      <c r="O211" s="189" t="str">
        <f t="shared" si="93"/>
        <v/>
      </c>
      <c r="P211" s="191" t="str">
        <f t="shared" si="80"/>
        <v/>
      </c>
      <c r="Q211" s="192" t="str">
        <f t="shared" si="94"/>
        <v/>
      </c>
      <c r="R211" s="191" t="str">
        <f t="shared" si="81"/>
        <v/>
      </c>
      <c r="S211" s="193" t="str">
        <f t="shared" si="95"/>
        <v/>
      </c>
      <c r="T211" s="194" t="str">
        <f t="shared" si="82"/>
        <v/>
      </c>
      <c r="U211" s="192" t="str">
        <f t="shared" si="96"/>
        <v/>
      </c>
      <c r="V211" s="195" t="str">
        <f t="shared" si="83"/>
        <v/>
      </c>
      <c r="W211" s="195" t="str">
        <f t="shared" si="84"/>
        <v/>
      </c>
      <c r="X211" s="196" t="str">
        <f t="shared" si="97"/>
        <v/>
      </c>
      <c r="Y211" s="191" t="str">
        <f t="shared" si="78"/>
        <v/>
      </c>
      <c r="Z211" s="197" t="str">
        <f t="shared" si="85"/>
        <v/>
      </c>
      <c r="AA211" s="197" t="str">
        <f t="shared" si="86"/>
        <v/>
      </c>
      <c r="AB211" s="213"/>
      <c r="AC211" s="204"/>
    </row>
    <row r="212" spans="1:29" ht="11.4">
      <c r="A212" s="211" t="str">
        <f t="shared" si="98"/>
        <v/>
      </c>
      <c r="B212" s="211"/>
      <c r="C212" s="185"/>
      <c r="D212" s="186" t="str">
        <f t="shared" si="87"/>
        <v/>
      </c>
      <c r="E212" s="186" t="str">
        <f>IF(OR(C212="",C212=Data!$B$3),"",IF(C212=Data!$B$4,"L","S"))</f>
        <v/>
      </c>
      <c r="F212" s="186" t="str">
        <f t="shared" si="88"/>
        <v/>
      </c>
      <c r="G212" s="187" t="str">
        <f t="shared" si="79"/>
        <v/>
      </c>
      <c r="H212" s="188"/>
      <c r="I212" s="189" t="str">
        <f t="shared" si="89"/>
        <v/>
      </c>
      <c r="J212" s="189" t="str">
        <f t="shared" si="90"/>
        <v/>
      </c>
      <c r="K212" s="190" t="str">
        <f t="shared" si="91"/>
        <v/>
      </c>
      <c r="L212" s="190" t="str">
        <f t="shared" si="92"/>
        <v/>
      </c>
      <c r="M212" s="214"/>
      <c r="N212" s="214"/>
      <c r="O212" s="189" t="str">
        <f t="shared" si="93"/>
        <v/>
      </c>
      <c r="P212" s="191" t="str">
        <f t="shared" si="80"/>
        <v/>
      </c>
      <c r="Q212" s="192" t="str">
        <f t="shared" si="94"/>
        <v/>
      </c>
      <c r="R212" s="191" t="str">
        <f t="shared" si="81"/>
        <v/>
      </c>
      <c r="S212" s="193" t="str">
        <f t="shared" si="95"/>
        <v/>
      </c>
      <c r="T212" s="194" t="str">
        <f t="shared" si="82"/>
        <v/>
      </c>
      <c r="U212" s="192" t="str">
        <f t="shared" si="96"/>
        <v/>
      </c>
      <c r="V212" s="195" t="str">
        <f t="shared" si="83"/>
        <v/>
      </c>
      <c r="W212" s="195" t="str">
        <f t="shared" si="84"/>
        <v/>
      </c>
      <c r="X212" s="196" t="str">
        <f t="shared" si="97"/>
        <v/>
      </c>
      <c r="Y212" s="191" t="str">
        <f t="shared" ref="Y212:Y275" si="99">IF(Y211="","",IF(T212="","",Y211+T212))</f>
        <v/>
      </c>
      <c r="Z212" s="197" t="str">
        <f t="shared" si="85"/>
        <v/>
      </c>
      <c r="AA212" s="197" t="str">
        <f t="shared" si="86"/>
        <v/>
      </c>
      <c r="AB212" s="213"/>
      <c r="AC212" s="204"/>
    </row>
    <row r="213" spans="1:29" ht="11.4">
      <c r="A213" s="211" t="str">
        <f t="shared" si="98"/>
        <v/>
      </c>
      <c r="B213" s="211"/>
      <c r="C213" s="185"/>
      <c r="D213" s="186" t="str">
        <f t="shared" si="87"/>
        <v/>
      </c>
      <c r="E213" s="186" t="str">
        <f>IF(OR(C213="",C213=Data!$B$3),"",IF(C213=Data!$B$4,"L","S"))</f>
        <v/>
      </c>
      <c r="F213" s="186" t="str">
        <f t="shared" si="88"/>
        <v/>
      </c>
      <c r="G213" s="187" t="str">
        <f t="shared" si="79"/>
        <v/>
      </c>
      <c r="H213" s="188"/>
      <c r="I213" s="189" t="str">
        <f t="shared" si="89"/>
        <v/>
      </c>
      <c r="J213" s="189" t="str">
        <f t="shared" si="90"/>
        <v/>
      </c>
      <c r="K213" s="190" t="str">
        <f t="shared" si="91"/>
        <v/>
      </c>
      <c r="L213" s="190" t="str">
        <f t="shared" si="92"/>
        <v/>
      </c>
      <c r="M213" s="214"/>
      <c r="N213" s="214"/>
      <c r="O213" s="189" t="str">
        <f t="shared" si="93"/>
        <v/>
      </c>
      <c r="P213" s="191" t="str">
        <f t="shared" si="80"/>
        <v/>
      </c>
      <c r="Q213" s="192" t="str">
        <f t="shared" si="94"/>
        <v/>
      </c>
      <c r="R213" s="191" t="str">
        <f t="shared" si="81"/>
        <v/>
      </c>
      <c r="S213" s="193" t="str">
        <f t="shared" si="95"/>
        <v/>
      </c>
      <c r="T213" s="194" t="str">
        <f t="shared" si="82"/>
        <v/>
      </c>
      <c r="U213" s="192" t="str">
        <f t="shared" si="96"/>
        <v/>
      </c>
      <c r="V213" s="195" t="str">
        <f t="shared" si="83"/>
        <v/>
      </c>
      <c r="W213" s="195" t="str">
        <f t="shared" si="84"/>
        <v/>
      </c>
      <c r="X213" s="196" t="str">
        <f t="shared" si="97"/>
        <v/>
      </c>
      <c r="Y213" s="191" t="str">
        <f t="shared" si="99"/>
        <v/>
      </c>
      <c r="Z213" s="197" t="str">
        <f t="shared" si="85"/>
        <v/>
      </c>
      <c r="AA213" s="197" t="str">
        <f t="shared" si="86"/>
        <v/>
      </c>
      <c r="AB213" s="213"/>
      <c r="AC213" s="204"/>
    </row>
    <row r="214" spans="1:29" ht="11.4">
      <c r="A214" s="211" t="str">
        <f t="shared" si="98"/>
        <v/>
      </c>
      <c r="B214" s="211"/>
      <c r="C214" s="185"/>
      <c r="D214" s="186" t="str">
        <f t="shared" si="87"/>
        <v/>
      </c>
      <c r="E214" s="186" t="str">
        <f>IF(OR(C214="",C214=Data!$B$3),"",IF(C214=Data!$B$4,"L","S"))</f>
        <v/>
      </c>
      <c r="F214" s="186" t="str">
        <f t="shared" si="88"/>
        <v/>
      </c>
      <c r="G214" s="187" t="str">
        <f t="shared" si="79"/>
        <v/>
      </c>
      <c r="H214" s="188"/>
      <c r="I214" s="189" t="str">
        <f t="shared" si="89"/>
        <v/>
      </c>
      <c r="J214" s="189" t="str">
        <f t="shared" si="90"/>
        <v/>
      </c>
      <c r="K214" s="190" t="str">
        <f t="shared" si="91"/>
        <v/>
      </c>
      <c r="L214" s="190" t="str">
        <f t="shared" si="92"/>
        <v/>
      </c>
      <c r="M214" s="214"/>
      <c r="N214" s="214"/>
      <c r="O214" s="189" t="str">
        <f t="shared" si="93"/>
        <v/>
      </c>
      <c r="P214" s="191" t="str">
        <f t="shared" si="80"/>
        <v/>
      </c>
      <c r="Q214" s="192" t="str">
        <f t="shared" si="94"/>
        <v/>
      </c>
      <c r="R214" s="191" t="str">
        <f t="shared" si="81"/>
        <v/>
      </c>
      <c r="S214" s="193" t="str">
        <f t="shared" si="95"/>
        <v/>
      </c>
      <c r="T214" s="194" t="str">
        <f t="shared" si="82"/>
        <v/>
      </c>
      <c r="U214" s="192" t="str">
        <f t="shared" si="96"/>
        <v/>
      </c>
      <c r="V214" s="195" t="str">
        <f t="shared" si="83"/>
        <v/>
      </c>
      <c r="W214" s="195" t="str">
        <f t="shared" si="84"/>
        <v/>
      </c>
      <c r="X214" s="196" t="str">
        <f t="shared" si="97"/>
        <v/>
      </c>
      <c r="Y214" s="191" t="str">
        <f t="shared" si="99"/>
        <v/>
      </c>
      <c r="Z214" s="197" t="str">
        <f t="shared" si="85"/>
        <v/>
      </c>
      <c r="AA214" s="197" t="str">
        <f t="shared" si="86"/>
        <v/>
      </c>
      <c r="AB214" s="213"/>
      <c r="AC214" s="204"/>
    </row>
    <row r="215" spans="1:29" ht="11.4">
      <c r="A215" s="211" t="str">
        <f t="shared" si="98"/>
        <v/>
      </c>
      <c r="B215" s="211"/>
      <c r="C215" s="185"/>
      <c r="D215" s="186" t="str">
        <f t="shared" si="87"/>
        <v/>
      </c>
      <c r="E215" s="186" t="str">
        <f>IF(OR(C215="",C215=Data!$B$3),"",IF(C215=Data!$B$4,"L","S"))</f>
        <v/>
      </c>
      <c r="F215" s="186" t="str">
        <f t="shared" si="88"/>
        <v/>
      </c>
      <c r="G215" s="187" t="str">
        <f t="shared" si="79"/>
        <v/>
      </c>
      <c r="H215" s="188"/>
      <c r="I215" s="189" t="str">
        <f t="shared" si="89"/>
        <v/>
      </c>
      <c r="J215" s="189" t="str">
        <f t="shared" si="90"/>
        <v/>
      </c>
      <c r="K215" s="190" t="str">
        <f t="shared" si="91"/>
        <v/>
      </c>
      <c r="L215" s="190" t="str">
        <f t="shared" si="92"/>
        <v/>
      </c>
      <c r="M215" s="214"/>
      <c r="N215" s="214"/>
      <c r="O215" s="189" t="str">
        <f t="shared" si="93"/>
        <v/>
      </c>
      <c r="P215" s="191" t="str">
        <f t="shared" si="80"/>
        <v/>
      </c>
      <c r="Q215" s="192" t="str">
        <f t="shared" si="94"/>
        <v/>
      </c>
      <c r="R215" s="191" t="str">
        <f t="shared" si="81"/>
        <v/>
      </c>
      <c r="S215" s="193" t="str">
        <f t="shared" si="95"/>
        <v/>
      </c>
      <c r="T215" s="194" t="str">
        <f t="shared" si="82"/>
        <v/>
      </c>
      <c r="U215" s="192" t="str">
        <f t="shared" si="96"/>
        <v/>
      </c>
      <c r="V215" s="195" t="str">
        <f t="shared" si="83"/>
        <v/>
      </c>
      <c r="W215" s="195" t="str">
        <f t="shared" si="84"/>
        <v/>
      </c>
      <c r="X215" s="196" t="str">
        <f t="shared" si="97"/>
        <v/>
      </c>
      <c r="Y215" s="191" t="str">
        <f t="shared" si="99"/>
        <v/>
      </c>
      <c r="Z215" s="197" t="str">
        <f t="shared" si="85"/>
        <v/>
      </c>
      <c r="AA215" s="197" t="str">
        <f t="shared" si="86"/>
        <v/>
      </c>
      <c r="AB215" s="213"/>
      <c r="AC215" s="204"/>
    </row>
    <row r="216" spans="1:29" ht="11.4">
      <c r="A216" s="211" t="str">
        <f t="shared" si="98"/>
        <v/>
      </c>
      <c r="B216" s="211"/>
      <c r="C216" s="185"/>
      <c r="D216" s="186" t="str">
        <f t="shared" si="87"/>
        <v/>
      </c>
      <c r="E216" s="186" t="str">
        <f>IF(OR(C216="",C216=Data!$B$3),"",IF(C216=Data!$B$4,"L","S"))</f>
        <v/>
      </c>
      <c r="F216" s="186" t="str">
        <f t="shared" si="88"/>
        <v/>
      </c>
      <c r="G216" s="187" t="str">
        <f t="shared" si="79"/>
        <v/>
      </c>
      <c r="H216" s="188"/>
      <c r="I216" s="189" t="str">
        <f t="shared" si="89"/>
        <v/>
      </c>
      <c r="J216" s="189" t="str">
        <f t="shared" si="90"/>
        <v/>
      </c>
      <c r="K216" s="190" t="str">
        <f t="shared" si="91"/>
        <v/>
      </c>
      <c r="L216" s="190" t="str">
        <f t="shared" si="92"/>
        <v/>
      </c>
      <c r="M216" s="214"/>
      <c r="N216" s="214"/>
      <c r="O216" s="189" t="str">
        <f t="shared" si="93"/>
        <v/>
      </c>
      <c r="P216" s="191" t="str">
        <f t="shared" si="80"/>
        <v/>
      </c>
      <c r="Q216" s="192" t="str">
        <f t="shared" si="94"/>
        <v/>
      </c>
      <c r="R216" s="191" t="str">
        <f t="shared" si="81"/>
        <v/>
      </c>
      <c r="S216" s="193" t="str">
        <f t="shared" si="95"/>
        <v/>
      </c>
      <c r="T216" s="194" t="str">
        <f t="shared" si="82"/>
        <v/>
      </c>
      <c r="U216" s="192" t="str">
        <f t="shared" si="96"/>
        <v/>
      </c>
      <c r="V216" s="195" t="str">
        <f t="shared" si="83"/>
        <v/>
      </c>
      <c r="W216" s="195" t="str">
        <f t="shared" si="84"/>
        <v/>
      </c>
      <c r="X216" s="196" t="str">
        <f t="shared" si="97"/>
        <v/>
      </c>
      <c r="Y216" s="191" t="str">
        <f t="shared" si="99"/>
        <v/>
      </c>
      <c r="Z216" s="197" t="str">
        <f t="shared" si="85"/>
        <v/>
      </c>
      <c r="AA216" s="197" t="str">
        <f t="shared" si="86"/>
        <v/>
      </c>
      <c r="AB216" s="213"/>
      <c r="AC216" s="204"/>
    </row>
    <row r="217" spans="1:29" ht="11.4">
      <c r="A217" s="211" t="str">
        <f t="shared" si="98"/>
        <v/>
      </c>
      <c r="B217" s="211"/>
      <c r="C217" s="185"/>
      <c r="D217" s="186" t="str">
        <f t="shared" si="87"/>
        <v/>
      </c>
      <c r="E217" s="186" t="str">
        <f>IF(OR(C217="",C217=Data!$B$3),"",IF(C217=Data!$B$4,"L","S"))</f>
        <v/>
      </c>
      <c r="F217" s="186" t="str">
        <f t="shared" si="88"/>
        <v/>
      </c>
      <c r="G217" s="187" t="str">
        <f t="shared" si="79"/>
        <v/>
      </c>
      <c r="H217" s="188"/>
      <c r="I217" s="189" t="str">
        <f t="shared" si="89"/>
        <v/>
      </c>
      <c r="J217" s="189" t="str">
        <f t="shared" si="90"/>
        <v/>
      </c>
      <c r="K217" s="190" t="str">
        <f t="shared" si="91"/>
        <v/>
      </c>
      <c r="L217" s="190" t="str">
        <f t="shared" si="92"/>
        <v/>
      </c>
      <c r="M217" s="214"/>
      <c r="N217" s="214"/>
      <c r="O217" s="189" t="str">
        <f t="shared" si="93"/>
        <v/>
      </c>
      <c r="P217" s="191" t="str">
        <f t="shared" si="80"/>
        <v/>
      </c>
      <c r="Q217" s="192" t="str">
        <f t="shared" si="94"/>
        <v/>
      </c>
      <c r="R217" s="191" t="str">
        <f t="shared" si="81"/>
        <v/>
      </c>
      <c r="S217" s="193" t="str">
        <f t="shared" si="95"/>
        <v/>
      </c>
      <c r="T217" s="194" t="str">
        <f t="shared" si="82"/>
        <v/>
      </c>
      <c r="U217" s="192" t="str">
        <f t="shared" si="96"/>
        <v/>
      </c>
      <c r="V217" s="195" t="str">
        <f t="shared" si="83"/>
        <v/>
      </c>
      <c r="W217" s="195" t="str">
        <f t="shared" si="84"/>
        <v/>
      </c>
      <c r="X217" s="196" t="str">
        <f t="shared" si="97"/>
        <v/>
      </c>
      <c r="Y217" s="191" t="str">
        <f t="shared" si="99"/>
        <v/>
      </c>
      <c r="Z217" s="197" t="str">
        <f t="shared" si="85"/>
        <v/>
      </c>
      <c r="AA217" s="197" t="str">
        <f t="shared" si="86"/>
        <v/>
      </c>
      <c r="AB217" s="213"/>
      <c r="AC217" s="204"/>
    </row>
    <row r="218" spans="1:29" ht="11.4">
      <c r="A218" s="211" t="str">
        <f t="shared" si="98"/>
        <v/>
      </c>
      <c r="B218" s="211"/>
      <c r="C218" s="185"/>
      <c r="D218" s="186" t="str">
        <f t="shared" si="87"/>
        <v/>
      </c>
      <c r="E218" s="186" t="str">
        <f>IF(OR(C218="",C218=Data!$B$3),"",IF(C218=Data!$B$4,"L","S"))</f>
        <v/>
      </c>
      <c r="F218" s="186" t="str">
        <f t="shared" si="88"/>
        <v/>
      </c>
      <c r="G218" s="187" t="str">
        <f t="shared" si="79"/>
        <v/>
      </c>
      <c r="H218" s="188"/>
      <c r="I218" s="189" t="str">
        <f t="shared" si="89"/>
        <v/>
      </c>
      <c r="J218" s="189" t="str">
        <f t="shared" si="90"/>
        <v/>
      </c>
      <c r="K218" s="190" t="str">
        <f t="shared" si="91"/>
        <v/>
      </c>
      <c r="L218" s="190" t="str">
        <f t="shared" si="92"/>
        <v/>
      </c>
      <c r="M218" s="214"/>
      <c r="N218" s="214"/>
      <c r="O218" s="189" t="str">
        <f t="shared" si="93"/>
        <v/>
      </c>
      <c r="P218" s="191" t="str">
        <f t="shared" si="80"/>
        <v/>
      </c>
      <c r="Q218" s="192" t="str">
        <f t="shared" si="94"/>
        <v/>
      </c>
      <c r="R218" s="191" t="str">
        <f t="shared" si="81"/>
        <v/>
      </c>
      <c r="S218" s="193" t="str">
        <f t="shared" si="95"/>
        <v/>
      </c>
      <c r="T218" s="194" t="str">
        <f t="shared" si="82"/>
        <v/>
      </c>
      <c r="U218" s="192" t="str">
        <f t="shared" si="96"/>
        <v/>
      </c>
      <c r="V218" s="195" t="str">
        <f t="shared" si="83"/>
        <v/>
      </c>
      <c r="W218" s="195" t="str">
        <f t="shared" si="84"/>
        <v/>
      </c>
      <c r="X218" s="196" t="str">
        <f t="shared" si="97"/>
        <v/>
      </c>
      <c r="Y218" s="191" t="str">
        <f t="shared" si="99"/>
        <v/>
      </c>
      <c r="Z218" s="197" t="str">
        <f t="shared" si="85"/>
        <v/>
      </c>
      <c r="AA218" s="197" t="str">
        <f t="shared" si="86"/>
        <v/>
      </c>
      <c r="AB218" s="213"/>
      <c r="AC218" s="204"/>
    </row>
    <row r="219" spans="1:29" ht="11.4">
      <c r="A219" s="211" t="str">
        <f t="shared" si="98"/>
        <v/>
      </c>
      <c r="B219" s="211"/>
      <c r="C219" s="185"/>
      <c r="D219" s="186" t="str">
        <f t="shared" si="87"/>
        <v/>
      </c>
      <c r="E219" s="186" t="str">
        <f>IF(OR(C219="",C219=Data!$B$3),"",IF(C219=Data!$B$4,"L","S"))</f>
        <v/>
      </c>
      <c r="F219" s="186" t="str">
        <f t="shared" si="88"/>
        <v/>
      </c>
      <c r="G219" s="187" t="str">
        <f t="shared" si="79"/>
        <v/>
      </c>
      <c r="H219" s="188"/>
      <c r="I219" s="189" t="str">
        <f t="shared" si="89"/>
        <v/>
      </c>
      <c r="J219" s="189" t="str">
        <f t="shared" si="90"/>
        <v/>
      </c>
      <c r="K219" s="190" t="str">
        <f t="shared" si="91"/>
        <v/>
      </c>
      <c r="L219" s="190" t="str">
        <f t="shared" si="92"/>
        <v/>
      </c>
      <c r="M219" s="214"/>
      <c r="N219" s="214"/>
      <c r="O219" s="189" t="str">
        <f t="shared" si="93"/>
        <v/>
      </c>
      <c r="P219" s="191" t="str">
        <f t="shared" si="80"/>
        <v/>
      </c>
      <c r="Q219" s="192" t="str">
        <f t="shared" si="94"/>
        <v/>
      </c>
      <c r="R219" s="191" t="str">
        <f t="shared" si="81"/>
        <v/>
      </c>
      <c r="S219" s="193" t="str">
        <f t="shared" si="95"/>
        <v/>
      </c>
      <c r="T219" s="194" t="str">
        <f t="shared" si="82"/>
        <v/>
      </c>
      <c r="U219" s="192" t="str">
        <f t="shared" si="96"/>
        <v/>
      </c>
      <c r="V219" s="195" t="str">
        <f t="shared" si="83"/>
        <v/>
      </c>
      <c r="W219" s="195" t="str">
        <f t="shared" si="84"/>
        <v/>
      </c>
      <c r="X219" s="196" t="str">
        <f t="shared" si="97"/>
        <v/>
      </c>
      <c r="Y219" s="191" t="str">
        <f t="shared" si="99"/>
        <v/>
      </c>
      <c r="Z219" s="197" t="str">
        <f t="shared" si="85"/>
        <v/>
      </c>
      <c r="AA219" s="197" t="str">
        <f t="shared" si="86"/>
        <v/>
      </c>
      <c r="AB219" s="213"/>
      <c r="AC219" s="204"/>
    </row>
    <row r="220" spans="1:29" ht="11.4">
      <c r="A220" s="211" t="str">
        <f t="shared" si="98"/>
        <v/>
      </c>
      <c r="B220" s="211"/>
      <c r="C220" s="185"/>
      <c r="D220" s="186" t="str">
        <f t="shared" si="87"/>
        <v/>
      </c>
      <c r="E220" s="186" t="str">
        <f>IF(OR(C220="",C220=Data!$B$3),"",IF(C220=Data!$B$4,"L","S"))</f>
        <v/>
      </c>
      <c r="F220" s="186" t="str">
        <f t="shared" si="88"/>
        <v/>
      </c>
      <c r="G220" s="187" t="str">
        <f t="shared" si="79"/>
        <v/>
      </c>
      <c r="H220" s="188"/>
      <c r="I220" s="189" t="str">
        <f t="shared" si="89"/>
        <v/>
      </c>
      <c r="J220" s="189" t="str">
        <f t="shared" si="90"/>
        <v/>
      </c>
      <c r="K220" s="190" t="str">
        <f t="shared" si="91"/>
        <v/>
      </c>
      <c r="L220" s="190" t="str">
        <f t="shared" si="92"/>
        <v/>
      </c>
      <c r="M220" s="214"/>
      <c r="N220" s="214"/>
      <c r="O220" s="189" t="str">
        <f t="shared" si="93"/>
        <v/>
      </c>
      <c r="P220" s="191" t="str">
        <f t="shared" si="80"/>
        <v/>
      </c>
      <c r="Q220" s="192" t="str">
        <f t="shared" si="94"/>
        <v/>
      </c>
      <c r="R220" s="191" t="str">
        <f t="shared" si="81"/>
        <v/>
      </c>
      <c r="S220" s="193" t="str">
        <f t="shared" si="95"/>
        <v/>
      </c>
      <c r="T220" s="194" t="str">
        <f t="shared" si="82"/>
        <v/>
      </c>
      <c r="U220" s="192" t="str">
        <f t="shared" si="96"/>
        <v/>
      </c>
      <c r="V220" s="195" t="str">
        <f t="shared" si="83"/>
        <v/>
      </c>
      <c r="W220" s="195" t="str">
        <f t="shared" si="84"/>
        <v/>
      </c>
      <c r="X220" s="196" t="str">
        <f t="shared" si="97"/>
        <v/>
      </c>
      <c r="Y220" s="191" t="str">
        <f t="shared" si="99"/>
        <v/>
      </c>
      <c r="Z220" s="197" t="str">
        <f t="shared" si="85"/>
        <v/>
      </c>
      <c r="AA220" s="197" t="str">
        <f t="shared" si="86"/>
        <v/>
      </c>
      <c r="AB220" s="213"/>
      <c r="AC220" s="204"/>
    </row>
    <row r="221" spans="1:29" ht="11.4">
      <c r="A221" s="211" t="str">
        <f t="shared" si="98"/>
        <v/>
      </c>
      <c r="B221" s="211"/>
      <c r="C221" s="185"/>
      <c r="D221" s="186" t="str">
        <f t="shared" si="87"/>
        <v/>
      </c>
      <c r="E221" s="186" t="str">
        <f>IF(OR(C221="",C221=Data!$B$3),"",IF(C221=Data!$B$4,"L","S"))</f>
        <v/>
      </c>
      <c r="F221" s="186" t="str">
        <f t="shared" si="88"/>
        <v/>
      </c>
      <c r="G221" s="187" t="str">
        <f t="shared" si="79"/>
        <v/>
      </c>
      <c r="H221" s="188"/>
      <c r="I221" s="189" t="str">
        <f t="shared" si="89"/>
        <v/>
      </c>
      <c r="J221" s="189" t="str">
        <f t="shared" si="90"/>
        <v/>
      </c>
      <c r="K221" s="190" t="str">
        <f t="shared" si="91"/>
        <v/>
      </c>
      <c r="L221" s="190" t="str">
        <f t="shared" si="92"/>
        <v/>
      </c>
      <c r="M221" s="214"/>
      <c r="N221" s="214"/>
      <c r="O221" s="189" t="str">
        <f t="shared" si="93"/>
        <v/>
      </c>
      <c r="P221" s="191" t="str">
        <f t="shared" si="80"/>
        <v/>
      </c>
      <c r="Q221" s="192" t="str">
        <f t="shared" si="94"/>
        <v/>
      </c>
      <c r="R221" s="191" t="str">
        <f t="shared" si="81"/>
        <v/>
      </c>
      <c r="S221" s="193" t="str">
        <f t="shared" si="95"/>
        <v/>
      </c>
      <c r="T221" s="194" t="str">
        <f t="shared" si="82"/>
        <v/>
      </c>
      <c r="U221" s="192" t="str">
        <f t="shared" si="96"/>
        <v/>
      </c>
      <c r="V221" s="195" t="str">
        <f t="shared" si="83"/>
        <v/>
      </c>
      <c r="W221" s="195" t="str">
        <f t="shared" si="84"/>
        <v/>
      </c>
      <c r="X221" s="196" t="str">
        <f t="shared" si="97"/>
        <v/>
      </c>
      <c r="Y221" s="191" t="str">
        <f t="shared" si="99"/>
        <v/>
      </c>
      <c r="Z221" s="197" t="str">
        <f t="shared" si="85"/>
        <v/>
      </c>
      <c r="AA221" s="197" t="str">
        <f t="shared" si="86"/>
        <v/>
      </c>
      <c r="AB221" s="213"/>
      <c r="AC221" s="204"/>
    </row>
    <row r="222" spans="1:29" ht="11.4">
      <c r="A222" s="211" t="str">
        <f t="shared" si="98"/>
        <v/>
      </c>
      <c r="B222" s="211"/>
      <c r="C222" s="185"/>
      <c r="D222" s="186" t="str">
        <f t="shared" si="87"/>
        <v/>
      </c>
      <c r="E222" s="186" t="str">
        <f>IF(OR(C222="",C222=Data!$B$3),"",IF(C222=Data!$B$4,"L","S"))</f>
        <v/>
      </c>
      <c r="F222" s="186" t="str">
        <f t="shared" si="88"/>
        <v/>
      </c>
      <c r="G222" s="187" t="str">
        <f t="shared" si="79"/>
        <v/>
      </c>
      <c r="H222" s="188"/>
      <c r="I222" s="189" t="str">
        <f t="shared" si="89"/>
        <v/>
      </c>
      <c r="J222" s="189" t="str">
        <f t="shared" si="90"/>
        <v/>
      </c>
      <c r="K222" s="190" t="str">
        <f t="shared" si="91"/>
        <v/>
      </c>
      <c r="L222" s="190" t="str">
        <f t="shared" si="92"/>
        <v/>
      </c>
      <c r="M222" s="214"/>
      <c r="N222" s="214"/>
      <c r="O222" s="189" t="str">
        <f t="shared" si="93"/>
        <v/>
      </c>
      <c r="P222" s="191" t="str">
        <f t="shared" si="80"/>
        <v/>
      </c>
      <c r="Q222" s="192" t="str">
        <f t="shared" si="94"/>
        <v/>
      </c>
      <c r="R222" s="191" t="str">
        <f t="shared" si="81"/>
        <v/>
      </c>
      <c r="S222" s="193" t="str">
        <f t="shared" si="95"/>
        <v/>
      </c>
      <c r="T222" s="194" t="str">
        <f t="shared" si="82"/>
        <v/>
      </c>
      <c r="U222" s="192" t="str">
        <f t="shared" si="96"/>
        <v/>
      </c>
      <c r="V222" s="195" t="str">
        <f t="shared" si="83"/>
        <v/>
      </c>
      <c r="W222" s="195" t="str">
        <f t="shared" si="84"/>
        <v/>
      </c>
      <c r="X222" s="196" t="str">
        <f t="shared" si="97"/>
        <v/>
      </c>
      <c r="Y222" s="191" t="str">
        <f t="shared" si="99"/>
        <v/>
      </c>
      <c r="Z222" s="197" t="str">
        <f t="shared" si="85"/>
        <v/>
      </c>
      <c r="AA222" s="197" t="str">
        <f t="shared" si="86"/>
        <v/>
      </c>
      <c r="AB222" s="213"/>
      <c r="AC222" s="204"/>
    </row>
    <row r="223" spans="1:29" ht="11.4">
      <c r="A223" s="211" t="str">
        <f t="shared" si="98"/>
        <v/>
      </c>
      <c r="B223" s="211"/>
      <c r="C223" s="185"/>
      <c r="D223" s="186" t="str">
        <f t="shared" si="87"/>
        <v/>
      </c>
      <c r="E223" s="186" t="str">
        <f>IF(OR(C223="",C223=Data!$B$3),"",IF(C223=Data!$B$4,"L","S"))</f>
        <v/>
      </c>
      <c r="F223" s="186" t="str">
        <f t="shared" si="88"/>
        <v/>
      </c>
      <c r="G223" s="187" t="str">
        <f t="shared" si="79"/>
        <v/>
      </c>
      <c r="H223" s="188"/>
      <c r="I223" s="189" t="str">
        <f t="shared" si="89"/>
        <v/>
      </c>
      <c r="J223" s="189" t="str">
        <f t="shared" si="90"/>
        <v/>
      </c>
      <c r="K223" s="190" t="str">
        <f t="shared" si="91"/>
        <v/>
      </c>
      <c r="L223" s="190" t="str">
        <f t="shared" si="92"/>
        <v/>
      </c>
      <c r="M223" s="214"/>
      <c r="N223" s="214"/>
      <c r="O223" s="189" t="str">
        <f t="shared" si="93"/>
        <v/>
      </c>
      <c r="P223" s="191" t="str">
        <f t="shared" si="80"/>
        <v/>
      </c>
      <c r="Q223" s="192" t="str">
        <f t="shared" si="94"/>
        <v/>
      </c>
      <c r="R223" s="191" t="str">
        <f t="shared" si="81"/>
        <v/>
      </c>
      <c r="S223" s="193" t="str">
        <f t="shared" si="95"/>
        <v/>
      </c>
      <c r="T223" s="194" t="str">
        <f t="shared" si="82"/>
        <v/>
      </c>
      <c r="U223" s="192" t="str">
        <f t="shared" si="96"/>
        <v/>
      </c>
      <c r="V223" s="195" t="str">
        <f t="shared" si="83"/>
        <v/>
      </c>
      <c r="W223" s="195" t="str">
        <f t="shared" si="84"/>
        <v/>
      </c>
      <c r="X223" s="196" t="str">
        <f t="shared" si="97"/>
        <v/>
      </c>
      <c r="Y223" s="191" t="str">
        <f t="shared" si="99"/>
        <v/>
      </c>
      <c r="Z223" s="197" t="str">
        <f t="shared" si="85"/>
        <v/>
      </c>
      <c r="AA223" s="197" t="str">
        <f t="shared" si="86"/>
        <v/>
      </c>
      <c r="AB223" s="213"/>
      <c r="AC223" s="204"/>
    </row>
    <row r="224" spans="1:29" ht="11.4">
      <c r="A224" s="211" t="str">
        <f t="shared" si="98"/>
        <v/>
      </c>
      <c r="B224" s="211"/>
      <c r="C224" s="185"/>
      <c r="D224" s="186" t="str">
        <f t="shared" si="87"/>
        <v/>
      </c>
      <c r="E224" s="186" t="str">
        <f>IF(OR(C224="",C224=Data!$B$3),"",IF(C224=Data!$B$4,"L","S"))</f>
        <v/>
      </c>
      <c r="F224" s="186" t="str">
        <f t="shared" si="88"/>
        <v/>
      </c>
      <c r="G224" s="187" t="str">
        <f t="shared" si="79"/>
        <v/>
      </c>
      <c r="H224" s="188"/>
      <c r="I224" s="189" t="str">
        <f t="shared" si="89"/>
        <v/>
      </c>
      <c r="J224" s="189" t="str">
        <f t="shared" si="90"/>
        <v/>
      </c>
      <c r="K224" s="190" t="str">
        <f t="shared" si="91"/>
        <v/>
      </c>
      <c r="L224" s="190" t="str">
        <f t="shared" si="92"/>
        <v/>
      </c>
      <c r="M224" s="214"/>
      <c r="N224" s="214"/>
      <c r="O224" s="189" t="str">
        <f t="shared" si="93"/>
        <v/>
      </c>
      <c r="P224" s="191" t="str">
        <f t="shared" si="80"/>
        <v/>
      </c>
      <c r="Q224" s="192" t="str">
        <f t="shared" si="94"/>
        <v/>
      </c>
      <c r="R224" s="191" t="str">
        <f t="shared" si="81"/>
        <v/>
      </c>
      <c r="S224" s="193" t="str">
        <f t="shared" si="95"/>
        <v/>
      </c>
      <c r="T224" s="194" t="str">
        <f t="shared" si="82"/>
        <v/>
      </c>
      <c r="U224" s="192" t="str">
        <f t="shared" si="96"/>
        <v/>
      </c>
      <c r="V224" s="195" t="str">
        <f t="shared" si="83"/>
        <v/>
      </c>
      <c r="W224" s="195" t="str">
        <f t="shared" si="84"/>
        <v/>
      </c>
      <c r="X224" s="196" t="str">
        <f t="shared" si="97"/>
        <v/>
      </c>
      <c r="Y224" s="191" t="str">
        <f t="shared" si="99"/>
        <v/>
      </c>
      <c r="Z224" s="197" t="str">
        <f t="shared" si="85"/>
        <v/>
      </c>
      <c r="AA224" s="197" t="str">
        <f t="shared" si="86"/>
        <v/>
      </c>
      <c r="AB224" s="213"/>
      <c r="AC224" s="204"/>
    </row>
    <row r="225" spans="1:29" ht="11.4">
      <c r="A225" s="211" t="str">
        <f t="shared" si="98"/>
        <v/>
      </c>
      <c r="B225" s="211"/>
      <c r="C225" s="185"/>
      <c r="D225" s="186" t="str">
        <f t="shared" si="87"/>
        <v/>
      </c>
      <c r="E225" s="186" t="str">
        <f>IF(OR(C225="",C225=Data!$B$3),"",IF(C225=Data!$B$4,"L","S"))</f>
        <v/>
      </c>
      <c r="F225" s="186" t="str">
        <f t="shared" si="88"/>
        <v/>
      </c>
      <c r="G225" s="187" t="str">
        <f t="shared" si="79"/>
        <v/>
      </c>
      <c r="H225" s="188"/>
      <c r="I225" s="189" t="str">
        <f t="shared" si="89"/>
        <v/>
      </c>
      <c r="J225" s="189" t="str">
        <f t="shared" si="90"/>
        <v/>
      </c>
      <c r="K225" s="190" t="str">
        <f t="shared" si="91"/>
        <v/>
      </c>
      <c r="L225" s="190" t="str">
        <f t="shared" si="92"/>
        <v/>
      </c>
      <c r="M225" s="214"/>
      <c r="N225" s="214"/>
      <c r="O225" s="189" t="str">
        <f t="shared" si="93"/>
        <v/>
      </c>
      <c r="P225" s="191" t="str">
        <f t="shared" si="80"/>
        <v/>
      </c>
      <c r="Q225" s="192" t="str">
        <f t="shared" si="94"/>
        <v/>
      </c>
      <c r="R225" s="191" t="str">
        <f t="shared" si="81"/>
        <v/>
      </c>
      <c r="S225" s="193" t="str">
        <f t="shared" si="95"/>
        <v/>
      </c>
      <c r="T225" s="194" t="str">
        <f t="shared" si="82"/>
        <v/>
      </c>
      <c r="U225" s="192" t="str">
        <f t="shared" si="96"/>
        <v/>
      </c>
      <c r="V225" s="195" t="str">
        <f t="shared" si="83"/>
        <v/>
      </c>
      <c r="W225" s="195" t="str">
        <f t="shared" si="84"/>
        <v/>
      </c>
      <c r="X225" s="196" t="str">
        <f t="shared" si="97"/>
        <v/>
      </c>
      <c r="Y225" s="191" t="str">
        <f t="shared" si="99"/>
        <v/>
      </c>
      <c r="Z225" s="197" t="str">
        <f t="shared" si="85"/>
        <v/>
      </c>
      <c r="AA225" s="197" t="str">
        <f t="shared" si="86"/>
        <v/>
      </c>
      <c r="AB225" s="213"/>
      <c r="AC225" s="204"/>
    </row>
    <row r="226" spans="1:29" ht="11.4">
      <c r="A226" s="211" t="str">
        <f t="shared" si="98"/>
        <v/>
      </c>
      <c r="B226" s="211"/>
      <c r="C226" s="185"/>
      <c r="D226" s="186" t="str">
        <f t="shared" si="87"/>
        <v/>
      </c>
      <c r="E226" s="186" t="str">
        <f>IF(OR(C226="",C226=Data!$B$3),"",IF(C226=Data!$B$4,"L","S"))</f>
        <v/>
      </c>
      <c r="F226" s="186" t="str">
        <f t="shared" si="88"/>
        <v/>
      </c>
      <c r="G226" s="187" t="str">
        <f t="shared" si="79"/>
        <v/>
      </c>
      <c r="H226" s="188"/>
      <c r="I226" s="189" t="str">
        <f t="shared" si="89"/>
        <v/>
      </c>
      <c r="J226" s="189" t="str">
        <f t="shared" si="90"/>
        <v/>
      </c>
      <c r="K226" s="190" t="str">
        <f t="shared" si="91"/>
        <v/>
      </c>
      <c r="L226" s="190" t="str">
        <f t="shared" si="92"/>
        <v/>
      </c>
      <c r="M226" s="214"/>
      <c r="N226" s="214"/>
      <c r="O226" s="189" t="str">
        <f t="shared" si="93"/>
        <v/>
      </c>
      <c r="P226" s="191" t="str">
        <f t="shared" si="80"/>
        <v/>
      </c>
      <c r="Q226" s="192" t="str">
        <f t="shared" si="94"/>
        <v/>
      </c>
      <c r="R226" s="191" t="str">
        <f t="shared" si="81"/>
        <v/>
      </c>
      <c r="S226" s="193" t="str">
        <f t="shared" si="95"/>
        <v/>
      </c>
      <c r="T226" s="194" t="str">
        <f t="shared" si="82"/>
        <v/>
      </c>
      <c r="U226" s="192" t="str">
        <f t="shared" si="96"/>
        <v/>
      </c>
      <c r="V226" s="195" t="str">
        <f t="shared" si="83"/>
        <v/>
      </c>
      <c r="W226" s="195" t="str">
        <f t="shared" si="84"/>
        <v/>
      </c>
      <c r="X226" s="196" t="str">
        <f t="shared" si="97"/>
        <v/>
      </c>
      <c r="Y226" s="191" t="str">
        <f t="shared" si="99"/>
        <v/>
      </c>
      <c r="Z226" s="197" t="str">
        <f t="shared" si="85"/>
        <v/>
      </c>
      <c r="AA226" s="197" t="str">
        <f t="shared" si="86"/>
        <v/>
      </c>
      <c r="AB226" s="213"/>
      <c r="AC226" s="204"/>
    </row>
    <row r="227" spans="1:29" ht="11.4">
      <c r="A227" s="211" t="str">
        <f t="shared" si="98"/>
        <v/>
      </c>
      <c r="B227" s="211"/>
      <c r="C227" s="185"/>
      <c r="D227" s="186" t="str">
        <f t="shared" si="87"/>
        <v/>
      </c>
      <c r="E227" s="186" t="str">
        <f>IF(OR(C227="",C227=Data!$B$3),"",IF(C227=Data!$B$4,"L","S"))</f>
        <v/>
      </c>
      <c r="F227" s="186" t="str">
        <f t="shared" si="88"/>
        <v/>
      </c>
      <c r="G227" s="187" t="str">
        <f t="shared" si="79"/>
        <v/>
      </c>
      <c r="H227" s="188"/>
      <c r="I227" s="189" t="str">
        <f t="shared" si="89"/>
        <v/>
      </c>
      <c r="J227" s="189" t="str">
        <f t="shared" si="90"/>
        <v/>
      </c>
      <c r="K227" s="190" t="str">
        <f t="shared" si="91"/>
        <v/>
      </c>
      <c r="L227" s="190" t="str">
        <f t="shared" si="92"/>
        <v/>
      </c>
      <c r="M227" s="214"/>
      <c r="N227" s="214"/>
      <c r="O227" s="189" t="str">
        <f t="shared" si="93"/>
        <v/>
      </c>
      <c r="P227" s="191" t="str">
        <f t="shared" si="80"/>
        <v/>
      </c>
      <c r="Q227" s="192" t="str">
        <f t="shared" si="94"/>
        <v/>
      </c>
      <c r="R227" s="191" t="str">
        <f t="shared" si="81"/>
        <v/>
      </c>
      <c r="S227" s="193" t="str">
        <f t="shared" si="95"/>
        <v/>
      </c>
      <c r="T227" s="194" t="str">
        <f t="shared" si="82"/>
        <v/>
      </c>
      <c r="U227" s="192" t="str">
        <f t="shared" si="96"/>
        <v/>
      </c>
      <c r="V227" s="195" t="str">
        <f t="shared" si="83"/>
        <v/>
      </c>
      <c r="W227" s="195" t="str">
        <f t="shared" si="84"/>
        <v/>
      </c>
      <c r="X227" s="196" t="str">
        <f t="shared" si="97"/>
        <v/>
      </c>
      <c r="Y227" s="191" t="str">
        <f t="shared" si="99"/>
        <v/>
      </c>
      <c r="Z227" s="197" t="str">
        <f t="shared" si="85"/>
        <v/>
      </c>
      <c r="AA227" s="197" t="str">
        <f t="shared" si="86"/>
        <v/>
      </c>
      <c r="AB227" s="213"/>
      <c r="AC227" s="204"/>
    </row>
    <row r="228" spans="1:29" ht="11.4">
      <c r="A228" s="211" t="str">
        <f t="shared" si="98"/>
        <v/>
      </c>
      <c r="B228" s="211"/>
      <c r="C228" s="185"/>
      <c r="D228" s="186" t="str">
        <f t="shared" si="87"/>
        <v/>
      </c>
      <c r="E228" s="186" t="str">
        <f>IF(OR(C228="",C228=Data!$B$3),"",IF(C228=Data!$B$4,"L","S"))</f>
        <v/>
      </c>
      <c r="F228" s="186" t="str">
        <f t="shared" si="88"/>
        <v/>
      </c>
      <c r="G228" s="187" t="str">
        <f t="shared" si="79"/>
        <v/>
      </c>
      <c r="H228" s="188"/>
      <c r="I228" s="189" t="str">
        <f t="shared" si="89"/>
        <v/>
      </c>
      <c r="J228" s="189" t="str">
        <f t="shared" si="90"/>
        <v/>
      </c>
      <c r="K228" s="190" t="str">
        <f t="shared" si="91"/>
        <v/>
      </c>
      <c r="L228" s="190" t="str">
        <f t="shared" si="92"/>
        <v/>
      </c>
      <c r="M228" s="214"/>
      <c r="N228" s="214"/>
      <c r="O228" s="189" t="str">
        <f t="shared" si="93"/>
        <v/>
      </c>
      <c r="P228" s="191" t="str">
        <f t="shared" si="80"/>
        <v/>
      </c>
      <c r="Q228" s="192" t="str">
        <f t="shared" si="94"/>
        <v/>
      </c>
      <c r="R228" s="191" t="str">
        <f t="shared" si="81"/>
        <v/>
      </c>
      <c r="S228" s="193" t="str">
        <f t="shared" si="95"/>
        <v/>
      </c>
      <c r="T228" s="194" t="str">
        <f t="shared" si="82"/>
        <v/>
      </c>
      <c r="U228" s="192" t="str">
        <f t="shared" si="96"/>
        <v/>
      </c>
      <c r="V228" s="195" t="str">
        <f t="shared" si="83"/>
        <v/>
      </c>
      <c r="W228" s="195" t="str">
        <f t="shared" si="84"/>
        <v/>
      </c>
      <c r="X228" s="196" t="str">
        <f t="shared" si="97"/>
        <v/>
      </c>
      <c r="Y228" s="191" t="str">
        <f t="shared" si="99"/>
        <v/>
      </c>
      <c r="Z228" s="197" t="str">
        <f t="shared" si="85"/>
        <v/>
      </c>
      <c r="AA228" s="197" t="str">
        <f t="shared" si="86"/>
        <v/>
      </c>
      <c r="AB228" s="213"/>
      <c r="AC228" s="204"/>
    </row>
    <row r="229" spans="1:29" ht="11.4">
      <c r="A229" s="211" t="str">
        <f t="shared" si="98"/>
        <v/>
      </c>
      <c r="B229" s="211"/>
      <c r="C229" s="185"/>
      <c r="D229" s="186" t="str">
        <f t="shared" si="87"/>
        <v/>
      </c>
      <c r="E229" s="186" t="str">
        <f>IF(OR(C229="",C229=Data!$B$3),"",IF(C229=Data!$B$4,"L","S"))</f>
        <v/>
      </c>
      <c r="F229" s="186" t="str">
        <f t="shared" si="88"/>
        <v/>
      </c>
      <c r="G229" s="187" t="str">
        <f t="shared" si="79"/>
        <v/>
      </c>
      <c r="H229" s="188"/>
      <c r="I229" s="189" t="str">
        <f t="shared" si="89"/>
        <v/>
      </c>
      <c r="J229" s="189" t="str">
        <f t="shared" si="90"/>
        <v/>
      </c>
      <c r="K229" s="190" t="str">
        <f t="shared" si="91"/>
        <v/>
      </c>
      <c r="L229" s="190" t="str">
        <f t="shared" si="92"/>
        <v/>
      </c>
      <c r="M229" s="214"/>
      <c r="N229" s="214"/>
      <c r="O229" s="189" t="str">
        <f t="shared" si="93"/>
        <v/>
      </c>
      <c r="P229" s="191" t="str">
        <f t="shared" si="80"/>
        <v/>
      </c>
      <c r="Q229" s="192" t="str">
        <f t="shared" si="94"/>
        <v/>
      </c>
      <c r="R229" s="191" t="str">
        <f t="shared" si="81"/>
        <v/>
      </c>
      <c r="S229" s="193" t="str">
        <f t="shared" si="95"/>
        <v/>
      </c>
      <c r="T229" s="194" t="str">
        <f t="shared" si="82"/>
        <v/>
      </c>
      <c r="U229" s="192" t="str">
        <f t="shared" si="96"/>
        <v/>
      </c>
      <c r="V229" s="195" t="str">
        <f t="shared" si="83"/>
        <v/>
      </c>
      <c r="W229" s="195" t="str">
        <f t="shared" si="84"/>
        <v/>
      </c>
      <c r="X229" s="196" t="str">
        <f t="shared" si="97"/>
        <v/>
      </c>
      <c r="Y229" s="191" t="str">
        <f t="shared" si="99"/>
        <v/>
      </c>
      <c r="Z229" s="197" t="str">
        <f t="shared" si="85"/>
        <v/>
      </c>
      <c r="AA229" s="197" t="str">
        <f t="shared" si="86"/>
        <v/>
      </c>
      <c r="AB229" s="213"/>
      <c r="AC229" s="204"/>
    </row>
    <row r="230" spans="1:29" ht="11.4">
      <c r="A230" s="211" t="str">
        <f t="shared" si="98"/>
        <v/>
      </c>
      <c r="B230" s="211"/>
      <c r="C230" s="185"/>
      <c r="D230" s="186" t="str">
        <f t="shared" si="87"/>
        <v/>
      </c>
      <c r="E230" s="186" t="str">
        <f>IF(OR(C230="",C230=Data!$B$3),"",IF(C230=Data!$B$4,"L","S"))</f>
        <v/>
      </c>
      <c r="F230" s="186" t="str">
        <f t="shared" si="88"/>
        <v/>
      </c>
      <c r="G230" s="187" t="str">
        <f t="shared" si="79"/>
        <v/>
      </c>
      <c r="H230" s="188"/>
      <c r="I230" s="189" t="str">
        <f t="shared" si="89"/>
        <v/>
      </c>
      <c r="J230" s="189" t="str">
        <f t="shared" si="90"/>
        <v/>
      </c>
      <c r="K230" s="190" t="str">
        <f t="shared" si="91"/>
        <v/>
      </c>
      <c r="L230" s="190" t="str">
        <f t="shared" si="92"/>
        <v/>
      </c>
      <c r="M230" s="214"/>
      <c r="N230" s="214"/>
      <c r="O230" s="189" t="str">
        <f t="shared" si="93"/>
        <v/>
      </c>
      <c r="P230" s="191" t="str">
        <f t="shared" si="80"/>
        <v/>
      </c>
      <c r="Q230" s="192" t="str">
        <f t="shared" si="94"/>
        <v/>
      </c>
      <c r="R230" s="191" t="str">
        <f t="shared" si="81"/>
        <v/>
      </c>
      <c r="S230" s="193" t="str">
        <f t="shared" si="95"/>
        <v/>
      </c>
      <c r="T230" s="194" t="str">
        <f t="shared" si="82"/>
        <v/>
      </c>
      <c r="U230" s="192" t="str">
        <f t="shared" si="96"/>
        <v/>
      </c>
      <c r="V230" s="195" t="str">
        <f t="shared" si="83"/>
        <v/>
      </c>
      <c r="W230" s="195" t="str">
        <f t="shared" si="84"/>
        <v/>
      </c>
      <c r="X230" s="196" t="str">
        <f t="shared" si="97"/>
        <v/>
      </c>
      <c r="Y230" s="191" t="str">
        <f t="shared" si="99"/>
        <v/>
      </c>
      <c r="Z230" s="197" t="str">
        <f t="shared" si="85"/>
        <v/>
      </c>
      <c r="AA230" s="197" t="str">
        <f t="shared" si="86"/>
        <v/>
      </c>
      <c r="AB230" s="213"/>
      <c r="AC230" s="204"/>
    </row>
    <row r="231" spans="1:29" ht="11.4">
      <c r="A231" s="211" t="str">
        <f t="shared" si="98"/>
        <v/>
      </c>
      <c r="B231" s="211"/>
      <c r="C231" s="185"/>
      <c r="D231" s="186" t="str">
        <f t="shared" si="87"/>
        <v/>
      </c>
      <c r="E231" s="186" t="str">
        <f>IF(OR(C231="",C231=Data!$B$3),"",IF(C231=Data!$B$4,"L","S"))</f>
        <v/>
      </c>
      <c r="F231" s="186" t="str">
        <f t="shared" si="88"/>
        <v/>
      </c>
      <c r="G231" s="187" t="str">
        <f t="shared" si="79"/>
        <v/>
      </c>
      <c r="H231" s="188"/>
      <c r="I231" s="189" t="str">
        <f t="shared" si="89"/>
        <v/>
      </c>
      <c r="J231" s="189" t="str">
        <f t="shared" si="90"/>
        <v/>
      </c>
      <c r="K231" s="190" t="str">
        <f t="shared" si="91"/>
        <v/>
      </c>
      <c r="L231" s="190" t="str">
        <f t="shared" si="92"/>
        <v/>
      </c>
      <c r="M231" s="214"/>
      <c r="N231" s="214"/>
      <c r="O231" s="189" t="str">
        <f t="shared" si="93"/>
        <v/>
      </c>
      <c r="P231" s="191" t="str">
        <f t="shared" si="80"/>
        <v/>
      </c>
      <c r="Q231" s="192" t="str">
        <f t="shared" si="94"/>
        <v/>
      </c>
      <c r="R231" s="191" t="str">
        <f t="shared" si="81"/>
        <v/>
      </c>
      <c r="S231" s="193" t="str">
        <f t="shared" si="95"/>
        <v/>
      </c>
      <c r="T231" s="194" t="str">
        <f t="shared" si="82"/>
        <v/>
      </c>
      <c r="U231" s="192" t="str">
        <f t="shared" si="96"/>
        <v/>
      </c>
      <c r="V231" s="195" t="str">
        <f t="shared" si="83"/>
        <v/>
      </c>
      <c r="W231" s="195" t="str">
        <f t="shared" si="84"/>
        <v/>
      </c>
      <c r="X231" s="196" t="str">
        <f t="shared" si="97"/>
        <v/>
      </c>
      <c r="Y231" s="191" t="str">
        <f t="shared" si="99"/>
        <v/>
      </c>
      <c r="Z231" s="197" t="str">
        <f t="shared" si="85"/>
        <v/>
      </c>
      <c r="AA231" s="197" t="str">
        <f t="shared" si="86"/>
        <v/>
      </c>
      <c r="AB231" s="213"/>
      <c r="AC231" s="204"/>
    </row>
    <row r="232" spans="1:29" ht="11.4">
      <c r="A232" s="211" t="str">
        <f t="shared" si="98"/>
        <v/>
      </c>
      <c r="B232" s="211"/>
      <c r="C232" s="185"/>
      <c r="D232" s="186" t="str">
        <f t="shared" si="87"/>
        <v/>
      </c>
      <c r="E232" s="186" t="str">
        <f>IF(OR(C232="",C232=Data!$B$3),"",IF(C232=Data!$B$4,"L","S"))</f>
        <v/>
      </c>
      <c r="F232" s="186" t="str">
        <f t="shared" si="88"/>
        <v/>
      </c>
      <c r="G232" s="187" t="str">
        <f t="shared" si="79"/>
        <v/>
      </c>
      <c r="H232" s="188"/>
      <c r="I232" s="189" t="str">
        <f t="shared" si="89"/>
        <v/>
      </c>
      <c r="J232" s="189" t="str">
        <f t="shared" si="90"/>
        <v/>
      </c>
      <c r="K232" s="190" t="str">
        <f t="shared" si="91"/>
        <v/>
      </c>
      <c r="L232" s="190" t="str">
        <f t="shared" si="92"/>
        <v/>
      </c>
      <c r="M232" s="214"/>
      <c r="N232" s="214"/>
      <c r="O232" s="189" t="str">
        <f t="shared" si="93"/>
        <v/>
      </c>
      <c r="P232" s="191" t="str">
        <f t="shared" si="80"/>
        <v/>
      </c>
      <c r="Q232" s="192" t="str">
        <f t="shared" si="94"/>
        <v/>
      </c>
      <c r="R232" s="191" t="str">
        <f t="shared" si="81"/>
        <v/>
      </c>
      <c r="S232" s="193" t="str">
        <f t="shared" si="95"/>
        <v/>
      </c>
      <c r="T232" s="194" t="str">
        <f t="shared" si="82"/>
        <v/>
      </c>
      <c r="U232" s="192" t="str">
        <f t="shared" si="96"/>
        <v/>
      </c>
      <c r="V232" s="195" t="str">
        <f t="shared" si="83"/>
        <v/>
      </c>
      <c r="W232" s="195" t="str">
        <f t="shared" si="84"/>
        <v/>
      </c>
      <c r="X232" s="196" t="str">
        <f t="shared" si="97"/>
        <v/>
      </c>
      <c r="Y232" s="191" t="str">
        <f t="shared" si="99"/>
        <v/>
      </c>
      <c r="Z232" s="197" t="str">
        <f t="shared" si="85"/>
        <v/>
      </c>
      <c r="AA232" s="197" t="str">
        <f t="shared" si="86"/>
        <v/>
      </c>
      <c r="AB232" s="213"/>
      <c r="AC232" s="204"/>
    </row>
    <row r="233" spans="1:29" ht="11.4">
      <c r="A233" s="211" t="str">
        <f t="shared" si="98"/>
        <v/>
      </c>
      <c r="B233" s="211"/>
      <c r="C233" s="185"/>
      <c r="D233" s="186" t="str">
        <f t="shared" si="87"/>
        <v/>
      </c>
      <c r="E233" s="186" t="str">
        <f>IF(OR(C233="",C233=Data!$B$3),"",IF(C233=Data!$B$4,"L","S"))</f>
        <v/>
      </c>
      <c r="F233" s="186" t="str">
        <f t="shared" si="88"/>
        <v/>
      </c>
      <c r="G233" s="187" t="str">
        <f t="shared" si="79"/>
        <v/>
      </c>
      <c r="H233" s="188"/>
      <c r="I233" s="189" t="str">
        <f t="shared" si="89"/>
        <v/>
      </c>
      <c r="J233" s="189" t="str">
        <f t="shared" si="90"/>
        <v/>
      </c>
      <c r="K233" s="190" t="str">
        <f t="shared" si="91"/>
        <v/>
      </c>
      <c r="L233" s="190" t="str">
        <f t="shared" si="92"/>
        <v/>
      </c>
      <c r="M233" s="214"/>
      <c r="N233" s="214"/>
      <c r="O233" s="189" t="str">
        <f t="shared" si="93"/>
        <v/>
      </c>
      <c r="P233" s="191" t="str">
        <f t="shared" si="80"/>
        <v/>
      </c>
      <c r="Q233" s="192" t="str">
        <f t="shared" si="94"/>
        <v/>
      </c>
      <c r="R233" s="191" t="str">
        <f t="shared" si="81"/>
        <v/>
      </c>
      <c r="S233" s="193" t="str">
        <f t="shared" si="95"/>
        <v/>
      </c>
      <c r="T233" s="194" t="str">
        <f t="shared" si="82"/>
        <v/>
      </c>
      <c r="U233" s="192" t="str">
        <f t="shared" si="96"/>
        <v/>
      </c>
      <c r="V233" s="195" t="str">
        <f t="shared" si="83"/>
        <v/>
      </c>
      <c r="W233" s="195" t="str">
        <f t="shared" si="84"/>
        <v/>
      </c>
      <c r="X233" s="196" t="str">
        <f t="shared" si="97"/>
        <v/>
      </c>
      <c r="Y233" s="191" t="str">
        <f t="shared" si="99"/>
        <v/>
      </c>
      <c r="Z233" s="197" t="str">
        <f t="shared" si="85"/>
        <v/>
      </c>
      <c r="AA233" s="197" t="str">
        <f t="shared" si="86"/>
        <v/>
      </c>
      <c r="AB233" s="213"/>
      <c r="AC233" s="204"/>
    </row>
    <row r="234" spans="1:29" ht="11.4">
      <c r="A234" s="211" t="str">
        <f t="shared" si="98"/>
        <v/>
      </c>
      <c r="B234" s="211"/>
      <c r="C234" s="185"/>
      <c r="D234" s="186" t="str">
        <f t="shared" si="87"/>
        <v/>
      </c>
      <c r="E234" s="186" t="str">
        <f>IF(OR(C234="",C234=Data!$B$3),"",IF(C234=Data!$B$4,"L","S"))</f>
        <v/>
      </c>
      <c r="F234" s="186" t="str">
        <f t="shared" si="88"/>
        <v/>
      </c>
      <c r="G234" s="187" t="str">
        <f t="shared" si="79"/>
        <v/>
      </c>
      <c r="H234" s="188"/>
      <c r="I234" s="189" t="str">
        <f t="shared" si="89"/>
        <v/>
      </c>
      <c r="J234" s="189" t="str">
        <f t="shared" si="90"/>
        <v/>
      </c>
      <c r="K234" s="190" t="str">
        <f t="shared" si="91"/>
        <v/>
      </c>
      <c r="L234" s="190" t="str">
        <f t="shared" si="92"/>
        <v/>
      </c>
      <c r="M234" s="214"/>
      <c r="N234" s="214"/>
      <c r="O234" s="189" t="str">
        <f t="shared" si="93"/>
        <v/>
      </c>
      <c r="P234" s="191" t="str">
        <f t="shared" si="80"/>
        <v/>
      </c>
      <c r="Q234" s="192" t="str">
        <f t="shared" si="94"/>
        <v/>
      </c>
      <c r="R234" s="191" t="str">
        <f t="shared" si="81"/>
        <v/>
      </c>
      <c r="S234" s="193" t="str">
        <f t="shared" si="95"/>
        <v/>
      </c>
      <c r="T234" s="194" t="str">
        <f t="shared" si="82"/>
        <v/>
      </c>
      <c r="U234" s="192" t="str">
        <f t="shared" si="96"/>
        <v/>
      </c>
      <c r="V234" s="195" t="str">
        <f t="shared" si="83"/>
        <v/>
      </c>
      <c r="W234" s="195" t="str">
        <f t="shared" si="84"/>
        <v/>
      </c>
      <c r="X234" s="196" t="str">
        <f t="shared" si="97"/>
        <v/>
      </c>
      <c r="Y234" s="191" t="str">
        <f t="shared" si="99"/>
        <v/>
      </c>
      <c r="Z234" s="197" t="str">
        <f t="shared" si="85"/>
        <v/>
      </c>
      <c r="AA234" s="197" t="str">
        <f t="shared" si="86"/>
        <v/>
      </c>
      <c r="AB234" s="213"/>
      <c r="AC234" s="204"/>
    </row>
    <row r="235" spans="1:29" ht="11.4">
      <c r="A235" s="211" t="str">
        <f t="shared" si="98"/>
        <v/>
      </c>
      <c r="B235" s="211"/>
      <c r="C235" s="185"/>
      <c r="D235" s="186" t="str">
        <f t="shared" si="87"/>
        <v/>
      </c>
      <c r="E235" s="186" t="str">
        <f>IF(OR(C235="",C235=Data!$B$3),"",IF(C235=Data!$B$4,"L","S"))</f>
        <v/>
      </c>
      <c r="F235" s="186" t="str">
        <f t="shared" si="88"/>
        <v/>
      </c>
      <c r="G235" s="187" t="str">
        <f t="shared" si="79"/>
        <v/>
      </c>
      <c r="H235" s="188"/>
      <c r="I235" s="189" t="str">
        <f t="shared" si="89"/>
        <v/>
      </c>
      <c r="J235" s="189" t="str">
        <f t="shared" si="90"/>
        <v/>
      </c>
      <c r="K235" s="190" t="str">
        <f t="shared" si="91"/>
        <v/>
      </c>
      <c r="L235" s="190" t="str">
        <f t="shared" si="92"/>
        <v/>
      </c>
      <c r="M235" s="214"/>
      <c r="N235" s="214"/>
      <c r="O235" s="189" t="str">
        <f t="shared" si="93"/>
        <v/>
      </c>
      <c r="P235" s="191" t="str">
        <f t="shared" si="80"/>
        <v/>
      </c>
      <c r="Q235" s="192" t="str">
        <f t="shared" si="94"/>
        <v/>
      </c>
      <c r="R235" s="191" t="str">
        <f t="shared" si="81"/>
        <v/>
      </c>
      <c r="S235" s="193" t="str">
        <f t="shared" si="95"/>
        <v/>
      </c>
      <c r="T235" s="194" t="str">
        <f t="shared" si="82"/>
        <v/>
      </c>
      <c r="U235" s="192" t="str">
        <f t="shared" si="96"/>
        <v/>
      </c>
      <c r="V235" s="195" t="str">
        <f t="shared" si="83"/>
        <v/>
      </c>
      <c r="W235" s="195" t="str">
        <f t="shared" si="84"/>
        <v/>
      </c>
      <c r="X235" s="196" t="str">
        <f t="shared" si="97"/>
        <v/>
      </c>
      <c r="Y235" s="191" t="str">
        <f t="shared" si="99"/>
        <v/>
      </c>
      <c r="Z235" s="197" t="str">
        <f t="shared" si="85"/>
        <v/>
      </c>
      <c r="AA235" s="197" t="str">
        <f t="shared" si="86"/>
        <v/>
      </c>
      <c r="AB235" s="213"/>
      <c r="AC235" s="204"/>
    </row>
    <row r="236" spans="1:29" ht="11.4">
      <c r="A236" s="211" t="str">
        <f t="shared" si="98"/>
        <v/>
      </c>
      <c r="B236" s="211"/>
      <c r="C236" s="185"/>
      <c r="D236" s="186" t="str">
        <f t="shared" si="87"/>
        <v/>
      </c>
      <c r="E236" s="186" t="str">
        <f>IF(OR(C236="",C236=Data!$B$3),"",IF(C236=Data!$B$4,"L","S"))</f>
        <v/>
      </c>
      <c r="F236" s="186" t="str">
        <f t="shared" si="88"/>
        <v/>
      </c>
      <c r="G236" s="187" t="str">
        <f t="shared" si="79"/>
        <v/>
      </c>
      <c r="H236" s="188"/>
      <c r="I236" s="189" t="str">
        <f t="shared" si="89"/>
        <v/>
      </c>
      <c r="J236" s="189" t="str">
        <f t="shared" si="90"/>
        <v/>
      </c>
      <c r="K236" s="190" t="str">
        <f t="shared" si="91"/>
        <v/>
      </c>
      <c r="L236" s="190" t="str">
        <f t="shared" si="92"/>
        <v/>
      </c>
      <c r="M236" s="214"/>
      <c r="N236" s="214"/>
      <c r="O236" s="189" t="str">
        <f t="shared" si="93"/>
        <v/>
      </c>
      <c r="P236" s="191" t="str">
        <f t="shared" si="80"/>
        <v/>
      </c>
      <c r="Q236" s="192" t="str">
        <f t="shared" si="94"/>
        <v/>
      </c>
      <c r="R236" s="191" t="str">
        <f t="shared" si="81"/>
        <v/>
      </c>
      <c r="S236" s="193" t="str">
        <f t="shared" si="95"/>
        <v/>
      </c>
      <c r="T236" s="194" t="str">
        <f t="shared" si="82"/>
        <v/>
      </c>
      <c r="U236" s="192" t="str">
        <f t="shared" si="96"/>
        <v/>
      </c>
      <c r="V236" s="195" t="str">
        <f t="shared" si="83"/>
        <v/>
      </c>
      <c r="W236" s="195" t="str">
        <f t="shared" si="84"/>
        <v/>
      </c>
      <c r="X236" s="196" t="str">
        <f t="shared" si="97"/>
        <v/>
      </c>
      <c r="Y236" s="191" t="str">
        <f t="shared" si="99"/>
        <v/>
      </c>
      <c r="Z236" s="197" t="str">
        <f t="shared" si="85"/>
        <v/>
      </c>
      <c r="AA236" s="197" t="str">
        <f t="shared" si="86"/>
        <v/>
      </c>
      <c r="AB236" s="213"/>
      <c r="AC236" s="204"/>
    </row>
    <row r="237" spans="1:29" ht="11.4">
      <c r="A237" s="211" t="str">
        <f t="shared" si="98"/>
        <v/>
      </c>
      <c r="B237" s="211"/>
      <c r="C237" s="185"/>
      <c r="D237" s="186" t="str">
        <f t="shared" si="87"/>
        <v/>
      </c>
      <c r="E237" s="186" t="str">
        <f>IF(OR(C237="",C237=Data!$B$3),"",IF(C237=Data!$B$4,"L","S"))</f>
        <v/>
      </c>
      <c r="F237" s="186" t="str">
        <f t="shared" si="88"/>
        <v/>
      </c>
      <c r="G237" s="187" t="str">
        <f t="shared" si="79"/>
        <v/>
      </c>
      <c r="H237" s="188"/>
      <c r="I237" s="189" t="str">
        <f t="shared" si="89"/>
        <v/>
      </c>
      <c r="J237" s="189" t="str">
        <f t="shared" si="90"/>
        <v/>
      </c>
      <c r="K237" s="190" t="str">
        <f t="shared" si="91"/>
        <v/>
      </c>
      <c r="L237" s="190" t="str">
        <f t="shared" si="92"/>
        <v/>
      </c>
      <c r="M237" s="214"/>
      <c r="N237" s="214"/>
      <c r="O237" s="189" t="str">
        <f t="shared" si="93"/>
        <v/>
      </c>
      <c r="P237" s="191" t="str">
        <f t="shared" si="80"/>
        <v/>
      </c>
      <c r="Q237" s="192" t="str">
        <f t="shared" si="94"/>
        <v/>
      </c>
      <c r="R237" s="191" t="str">
        <f t="shared" si="81"/>
        <v/>
      </c>
      <c r="S237" s="193" t="str">
        <f t="shared" si="95"/>
        <v/>
      </c>
      <c r="T237" s="194" t="str">
        <f t="shared" si="82"/>
        <v/>
      </c>
      <c r="U237" s="192" t="str">
        <f t="shared" si="96"/>
        <v/>
      </c>
      <c r="V237" s="195" t="str">
        <f t="shared" si="83"/>
        <v/>
      </c>
      <c r="W237" s="195" t="str">
        <f t="shared" si="84"/>
        <v/>
      </c>
      <c r="X237" s="196" t="str">
        <f t="shared" si="97"/>
        <v/>
      </c>
      <c r="Y237" s="191" t="str">
        <f t="shared" si="99"/>
        <v/>
      </c>
      <c r="Z237" s="197" t="str">
        <f t="shared" si="85"/>
        <v/>
      </c>
      <c r="AA237" s="197" t="str">
        <f t="shared" si="86"/>
        <v/>
      </c>
      <c r="AB237" s="213"/>
      <c r="AC237" s="204"/>
    </row>
    <row r="238" spans="1:29" ht="11.4">
      <c r="A238" s="211" t="str">
        <f t="shared" si="98"/>
        <v/>
      </c>
      <c r="B238" s="211"/>
      <c r="C238" s="185"/>
      <c r="D238" s="186" t="str">
        <f t="shared" si="87"/>
        <v/>
      </c>
      <c r="E238" s="186" t="str">
        <f>IF(OR(C238="",C238=Data!$B$3),"",IF(C238=Data!$B$4,"L","S"))</f>
        <v/>
      </c>
      <c r="F238" s="186" t="str">
        <f t="shared" si="88"/>
        <v/>
      </c>
      <c r="G238" s="187" t="str">
        <f t="shared" si="79"/>
        <v/>
      </c>
      <c r="H238" s="188"/>
      <c r="I238" s="189" t="str">
        <f t="shared" si="89"/>
        <v/>
      </c>
      <c r="J238" s="189" t="str">
        <f t="shared" si="90"/>
        <v/>
      </c>
      <c r="K238" s="190" t="str">
        <f t="shared" si="91"/>
        <v/>
      </c>
      <c r="L238" s="190" t="str">
        <f t="shared" si="92"/>
        <v/>
      </c>
      <c r="M238" s="214"/>
      <c r="N238" s="214"/>
      <c r="O238" s="189" t="str">
        <f t="shared" si="93"/>
        <v/>
      </c>
      <c r="P238" s="191" t="str">
        <f t="shared" si="80"/>
        <v/>
      </c>
      <c r="Q238" s="192" t="str">
        <f t="shared" si="94"/>
        <v/>
      </c>
      <c r="R238" s="191" t="str">
        <f t="shared" si="81"/>
        <v/>
      </c>
      <c r="S238" s="193" t="str">
        <f t="shared" si="95"/>
        <v/>
      </c>
      <c r="T238" s="194" t="str">
        <f t="shared" si="82"/>
        <v/>
      </c>
      <c r="U238" s="192" t="str">
        <f t="shared" si="96"/>
        <v/>
      </c>
      <c r="V238" s="195" t="str">
        <f t="shared" si="83"/>
        <v/>
      </c>
      <c r="W238" s="195" t="str">
        <f t="shared" si="84"/>
        <v/>
      </c>
      <c r="X238" s="196" t="str">
        <f t="shared" si="97"/>
        <v/>
      </c>
      <c r="Y238" s="191" t="str">
        <f t="shared" si="99"/>
        <v/>
      </c>
      <c r="Z238" s="197" t="str">
        <f t="shared" si="85"/>
        <v/>
      </c>
      <c r="AA238" s="197" t="str">
        <f t="shared" si="86"/>
        <v/>
      </c>
      <c r="AB238" s="213"/>
      <c r="AC238" s="204"/>
    </row>
    <row r="239" spans="1:29" ht="11.4">
      <c r="A239" s="211" t="str">
        <f t="shared" si="98"/>
        <v/>
      </c>
      <c r="B239" s="211"/>
      <c r="C239" s="185"/>
      <c r="D239" s="186" t="str">
        <f t="shared" si="87"/>
        <v/>
      </c>
      <c r="E239" s="186" t="str">
        <f>IF(OR(C239="",C239=Data!$B$3),"",IF(C239=Data!$B$4,"L","S"))</f>
        <v/>
      </c>
      <c r="F239" s="186" t="str">
        <f t="shared" si="88"/>
        <v/>
      </c>
      <c r="G239" s="187" t="str">
        <f t="shared" si="79"/>
        <v/>
      </c>
      <c r="H239" s="188"/>
      <c r="I239" s="189" t="str">
        <f t="shared" si="89"/>
        <v/>
      </c>
      <c r="J239" s="189" t="str">
        <f t="shared" si="90"/>
        <v/>
      </c>
      <c r="K239" s="190" t="str">
        <f t="shared" si="91"/>
        <v/>
      </c>
      <c r="L239" s="190" t="str">
        <f t="shared" si="92"/>
        <v/>
      </c>
      <c r="M239" s="214"/>
      <c r="N239" s="214"/>
      <c r="O239" s="189" t="str">
        <f t="shared" si="93"/>
        <v/>
      </c>
      <c r="P239" s="191" t="str">
        <f t="shared" si="80"/>
        <v/>
      </c>
      <c r="Q239" s="192" t="str">
        <f t="shared" si="94"/>
        <v/>
      </c>
      <c r="R239" s="191" t="str">
        <f t="shared" si="81"/>
        <v/>
      </c>
      <c r="S239" s="193" t="str">
        <f t="shared" si="95"/>
        <v/>
      </c>
      <c r="T239" s="194" t="str">
        <f t="shared" si="82"/>
        <v/>
      </c>
      <c r="U239" s="192" t="str">
        <f t="shared" si="96"/>
        <v/>
      </c>
      <c r="V239" s="195" t="str">
        <f t="shared" si="83"/>
        <v/>
      </c>
      <c r="W239" s="195" t="str">
        <f t="shared" si="84"/>
        <v/>
      </c>
      <c r="X239" s="196" t="str">
        <f t="shared" si="97"/>
        <v/>
      </c>
      <c r="Y239" s="191" t="str">
        <f t="shared" si="99"/>
        <v/>
      </c>
      <c r="Z239" s="197" t="str">
        <f t="shared" si="85"/>
        <v/>
      </c>
      <c r="AA239" s="197" t="str">
        <f t="shared" si="86"/>
        <v/>
      </c>
      <c r="AB239" s="213"/>
      <c r="AC239" s="204"/>
    </row>
    <row r="240" spans="1:29" ht="11.4">
      <c r="A240" s="211" t="str">
        <f t="shared" si="98"/>
        <v/>
      </c>
      <c r="B240" s="211"/>
      <c r="C240" s="185"/>
      <c r="D240" s="186" t="str">
        <f t="shared" si="87"/>
        <v/>
      </c>
      <c r="E240" s="186" t="str">
        <f>IF(OR(C240="",C240=Data!$B$3),"",IF(C240=Data!$B$4,"L","S"))</f>
        <v/>
      </c>
      <c r="F240" s="186" t="str">
        <f t="shared" si="88"/>
        <v/>
      </c>
      <c r="G240" s="187" t="str">
        <f t="shared" si="79"/>
        <v/>
      </c>
      <c r="H240" s="188"/>
      <c r="I240" s="189" t="str">
        <f t="shared" si="89"/>
        <v/>
      </c>
      <c r="J240" s="189" t="str">
        <f t="shared" si="90"/>
        <v/>
      </c>
      <c r="K240" s="190" t="str">
        <f t="shared" si="91"/>
        <v/>
      </c>
      <c r="L240" s="190" t="str">
        <f t="shared" si="92"/>
        <v/>
      </c>
      <c r="M240" s="214"/>
      <c r="N240" s="214"/>
      <c r="O240" s="189" t="str">
        <f t="shared" si="93"/>
        <v/>
      </c>
      <c r="P240" s="191" t="str">
        <f t="shared" si="80"/>
        <v/>
      </c>
      <c r="Q240" s="192" t="str">
        <f t="shared" si="94"/>
        <v/>
      </c>
      <c r="R240" s="191" t="str">
        <f t="shared" si="81"/>
        <v/>
      </c>
      <c r="S240" s="193" t="str">
        <f t="shared" si="95"/>
        <v/>
      </c>
      <c r="T240" s="194" t="str">
        <f t="shared" si="82"/>
        <v/>
      </c>
      <c r="U240" s="192" t="str">
        <f t="shared" si="96"/>
        <v/>
      </c>
      <c r="V240" s="195" t="str">
        <f t="shared" si="83"/>
        <v/>
      </c>
      <c r="W240" s="195" t="str">
        <f t="shared" si="84"/>
        <v/>
      </c>
      <c r="X240" s="196" t="str">
        <f t="shared" si="97"/>
        <v/>
      </c>
      <c r="Y240" s="191" t="str">
        <f t="shared" si="99"/>
        <v/>
      </c>
      <c r="Z240" s="197" t="str">
        <f t="shared" si="85"/>
        <v/>
      </c>
      <c r="AA240" s="197" t="str">
        <f t="shared" si="86"/>
        <v/>
      </c>
      <c r="AB240" s="213"/>
      <c r="AC240" s="204"/>
    </row>
    <row r="241" spans="1:29" ht="11.4">
      <c r="A241" s="211" t="str">
        <f t="shared" si="98"/>
        <v/>
      </c>
      <c r="B241" s="211"/>
      <c r="C241" s="185"/>
      <c r="D241" s="186" t="str">
        <f t="shared" si="87"/>
        <v/>
      </c>
      <c r="E241" s="186" t="str">
        <f>IF(OR(C241="",C241=Data!$B$3),"",IF(C241=Data!$B$4,"L","S"))</f>
        <v/>
      </c>
      <c r="F241" s="186" t="str">
        <f t="shared" si="88"/>
        <v/>
      </c>
      <c r="G241" s="187" t="str">
        <f t="shared" si="79"/>
        <v/>
      </c>
      <c r="H241" s="188"/>
      <c r="I241" s="189" t="str">
        <f t="shared" si="89"/>
        <v/>
      </c>
      <c r="J241" s="189" t="str">
        <f t="shared" si="90"/>
        <v/>
      </c>
      <c r="K241" s="190" t="str">
        <f t="shared" si="91"/>
        <v/>
      </c>
      <c r="L241" s="190" t="str">
        <f t="shared" si="92"/>
        <v/>
      </c>
      <c r="M241" s="214"/>
      <c r="N241" s="214"/>
      <c r="O241" s="189" t="str">
        <f t="shared" si="93"/>
        <v/>
      </c>
      <c r="P241" s="191" t="str">
        <f t="shared" si="80"/>
        <v/>
      </c>
      <c r="Q241" s="192" t="str">
        <f t="shared" si="94"/>
        <v/>
      </c>
      <c r="R241" s="191" t="str">
        <f t="shared" si="81"/>
        <v/>
      </c>
      <c r="S241" s="193" t="str">
        <f t="shared" si="95"/>
        <v/>
      </c>
      <c r="T241" s="194" t="str">
        <f t="shared" si="82"/>
        <v/>
      </c>
      <c r="U241" s="192" t="str">
        <f t="shared" si="96"/>
        <v/>
      </c>
      <c r="V241" s="195" t="str">
        <f t="shared" si="83"/>
        <v/>
      </c>
      <c r="W241" s="195" t="str">
        <f t="shared" si="84"/>
        <v/>
      </c>
      <c r="X241" s="196" t="str">
        <f t="shared" si="97"/>
        <v/>
      </c>
      <c r="Y241" s="191" t="str">
        <f t="shared" si="99"/>
        <v/>
      </c>
      <c r="Z241" s="197" t="str">
        <f t="shared" si="85"/>
        <v/>
      </c>
      <c r="AA241" s="197" t="str">
        <f t="shared" si="86"/>
        <v/>
      </c>
      <c r="AB241" s="213"/>
      <c r="AC241" s="204"/>
    </row>
    <row r="242" spans="1:29" ht="11.4">
      <c r="A242" s="211" t="str">
        <f t="shared" si="98"/>
        <v/>
      </c>
      <c r="B242" s="211"/>
      <c r="C242" s="185"/>
      <c r="D242" s="186" t="str">
        <f t="shared" si="87"/>
        <v/>
      </c>
      <c r="E242" s="186" t="str">
        <f>IF(OR(C242="",C242=Data!$B$3),"",IF(C242=Data!$B$4,"L","S"))</f>
        <v/>
      </c>
      <c r="F242" s="186" t="str">
        <f t="shared" si="88"/>
        <v/>
      </c>
      <c r="G242" s="187" t="str">
        <f t="shared" si="79"/>
        <v/>
      </c>
      <c r="H242" s="188"/>
      <c r="I242" s="189" t="str">
        <f t="shared" si="89"/>
        <v/>
      </c>
      <c r="J242" s="189" t="str">
        <f t="shared" si="90"/>
        <v/>
      </c>
      <c r="K242" s="190" t="str">
        <f t="shared" si="91"/>
        <v/>
      </c>
      <c r="L242" s="190" t="str">
        <f t="shared" si="92"/>
        <v/>
      </c>
      <c r="M242" s="214"/>
      <c r="N242" s="214"/>
      <c r="O242" s="189" t="str">
        <f t="shared" si="93"/>
        <v/>
      </c>
      <c r="P242" s="191" t="str">
        <f t="shared" si="80"/>
        <v/>
      </c>
      <c r="Q242" s="192" t="str">
        <f t="shared" si="94"/>
        <v/>
      </c>
      <c r="R242" s="191" t="str">
        <f t="shared" si="81"/>
        <v/>
      </c>
      <c r="S242" s="193" t="str">
        <f t="shared" si="95"/>
        <v/>
      </c>
      <c r="T242" s="194" t="str">
        <f t="shared" si="82"/>
        <v/>
      </c>
      <c r="U242" s="192" t="str">
        <f t="shared" si="96"/>
        <v/>
      </c>
      <c r="V242" s="195" t="str">
        <f t="shared" si="83"/>
        <v/>
      </c>
      <c r="W242" s="195" t="str">
        <f t="shared" si="84"/>
        <v/>
      </c>
      <c r="X242" s="196" t="str">
        <f t="shared" si="97"/>
        <v/>
      </c>
      <c r="Y242" s="191" t="str">
        <f t="shared" si="99"/>
        <v/>
      </c>
      <c r="Z242" s="197" t="str">
        <f t="shared" si="85"/>
        <v/>
      </c>
      <c r="AA242" s="197" t="str">
        <f t="shared" si="86"/>
        <v/>
      </c>
      <c r="AB242" s="213"/>
      <c r="AC242" s="204"/>
    </row>
    <row r="243" spans="1:29" ht="11.4">
      <c r="A243" s="211" t="str">
        <f t="shared" si="98"/>
        <v/>
      </c>
      <c r="B243" s="211"/>
      <c r="C243" s="185"/>
      <c r="D243" s="186" t="str">
        <f t="shared" si="87"/>
        <v/>
      </c>
      <c r="E243" s="186" t="str">
        <f>IF(OR(C243="",C243=Data!$B$3),"",IF(C243=Data!$B$4,"L","S"))</f>
        <v/>
      </c>
      <c r="F243" s="186" t="str">
        <f t="shared" si="88"/>
        <v/>
      </c>
      <c r="G243" s="187" t="str">
        <f t="shared" si="79"/>
        <v/>
      </c>
      <c r="H243" s="188"/>
      <c r="I243" s="189" t="str">
        <f t="shared" si="89"/>
        <v/>
      </c>
      <c r="J243" s="189" t="str">
        <f t="shared" si="90"/>
        <v/>
      </c>
      <c r="K243" s="190" t="str">
        <f t="shared" si="91"/>
        <v/>
      </c>
      <c r="L243" s="190" t="str">
        <f t="shared" si="92"/>
        <v/>
      </c>
      <c r="M243" s="214"/>
      <c r="N243" s="214"/>
      <c r="O243" s="189" t="str">
        <f t="shared" si="93"/>
        <v/>
      </c>
      <c r="P243" s="191" t="str">
        <f t="shared" si="80"/>
        <v/>
      </c>
      <c r="Q243" s="192" t="str">
        <f t="shared" si="94"/>
        <v/>
      </c>
      <c r="R243" s="191" t="str">
        <f t="shared" si="81"/>
        <v/>
      </c>
      <c r="S243" s="193" t="str">
        <f t="shared" si="95"/>
        <v/>
      </c>
      <c r="T243" s="194" t="str">
        <f t="shared" si="82"/>
        <v/>
      </c>
      <c r="U243" s="192" t="str">
        <f t="shared" si="96"/>
        <v/>
      </c>
      <c r="V243" s="195" t="str">
        <f t="shared" si="83"/>
        <v/>
      </c>
      <c r="W243" s="195" t="str">
        <f t="shared" si="84"/>
        <v/>
      </c>
      <c r="X243" s="196" t="str">
        <f t="shared" si="97"/>
        <v/>
      </c>
      <c r="Y243" s="191" t="str">
        <f t="shared" si="99"/>
        <v/>
      </c>
      <c r="Z243" s="197" t="str">
        <f t="shared" si="85"/>
        <v/>
      </c>
      <c r="AA243" s="197" t="str">
        <f t="shared" si="86"/>
        <v/>
      </c>
      <c r="AB243" s="213"/>
      <c r="AC243" s="204"/>
    </row>
    <row r="244" spans="1:29" ht="11.4">
      <c r="A244" s="211" t="str">
        <f t="shared" si="98"/>
        <v/>
      </c>
      <c r="B244" s="211"/>
      <c r="C244" s="185"/>
      <c r="D244" s="186" t="str">
        <f t="shared" si="87"/>
        <v/>
      </c>
      <c r="E244" s="186" t="str">
        <f>IF(OR(C244="",C244=Data!$B$3),"",IF(C244=Data!$B$4,"L","S"))</f>
        <v/>
      </c>
      <c r="F244" s="186" t="str">
        <f t="shared" si="88"/>
        <v/>
      </c>
      <c r="G244" s="187" t="str">
        <f t="shared" si="79"/>
        <v/>
      </c>
      <c r="H244" s="188"/>
      <c r="I244" s="189" t="str">
        <f t="shared" si="89"/>
        <v/>
      </c>
      <c r="J244" s="189" t="str">
        <f t="shared" si="90"/>
        <v/>
      </c>
      <c r="K244" s="190" t="str">
        <f t="shared" si="91"/>
        <v/>
      </c>
      <c r="L244" s="190" t="str">
        <f t="shared" si="92"/>
        <v/>
      </c>
      <c r="M244" s="214"/>
      <c r="N244" s="214"/>
      <c r="O244" s="189" t="str">
        <f t="shared" si="93"/>
        <v/>
      </c>
      <c r="P244" s="191" t="str">
        <f t="shared" si="80"/>
        <v/>
      </c>
      <c r="Q244" s="192" t="str">
        <f t="shared" si="94"/>
        <v/>
      </c>
      <c r="R244" s="191" t="str">
        <f t="shared" si="81"/>
        <v/>
      </c>
      <c r="S244" s="193" t="str">
        <f t="shared" si="95"/>
        <v/>
      </c>
      <c r="T244" s="194" t="str">
        <f t="shared" si="82"/>
        <v/>
      </c>
      <c r="U244" s="192" t="str">
        <f t="shared" si="96"/>
        <v/>
      </c>
      <c r="V244" s="195" t="str">
        <f t="shared" si="83"/>
        <v/>
      </c>
      <c r="W244" s="195" t="str">
        <f t="shared" si="84"/>
        <v/>
      </c>
      <c r="X244" s="196" t="str">
        <f t="shared" si="97"/>
        <v/>
      </c>
      <c r="Y244" s="191" t="str">
        <f t="shared" si="99"/>
        <v/>
      </c>
      <c r="Z244" s="197" t="str">
        <f t="shared" si="85"/>
        <v/>
      </c>
      <c r="AA244" s="197" t="str">
        <f t="shared" si="86"/>
        <v/>
      </c>
      <c r="AB244" s="213"/>
      <c r="AC244" s="204"/>
    </row>
    <row r="245" spans="1:29" ht="11.4">
      <c r="A245" s="211" t="str">
        <f t="shared" si="98"/>
        <v/>
      </c>
      <c r="B245" s="211"/>
      <c r="C245" s="185"/>
      <c r="D245" s="186" t="str">
        <f t="shared" si="87"/>
        <v/>
      </c>
      <c r="E245" s="186" t="str">
        <f>IF(OR(C245="",C245=Data!$B$3),"",IF(C245=Data!$B$4,"L","S"))</f>
        <v/>
      </c>
      <c r="F245" s="186" t="str">
        <f t="shared" si="88"/>
        <v/>
      </c>
      <c r="G245" s="187" t="str">
        <f t="shared" si="79"/>
        <v/>
      </c>
      <c r="H245" s="188"/>
      <c r="I245" s="189" t="str">
        <f t="shared" si="89"/>
        <v/>
      </c>
      <c r="J245" s="189" t="str">
        <f t="shared" si="90"/>
        <v/>
      </c>
      <c r="K245" s="190" t="str">
        <f t="shared" si="91"/>
        <v/>
      </c>
      <c r="L245" s="190" t="str">
        <f t="shared" si="92"/>
        <v/>
      </c>
      <c r="M245" s="214"/>
      <c r="N245" s="214"/>
      <c r="O245" s="189" t="str">
        <f t="shared" si="93"/>
        <v/>
      </c>
      <c r="P245" s="191" t="str">
        <f t="shared" si="80"/>
        <v/>
      </c>
      <c r="Q245" s="192" t="str">
        <f t="shared" si="94"/>
        <v/>
      </c>
      <c r="R245" s="191" t="str">
        <f t="shared" si="81"/>
        <v/>
      </c>
      <c r="S245" s="193" t="str">
        <f t="shared" si="95"/>
        <v/>
      </c>
      <c r="T245" s="194" t="str">
        <f t="shared" si="82"/>
        <v/>
      </c>
      <c r="U245" s="192" t="str">
        <f t="shared" si="96"/>
        <v/>
      </c>
      <c r="V245" s="195" t="str">
        <f t="shared" si="83"/>
        <v/>
      </c>
      <c r="W245" s="195" t="str">
        <f t="shared" si="84"/>
        <v/>
      </c>
      <c r="X245" s="196" t="str">
        <f t="shared" si="97"/>
        <v/>
      </c>
      <c r="Y245" s="191" t="str">
        <f t="shared" si="99"/>
        <v/>
      </c>
      <c r="Z245" s="197" t="str">
        <f t="shared" si="85"/>
        <v/>
      </c>
      <c r="AA245" s="197" t="str">
        <f t="shared" si="86"/>
        <v/>
      </c>
      <c r="AB245" s="213"/>
      <c r="AC245" s="204"/>
    </row>
    <row r="246" spans="1:29" ht="11.4">
      <c r="A246" s="211" t="str">
        <f t="shared" si="98"/>
        <v/>
      </c>
      <c r="B246" s="211"/>
      <c r="C246" s="185"/>
      <c r="D246" s="186" t="str">
        <f t="shared" si="87"/>
        <v/>
      </c>
      <c r="E246" s="186" t="str">
        <f>IF(OR(C246="",C246=Data!$B$3),"",IF(C246=Data!$B$4,"L","S"))</f>
        <v/>
      </c>
      <c r="F246" s="186" t="str">
        <f t="shared" si="88"/>
        <v/>
      </c>
      <c r="G246" s="187" t="str">
        <f t="shared" si="79"/>
        <v/>
      </c>
      <c r="H246" s="188"/>
      <c r="I246" s="189" t="str">
        <f t="shared" si="89"/>
        <v/>
      </c>
      <c r="J246" s="189" t="str">
        <f t="shared" si="90"/>
        <v/>
      </c>
      <c r="K246" s="190" t="str">
        <f t="shared" si="91"/>
        <v/>
      </c>
      <c r="L246" s="190" t="str">
        <f t="shared" si="92"/>
        <v/>
      </c>
      <c r="M246" s="214"/>
      <c r="N246" s="214"/>
      <c r="O246" s="189" t="str">
        <f t="shared" si="93"/>
        <v/>
      </c>
      <c r="P246" s="191" t="str">
        <f t="shared" si="80"/>
        <v/>
      </c>
      <c r="Q246" s="192" t="str">
        <f t="shared" si="94"/>
        <v/>
      </c>
      <c r="R246" s="191" t="str">
        <f t="shared" si="81"/>
        <v/>
      </c>
      <c r="S246" s="193" t="str">
        <f t="shared" si="95"/>
        <v/>
      </c>
      <c r="T246" s="194" t="str">
        <f t="shared" si="82"/>
        <v/>
      </c>
      <c r="U246" s="192" t="str">
        <f t="shared" si="96"/>
        <v/>
      </c>
      <c r="V246" s="195" t="str">
        <f t="shared" si="83"/>
        <v/>
      </c>
      <c r="W246" s="195" t="str">
        <f t="shared" si="84"/>
        <v/>
      </c>
      <c r="X246" s="196" t="str">
        <f t="shared" si="97"/>
        <v/>
      </c>
      <c r="Y246" s="191" t="str">
        <f t="shared" si="99"/>
        <v/>
      </c>
      <c r="Z246" s="197" t="str">
        <f t="shared" si="85"/>
        <v/>
      </c>
      <c r="AA246" s="197" t="str">
        <f t="shared" si="86"/>
        <v/>
      </c>
      <c r="AB246" s="213"/>
      <c r="AC246" s="204"/>
    </row>
    <row r="247" spans="1:29" ht="11.4">
      <c r="A247" s="211" t="str">
        <f t="shared" si="98"/>
        <v/>
      </c>
      <c r="B247" s="211"/>
      <c r="C247" s="185"/>
      <c r="D247" s="186" t="str">
        <f t="shared" si="87"/>
        <v/>
      </c>
      <c r="E247" s="186" t="str">
        <f>IF(OR(C247="",C247=Data!$B$3),"",IF(C247=Data!$B$4,"L","S"))</f>
        <v/>
      </c>
      <c r="F247" s="186" t="str">
        <f t="shared" si="88"/>
        <v/>
      </c>
      <c r="G247" s="187" t="str">
        <f t="shared" si="79"/>
        <v/>
      </c>
      <c r="H247" s="188"/>
      <c r="I247" s="189" t="str">
        <f t="shared" si="89"/>
        <v/>
      </c>
      <c r="J247" s="189" t="str">
        <f t="shared" si="90"/>
        <v/>
      </c>
      <c r="K247" s="190" t="str">
        <f t="shared" si="91"/>
        <v/>
      </c>
      <c r="L247" s="190" t="str">
        <f t="shared" si="92"/>
        <v/>
      </c>
      <c r="M247" s="214"/>
      <c r="N247" s="214"/>
      <c r="O247" s="189" t="str">
        <f t="shared" si="93"/>
        <v/>
      </c>
      <c r="P247" s="191" t="str">
        <f t="shared" si="80"/>
        <v/>
      </c>
      <c r="Q247" s="192" t="str">
        <f t="shared" si="94"/>
        <v/>
      </c>
      <c r="R247" s="191" t="str">
        <f t="shared" si="81"/>
        <v/>
      </c>
      <c r="S247" s="193" t="str">
        <f t="shared" si="95"/>
        <v/>
      </c>
      <c r="T247" s="194" t="str">
        <f t="shared" si="82"/>
        <v/>
      </c>
      <c r="U247" s="192" t="str">
        <f t="shared" si="96"/>
        <v/>
      </c>
      <c r="V247" s="195" t="str">
        <f t="shared" si="83"/>
        <v/>
      </c>
      <c r="W247" s="195" t="str">
        <f t="shared" si="84"/>
        <v/>
      </c>
      <c r="X247" s="196" t="str">
        <f t="shared" si="97"/>
        <v/>
      </c>
      <c r="Y247" s="191" t="str">
        <f t="shared" si="99"/>
        <v/>
      </c>
      <c r="Z247" s="197" t="str">
        <f t="shared" si="85"/>
        <v/>
      </c>
      <c r="AA247" s="197" t="str">
        <f t="shared" si="86"/>
        <v/>
      </c>
      <c r="AB247" s="213"/>
      <c r="AC247" s="204"/>
    </row>
    <row r="248" spans="1:29" ht="11.4">
      <c r="A248" s="211" t="str">
        <f t="shared" si="98"/>
        <v/>
      </c>
      <c r="B248" s="211"/>
      <c r="C248" s="185"/>
      <c r="D248" s="186" t="str">
        <f t="shared" si="87"/>
        <v/>
      </c>
      <c r="E248" s="186" t="str">
        <f>IF(OR(C248="",C248=Data!$B$3),"",IF(C248=Data!$B$4,"L","S"))</f>
        <v/>
      </c>
      <c r="F248" s="186" t="str">
        <f t="shared" si="88"/>
        <v/>
      </c>
      <c r="G248" s="187" t="str">
        <f t="shared" si="79"/>
        <v/>
      </c>
      <c r="H248" s="188"/>
      <c r="I248" s="189" t="str">
        <f t="shared" si="89"/>
        <v/>
      </c>
      <c r="J248" s="189" t="str">
        <f t="shared" si="90"/>
        <v/>
      </c>
      <c r="K248" s="190" t="str">
        <f t="shared" si="91"/>
        <v/>
      </c>
      <c r="L248" s="190" t="str">
        <f t="shared" si="92"/>
        <v/>
      </c>
      <c r="M248" s="214"/>
      <c r="N248" s="214"/>
      <c r="O248" s="189" t="str">
        <f t="shared" si="93"/>
        <v/>
      </c>
      <c r="P248" s="191" t="str">
        <f t="shared" si="80"/>
        <v/>
      </c>
      <c r="Q248" s="192" t="str">
        <f t="shared" si="94"/>
        <v/>
      </c>
      <c r="R248" s="191" t="str">
        <f t="shared" si="81"/>
        <v/>
      </c>
      <c r="S248" s="193" t="str">
        <f t="shared" si="95"/>
        <v/>
      </c>
      <c r="T248" s="194" t="str">
        <f t="shared" si="82"/>
        <v/>
      </c>
      <c r="U248" s="192" t="str">
        <f t="shared" si="96"/>
        <v/>
      </c>
      <c r="V248" s="195" t="str">
        <f t="shared" si="83"/>
        <v/>
      </c>
      <c r="W248" s="195" t="str">
        <f t="shared" si="84"/>
        <v/>
      </c>
      <c r="X248" s="196" t="str">
        <f t="shared" si="97"/>
        <v/>
      </c>
      <c r="Y248" s="191" t="str">
        <f t="shared" si="99"/>
        <v/>
      </c>
      <c r="Z248" s="197" t="str">
        <f t="shared" si="85"/>
        <v/>
      </c>
      <c r="AA248" s="197" t="str">
        <f t="shared" si="86"/>
        <v/>
      </c>
      <c r="AB248" s="213"/>
      <c r="AC248" s="204"/>
    </row>
    <row r="249" spans="1:29" ht="11.4">
      <c r="A249" s="211" t="str">
        <f t="shared" si="98"/>
        <v/>
      </c>
      <c r="B249" s="211"/>
      <c r="C249" s="185"/>
      <c r="D249" s="186" t="str">
        <f t="shared" si="87"/>
        <v/>
      </c>
      <c r="E249" s="186" t="str">
        <f>IF(OR(C249="",C249=Data!$B$3),"",IF(C249=Data!$B$4,"L","S"))</f>
        <v/>
      </c>
      <c r="F249" s="186" t="str">
        <f t="shared" si="88"/>
        <v/>
      </c>
      <c r="G249" s="187" t="str">
        <f t="shared" si="79"/>
        <v/>
      </c>
      <c r="H249" s="188"/>
      <c r="I249" s="189" t="str">
        <f t="shared" si="89"/>
        <v/>
      </c>
      <c r="J249" s="189" t="str">
        <f t="shared" si="90"/>
        <v/>
      </c>
      <c r="K249" s="190" t="str">
        <f t="shared" si="91"/>
        <v/>
      </c>
      <c r="L249" s="190" t="str">
        <f t="shared" si="92"/>
        <v/>
      </c>
      <c r="M249" s="214"/>
      <c r="N249" s="214"/>
      <c r="O249" s="189" t="str">
        <f t="shared" si="93"/>
        <v/>
      </c>
      <c r="P249" s="191" t="str">
        <f t="shared" si="80"/>
        <v/>
      </c>
      <c r="Q249" s="192" t="str">
        <f t="shared" si="94"/>
        <v/>
      </c>
      <c r="R249" s="191" t="str">
        <f t="shared" si="81"/>
        <v/>
      </c>
      <c r="S249" s="193" t="str">
        <f t="shared" si="95"/>
        <v/>
      </c>
      <c r="T249" s="194" t="str">
        <f t="shared" si="82"/>
        <v/>
      </c>
      <c r="U249" s="192" t="str">
        <f t="shared" si="96"/>
        <v/>
      </c>
      <c r="V249" s="195" t="str">
        <f t="shared" si="83"/>
        <v/>
      </c>
      <c r="W249" s="195" t="str">
        <f t="shared" si="84"/>
        <v/>
      </c>
      <c r="X249" s="196" t="str">
        <f t="shared" si="97"/>
        <v/>
      </c>
      <c r="Y249" s="191" t="str">
        <f t="shared" si="99"/>
        <v/>
      </c>
      <c r="Z249" s="197" t="str">
        <f t="shared" si="85"/>
        <v/>
      </c>
      <c r="AA249" s="197" t="str">
        <f t="shared" si="86"/>
        <v/>
      </c>
      <c r="AB249" s="213"/>
      <c r="AC249" s="204"/>
    </row>
    <row r="250" spans="1:29" ht="11.4">
      <c r="A250" s="211" t="str">
        <f t="shared" si="98"/>
        <v/>
      </c>
      <c r="B250" s="211"/>
      <c r="C250" s="185"/>
      <c r="D250" s="186" t="str">
        <f t="shared" si="87"/>
        <v/>
      </c>
      <c r="E250" s="186" t="str">
        <f>IF(OR(C250="",C250=Data!$B$3),"",IF(C250=Data!$B$4,"L","S"))</f>
        <v/>
      </c>
      <c r="F250" s="186" t="str">
        <f t="shared" si="88"/>
        <v/>
      </c>
      <c r="G250" s="187" t="str">
        <f t="shared" si="79"/>
        <v/>
      </c>
      <c r="H250" s="188"/>
      <c r="I250" s="189" t="str">
        <f t="shared" si="89"/>
        <v/>
      </c>
      <c r="J250" s="189" t="str">
        <f t="shared" si="90"/>
        <v/>
      </c>
      <c r="K250" s="190" t="str">
        <f t="shared" si="91"/>
        <v/>
      </c>
      <c r="L250" s="190" t="str">
        <f t="shared" si="92"/>
        <v/>
      </c>
      <c r="M250" s="214"/>
      <c r="N250" s="214"/>
      <c r="O250" s="189" t="str">
        <f t="shared" si="93"/>
        <v/>
      </c>
      <c r="P250" s="191" t="str">
        <f t="shared" si="80"/>
        <v/>
      </c>
      <c r="Q250" s="192" t="str">
        <f t="shared" si="94"/>
        <v/>
      </c>
      <c r="R250" s="191" t="str">
        <f t="shared" si="81"/>
        <v/>
      </c>
      <c r="S250" s="193" t="str">
        <f t="shared" si="95"/>
        <v/>
      </c>
      <c r="T250" s="194" t="str">
        <f t="shared" si="82"/>
        <v/>
      </c>
      <c r="U250" s="192" t="str">
        <f t="shared" si="96"/>
        <v/>
      </c>
      <c r="V250" s="195" t="str">
        <f t="shared" si="83"/>
        <v/>
      </c>
      <c r="W250" s="195" t="str">
        <f t="shared" si="84"/>
        <v/>
      </c>
      <c r="X250" s="196" t="str">
        <f t="shared" si="97"/>
        <v/>
      </c>
      <c r="Y250" s="191" t="str">
        <f t="shared" si="99"/>
        <v/>
      </c>
      <c r="Z250" s="197" t="str">
        <f t="shared" si="85"/>
        <v/>
      </c>
      <c r="AA250" s="197" t="str">
        <f t="shared" si="86"/>
        <v/>
      </c>
      <c r="AB250" s="213"/>
      <c r="AC250" s="204"/>
    </row>
    <row r="251" spans="1:29" ht="11.4">
      <c r="A251" s="211" t="str">
        <f t="shared" si="98"/>
        <v/>
      </c>
      <c r="B251" s="211"/>
      <c r="C251" s="185"/>
      <c r="D251" s="186" t="str">
        <f t="shared" si="87"/>
        <v/>
      </c>
      <c r="E251" s="186" t="str">
        <f>IF(OR(C251="",C251=Data!$B$3),"",IF(C251=Data!$B$4,"L","S"))</f>
        <v/>
      </c>
      <c r="F251" s="186" t="str">
        <f t="shared" si="88"/>
        <v/>
      </c>
      <c r="G251" s="187" t="str">
        <f t="shared" si="79"/>
        <v/>
      </c>
      <c r="H251" s="188"/>
      <c r="I251" s="189" t="str">
        <f t="shared" si="89"/>
        <v/>
      </c>
      <c r="J251" s="189" t="str">
        <f t="shared" si="90"/>
        <v/>
      </c>
      <c r="K251" s="190" t="str">
        <f t="shared" si="91"/>
        <v/>
      </c>
      <c r="L251" s="190" t="str">
        <f t="shared" si="92"/>
        <v/>
      </c>
      <c r="M251" s="214"/>
      <c r="N251" s="214"/>
      <c r="O251" s="189" t="str">
        <f t="shared" si="93"/>
        <v/>
      </c>
      <c r="P251" s="191" t="str">
        <f t="shared" si="80"/>
        <v/>
      </c>
      <c r="Q251" s="192" t="str">
        <f t="shared" si="94"/>
        <v/>
      </c>
      <c r="R251" s="191" t="str">
        <f t="shared" si="81"/>
        <v/>
      </c>
      <c r="S251" s="193" t="str">
        <f t="shared" si="95"/>
        <v/>
      </c>
      <c r="T251" s="194" t="str">
        <f t="shared" si="82"/>
        <v/>
      </c>
      <c r="U251" s="192" t="str">
        <f t="shared" si="96"/>
        <v/>
      </c>
      <c r="V251" s="195" t="str">
        <f t="shared" si="83"/>
        <v/>
      </c>
      <c r="W251" s="195" t="str">
        <f t="shared" si="84"/>
        <v/>
      </c>
      <c r="X251" s="196" t="str">
        <f t="shared" si="97"/>
        <v/>
      </c>
      <c r="Y251" s="191" t="str">
        <f t="shared" si="99"/>
        <v/>
      </c>
      <c r="Z251" s="197" t="str">
        <f t="shared" si="85"/>
        <v/>
      </c>
      <c r="AA251" s="197" t="str">
        <f t="shared" si="86"/>
        <v/>
      </c>
      <c r="AB251" s="213"/>
      <c r="AC251" s="204"/>
    </row>
    <row r="252" spans="1:29" ht="11.4">
      <c r="A252" s="211" t="str">
        <f t="shared" si="98"/>
        <v/>
      </c>
      <c r="B252" s="211"/>
      <c r="C252" s="185"/>
      <c r="D252" s="186" t="str">
        <f t="shared" si="87"/>
        <v/>
      </c>
      <c r="E252" s="186" t="str">
        <f>IF(OR(C252="",C252=Data!$B$3),"",IF(C252=Data!$B$4,"L","S"))</f>
        <v/>
      </c>
      <c r="F252" s="186" t="str">
        <f t="shared" si="88"/>
        <v/>
      </c>
      <c r="G252" s="187" t="str">
        <f t="shared" si="79"/>
        <v/>
      </c>
      <c r="H252" s="188"/>
      <c r="I252" s="189" t="str">
        <f t="shared" si="89"/>
        <v/>
      </c>
      <c r="J252" s="189" t="str">
        <f t="shared" si="90"/>
        <v/>
      </c>
      <c r="K252" s="190" t="str">
        <f t="shared" si="91"/>
        <v/>
      </c>
      <c r="L252" s="190" t="str">
        <f t="shared" si="92"/>
        <v/>
      </c>
      <c r="M252" s="214"/>
      <c r="N252" s="214"/>
      <c r="O252" s="189" t="str">
        <f t="shared" si="93"/>
        <v/>
      </c>
      <c r="P252" s="191" t="str">
        <f t="shared" si="80"/>
        <v/>
      </c>
      <c r="Q252" s="192" t="str">
        <f t="shared" si="94"/>
        <v/>
      </c>
      <c r="R252" s="191" t="str">
        <f t="shared" si="81"/>
        <v/>
      </c>
      <c r="S252" s="193" t="str">
        <f t="shared" si="95"/>
        <v/>
      </c>
      <c r="T252" s="194" t="str">
        <f t="shared" si="82"/>
        <v/>
      </c>
      <c r="U252" s="192" t="str">
        <f t="shared" si="96"/>
        <v/>
      </c>
      <c r="V252" s="195" t="str">
        <f t="shared" si="83"/>
        <v/>
      </c>
      <c r="W252" s="195" t="str">
        <f t="shared" si="84"/>
        <v/>
      </c>
      <c r="X252" s="196" t="str">
        <f t="shared" si="97"/>
        <v/>
      </c>
      <c r="Y252" s="191" t="str">
        <f t="shared" si="99"/>
        <v/>
      </c>
      <c r="Z252" s="197" t="str">
        <f t="shared" si="85"/>
        <v/>
      </c>
      <c r="AA252" s="197" t="str">
        <f t="shared" si="86"/>
        <v/>
      </c>
      <c r="AB252" s="213"/>
      <c r="AC252" s="204"/>
    </row>
    <row r="253" spans="1:29" ht="11.4">
      <c r="A253" s="211" t="str">
        <f t="shared" si="98"/>
        <v/>
      </c>
      <c r="B253" s="211"/>
      <c r="C253" s="185"/>
      <c r="D253" s="186" t="str">
        <f t="shared" si="87"/>
        <v/>
      </c>
      <c r="E253" s="186" t="str">
        <f>IF(OR(C253="",C253=Data!$B$3),"",IF(C253=Data!$B$4,"L","S"))</f>
        <v/>
      </c>
      <c r="F253" s="186" t="str">
        <f t="shared" si="88"/>
        <v/>
      </c>
      <c r="G253" s="187" t="str">
        <f t="shared" si="79"/>
        <v/>
      </c>
      <c r="H253" s="188"/>
      <c r="I253" s="189" t="str">
        <f t="shared" si="89"/>
        <v/>
      </c>
      <c r="J253" s="189" t="str">
        <f t="shared" si="90"/>
        <v/>
      </c>
      <c r="K253" s="190" t="str">
        <f t="shared" si="91"/>
        <v/>
      </c>
      <c r="L253" s="190" t="str">
        <f t="shared" si="92"/>
        <v/>
      </c>
      <c r="M253" s="214"/>
      <c r="N253" s="214"/>
      <c r="O253" s="189" t="str">
        <f t="shared" si="93"/>
        <v/>
      </c>
      <c r="P253" s="191" t="str">
        <f t="shared" si="80"/>
        <v/>
      </c>
      <c r="Q253" s="192" t="str">
        <f t="shared" si="94"/>
        <v/>
      </c>
      <c r="R253" s="191" t="str">
        <f t="shared" si="81"/>
        <v/>
      </c>
      <c r="S253" s="193" t="str">
        <f t="shared" si="95"/>
        <v/>
      </c>
      <c r="T253" s="194" t="str">
        <f t="shared" si="82"/>
        <v/>
      </c>
      <c r="U253" s="192" t="str">
        <f t="shared" si="96"/>
        <v/>
      </c>
      <c r="V253" s="195" t="str">
        <f t="shared" si="83"/>
        <v/>
      </c>
      <c r="W253" s="195" t="str">
        <f t="shared" si="84"/>
        <v/>
      </c>
      <c r="X253" s="196" t="str">
        <f t="shared" si="97"/>
        <v/>
      </c>
      <c r="Y253" s="191" t="str">
        <f t="shared" si="99"/>
        <v/>
      </c>
      <c r="Z253" s="197" t="str">
        <f t="shared" si="85"/>
        <v/>
      </c>
      <c r="AA253" s="197" t="str">
        <f t="shared" si="86"/>
        <v/>
      </c>
      <c r="AB253" s="213"/>
      <c r="AC253" s="204"/>
    </row>
    <row r="254" spans="1:29" ht="11.4">
      <c r="A254" s="211" t="str">
        <f t="shared" si="98"/>
        <v/>
      </c>
      <c r="B254" s="211"/>
      <c r="C254" s="185"/>
      <c r="D254" s="186" t="str">
        <f t="shared" si="87"/>
        <v/>
      </c>
      <c r="E254" s="186" t="str">
        <f>IF(OR(C254="",C254=Data!$B$3),"",IF(C254=Data!$B$4,"L","S"))</f>
        <v/>
      </c>
      <c r="F254" s="186" t="str">
        <f t="shared" si="88"/>
        <v/>
      </c>
      <c r="G254" s="187" t="str">
        <f t="shared" si="79"/>
        <v/>
      </c>
      <c r="H254" s="188"/>
      <c r="I254" s="189" t="str">
        <f t="shared" si="89"/>
        <v/>
      </c>
      <c r="J254" s="189" t="str">
        <f t="shared" si="90"/>
        <v/>
      </c>
      <c r="K254" s="190" t="str">
        <f t="shared" si="91"/>
        <v/>
      </c>
      <c r="L254" s="190" t="str">
        <f t="shared" si="92"/>
        <v/>
      </c>
      <c r="M254" s="214"/>
      <c r="N254" s="214"/>
      <c r="O254" s="189" t="str">
        <f t="shared" si="93"/>
        <v/>
      </c>
      <c r="P254" s="191" t="str">
        <f t="shared" si="80"/>
        <v/>
      </c>
      <c r="Q254" s="192" t="str">
        <f t="shared" si="94"/>
        <v/>
      </c>
      <c r="R254" s="191" t="str">
        <f t="shared" si="81"/>
        <v/>
      </c>
      <c r="S254" s="193" t="str">
        <f t="shared" si="95"/>
        <v/>
      </c>
      <c r="T254" s="194" t="str">
        <f t="shared" si="82"/>
        <v/>
      </c>
      <c r="U254" s="192" t="str">
        <f t="shared" si="96"/>
        <v/>
      </c>
      <c r="V254" s="195" t="str">
        <f t="shared" si="83"/>
        <v/>
      </c>
      <c r="W254" s="195" t="str">
        <f t="shared" si="84"/>
        <v/>
      </c>
      <c r="X254" s="196" t="str">
        <f t="shared" si="97"/>
        <v/>
      </c>
      <c r="Y254" s="191" t="str">
        <f t="shared" si="99"/>
        <v/>
      </c>
      <c r="Z254" s="197" t="str">
        <f t="shared" si="85"/>
        <v/>
      </c>
      <c r="AA254" s="197" t="str">
        <f t="shared" si="86"/>
        <v/>
      </c>
      <c r="AB254" s="213"/>
      <c r="AC254" s="204"/>
    </row>
    <row r="255" spans="1:29" ht="11.4">
      <c r="A255" s="211" t="str">
        <f t="shared" si="98"/>
        <v/>
      </c>
      <c r="B255" s="211"/>
      <c r="C255" s="185"/>
      <c r="D255" s="186" t="str">
        <f t="shared" si="87"/>
        <v/>
      </c>
      <c r="E255" s="186" t="str">
        <f>IF(OR(C255="",C255=Data!$B$3),"",IF(C255=Data!$B$4,"L","S"))</f>
        <v/>
      </c>
      <c r="F255" s="186" t="str">
        <f t="shared" si="88"/>
        <v/>
      </c>
      <c r="G255" s="187" t="str">
        <f t="shared" si="79"/>
        <v/>
      </c>
      <c r="H255" s="188"/>
      <c r="I255" s="189" t="str">
        <f t="shared" si="89"/>
        <v/>
      </c>
      <c r="J255" s="189" t="str">
        <f t="shared" si="90"/>
        <v/>
      </c>
      <c r="K255" s="190" t="str">
        <f t="shared" si="91"/>
        <v/>
      </c>
      <c r="L255" s="190" t="str">
        <f t="shared" si="92"/>
        <v/>
      </c>
      <c r="M255" s="214"/>
      <c r="N255" s="214"/>
      <c r="O255" s="189" t="str">
        <f t="shared" si="93"/>
        <v/>
      </c>
      <c r="P255" s="191" t="str">
        <f t="shared" si="80"/>
        <v/>
      </c>
      <c r="Q255" s="192" t="str">
        <f t="shared" si="94"/>
        <v/>
      </c>
      <c r="R255" s="191" t="str">
        <f t="shared" si="81"/>
        <v/>
      </c>
      <c r="S255" s="193" t="str">
        <f t="shared" si="95"/>
        <v/>
      </c>
      <c r="T255" s="194" t="str">
        <f t="shared" si="82"/>
        <v/>
      </c>
      <c r="U255" s="192" t="str">
        <f t="shared" si="96"/>
        <v/>
      </c>
      <c r="V255" s="195" t="str">
        <f t="shared" si="83"/>
        <v/>
      </c>
      <c r="W255" s="195" t="str">
        <f t="shared" si="84"/>
        <v/>
      </c>
      <c r="X255" s="196" t="str">
        <f t="shared" si="97"/>
        <v/>
      </c>
      <c r="Y255" s="191" t="str">
        <f t="shared" si="99"/>
        <v/>
      </c>
      <c r="Z255" s="197" t="str">
        <f t="shared" si="85"/>
        <v/>
      </c>
      <c r="AA255" s="197" t="str">
        <f t="shared" si="86"/>
        <v/>
      </c>
      <c r="AB255" s="213"/>
      <c r="AC255" s="204"/>
    </row>
    <row r="256" spans="1:29" ht="11.4">
      <c r="A256" s="211" t="str">
        <f t="shared" si="98"/>
        <v/>
      </c>
      <c r="B256" s="211"/>
      <c r="C256" s="185"/>
      <c r="D256" s="186" t="str">
        <f t="shared" si="87"/>
        <v/>
      </c>
      <c r="E256" s="186" t="str">
        <f>IF(OR(C256="",C256=Data!$B$3),"",IF(C256=Data!$B$4,"L","S"))</f>
        <v/>
      </c>
      <c r="F256" s="186" t="str">
        <f t="shared" si="88"/>
        <v/>
      </c>
      <c r="G256" s="187" t="str">
        <f t="shared" si="79"/>
        <v/>
      </c>
      <c r="H256" s="188"/>
      <c r="I256" s="189" t="str">
        <f t="shared" si="89"/>
        <v/>
      </c>
      <c r="J256" s="189" t="str">
        <f t="shared" si="90"/>
        <v/>
      </c>
      <c r="K256" s="190" t="str">
        <f t="shared" si="91"/>
        <v/>
      </c>
      <c r="L256" s="190" t="str">
        <f t="shared" si="92"/>
        <v/>
      </c>
      <c r="M256" s="214"/>
      <c r="N256" s="214"/>
      <c r="O256" s="189" t="str">
        <f t="shared" si="93"/>
        <v/>
      </c>
      <c r="P256" s="191" t="str">
        <f t="shared" si="80"/>
        <v/>
      </c>
      <c r="Q256" s="192" t="str">
        <f t="shared" si="94"/>
        <v/>
      </c>
      <c r="R256" s="191" t="str">
        <f t="shared" si="81"/>
        <v/>
      </c>
      <c r="S256" s="193" t="str">
        <f t="shared" si="95"/>
        <v/>
      </c>
      <c r="T256" s="194" t="str">
        <f t="shared" si="82"/>
        <v/>
      </c>
      <c r="U256" s="192" t="str">
        <f t="shared" si="96"/>
        <v/>
      </c>
      <c r="V256" s="195" t="str">
        <f t="shared" si="83"/>
        <v/>
      </c>
      <c r="W256" s="195" t="str">
        <f t="shared" si="84"/>
        <v/>
      </c>
      <c r="X256" s="196" t="str">
        <f t="shared" si="97"/>
        <v/>
      </c>
      <c r="Y256" s="191" t="str">
        <f t="shared" si="99"/>
        <v/>
      </c>
      <c r="Z256" s="197" t="str">
        <f t="shared" si="85"/>
        <v/>
      </c>
      <c r="AA256" s="197" t="str">
        <f t="shared" si="86"/>
        <v/>
      </c>
      <c r="AB256" s="213"/>
      <c r="AC256" s="204"/>
    </row>
    <row r="257" spans="1:29" ht="11.4">
      <c r="A257" s="211" t="str">
        <f t="shared" si="98"/>
        <v/>
      </c>
      <c r="B257" s="211"/>
      <c r="C257" s="185"/>
      <c r="D257" s="186" t="str">
        <f t="shared" si="87"/>
        <v/>
      </c>
      <c r="E257" s="186" t="str">
        <f>IF(OR(C257="",C257=Data!$B$3),"",IF(C257=Data!$B$4,"L","S"))</f>
        <v/>
      </c>
      <c r="F257" s="186" t="str">
        <f t="shared" si="88"/>
        <v/>
      </c>
      <c r="G257" s="187" t="str">
        <f t="shared" si="79"/>
        <v/>
      </c>
      <c r="H257" s="188"/>
      <c r="I257" s="189" t="str">
        <f t="shared" si="89"/>
        <v/>
      </c>
      <c r="J257" s="189" t="str">
        <f t="shared" si="90"/>
        <v/>
      </c>
      <c r="K257" s="190" t="str">
        <f t="shared" si="91"/>
        <v/>
      </c>
      <c r="L257" s="190" t="str">
        <f t="shared" si="92"/>
        <v/>
      </c>
      <c r="M257" s="214"/>
      <c r="N257" s="214"/>
      <c r="O257" s="189" t="str">
        <f t="shared" si="93"/>
        <v/>
      </c>
      <c r="P257" s="191" t="str">
        <f t="shared" si="80"/>
        <v/>
      </c>
      <c r="Q257" s="192" t="str">
        <f t="shared" si="94"/>
        <v/>
      </c>
      <c r="R257" s="191" t="str">
        <f t="shared" si="81"/>
        <v/>
      </c>
      <c r="S257" s="193" t="str">
        <f t="shared" si="95"/>
        <v/>
      </c>
      <c r="T257" s="194" t="str">
        <f t="shared" si="82"/>
        <v/>
      </c>
      <c r="U257" s="192" t="str">
        <f t="shared" si="96"/>
        <v/>
      </c>
      <c r="V257" s="195" t="str">
        <f t="shared" si="83"/>
        <v/>
      </c>
      <c r="W257" s="195" t="str">
        <f t="shared" si="84"/>
        <v/>
      </c>
      <c r="X257" s="196" t="str">
        <f t="shared" si="97"/>
        <v/>
      </c>
      <c r="Y257" s="191" t="str">
        <f t="shared" si="99"/>
        <v/>
      </c>
      <c r="Z257" s="197" t="str">
        <f t="shared" si="85"/>
        <v/>
      </c>
      <c r="AA257" s="197" t="str">
        <f t="shared" si="86"/>
        <v/>
      </c>
      <c r="AB257" s="213"/>
      <c r="AC257" s="204"/>
    </row>
    <row r="258" spans="1:29" ht="11.4">
      <c r="A258" s="211" t="str">
        <f t="shared" si="98"/>
        <v/>
      </c>
      <c r="B258" s="211"/>
      <c r="C258" s="185"/>
      <c r="D258" s="186" t="str">
        <f t="shared" si="87"/>
        <v/>
      </c>
      <c r="E258" s="186" t="str">
        <f>IF(OR(C258="",C258=Data!$B$3),"",IF(C258=Data!$B$4,"L","S"))</f>
        <v/>
      </c>
      <c r="F258" s="186" t="str">
        <f t="shared" si="88"/>
        <v/>
      </c>
      <c r="G258" s="187" t="str">
        <f t="shared" si="79"/>
        <v/>
      </c>
      <c r="H258" s="188"/>
      <c r="I258" s="189" t="str">
        <f t="shared" si="89"/>
        <v/>
      </c>
      <c r="J258" s="189" t="str">
        <f t="shared" si="90"/>
        <v/>
      </c>
      <c r="K258" s="190" t="str">
        <f t="shared" si="91"/>
        <v/>
      </c>
      <c r="L258" s="190" t="str">
        <f t="shared" si="92"/>
        <v/>
      </c>
      <c r="M258" s="214"/>
      <c r="N258" s="214"/>
      <c r="O258" s="189" t="str">
        <f t="shared" si="93"/>
        <v/>
      </c>
      <c r="P258" s="191" t="str">
        <f t="shared" si="80"/>
        <v/>
      </c>
      <c r="Q258" s="192" t="str">
        <f t="shared" si="94"/>
        <v/>
      </c>
      <c r="R258" s="191" t="str">
        <f t="shared" si="81"/>
        <v/>
      </c>
      <c r="S258" s="193" t="str">
        <f t="shared" si="95"/>
        <v/>
      </c>
      <c r="T258" s="194" t="str">
        <f t="shared" si="82"/>
        <v/>
      </c>
      <c r="U258" s="192" t="str">
        <f t="shared" si="96"/>
        <v/>
      </c>
      <c r="V258" s="195" t="str">
        <f t="shared" si="83"/>
        <v/>
      </c>
      <c r="W258" s="195" t="str">
        <f t="shared" si="84"/>
        <v/>
      </c>
      <c r="X258" s="196" t="str">
        <f t="shared" si="97"/>
        <v/>
      </c>
      <c r="Y258" s="191" t="str">
        <f t="shared" si="99"/>
        <v/>
      </c>
      <c r="Z258" s="197" t="str">
        <f t="shared" si="85"/>
        <v/>
      </c>
      <c r="AA258" s="197" t="str">
        <f t="shared" si="86"/>
        <v/>
      </c>
      <c r="AB258" s="213"/>
      <c r="AC258" s="204"/>
    </row>
    <row r="259" spans="1:29" ht="11.4">
      <c r="A259" s="211" t="str">
        <f t="shared" si="98"/>
        <v/>
      </c>
      <c r="B259" s="211"/>
      <c r="C259" s="185"/>
      <c r="D259" s="186" t="str">
        <f t="shared" si="87"/>
        <v/>
      </c>
      <c r="E259" s="186" t="str">
        <f>IF(OR(C259="",C259=Data!$B$3),"",IF(C259=Data!$B$4,"L","S"))</f>
        <v/>
      </c>
      <c r="F259" s="186" t="str">
        <f t="shared" si="88"/>
        <v/>
      </c>
      <c r="G259" s="187" t="str">
        <f t="shared" si="79"/>
        <v/>
      </c>
      <c r="H259" s="188"/>
      <c r="I259" s="189" t="str">
        <f t="shared" si="89"/>
        <v/>
      </c>
      <c r="J259" s="189" t="str">
        <f t="shared" si="90"/>
        <v/>
      </c>
      <c r="K259" s="190" t="str">
        <f t="shared" si="91"/>
        <v/>
      </c>
      <c r="L259" s="190" t="str">
        <f t="shared" si="92"/>
        <v/>
      </c>
      <c r="M259" s="214"/>
      <c r="N259" s="214"/>
      <c r="O259" s="189" t="str">
        <f t="shared" si="93"/>
        <v/>
      </c>
      <c r="P259" s="191" t="str">
        <f t="shared" si="80"/>
        <v/>
      </c>
      <c r="Q259" s="192" t="str">
        <f t="shared" si="94"/>
        <v/>
      </c>
      <c r="R259" s="191" t="str">
        <f t="shared" si="81"/>
        <v/>
      </c>
      <c r="S259" s="193" t="str">
        <f t="shared" si="95"/>
        <v/>
      </c>
      <c r="T259" s="194" t="str">
        <f t="shared" si="82"/>
        <v/>
      </c>
      <c r="U259" s="192" t="str">
        <f t="shared" si="96"/>
        <v/>
      </c>
      <c r="V259" s="195" t="str">
        <f t="shared" si="83"/>
        <v/>
      </c>
      <c r="W259" s="195" t="str">
        <f t="shared" si="84"/>
        <v/>
      </c>
      <c r="X259" s="196" t="str">
        <f t="shared" si="97"/>
        <v/>
      </c>
      <c r="Y259" s="191" t="str">
        <f t="shared" si="99"/>
        <v/>
      </c>
      <c r="Z259" s="197" t="str">
        <f t="shared" si="85"/>
        <v/>
      </c>
      <c r="AA259" s="197" t="str">
        <f t="shared" si="86"/>
        <v/>
      </c>
      <c r="AB259" s="213"/>
      <c r="AC259" s="204"/>
    </row>
    <row r="260" spans="1:29" ht="11.4">
      <c r="A260" s="211" t="str">
        <f t="shared" si="98"/>
        <v/>
      </c>
      <c r="B260" s="211"/>
      <c r="C260" s="185"/>
      <c r="D260" s="186" t="str">
        <f t="shared" si="87"/>
        <v/>
      </c>
      <c r="E260" s="186" t="str">
        <f>IF(OR(C260="",C260=Data!$B$3),"",IF(C260=Data!$B$4,"L","S"))</f>
        <v/>
      </c>
      <c r="F260" s="186" t="str">
        <f t="shared" si="88"/>
        <v/>
      </c>
      <c r="G260" s="187" t="str">
        <f t="shared" si="79"/>
        <v/>
      </c>
      <c r="H260" s="188"/>
      <c r="I260" s="189" t="str">
        <f t="shared" si="89"/>
        <v/>
      </c>
      <c r="J260" s="189" t="str">
        <f t="shared" si="90"/>
        <v/>
      </c>
      <c r="K260" s="190" t="str">
        <f t="shared" si="91"/>
        <v/>
      </c>
      <c r="L260" s="190" t="str">
        <f t="shared" si="92"/>
        <v/>
      </c>
      <c r="M260" s="214"/>
      <c r="N260" s="214"/>
      <c r="O260" s="189" t="str">
        <f t="shared" si="93"/>
        <v/>
      </c>
      <c r="P260" s="191" t="str">
        <f t="shared" si="80"/>
        <v/>
      </c>
      <c r="Q260" s="192" t="str">
        <f t="shared" si="94"/>
        <v/>
      </c>
      <c r="R260" s="191" t="str">
        <f t="shared" si="81"/>
        <v/>
      </c>
      <c r="S260" s="193" t="str">
        <f t="shared" si="95"/>
        <v/>
      </c>
      <c r="T260" s="194" t="str">
        <f t="shared" si="82"/>
        <v/>
      </c>
      <c r="U260" s="192" t="str">
        <f t="shared" si="96"/>
        <v/>
      </c>
      <c r="V260" s="195" t="str">
        <f t="shared" si="83"/>
        <v/>
      </c>
      <c r="W260" s="195" t="str">
        <f t="shared" si="84"/>
        <v/>
      </c>
      <c r="X260" s="196" t="str">
        <f t="shared" si="97"/>
        <v/>
      </c>
      <c r="Y260" s="191" t="str">
        <f t="shared" si="99"/>
        <v/>
      </c>
      <c r="Z260" s="197" t="str">
        <f t="shared" si="85"/>
        <v/>
      </c>
      <c r="AA260" s="197" t="str">
        <f t="shared" si="86"/>
        <v/>
      </c>
      <c r="AB260" s="213"/>
      <c r="AC260" s="204"/>
    </row>
    <row r="261" spans="1:29" ht="11.4">
      <c r="A261" s="211" t="str">
        <f t="shared" si="98"/>
        <v/>
      </c>
      <c r="B261" s="211"/>
      <c r="C261" s="185"/>
      <c r="D261" s="186" t="str">
        <f t="shared" si="87"/>
        <v/>
      </c>
      <c r="E261" s="186" t="str">
        <f>IF(OR(C261="",C261=Data!$B$3),"",IF(C261=Data!$B$4,"L","S"))</f>
        <v/>
      </c>
      <c r="F261" s="186" t="str">
        <f t="shared" si="88"/>
        <v/>
      </c>
      <c r="G261" s="187" t="str">
        <f t="shared" si="79"/>
        <v/>
      </c>
      <c r="H261" s="188"/>
      <c r="I261" s="189" t="str">
        <f t="shared" si="89"/>
        <v/>
      </c>
      <c r="J261" s="189" t="str">
        <f t="shared" si="90"/>
        <v/>
      </c>
      <c r="K261" s="190" t="str">
        <f t="shared" si="91"/>
        <v/>
      </c>
      <c r="L261" s="190" t="str">
        <f t="shared" si="92"/>
        <v/>
      </c>
      <c r="M261" s="214"/>
      <c r="N261" s="214"/>
      <c r="O261" s="189" t="str">
        <f t="shared" si="93"/>
        <v/>
      </c>
      <c r="P261" s="191" t="str">
        <f t="shared" si="80"/>
        <v/>
      </c>
      <c r="Q261" s="192" t="str">
        <f t="shared" si="94"/>
        <v/>
      </c>
      <c r="R261" s="191" t="str">
        <f t="shared" si="81"/>
        <v/>
      </c>
      <c r="S261" s="193" t="str">
        <f t="shared" si="95"/>
        <v/>
      </c>
      <c r="T261" s="194" t="str">
        <f t="shared" si="82"/>
        <v/>
      </c>
      <c r="U261" s="192" t="str">
        <f t="shared" si="96"/>
        <v/>
      </c>
      <c r="V261" s="195" t="str">
        <f t="shared" si="83"/>
        <v/>
      </c>
      <c r="W261" s="195" t="str">
        <f t="shared" si="84"/>
        <v/>
      </c>
      <c r="X261" s="196" t="str">
        <f t="shared" si="97"/>
        <v/>
      </c>
      <c r="Y261" s="191" t="str">
        <f t="shared" si="99"/>
        <v/>
      </c>
      <c r="Z261" s="197" t="str">
        <f t="shared" si="85"/>
        <v/>
      </c>
      <c r="AA261" s="197" t="str">
        <f t="shared" si="86"/>
        <v/>
      </c>
      <c r="AB261" s="213"/>
      <c r="AC261" s="204"/>
    </row>
    <row r="262" spans="1:29" ht="11.4">
      <c r="A262" s="211" t="str">
        <f t="shared" si="98"/>
        <v/>
      </c>
      <c r="B262" s="211"/>
      <c r="C262" s="185"/>
      <c r="D262" s="186" t="str">
        <f t="shared" si="87"/>
        <v/>
      </c>
      <c r="E262" s="186" t="str">
        <f>IF(OR(C262="",C262=Data!$B$3),"",IF(C262=Data!$B$4,"L","S"))</f>
        <v/>
      </c>
      <c r="F262" s="186" t="str">
        <f t="shared" si="88"/>
        <v/>
      </c>
      <c r="G262" s="187" t="str">
        <f t="shared" si="79"/>
        <v/>
      </c>
      <c r="H262" s="188"/>
      <c r="I262" s="189" t="str">
        <f t="shared" si="89"/>
        <v/>
      </c>
      <c r="J262" s="189" t="str">
        <f t="shared" si="90"/>
        <v/>
      </c>
      <c r="K262" s="190" t="str">
        <f t="shared" si="91"/>
        <v/>
      </c>
      <c r="L262" s="190" t="str">
        <f t="shared" si="92"/>
        <v/>
      </c>
      <c r="M262" s="214"/>
      <c r="N262" s="214"/>
      <c r="O262" s="189" t="str">
        <f t="shared" si="93"/>
        <v/>
      </c>
      <c r="P262" s="191" t="str">
        <f t="shared" si="80"/>
        <v/>
      </c>
      <c r="Q262" s="192" t="str">
        <f t="shared" si="94"/>
        <v/>
      </c>
      <c r="R262" s="191" t="str">
        <f t="shared" si="81"/>
        <v/>
      </c>
      <c r="S262" s="193" t="str">
        <f t="shared" si="95"/>
        <v/>
      </c>
      <c r="T262" s="194" t="str">
        <f t="shared" si="82"/>
        <v/>
      </c>
      <c r="U262" s="192" t="str">
        <f t="shared" si="96"/>
        <v/>
      </c>
      <c r="V262" s="195" t="str">
        <f t="shared" si="83"/>
        <v/>
      </c>
      <c r="W262" s="195" t="str">
        <f t="shared" si="84"/>
        <v/>
      </c>
      <c r="X262" s="196" t="str">
        <f t="shared" si="97"/>
        <v/>
      </c>
      <c r="Y262" s="191" t="str">
        <f t="shared" si="99"/>
        <v/>
      </c>
      <c r="Z262" s="197" t="str">
        <f t="shared" si="85"/>
        <v/>
      </c>
      <c r="AA262" s="197" t="str">
        <f t="shared" si="86"/>
        <v/>
      </c>
      <c r="AB262" s="213"/>
      <c r="AC262" s="204"/>
    </row>
    <row r="263" spans="1:29" ht="11.4">
      <c r="A263" s="211" t="str">
        <f t="shared" si="98"/>
        <v/>
      </c>
      <c r="B263" s="211"/>
      <c r="C263" s="185"/>
      <c r="D263" s="186" t="str">
        <f t="shared" si="87"/>
        <v/>
      </c>
      <c r="E263" s="186" t="str">
        <f>IF(OR(C263="",C263=Data!$B$3),"",IF(C263=Data!$B$4,"L","S"))</f>
        <v/>
      </c>
      <c r="F263" s="186" t="str">
        <f t="shared" si="88"/>
        <v/>
      </c>
      <c r="G263" s="187" t="str">
        <f t="shared" si="79"/>
        <v/>
      </c>
      <c r="H263" s="188"/>
      <c r="I263" s="189" t="str">
        <f t="shared" si="89"/>
        <v/>
      </c>
      <c r="J263" s="189" t="str">
        <f t="shared" si="90"/>
        <v/>
      </c>
      <c r="K263" s="190" t="str">
        <f t="shared" si="91"/>
        <v/>
      </c>
      <c r="L263" s="190" t="str">
        <f t="shared" si="92"/>
        <v/>
      </c>
      <c r="M263" s="214"/>
      <c r="N263" s="214"/>
      <c r="O263" s="189" t="str">
        <f t="shared" si="93"/>
        <v/>
      </c>
      <c r="P263" s="191" t="str">
        <f t="shared" si="80"/>
        <v/>
      </c>
      <c r="Q263" s="192" t="str">
        <f t="shared" si="94"/>
        <v/>
      </c>
      <c r="R263" s="191" t="str">
        <f t="shared" si="81"/>
        <v/>
      </c>
      <c r="S263" s="193" t="str">
        <f t="shared" si="95"/>
        <v/>
      </c>
      <c r="T263" s="194" t="str">
        <f t="shared" si="82"/>
        <v/>
      </c>
      <c r="U263" s="192" t="str">
        <f t="shared" si="96"/>
        <v/>
      </c>
      <c r="V263" s="195" t="str">
        <f t="shared" si="83"/>
        <v/>
      </c>
      <c r="W263" s="195" t="str">
        <f t="shared" si="84"/>
        <v/>
      </c>
      <c r="X263" s="196" t="str">
        <f t="shared" si="97"/>
        <v/>
      </c>
      <c r="Y263" s="191" t="str">
        <f t="shared" si="99"/>
        <v/>
      </c>
      <c r="Z263" s="197" t="str">
        <f t="shared" si="85"/>
        <v/>
      </c>
      <c r="AA263" s="197" t="str">
        <f t="shared" si="86"/>
        <v/>
      </c>
      <c r="AB263" s="213"/>
      <c r="AC263" s="204"/>
    </row>
    <row r="264" spans="1:29" ht="11.4">
      <c r="A264" s="211" t="str">
        <f t="shared" si="98"/>
        <v/>
      </c>
      <c r="B264" s="211"/>
      <c r="C264" s="185"/>
      <c r="D264" s="186" t="str">
        <f t="shared" si="87"/>
        <v/>
      </c>
      <c r="E264" s="186" t="str">
        <f>IF(OR(C264="",C264=Data!$B$3),"",IF(C264=Data!$B$4,"L","S"))</f>
        <v/>
      </c>
      <c r="F264" s="186" t="str">
        <f t="shared" si="88"/>
        <v/>
      </c>
      <c r="G264" s="187" t="str">
        <f t="shared" si="79"/>
        <v/>
      </c>
      <c r="H264" s="188"/>
      <c r="I264" s="189" t="str">
        <f t="shared" si="89"/>
        <v/>
      </c>
      <c r="J264" s="189" t="str">
        <f t="shared" si="90"/>
        <v/>
      </c>
      <c r="K264" s="190" t="str">
        <f t="shared" si="91"/>
        <v/>
      </c>
      <c r="L264" s="190" t="str">
        <f t="shared" si="92"/>
        <v/>
      </c>
      <c r="M264" s="214"/>
      <c r="N264" s="214"/>
      <c r="O264" s="189" t="str">
        <f t="shared" si="93"/>
        <v/>
      </c>
      <c r="P264" s="191" t="str">
        <f t="shared" si="80"/>
        <v/>
      </c>
      <c r="Q264" s="192" t="str">
        <f t="shared" si="94"/>
        <v/>
      </c>
      <c r="R264" s="191" t="str">
        <f t="shared" si="81"/>
        <v/>
      </c>
      <c r="S264" s="193" t="str">
        <f t="shared" si="95"/>
        <v/>
      </c>
      <c r="T264" s="194" t="str">
        <f t="shared" si="82"/>
        <v/>
      </c>
      <c r="U264" s="192" t="str">
        <f t="shared" si="96"/>
        <v/>
      </c>
      <c r="V264" s="195" t="str">
        <f t="shared" si="83"/>
        <v/>
      </c>
      <c r="W264" s="195" t="str">
        <f t="shared" si="84"/>
        <v/>
      </c>
      <c r="X264" s="196" t="str">
        <f t="shared" si="97"/>
        <v/>
      </c>
      <c r="Y264" s="191" t="str">
        <f t="shared" si="99"/>
        <v/>
      </c>
      <c r="Z264" s="197" t="str">
        <f t="shared" si="85"/>
        <v/>
      </c>
      <c r="AA264" s="197" t="str">
        <f t="shared" si="86"/>
        <v/>
      </c>
      <c r="AB264" s="213"/>
      <c r="AC264" s="204"/>
    </row>
    <row r="265" spans="1:29" ht="11.4">
      <c r="A265" s="211" t="str">
        <f t="shared" si="98"/>
        <v/>
      </c>
      <c r="B265" s="211"/>
      <c r="C265" s="185"/>
      <c r="D265" s="186" t="str">
        <f t="shared" si="87"/>
        <v/>
      </c>
      <c r="E265" s="186" t="str">
        <f>IF(OR(C265="",C265=Data!$B$3),"",IF(C265=Data!$B$4,"L","S"))</f>
        <v/>
      </c>
      <c r="F265" s="186" t="str">
        <f t="shared" si="88"/>
        <v/>
      </c>
      <c r="G265" s="187" t="str">
        <f t="shared" si="79"/>
        <v/>
      </c>
      <c r="H265" s="188"/>
      <c r="I265" s="189" t="str">
        <f t="shared" si="89"/>
        <v/>
      </c>
      <c r="J265" s="189" t="str">
        <f t="shared" si="90"/>
        <v/>
      </c>
      <c r="K265" s="190" t="str">
        <f t="shared" si="91"/>
        <v/>
      </c>
      <c r="L265" s="190" t="str">
        <f t="shared" si="92"/>
        <v/>
      </c>
      <c r="M265" s="214"/>
      <c r="N265" s="214"/>
      <c r="O265" s="189" t="str">
        <f t="shared" si="93"/>
        <v/>
      </c>
      <c r="P265" s="191" t="str">
        <f t="shared" si="80"/>
        <v/>
      </c>
      <c r="Q265" s="192" t="str">
        <f t="shared" si="94"/>
        <v/>
      </c>
      <c r="R265" s="191" t="str">
        <f t="shared" si="81"/>
        <v/>
      </c>
      <c r="S265" s="193" t="str">
        <f t="shared" si="95"/>
        <v/>
      </c>
      <c r="T265" s="194" t="str">
        <f t="shared" si="82"/>
        <v/>
      </c>
      <c r="U265" s="192" t="str">
        <f t="shared" si="96"/>
        <v/>
      </c>
      <c r="V265" s="195" t="str">
        <f t="shared" si="83"/>
        <v/>
      </c>
      <c r="W265" s="195" t="str">
        <f t="shared" si="84"/>
        <v/>
      </c>
      <c r="X265" s="196" t="str">
        <f t="shared" si="97"/>
        <v/>
      </c>
      <c r="Y265" s="191" t="str">
        <f t="shared" si="99"/>
        <v/>
      </c>
      <c r="Z265" s="197" t="str">
        <f t="shared" si="85"/>
        <v/>
      </c>
      <c r="AA265" s="197" t="str">
        <f t="shared" si="86"/>
        <v/>
      </c>
      <c r="AB265" s="213"/>
      <c r="AC265" s="204"/>
    </row>
    <row r="266" spans="1:29" ht="11.4">
      <c r="A266" s="211" t="str">
        <f t="shared" si="98"/>
        <v/>
      </c>
      <c r="B266" s="211"/>
      <c r="C266" s="185"/>
      <c r="D266" s="186" t="str">
        <f t="shared" si="87"/>
        <v/>
      </c>
      <c r="E266" s="186" t="str">
        <f>IF(OR(C266="",C266=Data!$B$3),"",IF(C266=Data!$B$4,"L","S"))</f>
        <v/>
      </c>
      <c r="F266" s="186" t="str">
        <f t="shared" si="88"/>
        <v/>
      </c>
      <c r="G266" s="187" t="str">
        <f t="shared" si="79"/>
        <v/>
      </c>
      <c r="H266" s="188"/>
      <c r="I266" s="189" t="str">
        <f t="shared" si="89"/>
        <v/>
      </c>
      <c r="J266" s="189" t="str">
        <f t="shared" si="90"/>
        <v/>
      </c>
      <c r="K266" s="190" t="str">
        <f t="shared" si="91"/>
        <v/>
      </c>
      <c r="L266" s="190" t="str">
        <f t="shared" si="92"/>
        <v/>
      </c>
      <c r="M266" s="214"/>
      <c r="N266" s="214"/>
      <c r="O266" s="189" t="str">
        <f t="shared" si="93"/>
        <v/>
      </c>
      <c r="P266" s="191" t="str">
        <f t="shared" si="80"/>
        <v/>
      </c>
      <c r="Q266" s="192" t="str">
        <f t="shared" si="94"/>
        <v/>
      </c>
      <c r="R266" s="191" t="str">
        <f t="shared" si="81"/>
        <v/>
      </c>
      <c r="S266" s="193" t="str">
        <f t="shared" si="95"/>
        <v/>
      </c>
      <c r="T266" s="194" t="str">
        <f t="shared" si="82"/>
        <v/>
      </c>
      <c r="U266" s="192" t="str">
        <f t="shared" si="96"/>
        <v/>
      </c>
      <c r="V266" s="195" t="str">
        <f t="shared" si="83"/>
        <v/>
      </c>
      <c r="W266" s="195" t="str">
        <f t="shared" si="84"/>
        <v/>
      </c>
      <c r="X266" s="196" t="str">
        <f t="shared" si="97"/>
        <v/>
      </c>
      <c r="Y266" s="191" t="str">
        <f t="shared" si="99"/>
        <v/>
      </c>
      <c r="Z266" s="197" t="str">
        <f t="shared" si="85"/>
        <v/>
      </c>
      <c r="AA266" s="197" t="str">
        <f t="shared" si="86"/>
        <v/>
      </c>
      <c r="AB266" s="213"/>
      <c r="AC266" s="204"/>
    </row>
    <row r="267" spans="1:29" ht="11.4">
      <c r="A267" s="211" t="str">
        <f t="shared" si="98"/>
        <v/>
      </c>
      <c r="B267" s="211"/>
      <c r="C267" s="185"/>
      <c r="D267" s="186" t="str">
        <f t="shared" si="87"/>
        <v/>
      </c>
      <c r="E267" s="186" t="str">
        <f>IF(OR(C267="",C267=Data!$B$3),"",IF(C267=Data!$B$4,"L","S"))</f>
        <v/>
      </c>
      <c r="F267" s="186" t="str">
        <f t="shared" si="88"/>
        <v/>
      </c>
      <c r="G267" s="187" t="str">
        <f t="shared" si="79"/>
        <v/>
      </c>
      <c r="H267" s="188"/>
      <c r="I267" s="189" t="str">
        <f t="shared" si="89"/>
        <v/>
      </c>
      <c r="J267" s="189" t="str">
        <f t="shared" si="90"/>
        <v/>
      </c>
      <c r="K267" s="190" t="str">
        <f t="shared" si="91"/>
        <v/>
      </c>
      <c r="L267" s="190" t="str">
        <f t="shared" si="92"/>
        <v/>
      </c>
      <c r="M267" s="214"/>
      <c r="N267" s="214"/>
      <c r="O267" s="189" t="str">
        <f t="shared" si="93"/>
        <v/>
      </c>
      <c r="P267" s="191" t="str">
        <f t="shared" si="80"/>
        <v/>
      </c>
      <c r="Q267" s="192" t="str">
        <f t="shared" si="94"/>
        <v/>
      </c>
      <c r="R267" s="191" t="str">
        <f t="shared" si="81"/>
        <v/>
      </c>
      <c r="S267" s="193" t="str">
        <f t="shared" si="95"/>
        <v/>
      </c>
      <c r="T267" s="194" t="str">
        <f t="shared" si="82"/>
        <v/>
      </c>
      <c r="U267" s="192" t="str">
        <f t="shared" si="96"/>
        <v/>
      </c>
      <c r="V267" s="195" t="str">
        <f t="shared" si="83"/>
        <v/>
      </c>
      <c r="W267" s="195" t="str">
        <f t="shared" si="84"/>
        <v/>
      </c>
      <c r="X267" s="196" t="str">
        <f t="shared" si="97"/>
        <v/>
      </c>
      <c r="Y267" s="191" t="str">
        <f t="shared" si="99"/>
        <v/>
      </c>
      <c r="Z267" s="197" t="str">
        <f t="shared" si="85"/>
        <v/>
      </c>
      <c r="AA267" s="197" t="str">
        <f t="shared" si="86"/>
        <v/>
      </c>
      <c r="AB267" s="213"/>
      <c r="AC267" s="204"/>
    </row>
    <row r="268" spans="1:29" ht="11.4">
      <c r="A268" s="211" t="str">
        <f t="shared" si="98"/>
        <v/>
      </c>
      <c r="B268" s="211"/>
      <c r="C268" s="185"/>
      <c r="D268" s="186" t="str">
        <f t="shared" si="87"/>
        <v/>
      </c>
      <c r="E268" s="186" t="str">
        <f>IF(OR(C268="",C268=Data!$B$3),"",IF(C268=Data!$B$4,"L","S"))</f>
        <v/>
      </c>
      <c r="F268" s="186" t="str">
        <f t="shared" si="88"/>
        <v/>
      </c>
      <c r="G268" s="187" t="str">
        <f t="shared" ref="G268:G331" si="100">IF(A268="","",$D$3)</f>
        <v/>
      </c>
      <c r="H268" s="188"/>
      <c r="I268" s="189" t="str">
        <f t="shared" si="89"/>
        <v/>
      </c>
      <c r="J268" s="189" t="str">
        <f t="shared" si="90"/>
        <v/>
      </c>
      <c r="K268" s="190" t="str">
        <f t="shared" si="91"/>
        <v/>
      </c>
      <c r="L268" s="190" t="str">
        <f t="shared" si="92"/>
        <v/>
      </c>
      <c r="M268" s="214"/>
      <c r="N268" s="214"/>
      <c r="O268" s="189" t="str">
        <f t="shared" si="93"/>
        <v/>
      </c>
      <c r="P268" s="191" t="str">
        <f t="shared" ref="P268:P331" si="101">IF(O268="","",IF(L268*F268*G268=0,0,L268*F268*G268))</f>
        <v/>
      </c>
      <c r="Q268" s="192" t="str">
        <f t="shared" si="94"/>
        <v/>
      </c>
      <c r="R268" s="191" t="str">
        <f t="shared" ref="R268:R331" si="102">IF(O268&lt;&gt;"",IF(K268*F268*G268=0,"",K268*F268*G268),"")</f>
        <v/>
      </c>
      <c r="S268" s="193" t="str">
        <f t="shared" si="95"/>
        <v/>
      </c>
      <c r="T268" s="194" t="str">
        <f t="shared" ref="T268:T331" si="103">IF(X268="","",X268*F268*G268)</f>
        <v/>
      </c>
      <c r="U268" s="192" t="str">
        <f t="shared" si="96"/>
        <v/>
      </c>
      <c r="V268" s="195" t="str">
        <f t="shared" ref="V268:V331" si="104">IF(O268="","",IF(AND(O268&gt;I268,E268="L"),1, IF(AND(I268&gt;O268,E268="S"),1,0)))</f>
        <v/>
      </c>
      <c r="W268" s="195" t="str">
        <f t="shared" ref="W268:W331" si="105">IF(O268="","",IF(AND(O268&lt;I268,E268="L"),1, IF(AND(I268&lt;O268,E268="S"),1,0)))</f>
        <v/>
      </c>
      <c r="X268" s="196" t="str">
        <f t="shared" si="97"/>
        <v/>
      </c>
      <c r="Y268" s="191" t="str">
        <f t="shared" si="99"/>
        <v/>
      </c>
      <c r="Z268" s="197" t="str">
        <f t="shared" ref="Z268:Z331" si="106">IF(M268="","",MONTH(M268))</f>
        <v/>
      </c>
      <c r="AA268" s="197" t="str">
        <f t="shared" ref="AA268:AA331" si="107">IF(M268="","",YEAR(M268))</f>
        <v/>
      </c>
      <c r="AB268" s="213"/>
      <c r="AC268" s="204"/>
    </row>
    <row r="269" spans="1:29" ht="11.4">
      <c r="A269" s="211" t="str">
        <f t="shared" si="98"/>
        <v/>
      </c>
      <c r="B269" s="211"/>
      <c r="C269" s="185"/>
      <c r="D269" s="186" t="str">
        <f t="shared" ref="D269:D332" si="108">IF(A269&lt;&gt;"","GBPUSD","")</f>
        <v/>
      </c>
      <c r="E269" s="186" t="str">
        <f>IF(OR(C269="",C269=Data!$B$3),"",IF(C269=Data!$B$4,"L","S"))</f>
        <v/>
      </c>
      <c r="F269" s="186" t="str">
        <f t="shared" ref="F269:F332" si="109">IF(A269&lt;&gt;"",$D$2,"")</f>
        <v/>
      </c>
      <c r="G269" s="187" t="str">
        <f t="shared" si="100"/>
        <v/>
      </c>
      <c r="H269" s="188"/>
      <c r="I269" s="189" t="str">
        <f t="shared" ref="I269:I332" si="110">IF(H269="","",IF(E269="L",H269+$D$4*0.0001,H269-$D$4*0.0001))</f>
        <v/>
      </c>
      <c r="J269" s="189" t="str">
        <f t="shared" ref="J269:J332" si="111">IF(AND(H269&lt;&gt;"",I269&lt;&gt;""),IF(E269="L",I269+(I269-H269)*3,I269-(H269-I269)*3),"")</f>
        <v/>
      </c>
      <c r="K269" s="190" t="str">
        <f t="shared" ref="K269:K332" si="112">IF(AND(E269&lt;&gt;"",AND(I269&lt;&gt;"",J269&lt;&gt;"")),IF(E269="L",(J269-I269)*IF(I269&gt;10,IF(SEARCH("JPY",D269),10,100),10000),(I269-J269)*IF(I269&gt;10,IF(SEARCH("JPY",D269),10,100),10000)),"")</f>
        <v/>
      </c>
      <c r="L269" s="190" t="str">
        <f t="shared" ref="L269:L332" si="113">IF(AND(E269&lt;&gt;"",AND(H269&lt;&gt;"",I269&lt;&gt;"")),IF(E269="L",(I269-H269)*IF(I269&gt;10,IF(SEARCH("JPY",D269),10,100),10000),(H269-I269)*IF(I269&gt;10,IF(SEARCH("JPY",D269),10,100),10000)),"")</f>
        <v/>
      </c>
      <c r="M269" s="214"/>
      <c r="N269" s="214"/>
      <c r="O269" s="189" t="str">
        <f t="shared" ref="O269:O332" si="114">IF(H269&lt;&gt;"",H269, "")</f>
        <v/>
      </c>
      <c r="P269" s="191" t="str">
        <f t="shared" si="101"/>
        <v/>
      </c>
      <c r="Q269" s="192" t="str">
        <f t="shared" ref="Q269:Q332" si="115">IF(P269="","",IF(P269=0,0,P269/$I$4))</f>
        <v/>
      </c>
      <c r="R269" s="191" t="str">
        <f t="shared" si="102"/>
        <v/>
      </c>
      <c r="S269" s="193" t="str">
        <f t="shared" ref="S269:S332" si="116">IF(P269="","",IF(P269=0,0,R269/P269))</f>
        <v/>
      </c>
      <c r="T269" s="194" t="str">
        <f t="shared" si="103"/>
        <v/>
      </c>
      <c r="U269" s="192" t="str">
        <f t="shared" ref="U269:U332" si="117">IF(T269="","",IF($I$4="","",T269/$I$4))</f>
        <v/>
      </c>
      <c r="V269" s="195" t="str">
        <f t="shared" si="104"/>
        <v/>
      </c>
      <c r="W269" s="195" t="str">
        <f t="shared" si="105"/>
        <v/>
      </c>
      <c r="X269" s="196" t="str">
        <f t="shared" ref="X269:X332" si="118">IF((O269=""),"",IF(E269="L",1,-1)*(O269-I269)*IF(O269&gt;10,IF(SEARCH("JPY",D269),10,100),10000))</f>
        <v/>
      </c>
      <c r="Y269" s="191" t="str">
        <f t="shared" si="99"/>
        <v/>
      </c>
      <c r="Z269" s="197" t="str">
        <f t="shared" si="106"/>
        <v/>
      </c>
      <c r="AA269" s="197" t="str">
        <f t="shared" si="107"/>
        <v/>
      </c>
      <c r="AB269" s="213"/>
      <c r="AC269" s="204"/>
    </row>
    <row r="270" spans="1:29" ht="11.4">
      <c r="A270" s="211" t="str">
        <f t="shared" ref="A270:A333" si="119">IF(C270="","",A269+1)</f>
        <v/>
      </c>
      <c r="B270" s="211"/>
      <c r="C270" s="185"/>
      <c r="D270" s="186" t="str">
        <f t="shared" si="108"/>
        <v/>
      </c>
      <c r="E270" s="186" t="str">
        <f>IF(OR(C270="",C270=Data!$B$3),"",IF(C270=Data!$B$4,"L","S"))</f>
        <v/>
      </c>
      <c r="F270" s="186" t="str">
        <f t="shared" si="109"/>
        <v/>
      </c>
      <c r="G270" s="187" t="str">
        <f t="shared" si="100"/>
        <v/>
      </c>
      <c r="H270" s="188"/>
      <c r="I270" s="189" t="str">
        <f t="shared" si="110"/>
        <v/>
      </c>
      <c r="J270" s="189" t="str">
        <f t="shared" si="111"/>
        <v/>
      </c>
      <c r="K270" s="190" t="str">
        <f t="shared" si="112"/>
        <v/>
      </c>
      <c r="L270" s="190" t="str">
        <f t="shared" si="113"/>
        <v/>
      </c>
      <c r="M270" s="214"/>
      <c r="N270" s="214"/>
      <c r="O270" s="189" t="str">
        <f t="shared" si="114"/>
        <v/>
      </c>
      <c r="P270" s="191" t="str">
        <f t="shared" si="101"/>
        <v/>
      </c>
      <c r="Q270" s="192" t="str">
        <f t="shared" si="115"/>
        <v/>
      </c>
      <c r="R270" s="191" t="str">
        <f t="shared" si="102"/>
        <v/>
      </c>
      <c r="S270" s="193" t="str">
        <f t="shared" si="116"/>
        <v/>
      </c>
      <c r="T270" s="194" t="str">
        <f t="shared" si="103"/>
        <v/>
      </c>
      <c r="U270" s="192" t="str">
        <f t="shared" si="117"/>
        <v/>
      </c>
      <c r="V270" s="195" t="str">
        <f t="shared" si="104"/>
        <v/>
      </c>
      <c r="W270" s="195" t="str">
        <f t="shared" si="105"/>
        <v/>
      </c>
      <c r="X270" s="196" t="str">
        <f t="shared" si="118"/>
        <v/>
      </c>
      <c r="Y270" s="191" t="str">
        <f t="shared" si="99"/>
        <v/>
      </c>
      <c r="Z270" s="197" t="str">
        <f t="shared" si="106"/>
        <v/>
      </c>
      <c r="AA270" s="197" t="str">
        <f t="shared" si="107"/>
        <v/>
      </c>
      <c r="AB270" s="213"/>
      <c r="AC270" s="204"/>
    </row>
    <row r="271" spans="1:29" ht="11.4">
      <c r="A271" s="211" t="str">
        <f t="shared" si="119"/>
        <v/>
      </c>
      <c r="B271" s="211"/>
      <c r="C271" s="185"/>
      <c r="D271" s="186" t="str">
        <f t="shared" si="108"/>
        <v/>
      </c>
      <c r="E271" s="186" t="str">
        <f>IF(OR(C271="",C271=Data!$B$3),"",IF(C271=Data!$B$4,"L","S"))</f>
        <v/>
      </c>
      <c r="F271" s="186" t="str">
        <f t="shared" si="109"/>
        <v/>
      </c>
      <c r="G271" s="187" t="str">
        <f t="shared" si="100"/>
        <v/>
      </c>
      <c r="H271" s="188"/>
      <c r="I271" s="189" t="str">
        <f t="shared" si="110"/>
        <v/>
      </c>
      <c r="J271" s="189" t="str">
        <f t="shared" si="111"/>
        <v/>
      </c>
      <c r="K271" s="190" t="str">
        <f t="shared" si="112"/>
        <v/>
      </c>
      <c r="L271" s="190" t="str">
        <f t="shared" si="113"/>
        <v/>
      </c>
      <c r="M271" s="214"/>
      <c r="N271" s="214"/>
      <c r="O271" s="189" t="str">
        <f t="shared" si="114"/>
        <v/>
      </c>
      <c r="P271" s="191" t="str">
        <f t="shared" si="101"/>
        <v/>
      </c>
      <c r="Q271" s="192" t="str">
        <f t="shared" si="115"/>
        <v/>
      </c>
      <c r="R271" s="191" t="str">
        <f t="shared" si="102"/>
        <v/>
      </c>
      <c r="S271" s="193" t="str">
        <f t="shared" si="116"/>
        <v/>
      </c>
      <c r="T271" s="194" t="str">
        <f t="shared" si="103"/>
        <v/>
      </c>
      <c r="U271" s="192" t="str">
        <f t="shared" si="117"/>
        <v/>
      </c>
      <c r="V271" s="195" t="str">
        <f t="shared" si="104"/>
        <v/>
      </c>
      <c r="W271" s="195" t="str">
        <f t="shared" si="105"/>
        <v/>
      </c>
      <c r="X271" s="196" t="str">
        <f t="shared" si="118"/>
        <v/>
      </c>
      <c r="Y271" s="191" t="str">
        <f t="shared" si="99"/>
        <v/>
      </c>
      <c r="Z271" s="197" t="str">
        <f t="shared" si="106"/>
        <v/>
      </c>
      <c r="AA271" s="197" t="str">
        <f t="shared" si="107"/>
        <v/>
      </c>
      <c r="AB271" s="213"/>
      <c r="AC271" s="204"/>
    </row>
    <row r="272" spans="1:29" ht="11.4">
      <c r="A272" s="211" t="str">
        <f t="shared" si="119"/>
        <v/>
      </c>
      <c r="B272" s="211"/>
      <c r="C272" s="185"/>
      <c r="D272" s="186" t="str">
        <f t="shared" si="108"/>
        <v/>
      </c>
      <c r="E272" s="186" t="str">
        <f>IF(OR(C272="",C272=Data!$B$3),"",IF(C272=Data!$B$4,"L","S"))</f>
        <v/>
      </c>
      <c r="F272" s="186" t="str">
        <f t="shared" si="109"/>
        <v/>
      </c>
      <c r="G272" s="187" t="str">
        <f t="shared" si="100"/>
        <v/>
      </c>
      <c r="H272" s="188"/>
      <c r="I272" s="189" t="str">
        <f t="shared" si="110"/>
        <v/>
      </c>
      <c r="J272" s="189" t="str">
        <f t="shared" si="111"/>
        <v/>
      </c>
      <c r="K272" s="190" t="str">
        <f t="shared" si="112"/>
        <v/>
      </c>
      <c r="L272" s="190" t="str">
        <f t="shared" si="113"/>
        <v/>
      </c>
      <c r="M272" s="214"/>
      <c r="N272" s="214"/>
      <c r="O272" s="189" t="str">
        <f t="shared" si="114"/>
        <v/>
      </c>
      <c r="P272" s="191" t="str">
        <f t="shared" si="101"/>
        <v/>
      </c>
      <c r="Q272" s="192" t="str">
        <f t="shared" si="115"/>
        <v/>
      </c>
      <c r="R272" s="191" t="str">
        <f t="shared" si="102"/>
        <v/>
      </c>
      <c r="S272" s="193" t="str">
        <f t="shared" si="116"/>
        <v/>
      </c>
      <c r="T272" s="194" t="str">
        <f t="shared" si="103"/>
        <v/>
      </c>
      <c r="U272" s="192" t="str">
        <f t="shared" si="117"/>
        <v/>
      </c>
      <c r="V272" s="195" t="str">
        <f t="shared" si="104"/>
        <v/>
      </c>
      <c r="W272" s="195" t="str">
        <f t="shared" si="105"/>
        <v/>
      </c>
      <c r="X272" s="196" t="str">
        <f t="shared" si="118"/>
        <v/>
      </c>
      <c r="Y272" s="191" t="str">
        <f t="shared" si="99"/>
        <v/>
      </c>
      <c r="Z272" s="197" t="str">
        <f t="shared" si="106"/>
        <v/>
      </c>
      <c r="AA272" s="197" t="str">
        <f t="shared" si="107"/>
        <v/>
      </c>
      <c r="AB272" s="213"/>
      <c r="AC272" s="204"/>
    </row>
    <row r="273" spans="1:29" ht="11.4">
      <c r="A273" s="211" t="str">
        <f t="shared" si="119"/>
        <v/>
      </c>
      <c r="B273" s="211"/>
      <c r="C273" s="185"/>
      <c r="D273" s="186" t="str">
        <f t="shared" si="108"/>
        <v/>
      </c>
      <c r="E273" s="186" t="str">
        <f>IF(OR(C273="",C273=Data!$B$3),"",IF(C273=Data!$B$4,"L","S"))</f>
        <v/>
      </c>
      <c r="F273" s="186" t="str">
        <f t="shared" si="109"/>
        <v/>
      </c>
      <c r="G273" s="187" t="str">
        <f t="shared" si="100"/>
        <v/>
      </c>
      <c r="H273" s="188"/>
      <c r="I273" s="189" t="str">
        <f t="shared" si="110"/>
        <v/>
      </c>
      <c r="J273" s="189" t="str">
        <f t="shared" si="111"/>
        <v/>
      </c>
      <c r="K273" s="190" t="str">
        <f t="shared" si="112"/>
        <v/>
      </c>
      <c r="L273" s="190" t="str">
        <f t="shared" si="113"/>
        <v/>
      </c>
      <c r="M273" s="214"/>
      <c r="N273" s="214"/>
      <c r="O273" s="189" t="str">
        <f t="shared" si="114"/>
        <v/>
      </c>
      <c r="P273" s="191" t="str">
        <f t="shared" si="101"/>
        <v/>
      </c>
      <c r="Q273" s="192" t="str">
        <f t="shared" si="115"/>
        <v/>
      </c>
      <c r="R273" s="191" t="str">
        <f t="shared" si="102"/>
        <v/>
      </c>
      <c r="S273" s="193" t="str">
        <f t="shared" si="116"/>
        <v/>
      </c>
      <c r="T273" s="194" t="str">
        <f t="shared" si="103"/>
        <v/>
      </c>
      <c r="U273" s="192" t="str">
        <f t="shared" si="117"/>
        <v/>
      </c>
      <c r="V273" s="195" t="str">
        <f t="shared" si="104"/>
        <v/>
      </c>
      <c r="W273" s="195" t="str">
        <f t="shared" si="105"/>
        <v/>
      </c>
      <c r="X273" s="196" t="str">
        <f t="shared" si="118"/>
        <v/>
      </c>
      <c r="Y273" s="191" t="str">
        <f t="shared" si="99"/>
        <v/>
      </c>
      <c r="Z273" s="197" t="str">
        <f t="shared" si="106"/>
        <v/>
      </c>
      <c r="AA273" s="197" t="str">
        <f t="shared" si="107"/>
        <v/>
      </c>
      <c r="AB273" s="213"/>
      <c r="AC273" s="204"/>
    </row>
    <row r="274" spans="1:29" ht="11.4">
      <c r="A274" s="211" t="str">
        <f t="shared" si="119"/>
        <v/>
      </c>
      <c r="B274" s="211"/>
      <c r="C274" s="185"/>
      <c r="D274" s="186" t="str">
        <f t="shared" si="108"/>
        <v/>
      </c>
      <c r="E274" s="186" t="str">
        <f>IF(OR(C274="",C274=Data!$B$3),"",IF(C274=Data!$B$4,"L","S"))</f>
        <v/>
      </c>
      <c r="F274" s="186" t="str">
        <f t="shared" si="109"/>
        <v/>
      </c>
      <c r="G274" s="187" t="str">
        <f t="shared" si="100"/>
        <v/>
      </c>
      <c r="H274" s="188"/>
      <c r="I274" s="189" t="str">
        <f t="shared" si="110"/>
        <v/>
      </c>
      <c r="J274" s="189" t="str">
        <f t="shared" si="111"/>
        <v/>
      </c>
      <c r="K274" s="190" t="str">
        <f t="shared" si="112"/>
        <v/>
      </c>
      <c r="L274" s="190" t="str">
        <f t="shared" si="113"/>
        <v/>
      </c>
      <c r="M274" s="214"/>
      <c r="N274" s="214"/>
      <c r="O274" s="189" t="str">
        <f t="shared" si="114"/>
        <v/>
      </c>
      <c r="P274" s="191" t="str">
        <f t="shared" si="101"/>
        <v/>
      </c>
      <c r="Q274" s="192" t="str">
        <f t="shared" si="115"/>
        <v/>
      </c>
      <c r="R274" s="191" t="str">
        <f t="shared" si="102"/>
        <v/>
      </c>
      <c r="S274" s="193" t="str">
        <f t="shared" si="116"/>
        <v/>
      </c>
      <c r="T274" s="194" t="str">
        <f t="shared" si="103"/>
        <v/>
      </c>
      <c r="U274" s="192" t="str">
        <f t="shared" si="117"/>
        <v/>
      </c>
      <c r="V274" s="195" t="str">
        <f t="shared" si="104"/>
        <v/>
      </c>
      <c r="W274" s="195" t="str">
        <f t="shared" si="105"/>
        <v/>
      </c>
      <c r="X274" s="196" t="str">
        <f t="shared" si="118"/>
        <v/>
      </c>
      <c r="Y274" s="191" t="str">
        <f t="shared" si="99"/>
        <v/>
      </c>
      <c r="Z274" s="197" t="str">
        <f t="shared" si="106"/>
        <v/>
      </c>
      <c r="AA274" s="197" t="str">
        <f t="shared" si="107"/>
        <v/>
      </c>
      <c r="AB274" s="213"/>
      <c r="AC274" s="204"/>
    </row>
    <row r="275" spans="1:29" ht="11.4">
      <c r="A275" s="211" t="str">
        <f t="shared" si="119"/>
        <v/>
      </c>
      <c r="B275" s="211"/>
      <c r="C275" s="185"/>
      <c r="D275" s="186" t="str">
        <f t="shared" si="108"/>
        <v/>
      </c>
      <c r="E275" s="186" t="str">
        <f>IF(OR(C275="",C275=Data!$B$3),"",IF(C275=Data!$B$4,"L","S"))</f>
        <v/>
      </c>
      <c r="F275" s="186" t="str">
        <f t="shared" si="109"/>
        <v/>
      </c>
      <c r="G275" s="187" t="str">
        <f t="shared" si="100"/>
        <v/>
      </c>
      <c r="H275" s="188"/>
      <c r="I275" s="189" t="str">
        <f t="shared" si="110"/>
        <v/>
      </c>
      <c r="J275" s="189" t="str">
        <f t="shared" si="111"/>
        <v/>
      </c>
      <c r="K275" s="190" t="str">
        <f t="shared" si="112"/>
        <v/>
      </c>
      <c r="L275" s="190" t="str">
        <f t="shared" si="113"/>
        <v/>
      </c>
      <c r="M275" s="214"/>
      <c r="N275" s="214"/>
      <c r="O275" s="189" t="str">
        <f t="shared" si="114"/>
        <v/>
      </c>
      <c r="P275" s="191" t="str">
        <f t="shared" si="101"/>
        <v/>
      </c>
      <c r="Q275" s="192" t="str">
        <f t="shared" si="115"/>
        <v/>
      </c>
      <c r="R275" s="191" t="str">
        <f t="shared" si="102"/>
        <v/>
      </c>
      <c r="S275" s="193" t="str">
        <f t="shared" si="116"/>
        <v/>
      </c>
      <c r="T275" s="194" t="str">
        <f t="shared" si="103"/>
        <v/>
      </c>
      <c r="U275" s="192" t="str">
        <f t="shared" si="117"/>
        <v/>
      </c>
      <c r="V275" s="195" t="str">
        <f t="shared" si="104"/>
        <v/>
      </c>
      <c r="W275" s="195" t="str">
        <f t="shared" si="105"/>
        <v/>
      </c>
      <c r="X275" s="196" t="str">
        <f t="shared" si="118"/>
        <v/>
      </c>
      <c r="Y275" s="191" t="str">
        <f t="shared" si="99"/>
        <v/>
      </c>
      <c r="Z275" s="197" t="str">
        <f t="shared" si="106"/>
        <v/>
      </c>
      <c r="AA275" s="197" t="str">
        <f t="shared" si="107"/>
        <v/>
      </c>
      <c r="AB275" s="213"/>
      <c r="AC275" s="204"/>
    </row>
    <row r="276" spans="1:29" ht="11.4">
      <c r="A276" s="211" t="str">
        <f t="shared" si="119"/>
        <v/>
      </c>
      <c r="B276" s="211"/>
      <c r="C276" s="185"/>
      <c r="D276" s="186" t="str">
        <f t="shared" si="108"/>
        <v/>
      </c>
      <c r="E276" s="186" t="str">
        <f>IF(OR(C276="",C276=Data!$B$3),"",IF(C276=Data!$B$4,"L","S"))</f>
        <v/>
      </c>
      <c r="F276" s="186" t="str">
        <f t="shared" si="109"/>
        <v/>
      </c>
      <c r="G276" s="187" t="str">
        <f t="shared" si="100"/>
        <v/>
      </c>
      <c r="H276" s="188"/>
      <c r="I276" s="189" t="str">
        <f t="shared" si="110"/>
        <v/>
      </c>
      <c r="J276" s="189" t="str">
        <f t="shared" si="111"/>
        <v/>
      </c>
      <c r="K276" s="190" t="str">
        <f t="shared" si="112"/>
        <v/>
      </c>
      <c r="L276" s="190" t="str">
        <f t="shared" si="113"/>
        <v/>
      </c>
      <c r="M276" s="214"/>
      <c r="N276" s="214"/>
      <c r="O276" s="189" t="str">
        <f t="shared" si="114"/>
        <v/>
      </c>
      <c r="P276" s="191" t="str">
        <f t="shared" si="101"/>
        <v/>
      </c>
      <c r="Q276" s="192" t="str">
        <f t="shared" si="115"/>
        <v/>
      </c>
      <c r="R276" s="191" t="str">
        <f t="shared" si="102"/>
        <v/>
      </c>
      <c r="S276" s="193" t="str">
        <f t="shared" si="116"/>
        <v/>
      </c>
      <c r="T276" s="194" t="str">
        <f t="shared" si="103"/>
        <v/>
      </c>
      <c r="U276" s="192" t="str">
        <f t="shared" si="117"/>
        <v/>
      </c>
      <c r="V276" s="195" t="str">
        <f t="shared" si="104"/>
        <v/>
      </c>
      <c r="W276" s="195" t="str">
        <f t="shared" si="105"/>
        <v/>
      </c>
      <c r="X276" s="196" t="str">
        <f t="shared" si="118"/>
        <v/>
      </c>
      <c r="Y276" s="191" t="str">
        <f t="shared" ref="Y276:Y339" si="120">IF(Y275="","",IF(T276="","",Y275+T276))</f>
        <v/>
      </c>
      <c r="Z276" s="197" t="str">
        <f t="shared" si="106"/>
        <v/>
      </c>
      <c r="AA276" s="197" t="str">
        <f t="shared" si="107"/>
        <v/>
      </c>
      <c r="AB276" s="213"/>
      <c r="AC276" s="204"/>
    </row>
    <row r="277" spans="1:29" ht="11.4">
      <c r="A277" s="211" t="str">
        <f t="shared" si="119"/>
        <v/>
      </c>
      <c r="B277" s="211"/>
      <c r="C277" s="185"/>
      <c r="D277" s="186" t="str">
        <f t="shared" si="108"/>
        <v/>
      </c>
      <c r="E277" s="186" t="str">
        <f>IF(OR(C277="",C277=Data!$B$3),"",IF(C277=Data!$B$4,"L","S"))</f>
        <v/>
      </c>
      <c r="F277" s="186" t="str">
        <f t="shared" si="109"/>
        <v/>
      </c>
      <c r="G277" s="187" t="str">
        <f t="shared" si="100"/>
        <v/>
      </c>
      <c r="H277" s="188"/>
      <c r="I277" s="189" t="str">
        <f t="shared" si="110"/>
        <v/>
      </c>
      <c r="J277" s="189" t="str">
        <f t="shared" si="111"/>
        <v/>
      </c>
      <c r="K277" s="190" t="str">
        <f t="shared" si="112"/>
        <v/>
      </c>
      <c r="L277" s="190" t="str">
        <f t="shared" si="113"/>
        <v/>
      </c>
      <c r="M277" s="214"/>
      <c r="N277" s="214"/>
      <c r="O277" s="189" t="str">
        <f t="shared" si="114"/>
        <v/>
      </c>
      <c r="P277" s="191" t="str">
        <f t="shared" si="101"/>
        <v/>
      </c>
      <c r="Q277" s="192" t="str">
        <f t="shared" si="115"/>
        <v/>
      </c>
      <c r="R277" s="191" t="str">
        <f t="shared" si="102"/>
        <v/>
      </c>
      <c r="S277" s="193" t="str">
        <f t="shared" si="116"/>
        <v/>
      </c>
      <c r="T277" s="194" t="str">
        <f t="shared" si="103"/>
        <v/>
      </c>
      <c r="U277" s="192" t="str">
        <f t="shared" si="117"/>
        <v/>
      </c>
      <c r="V277" s="195" t="str">
        <f t="shared" si="104"/>
        <v/>
      </c>
      <c r="W277" s="195" t="str">
        <f t="shared" si="105"/>
        <v/>
      </c>
      <c r="X277" s="196" t="str">
        <f t="shared" si="118"/>
        <v/>
      </c>
      <c r="Y277" s="191" t="str">
        <f t="shared" si="120"/>
        <v/>
      </c>
      <c r="Z277" s="197" t="str">
        <f t="shared" si="106"/>
        <v/>
      </c>
      <c r="AA277" s="197" t="str">
        <f t="shared" si="107"/>
        <v/>
      </c>
      <c r="AB277" s="213"/>
      <c r="AC277" s="204"/>
    </row>
    <row r="278" spans="1:29" ht="11.4">
      <c r="A278" s="211" t="str">
        <f t="shared" si="119"/>
        <v/>
      </c>
      <c r="B278" s="211"/>
      <c r="C278" s="185"/>
      <c r="D278" s="186" t="str">
        <f t="shared" si="108"/>
        <v/>
      </c>
      <c r="E278" s="186" t="str">
        <f>IF(OR(C278="",C278=Data!$B$3),"",IF(C278=Data!$B$4,"L","S"))</f>
        <v/>
      </c>
      <c r="F278" s="186" t="str">
        <f t="shared" si="109"/>
        <v/>
      </c>
      <c r="G278" s="187" t="str">
        <f t="shared" si="100"/>
        <v/>
      </c>
      <c r="H278" s="188"/>
      <c r="I278" s="189" t="str">
        <f t="shared" si="110"/>
        <v/>
      </c>
      <c r="J278" s="189" t="str">
        <f t="shared" si="111"/>
        <v/>
      </c>
      <c r="K278" s="190" t="str">
        <f t="shared" si="112"/>
        <v/>
      </c>
      <c r="L278" s="190" t="str">
        <f t="shared" si="113"/>
        <v/>
      </c>
      <c r="M278" s="214"/>
      <c r="N278" s="214"/>
      <c r="O278" s="189" t="str">
        <f t="shared" si="114"/>
        <v/>
      </c>
      <c r="P278" s="191" t="str">
        <f t="shared" si="101"/>
        <v/>
      </c>
      <c r="Q278" s="192" t="str">
        <f t="shared" si="115"/>
        <v/>
      </c>
      <c r="R278" s="191" t="str">
        <f t="shared" si="102"/>
        <v/>
      </c>
      <c r="S278" s="193" t="str">
        <f t="shared" si="116"/>
        <v/>
      </c>
      <c r="T278" s="194" t="str">
        <f t="shared" si="103"/>
        <v/>
      </c>
      <c r="U278" s="192" t="str">
        <f t="shared" si="117"/>
        <v/>
      </c>
      <c r="V278" s="195" t="str">
        <f t="shared" si="104"/>
        <v/>
      </c>
      <c r="W278" s="195" t="str">
        <f t="shared" si="105"/>
        <v/>
      </c>
      <c r="X278" s="196" t="str">
        <f t="shared" si="118"/>
        <v/>
      </c>
      <c r="Y278" s="191" t="str">
        <f t="shared" si="120"/>
        <v/>
      </c>
      <c r="Z278" s="197" t="str">
        <f t="shared" si="106"/>
        <v/>
      </c>
      <c r="AA278" s="197" t="str">
        <f t="shared" si="107"/>
        <v/>
      </c>
      <c r="AB278" s="213"/>
      <c r="AC278" s="204"/>
    </row>
    <row r="279" spans="1:29" ht="11.4">
      <c r="A279" s="211" t="str">
        <f t="shared" si="119"/>
        <v/>
      </c>
      <c r="B279" s="211"/>
      <c r="C279" s="185"/>
      <c r="D279" s="186" t="str">
        <f t="shared" si="108"/>
        <v/>
      </c>
      <c r="E279" s="186" t="str">
        <f>IF(OR(C279="",C279=Data!$B$3),"",IF(C279=Data!$B$4,"L","S"))</f>
        <v/>
      </c>
      <c r="F279" s="186" t="str">
        <f t="shared" si="109"/>
        <v/>
      </c>
      <c r="G279" s="187" t="str">
        <f t="shared" si="100"/>
        <v/>
      </c>
      <c r="H279" s="188"/>
      <c r="I279" s="189" t="str">
        <f t="shared" si="110"/>
        <v/>
      </c>
      <c r="J279" s="189" t="str">
        <f t="shared" si="111"/>
        <v/>
      </c>
      <c r="K279" s="190" t="str">
        <f t="shared" si="112"/>
        <v/>
      </c>
      <c r="L279" s="190" t="str">
        <f t="shared" si="113"/>
        <v/>
      </c>
      <c r="M279" s="214"/>
      <c r="N279" s="214"/>
      <c r="O279" s="189" t="str">
        <f t="shared" si="114"/>
        <v/>
      </c>
      <c r="P279" s="191" t="str">
        <f t="shared" si="101"/>
        <v/>
      </c>
      <c r="Q279" s="192" t="str">
        <f t="shared" si="115"/>
        <v/>
      </c>
      <c r="R279" s="191" t="str">
        <f t="shared" si="102"/>
        <v/>
      </c>
      <c r="S279" s="193" t="str">
        <f t="shared" si="116"/>
        <v/>
      </c>
      <c r="T279" s="194" t="str">
        <f t="shared" si="103"/>
        <v/>
      </c>
      <c r="U279" s="192" t="str">
        <f t="shared" si="117"/>
        <v/>
      </c>
      <c r="V279" s="195" t="str">
        <f t="shared" si="104"/>
        <v/>
      </c>
      <c r="W279" s="195" t="str">
        <f t="shared" si="105"/>
        <v/>
      </c>
      <c r="X279" s="196" t="str">
        <f t="shared" si="118"/>
        <v/>
      </c>
      <c r="Y279" s="191" t="str">
        <f t="shared" si="120"/>
        <v/>
      </c>
      <c r="Z279" s="197" t="str">
        <f t="shared" si="106"/>
        <v/>
      </c>
      <c r="AA279" s="197" t="str">
        <f t="shared" si="107"/>
        <v/>
      </c>
      <c r="AB279" s="213"/>
      <c r="AC279" s="204"/>
    </row>
    <row r="280" spans="1:29" ht="11.4">
      <c r="A280" s="211" t="str">
        <f t="shared" si="119"/>
        <v/>
      </c>
      <c r="B280" s="211"/>
      <c r="C280" s="185"/>
      <c r="D280" s="186" t="str">
        <f t="shared" si="108"/>
        <v/>
      </c>
      <c r="E280" s="186" t="str">
        <f>IF(OR(C280="",C280=Data!$B$3),"",IF(C280=Data!$B$4,"L","S"))</f>
        <v/>
      </c>
      <c r="F280" s="186" t="str">
        <f t="shared" si="109"/>
        <v/>
      </c>
      <c r="G280" s="187" t="str">
        <f t="shared" si="100"/>
        <v/>
      </c>
      <c r="H280" s="188"/>
      <c r="I280" s="189" t="str">
        <f t="shared" si="110"/>
        <v/>
      </c>
      <c r="J280" s="189" t="str">
        <f t="shared" si="111"/>
        <v/>
      </c>
      <c r="K280" s="190" t="str">
        <f t="shared" si="112"/>
        <v/>
      </c>
      <c r="L280" s="190" t="str">
        <f t="shared" si="113"/>
        <v/>
      </c>
      <c r="M280" s="214"/>
      <c r="N280" s="214"/>
      <c r="O280" s="189" t="str">
        <f t="shared" si="114"/>
        <v/>
      </c>
      <c r="P280" s="191" t="str">
        <f t="shared" si="101"/>
        <v/>
      </c>
      <c r="Q280" s="192" t="str">
        <f t="shared" si="115"/>
        <v/>
      </c>
      <c r="R280" s="191" t="str">
        <f t="shared" si="102"/>
        <v/>
      </c>
      <c r="S280" s="193" t="str">
        <f t="shared" si="116"/>
        <v/>
      </c>
      <c r="T280" s="194" t="str">
        <f t="shared" si="103"/>
        <v/>
      </c>
      <c r="U280" s="192" t="str">
        <f t="shared" si="117"/>
        <v/>
      </c>
      <c r="V280" s="195" t="str">
        <f t="shared" si="104"/>
        <v/>
      </c>
      <c r="W280" s="195" t="str">
        <f t="shared" si="105"/>
        <v/>
      </c>
      <c r="X280" s="196" t="str">
        <f t="shared" si="118"/>
        <v/>
      </c>
      <c r="Y280" s="191" t="str">
        <f t="shared" si="120"/>
        <v/>
      </c>
      <c r="Z280" s="197" t="str">
        <f t="shared" si="106"/>
        <v/>
      </c>
      <c r="AA280" s="197" t="str">
        <f t="shared" si="107"/>
        <v/>
      </c>
      <c r="AB280" s="213"/>
      <c r="AC280" s="204"/>
    </row>
    <row r="281" spans="1:29" ht="11.4">
      <c r="A281" s="211" t="str">
        <f t="shared" si="119"/>
        <v/>
      </c>
      <c r="B281" s="211"/>
      <c r="C281" s="185"/>
      <c r="D281" s="186" t="str">
        <f t="shared" si="108"/>
        <v/>
      </c>
      <c r="E281" s="186" t="str">
        <f>IF(OR(C281="",C281=Data!$B$3),"",IF(C281=Data!$B$4,"L","S"))</f>
        <v/>
      </c>
      <c r="F281" s="186" t="str">
        <f t="shared" si="109"/>
        <v/>
      </c>
      <c r="G281" s="187" t="str">
        <f t="shared" si="100"/>
        <v/>
      </c>
      <c r="H281" s="188"/>
      <c r="I281" s="189" t="str">
        <f t="shared" si="110"/>
        <v/>
      </c>
      <c r="J281" s="189" t="str">
        <f t="shared" si="111"/>
        <v/>
      </c>
      <c r="K281" s="190" t="str">
        <f t="shared" si="112"/>
        <v/>
      </c>
      <c r="L281" s="190" t="str">
        <f t="shared" si="113"/>
        <v/>
      </c>
      <c r="M281" s="214"/>
      <c r="N281" s="214"/>
      <c r="O281" s="189" t="str">
        <f t="shared" si="114"/>
        <v/>
      </c>
      <c r="P281" s="191" t="str">
        <f t="shared" si="101"/>
        <v/>
      </c>
      <c r="Q281" s="192" t="str">
        <f t="shared" si="115"/>
        <v/>
      </c>
      <c r="R281" s="191" t="str">
        <f t="shared" si="102"/>
        <v/>
      </c>
      <c r="S281" s="193" t="str">
        <f t="shared" si="116"/>
        <v/>
      </c>
      <c r="T281" s="194" t="str">
        <f t="shared" si="103"/>
        <v/>
      </c>
      <c r="U281" s="192" t="str">
        <f t="shared" si="117"/>
        <v/>
      </c>
      <c r="V281" s="195" t="str">
        <f t="shared" si="104"/>
        <v/>
      </c>
      <c r="W281" s="195" t="str">
        <f t="shared" si="105"/>
        <v/>
      </c>
      <c r="X281" s="196" t="str">
        <f t="shared" si="118"/>
        <v/>
      </c>
      <c r="Y281" s="191" t="str">
        <f t="shared" si="120"/>
        <v/>
      </c>
      <c r="Z281" s="197" t="str">
        <f t="shared" si="106"/>
        <v/>
      </c>
      <c r="AA281" s="197" t="str">
        <f t="shared" si="107"/>
        <v/>
      </c>
      <c r="AB281" s="213"/>
      <c r="AC281" s="204"/>
    </row>
    <row r="282" spans="1:29" ht="11.4">
      <c r="A282" s="211" t="str">
        <f t="shared" si="119"/>
        <v/>
      </c>
      <c r="B282" s="211"/>
      <c r="C282" s="185"/>
      <c r="D282" s="186" t="str">
        <f t="shared" si="108"/>
        <v/>
      </c>
      <c r="E282" s="186" t="str">
        <f>IF(OR(C282="",C282=Data!$B$3),"",IF(C282=Data!$B$4,"L","S"))</f>
        <v/>
      </c>
      <c r="F282" s="186" t="str">
        <f t="shared" si="109"/>
        <v/>
      </c>
      <c r="G282" s="187" t="str">
        <f t="shared" si="100"/>
        <v/>
      </c>
      <c r="H282" s="188"/>
      <c r="I282" s="189" t="str">
        <f t="shared" si="110"/>
        <v/>
      </c>
      <c r="J282" s="189" t="str">
        <f t="shared" si="111"/>
        <v/>
      </c>
      <c r="K282" s="190" t="str">
        <f t="shared" si="112"/>
        <v/>
      </c>
      <c r="L282" s="190" t="str">
        <f t="shared" si="113"/>
        <v/>
      </c>
      <c r="M282" s="214"/>
      <c r="N282" s="214"/>
      <c r="O282" s="189" t="str">
        <f t="shared" si="114"/>
        <v/>
      </c>
      <c r="P282" s="191" t="str">
        <f t="shared" si="101"/>
        <v/>
      </c>
      <c r="Q282" s="192" t="str">
        <f t="shared" si="115"/>
        <v/>
      </c>
      <c r="R282" s="191" t="str">
        <f t="shared" si="102"/>
        <v/>
      </c>
      <c r="S282" s="193" t="str">
        <f t="shared" si="116"/>
        <v/>
      </c>
      <c r="T282" s="194" t="str">
        <f t="shared" si="103"/>
        <v/>
      </c>
      <c r="U282" s="192" t="str">
        <f t="shared" si="117"/>
        <v/>
      </c>
      <c r="V282" s="195" t="str">
        <f t="shared" si="104"/>
        <v/>
      </c>
      <c r="W282" s="195" t="str">
        <f t="shared" si="105"/>
        <v/>
      </c>
      <c r="X282" s="196" t="str">
        <f t="shared" si="118"/>
        <v/>
      </c>
      <c r="Y282" s="191" t="str">
        <f t="shared" si="120"/>
        <v/>
      </c>
      <c r="Z282" s="197" t="str">
        <f t="shared" si="106"/>
        <v/>
      </c>
      <c r="AA282" s="197" t="str">
        <f t="shared" si="107"/>
        <v/>
      </c>
      <c r="AB282" s="213"/>
      <c r="AC282" s="204"/>
    </row>
    <row r="283" spans="1:29" ht="11.4">
      <c r="A283" s="211" t="str">
        <f t="shared" si="119"/>
        <v/>
      </c>
      <c r="B283" s="211"/>
      <c r="C283" s="185"/>
      <c r="D283" s="186" t="str">
        <f t="shared" si="108"/>
        <v/>
      </c>
      <c r="E283" s="186" t="str">
        <f>IF(OR(C283="",C283=Data!$B$3),"",IF(C283=Data!$B$4,"L","S"))</f>
        <v/>
      </c>
      <c r="F283" s="186" t="str">
        <f t="shared" si="109"/>
        <v/>
      </c>
      <c r="G283" s="187" t="str">
        <f t="shared" si="100"/>
        <v/>
      </c>
      <c r="H283" s="188"/>
      <c r="I283" s="189" t="str">
        <f t="shared" si="110"/>
        <v/>
      </c>
      <c r="J283" s="189" t="str">
        <f t="shared" si="111"/>
        <v/>
      </c>
      <c r="K283" s="190" t="str">
        <f t="shared" si="112"/>
        <v/>
      </c>
      <c r="L283" s="190" t="str">
        <f t="shared" si="113"/>
        <v/>
      </c>
      <c r="M283" s="214"/>
      <c r="N283" s="214"/>
      <c r="O283" s="189" t="str">
        <f t="shared" si="114"/>
        <v/>
      </c>
      <c r="P283" s="191" t="str">
        <f t="shared" si="101"/>
        <v/>
      </c>
      <c r="Q283" s="192" t="str">
        <f t="shared" si="115"/>
        <v/>
      </c>
      <c r="R283" s="191" t="str">
        <f t="shared" si="102"/>
        <v/>
      </c>
      <c r="S283" s="193" t="str">
        <f t="shared" si="116"/>
        <v/>
      </c>
      <c r="T283" s="194" t="str">
        <f t="shared" si="103"/>
        <v/>
      </c>
      <c r="U283" s="192" t="str">
        <f t="shared" si="117"/>
        <v/>
      </c>
      <c r="V283" s="195" t="str">
        <f t="shared" si="104"/>
        <v/>
      </c>
      <c r="W283" s="195" t="str">
        <f t="shared" si="105"/>
        <v/>
      </c>
      <c r="X283" s="196" t="str">
        <f t="shared" si="118"/>
        <v/>
      </c>
      <c r="Y283" s="191" t="str">
        <f t="shared" si="120"/>
        <v/>
      </c>
      <c r="Z283" s="197" t="str">
        <f t="shared" si="106"/>
        <v/>
      </c>
      <c r="AA283" s="197" t="str">
        <f t="shared" si="107"/>
        <v/>
      </c>
      <c r="AB283" s="213"/>
      <c r="AC283" s="204"/>
    </row>
    <row r="284" spans="1:29" ht="11.4">
      <c r="A284" s="211" t="str">
        <f t="shared" si="119"/>
        <v/>
      </c>
      <c r="B284" s="211"/>
      <c r="C284" s="185"/>
      <c r="D284" s="186" t="str">
        <f t="shared" si="108"/>
        <v/>
      </c>
      <c r="E284" s="186" t="str">
        <f>IF(OR(C284="",C284=Data!$B$3),"",IF(C284=Data!$B$4,"L","S"))</f>
        <v/>
      </c>
      <c r="F284" s="186" t="str">
        <f t="shared" si="109"/>
        <v/>
      </c>
      <c r="G284" s="187" t="str">
        <f t="shared" si="100"/>
        <v/>
      </c>
      <c r="H284" s="188"/>
      <c r="I284" s="189" t="str">
        <f t="shared" si="110"/>
        <v/>
      </c>
      <c r="J284" s="189" t="str">
        <f t="shared" si="111"/>
        <v/>
      </c>
      <c r="K284" s="190" t="str">
        <f t="shared" si="112"/>
        <v/>
      </c>
      <c r="L284" s="190" t="str">
        <f t="shared" si="113"/>
        <v/>
      </c>
      <c r="M284" s="214"/>
      <c r="N284" s="214"/>
      <c r="O284" s="189" t="str">
        <f t="shared" si="114"/>
        <v/>
      </c>
      <c r="P284" s="191" t="str">
        <f t="shared" si="101"/>
        <v/>
      </c>
      <c r="Q284" s="192" t="str">
        <f t="shared" si="115"/>
        <v/>
      </c>
      <c r="R284" s="191" t="str">
        <f t="shared" si="102"/>
        <v/>
      </c>
      <c r="S284" s="193" t="str">
        <f t="shared" si="116"/>
        <v/>
      </c>
      <c r="T284" s="194" t="str">
        <f t="shared" si="103"/>
        <v/>
      </c>
      <c r="U284" s="192" t="str">
        <f t="shared" si="117"/>
        <v/>
      </c>
      <c r="V284" s="195" t="str">
        <f t="shared" si="104"/>
        <v/>
      </c>
      <c r="W284" s="195" t="str">
        <f t="shared" si="105"/>
        <v/>
      </c>
      <c r="X284" s="196" t="str">
        <f t="shared" si="118"/>
        <v/>
      </c>
      <c r="Y284" s="191" t="str">
        <f t="shared" si="120"/>
        <v/>
      </c>
      <c r="Z284" s="197" t="str">
        <f t="shared" si="106"/>
        <v/>
      </c>
      <c r="AA284" s="197" t="str">
        <f t="shared" si="107"/>
        <v/>
      </c>
      <c r="AB284" s="213"/>
      <c r="AC284" s="204"/>
    </row>
    <row r="285" spans="1:29" ht="11.4">
      <c r="A285" s="211" t="str">
        <f t="shared" si="119"/>
        <v/>
      </c>
      <c r="B285" s="211"/>
      <c r="C285" s="185"/>
      <c r="D285" s="186" t="str">
        <f t="shared" si="108"/>
        <v/>
      </c>
      <c r="E285" s="186" t="str">
        <f>IF(OR(C285="",C285=Data!$B$3),"",IF(C285=Data!$B$4,"L","S"))</f>
        <v/>
      </c>
      <c r="F285" s="186" t="str">
        <f t="shared" si="109"/>
        <v/>
      </c>
      <c r="G285" s="187" t="str">
        <f t="shared" si="100"/>
        <v/>
      </c>
      <c r="H285" s="188"/>
      <c r="I285" s="189" t="str">
        <f t="shared" si="110"/>
        <v/>
      </c>
      <c r="J285" s="189" t="str">
        <f t="shared" si="111"/>
        <v/>
      </c>
      <c r="K285" s="190" t="str">
        <f t="shared" si="112"/>
        <v/>
      </c>
      <c r="L285" s="190" t="str">
        <f t="shared" si="113"/>
        <v/>
      </c>
      <c r="M285" s="214"/>
      <c r="N285" s="214"/>
      <c r="O285" s="189" t="str">
        <f t="shared" si="114"/>
        <v/>
      </c>
      <c r="P285" s="191" t="str">
        <f t="shared" si="101"/>
        <v/>
      </c>
      <c r="Q285" s="192" t="str">
        <f t="shared" si="115"/>
        <v/>
      </c>
      <c r="R285" s="191" t="str">
        <f t="shared" si="102"/>
        <v/>
      </c>
      <c r="S285" s="193" t="str">
        <f t="shared" si="116"/>
        <v/>
      </c>
      <c r="T285" s="194" t="str">
        <f t="shared" si="103"/>
        <v/>
      </c>
      <c r="U285" s="192" t="str">
        <f t="shared" si="117"/>
        <v/>
      </c>
      <c r="V285" s="195" t="str">
        <f t="shared" si="104"/>
        <v/>
      </c>
      <c r="W285" s="195" t="str">
        <f t="shared" si="105"/>
        <v/>
      </c>
      <c r="X285" s="196" t="str">
        <f t="shared" si="118"/>
        <v/>
      </c>
      <c r="Y285" s="191" t="str">
        <f t="shared" si="120"/>
        <v/>
      </c>
      <c r="Z285" s="197" t="str">
        <f t="shared" si="106"/>
        <v/>
      </c>
      <c r="AA285" s="197" t="str">
        <f t="shared" si="107"/>
        <v/>
      </c>
      <c r="AB285" s="213"/>
      <c r="AC285" s="204"/>
    </row>
    <row r="286" spans="1:29" ht="11.4">
      <c r="A286" s="211" t="str">
        <f t="shared" si="119"/>
        <v/>
      </c>
      <c r="B286" s="211"/>
      <c r="C286" s="185"/>
      <c r="D286" s="186" t="str">
        <f t="shared" si="108"/>
        <v/>
      </c>
      <c r="E286" s="186" t="str">
        <f>IF(OR(C286="",C286=Data!$B$3),"",IF(C286=Data!$B$4,"L","S"))</f>
        <v/>
      </c>
      <c r="F286" s="186" t="str">
        <f t="shared" si="109"/>
        <v/>
      </c>
      <c r="G286" s="187" t="str">
        <f t="shared" si="100"/>
        <v/>
      </c>
      <c r="H286" s="188"/>
      <c r="I286" s="189" t="str">
        <f t="shared" si="110"/>
        <v/>
      </c>
      <c r="J286" s="189" t="str">
        <f t="shared" si="111"/>
        <v/>
      </c>
      <c r="K286" s="190" t="str">
        <f t="shared" si="112"/>
        <v/>
      </c>
      <c r="L286" s="190" t="str">
        <f t="shared" si="113"/>
        <v/>
      </c>
      <c r="M286" s="214"/>
      <c r="N286" s="214"/>
      <c r="O286" s="189" t="str">
        <f t="shared" si="114"/>
        <v/>
      </c>
      <c r="P286" s="191" t="str">
        <f t="shared" si="101"/>
        <v/>
      </c>
      <c r="Q286" s="192" t="str">
        <f t="shared" si="115"/>
        <v/>
      </c>
      <c r="R286" s="191" t="str">
        <f t="shared" si="102"/>
        <v/>
      </c>
      <c r="S286" s="193" t="str">
        <f t="shared" si="116"/>
        <v/>
      </c>
      <c r="T286" s="194" t="str">
        <f t="shared" si="103"/>
        <v/>
      </c>
      <c r="U286" s="192" t="str">
        <f t="shared" si="117"/>
        <v/>
      </c>
      <c r="V286" s="195" t="str">
        <f t="shared" si="104"/>
        <v/>
      </c>
      <c r="W286" s="195" t="str">
        <f t="shared" si="105"/>
        <v/>
      </c>
      <c r="X286" s="196" t="str">
        <f t="shared" si="118"/>
        <v/>
      </c>
      <c r="Y286" s="191" t="str">
        <f t="shared" si="120"/>
        <v/>
      </c>
      <c r="Z286" s="197" t="str">
        <f t="shared" si="106"/>
        <v/>
      </c>
      <c r="AA286" s="197" t="str">
        <f t="shared" si="107"/>
        <v/>
      </c>
      <c r="AB286" s="213"/>
      <c r="AC286" s="204"/>
    </row>
    <row r="287" spans="1:29" ht="11.4">
      <c r="A287" s="211" t="str">
        <f t="shared" si="119"/>
        <v/>
      </c>
      <c r="B287" s="211"/>
      <c r="C287" s="185"/>
      <c r="D287" s="186" t="str">
        <f t="shared" si="108"/>
        <v/>
      </c>
      <c r="E287" s="186" t="str">
        <f>IF(OR(C287="",C287=Data!$B$3),"",IF(C287=Data!$B$4,"L","S"))</f>
        <v/>
      </c>
      <c r="F287" s="186" t="str">
        <f t="shared" si="109"/>
        <v/>
      </c>
      <c r="G287" s="187" t="str">
        <f t="shared" si="100"/>
        <v/>
      </c>
      <c r="H287" s="188"/>
      <c r="I287" s="189" t="str">
        <f t="shared" si="110"/>
        <v/>
      </c>
      <c r="J287" s="189" t="str">
        <f t="shared" si="111"/>
        <v/>
      </c>
      <c r="K287" s="190" t="str">
        <f t="shared" si="112"/>
        <v/>
      </c>
      <c r="L287" s="190" t="str">
        <f t="shared" si="113"/>
        <v/>
      </c>
      <c r="M287" s="214"/>
      <c r="N287" s="214"/>
      <c r="O287" s="189" t="str">
        <f t="shared" si="114"/>
        <v/>
      </c>
      <c r="P287" s="191" t="str">
        <f t="shared" si="101"/>
        <v/>
      </c>
      <c r="Q287" s="192" t="str">
        <f t="shared" si="115"/>
        <v/>
      </c>
      <c r="R287" s="191" t="str">
        <f t="shared" si="102"/>
        <v/>
      </c>
      <c r="S287" s="193" t="str">
        <f t="shared" si="116"/>
        <v/>
      </c>
      <c r="T287" s="194" t="str">
        <f t="shared" si="103"/>
        <v/>
      </c>
      <c r="U287" s="192" t="str">
        <f t="shared" si="117"/>
        <v/>
      </c>
      <c r="V287" s="195" t="str">
        <f t="shared" si="104"/>
        <v/>
      </c>
      <c r="W287" s="195" t="str">
        <f t="shared" si="105"/>
        <v/>
      </c>
      <c r="X287" s="196" t="str">
        <f t="shared" si="118"/>
        <v/>
      </c>
      <c r="Y287" s="191" t="str">
        <f t="shared" si="120"/>
        <v/>
      </c>
      <c r="Z287" s="197" t="str">
        <f t="shared" si="106"/>
        <v/>
      </c>
      <c r="AA287" s="197" t="str">
        <f t="shared" si="107"/>
        <v/>
      </c>
      <c r="AB287" s="213"/>
      <c r="AC287" s="204"/>
    </row>
    <row r="288" spans="1:29" ht="11.4">
      <c r="A288" s="211" t="str">
        <f t="shared" si="119"/>
        <v/>
      </c>
      <c r="B288" s="211"/>
      <c r="C288" s="185"/>
      <c r="D288" s="186" t="str">
        <f t="shared" si="108"/>
        <v/>
      </c>
      <c r="E288" s="186" t="str">
        <f>IF(OR(C288="",C288=Data!$B$3),"",IF(C288=Data!$B$4,"L","S"))</f>
        <v/>
      </c>
      <c r="F288" s="186" t="str">
        <f t="shared" si="109"/>
        <v/>
      </c>
      <c r="G288" s="187" t="str">
        <f t="shared" si="100"/>
        <v/>
      </c>
      <c r="H288" s="188"/>
      <c r="I288" s="189" t="str">
        <f t="shared" si="110"/>
        <v/>
      </c>
      <c r="J288" s="189" t="str">
        <f t="shared" si="111"/>
        <v/>
      </c>
      <c r="K288" s="190" t="str">
        <f t="shared" si="112"/>
        <v/>
      </c>
      <c r="L288" s="190" t="str">
        <f t="shared" si="113"/>
        <v/>
      </c>
      <c r="M288" s="214"/>
      <c r="N288" s="214"/>
      <c r="O288" s="189" t="str">
        <f t="shared" si="114"/>
        <v/>
      </c>
      <c r="P288" s="191" t="str">
        <f t="shared" si="101"/>
        <v/>
      </c>
      <c r="Q288" s="192" t="str">
        <f t="shared" si="115"/>
        <v/>
      </c>
      <c r="R288" s="191" t="str">
        <f t="shared" si="102"/>
        <v/>
      </c>
      <c r="S288" s="193" t="str">
        <f t="shared" si="116"/>
        <v/>
      </c>
      <c r="T288" s="194" t="str">
        <f t="shared" si="103"/>
        <v/>
      </c>
      <c r="U288" s="192" t="str">
        <f t="shared" si="117"/>
        <v/>
      </c>
      <c r="V288" s="195" t="str">
        <f t="shared" si="104"/>
        <v/>
      </c>
      <c r="W288" s="195" t="str">
        <f t="shared" si="105"/>
        <v/>
      </c>
      <c r="X288" s="196" t="str">
        <f t="shared" si="118"/>
        <v/>
      </c>
      <c r="Y288" s="191" t="str">
        <f t="shared" si="120"/>
        <v/>
      </c>
      <c r="Z288" s="197" t="str">
        <f t="shared" si="106"/>
        <v/>
      </c>
      <c r="AA288" s="197" t="str">
        <f t="shared" si="107"/>
        <v/>
      </c>
      <c r="AB288" s="213"/>
      <c r="AC288" s="204"/>
    </row>
    <row r="289" spans="1:29" ht="11.4">
      <c r="A289" s="211" t="str">
        <f t="shared" si="119"/>
        <v/>
      </c>
      <c r="B289" s="211"/>
      <c r="C289" s="185"/>
      <c r="D289" s="186" t="str">
        <f t="shared" si="108"/>
        <v/>
      </c>
      <c r="E289" s="186" t="str">
        <f>IF(OR(C289="",C289=Data!$B$3),"",IF(C289=Data!$B$4,"L","S"))</f>
        <v/>
      </c>
      <c r="F289" s="186" t="str">
        <f t="shared" si="109"/>
        <v/>
      </c>
      <c r="G289" s="187" t="str">
        <f t="shared" si="100"/>
        <v/>
      </c>
      <c r="H289" s="188"/>
      <c r="I289" s="189" t="str">
        <f t="shared" si="110"/>
        <v/>
      </c>
      <c r="J289" s="189" t="str">
        <f t="shared" si="111"/>
        <v/>
      </c>
      <c r="K289" s="190" t="str">
        <f t="shared" si="112"/>
        <v/>
      </c>
      <c r="L289" s="190" t="str">
        <f t="shared" si="113"/>
        <v/>
      </c>
      <c r="M289" s="214"/>
      <c r="N289" s="214"/>
      <c r="O289" s="189" t="str">
        <f t="shared" si="114"/>
        <v/>
      </c>
      <c r="P289" s="191" t="str">
        <f t="shared" si="101"/>
        <v/>
      </c>
      <c r="Q289" s="192" t="str">
        <f t="shared" si="115"/>
        <v/>
      </c>
      <c r="R289" s="191" t="str">
        <f t="shared" si="102"/>
        <v/>
      </c>
      <c r="S289" s="193" t="str">
        <f t="shared" si="116"/>
        <v/>
      </c>
      <c r="T289" s="194" t="str">
        <f t="shared" si="103"/>
        <v/>
      </c>
      <c r="U289" s="192" t="str">
        <f t="shared" si="117"/>
        <v/>
      </c>
      <c r="V289" s="195" t="str">
        <f t="shared" si="104"/>
        <v/>
      </c>
      <c r="W289" s="195" t="str">
        <f t="shared" si="105"/>
        <v/>
      </c>
      <c r="X289" s="196" t="str">
        <f t="shared" si="118"/>
        <v/>
      </c>
      <c r="Y289" s="191" t="str">
        <f t="shared" si="120"/>
        <v/>
      </c>
      <c r="Z289" s="197" t="str">
        <f t="shared" si="106"/>
        <v/>
      </c>
      <c r="AA289" s="197" t="str">
        <f t="shared" si="107"/>
        <v/>
      </c>
      <c r="AB289" s="213"/>
      <c r="AC289" s="204"/>
    </row>
    <row r="290" spans="1:29" ht="11.4">
      <c r="A290" s="211" t="str">
        <f t="shared" si="119"/>
        <v/>
      </c>
      <c r="B290" s="211"/>
      <c r="C290" s="185"/>
      <c r="D290" s="186" t="str">
        <f t="shared" si="108"/>
        <v/>
      </c>
      <c r="E290" s="186" t="str">
        <f>IF(OR(C290="",C290=Data!$B$3),"",IF(C290=Data!$B$4,"L","S"))</f>
        <v/>
      </c>
      <c r="F290" s="186" t="str">
        <f t="shared" si="109"/>
        <v/>
      </c>
      <c r="G290" s="187" t="str">
        <f t="shared" si="100"/>
        <v/>
      </c>
      <c r="H290" s="188"/>
      <c r="I290" s="189" t="str">
        <f t="shared" si="110"/>
        <v/>
      </c>
      <c r="J290" s="189" t="str">
        <f t="shared" si="111"/>
        <v/>
      </c>
      <c r="K290" s="190" t="str">
        <f t="shared" si="112"/>
        <v/>
      </c>
      <c r="L290" s="190" t="str">
        <f t="shared" si="113"/>
        <v/>
      </c>
      <c r="M290" s="214"/>
      <c r="N290" s="214"/>
      <c r="O290" s="189" t="str">
        <f t="shared" si="114"/>
        <v/>
      </c>
      <c r="P290" s="191" t="str">
        <f t="shared" si="101"/>
        <v/>
      </c>
      <c r="Q290" s="192" t="str">
        <f t="shared" si="115"/>
        <v/>
      </c>
      <c r="R290" s="191" t="str">
        <f t="shared" si="102"/>
        <v/>
      </c>
      <c r="S290" s="193" t="str">
        <f t="shared" si="116"/>
        <v/>
      </c>
      <c r="T290" s="194" t="str">
        <f t="shared" si="103"/>
        <v/>
      </c>
      <c r="U290" s="192" t="str">
        <f t="shared" si="117"/>
        <v/>
      </c>
      <c r="V290" s="195" t="str">
        <f t="shared" si="104"/>
        <v/>
      </c>
      <c r="W290" s="195" t="str">
        <f t="shared" si="105"/>
        <v/>
      </c>
      <c r="X290" s="196" t="str">
        <f t="shared" si="118"/>
        <v/>
      </c>
      <c r="Y290" s="191" t="str">
        <f t="shared" si="120"/>
        <v/>
      </c>
      <c r="Z290" s="197" t="str">
        <f t="shared" si="106"/>
        <v/>
      </c>
      <c r="AA290" s="197" t="str">
        <f t="shared" si="107"/>
        <v/>
      </c>
      <c r="AB290" s="213"/>
      <c r="AC290" s="204"/>
    </row>
    <row r="291" spans="1:29" ht="11.4">
      <c r="A291" s="211" t="str">
        <f t="shared" si="119"/>
        <v/>
      </c>
      <c r="B291" s="211"/>
      <c r="C291" s="185"/>
      <c r="D291" s="186" t="str">
        <f t="shared" si="108"/>
        <v/>
      </c>
      <c r="E291" s="186" t="str">
        <f>IF(OR(C291="",C291=Data!$B$3),"",IF(C291=Data!$B$4,"L","S"))</f>
        <v/>
      </c>
      <c r="F291" s="186" t="str">
        <f t="shared" si="109"/>
        <v/>
      </c>
      <c r="G291" s="187" t="str">
        <f t="shared" si="100"/>
        <v/>
      </c>
      <c r="H291" s="188"/>
      <c r="I291" s="189" t="str">
        <f t="shared" si="110"/>
        <v/>
      </c>
      <c r="J291" s="189" t="str">
        <f t="shared" si="111"/>
        <v/>
      </c>
      <c r="K291" s="190" t="str">
        <f t="shared" si="112"/>
        <v/>
      </c>
      <c r="L291" s="190" t="str">
        <f t="shared" si="113"/>
        <v/>
      </c>
      <c r="M291" s="214"/>
      <c r="N291" s="214"/>
      <c r="O291" s="189" t="str">
        <f t="shared" si="114"/>
        <v/>
      </c>
      <c r="P291" s="191" t="str">
        <f t="shared" si="101"/>
        <v/>
      </c>
      <c r="Q291" s="192" t="str">
        <f t="shared" si="115"/>
        <v/>
      </c>
      <c r="R291" s="191" t="str">
        <f t="shared" si="102"/>
        <v/>
      </c>
      <c r="S291" s="193" t="str">
        <f t="shared" si="116"/>
        <v/>
      </c>
      <c r="T291" s="194" t="str">
        <f t="shared" si="103"/>
        <v/>
      </c>
      <c r="U291" s="192" t="str">
        <f t="shared" si="117"/>
        <v/>
      </c>
      <c r="V291" s="195" t="str">
        <f t="shared" si="104"/>
        <v/>
      </c>
      <c r="W291" s="195" t="str">
        <f t="shared" si="105"/>
        <v/>
      </c>
      <c r="X291" s="196" t="str">
        <f t="shared" si="118"/>
        <v/>
      </c>
      <c r="Y291" s="191" t="str">
        <f t="shared" si="120"/>
        <v/>
      </c>
      <c r="Z291" s="197" t="str">
        <f t="shared" si="106"/>
        <v/>
      </c>
      <c r="AA291" s="197" t="str">
        <f t="shared" si="107"/>
        <v/>
      </c>
      <c r="AB291" s="213"/>
      <c r="AC291" s="204"/>
    </row>
    <row r="292" spans="1:29" ht="11.4">
      <c r="A292" s="211" t="str">
        <f t="shared" si="119"/>
        <v/>
      </c>
      <c r="B292" s="211"/>
      <c r="C292" s="185"/>
      <c r="D292" s="186" t="str">
        <f t="shared" si="108"/>
        <v/>
      </c>
      <c r="E292" s="186" t="str">
        <f>IF(OR(C292="",C292=Data!$B$3),"",IF(C292=Data!$B$4,"L","S"))</f>
        <v/>
      </c>
      <c r="F292" s="186" t="str">
        <f t="shared" si="109"/>
        <v/>
      </c>
      <c r="G292" s="187" t="str">
        <f t="shared" si="100"/>
        <v/>
      </c>
      <c r="H292" s="188"/>
      <c r="I292" s="189" t="str">
        <f t="shared" si="110"/>
        <v/>
      </c>
      <c r="J292" s="189" t="str">
        <f t="shared" si="111"/>
        <v/>
      </c>
      <c r="K292" s="190" t="str">
        <f t="shared" si="112"/>
        <v/>
      </c>
      <c r="L292" s="190" t="str">
        <f t="shared" si="113"/>
        <v/>
      </c>
      <c r="M292" s="214"/>
      <c r="N292" s="214"/>
      <c r="O292" s="189" t="str">
        <f t="shared" si="114"/>
        <v/>
      </c>
      <c r="P292" s="191" t="str">
        <f t="shared" si="101"/>
        <v/>
      </c>
      <c r="Q292" s="192" t="str">
        <f t="shared" si="115"/>
        <v/>
      </c>
      <c r="R292" s="191" t="str">
        <f t="shared" si="102"/>
        <v/>
      </c>
      <c r="S292" s="193" t="str">
        <f t="shared" si="116"/>
        <v/>
      </c>
      <c r="T292" s="194" t="str">
        <f t="shared" si="103"/>
        <v/>
      </c>
      <c r="U292" s="192" t="str">
        <f t="shared" si="117"/>
        <v/>
      </c>
      <c r="V292" s="195" t="str">
        <f t="shared" si="104"/>
        <v/>
      </c>
      <c r="W292" s="195" t="str">
        <f t="shared" si="105"/>
        <v/>
      </c>
      <c r="X292" s="196" t="str">
        <f t="shared" si="118"/>
        <v/>
      </c>
      <c r="Y292" s="191" t="str">
        <f t="shared" si="120"/>
        <v/>
      </c>
      <c r="Z292" s="197" t="str">
        <f t="shared" si="106"/>
        <v/>
      </c>
      <c r="AA292" s="197" t="str">
        <f t="shared" si="107"/>
        <v/>
      </c>
      <c r="AB292" s="213"/>
      <c r="AC292" s="204"/>
    </row>
    <row r="293" spans="1:29" ht="11.4">
      <c r="A293" s="211" t="str">
        <f t="shared" si="119"/>
        <v/>
      </c>
      <c r="B293" s="211"/>
      <c r="C293" s="185"/>
      <c r="D293" s="186" t="str">
        <f t="shared" si="108"/>
        <v/>
      </c>
      <c r="E293" s="186" t="str">
        <f>IF(OR(C293="",C293=Data!$B$3),"",IF(C293=Data!$B$4,"L","S"))</f>
        <v/>
      </c>
      <c r="F293" s="186" t="str">
        <f t="shared" si="109"/>
        <v/>
      </c>
      <c r="G293" s="187" t="str">
        <f t="shared" si="100"/>
        <v/>
      </c>
      <c r="H293" s="188"/>
      <c r="I293" s="189" t="str">
        <f t="shared" si="110"/>
        <v/>
      </c>
      <c r="J293" s="189" t="str">
        <f t="shared" si="111"/>
        <v/>
      </c>
      <c r="K293" s="190" t="str">
        <f t="shared" si="112"/>
        <v/>
      </c>
      <c r="L293" s="190" t="str">
        <f t="shared" si="113"/>
        <v/>
      </c>
      <c r="M293" s="214"/>
      <c r="N293" s="214"/>
      <c r="O293" s="189" t="str">
        <f t="shared" si="114"/>
        <v/>
      </c>
      <c r="P293" s="191" t="str">
        <f t="shared" si="101"/>
        <v/>
      </c>
      <c r="Q293" s="192" t="str">
        <f t="shared" si="115"/>
        <v/>
      </c>
      <c r="R293" s="191" t="str">
        <f t="shared" si="102"/>
        <v/>
      </c>
      <c r="S293" s="193" t="str">
        <f t="shared" si="116"/>
        <v/>
      </c>
      <c r="T293" s="194" t="str">
        <f t="shared" si="103"/>
        <v/>
      </c>
      <c r="U293" s="192" t="str">
        <f t="shared" si="117"/>
        <v/>
      </c>
      <c r="V293" s="195" t="str">
        <f t="shared" si="104"/>
        <v/>
      </c>
      <c r="W293" s="195" t="str">
        <f t="shared" si="105"/>
        <v/>
      </c>
      <c r="X293" s="196" t="str">
        <f t="shared" si="118"/>
        <v/>
      </c>
      <c r="Y293" s="191" t="str">
        <f t="shared" si="120"/>
        <v/>
      </c>
      <c r="Z293" s="197" t="str">
        <f t="shared" si="106"/>
        <v/>
      </c>
      <c r="AA293" s="197" t="str">
        <f t="shared" si="107"/>
        <v/>
      </c>
      <c r="AB293" s="213"/>
      <c r="AC293" s="204"/>
    </row>
    <row r="294" spans="1:29" ht="11.4">
      <c r="A294" s="211" t="str">
        <f t="shared" si="119"/>
        <v/>
      </c>
      <c r="B294" s="211"/>
      <c r="C294" s="185"/>
      <c r="D294" s="186" t="str">
        <f t="shared" si="108"/>
        <v/>
      </c>
      <c r="E294" s="186" t="str">
        <f>IF(OR(C294="",C294=Data!$B$3),"",IF(C294=Data!$B$4,"L","S"))</f>
        <v/>
      </c>
      <c r="F294" s="186" t="str">
        <f t="shared" si="109"/>
        <v/>
      </c>
      <c r="G294" s="187" t="str">
        <f t="shared" si="100"/>
        <v/>
      </c>
      <c r="H294" s="188"/>
      <c r="I294" s="189" t="str">
        <f t="shared" si="110"/>
        <v/>
      </c>
      <c r="J294" s="189" t="str">
        <f t="shared" si="111"/>
        <v/>
      </c>
      <c r="K294" s="190" t="str">
        <f t="shared" si="112"/>
        <v/>
      </c>
      <c r="L294" s="190" t="str">
        <f t="shared" si="113"/>
        <v/>
      </c>
      <c r="M294" s="214"/>
      <c r="N294" s="214"/>
      <c r="O294" s="189" t="str">
        <f t="shared" si="114"/>
        <v/>
      </c>
      <c r="P294" s="191" t="str">
        <f t="shared" si="101"/>
        <v/>
      </c>
      <c r="Q294" s="192" t="str">
        <f t="shared" si="115"/>
        <v/>
      </c>
      <c r="R294" s="191" t="str">
        <f t="shared" si="102"/>
        <v/>
      </c>
      <c r="S294" s="193" t="str">
        <f t="shared" si="116"/>
        <v/>
      </c>
      <c r="T294" s="194" t="str">
        <f t="shared" si="103"/>
        <v/>
      </c>
      <c r="U294" s="192" t="str">
        <f t="shared" si="117"/>
        <v/>
      </c>
      <c r="V294" s="195" t="str">
        <f t="shared" si="104"/>
        <v/>
      </c>
      <c r="W294" s="195" t="str">
        <f t="shared" si="105"/>
        <v/>
      </c>
      <c r="X294" s="196" t="str">
        <f t="shared" si="118"/>
        <v/>
      </c>
      <c r="Y294" s="191" t="str">
        <f t="shared" si="120"/>
        <v/>
      </c>
      <c r="Z294" s="197" t="str">
        <f t="shared" si="106"/>
        <v/>
      </c>
      <c r="AA294" s="197" t="str">
        <f t="shared" si="107"/>
        <v/>
      </c>
      <c r="AB294" s="213"/>
      <c r="AC294" s="204"/>
    </row>
    <row r="295" spans="1:29" ht="11.4">
      <c r="A295" s="211" t="str">
        <f t="shared" si="119"/>
        <v/>
      </c>
      <c r="B295" s="211"/>
      <c r="C295" s="185"/>
      <c r="D295" s="186" t="str">
        <f t="shared" si="108"/>
        <v/>
      </c>
      <c r="E295" s="186" t="str">
        <f>IF(OR(C295="",C295=Data!$B$3),"",IF(C295=Data!$B$4,"L","S"))</f>
        <v/>
      </c>
      <c r="F295" s="186" t="str">
        <f t="shared" si="109"/>
        <v/>
      </c>
      <c r="G295" s="187" t="str">
        <f t="shared" si="100"/>
        <v/>
      </c>
      <c r="H295" s="188"/>
      <c r="I295" s="189" t="str">
        <f t="shared" si="110"/>
        <v/>
      </c>
      <c r="J295" s="189" t="str">
        <f t="shared" si="111"/>
        <v/>
      </c>
      <c r="K295" s="190" t="str">
        <f t="shared" si="112"/>
        <v/>
      </c>
      <c r="L295" s="190" t="str">
        <f t="shared" si="113"/>
        <v/>
      </c>
      <c r="M295" s="214"/>
      <c r="N295" s="214"/>
      <c r="O295" s="189" t="str">
        <f t="shared" si="114"/>
        <v/>
      </c>
      <c r="P295" s="191" t="str">
        <f t="shared" si="101"/>
        <v/>
      </c>
      <c r="Q295" s="192" t="str">
        <f t="shared" si="115"/>
        <v/>
      </c>
      <c r="R295" s="191" t="str">
        <f t="shared" si="102"/>
        <v/>
      </c>
      <c r="S295" s="193" t="str">
        <f t="shared" si="116"/>
        <v/>
      </c>
      <c r="T295" s="194" t="str">
        <f t="shared" si="103"/>
        <v/>
      </c>
      <c r="U295" s="192" t="str">
        <f t="shared" si="117"/>
        <v/>
      </c>
      <c r="V295" s="195" t="str">
        <f t="shared" si="104"/>
        <v/>
      </c>
      <c r="W295" s="195" t="str">
        <f t="shared" si="105"/>
        <v/>
      </c>
      <c r="X295" s="196" t="str">
        <f t="shared" si="118"/>
        <v/>
      </c>
      <c r="Y295" s="191" t="str">
        <f t="shared" si="120"/>
        <v/>
      </c>
      <c r="Z295" s="197" t="str">
        <f t="shared" si="106"/>
        <v/>
      </c>
      <c r="AA295" s="197" t="str">
        <f t="shared" si="107"/>
        <v/>
      </c>
      <c r="AB295" s="213"/>
      <c r="AC295" s="204"/>
    </row>
    <row r="296" spans="1:29" ht="11.4">
      <c r="A296" s="211" t="str">
        <f t="shared" si="119"/>
        <v/>
      </c>
      <c r="B296" s="211"/>
      <c r="C296" s="185"/>
      <c r="D296" s="186" t="str">
        <f t="shared" si="108"/>
        <v/>
      </c>
      <c r="E296" s="186" t="str">
        <f>IF(OR(C296="",C296=Data!$B$3),"",IF(C296=Data!$B$4,"L","S"))</f>
        <v/>
      </c>
      <c r="F296" s="186" t="str">
        <f t="shared" si="109"/>
        <v/>
      </c>
      <c r="G296" s="187" t="str">
        <f t="shared" si="100"/>
        <v/>
      </c>
      <c r="H296" s="188"/>
      <c r="I296" s="189" t="str">
        <f t="shared" si="110"/>
        <v/>
      </c>
      <c r="J296" s="189" t="str">
        <f t="shared" si="111"/>
        <v/>
      </c>
      <c r="K296" s="190" t="str">
        <f t="shared" si="112"/>
        <v/>
      </c>
      <c r="L296" s="190" t="str">
        <f t="shared" si="113"/>
        <v/>
      </c>
      <c r="M296" s="214"/>
      <c r="N296" s="214"/>
      <c r="O296" s="189" t="str">
        <f t="shared" si="114"/>
        <v/>
      </c>
      <c r="P296" s="191" t="str">
        <f t="shared" si="101"/>
        <v/>
      </c>
      <c r="Q296" s="192" t="str">
        <f t="shared" si="115"/>
        <v/>
      </c>
      <c r="R296" s="191" t="str">
        <f t="shared" si="102"/>
        <v/>
      </c>
      <c r="S296" s="193" t="str">
        <f t="shared" si="116"/>
        <v/>
      </c>
      <c r="T296" s="194" t="str">
        <f t="shared" si="103"/>
        <v/>
      </c>
      <c r="U296" s="192" t="str">
        <f t="shared" si="117"/>
        <v/>
      </c>
      <c r="V296" s="195" t="str">
        <f t="shared" si="104"/>
        <v/>
      </c>
      <c r="W296" s="195" t="str">
        <f t="shared" si="105"/>
        <v/>
      </c>
      <c r="X296" s="196" t="str">
        <f t="shared" si="118"/>
        <v/>
      </c>
      <c r="Y296" s="191" t="str">
        <f t="shared" si="120"/>
        <v/>
      </c>
      <c r="Z296" s="197" t="str">
        <f t="shared" si="106"/>
        <v/>
      </c>
      <c r="AA296" s="197" t="str">
        <f t="shared" si="107"/>
        <v/>
      </c>
      <c r="AB296" s="213"/>
      <c r="AC296" s="204"/>
    </row>
    <row r="297" spans="1:29" ht="11.4">
      <c r="A297" s="211" t="str">
        <f t="shared" si="119"/>
        <v/>
      </c>
      <c r="B297" s="211"/>
      <c r="C297" s="185"/>
      <c r="D297" s="186" t="str">
        <f t="shared" si="108"/>
        <v/>
      </c>
      <c r="E297" s="186" t="str">
        <f>IF(OR(C297="",C297=Data!$B$3),"",IF(C297=Data!$B$4,"L","S"))</f>
        <v/>
      </c>
      <c r="F297" s="186" t="str">
        <f t="shared" si="109"/>
        <v/>
      </c>
      <c r="G297" s="187" t="str">
        <f t="shared" si="100"/>
        <v/>
      </c>
      <c r="H297" s="188"/>
      <c r="I297" s="189" t="str">
        <f t="shared" si="110"/>
        <v/>
      </c>
      <c r="J297" s="189" t="str">
        <f t="shared" si="111"/>
        <v/>
      </c>
      <c r="K297" s="190" t="str">
        <f t="shared" si="112"/>
        <v/>
      </c>
      <c r="L297" s="190" t="str">
        <f t="shared" si="113"/>
        <v/>
      </c>
      <c r="M297" s="214"/>
      <c r="N297" s="214"/>
      <c r="O297" s="189" t="str">
        <f t="shared" si="114"/>
        <v/>
      </c>
      <c r="P297" s="191" t="str">
        <f t="shared" si="101"/>
        <v/>
      </c>
      <c r="Q297" s="192" t="str">
        <f t="shared" si="115"/>
        <v/>
      </c>
      <c r="R297" s="191" t="str">
        <f t="shared" si="102"/>
        <v/>
      </c>
      <c r="S297" s="193" t="str">
        <f t="shared" si="116"/>
        <v/>
      </c>
      <c r="T297" s="194" t="str">
        <f t="shared" si="103"/>
        <v/>
      </c>
      <c r="U297" s="192" t="str">
        <f t="shared" si="117"/>
        <v/>
      </c>
      <c r="V297" s="195" t="str">
        <f t="shared" si="104"/>
        <v/>
      </c>
      <c r="W297" s="195" t="str">
        <f t="shared" si="105"/>
        <v/>
      </c>
      <c r="X297" s="196" t="str">
        <f t="shared" si="118"/>
        <v/>
      </c>
      <c r="Y297" s="191" t="str">
        <f t="shared" si="120"/>
        <v/>
      </c>
      <c r="Z297" s="197" t="str">
        <f t="shared" si="106"/>
        <v/>
      </c>
      <c r="AA297" s="197" t="str">
        <f t="shared" si="107"/>
        <v/>
      </c>
      <c r="AB297" s="213"/>
      <c r="AC297" s="204"/>
    </row>
    <row r="298" spans="1:29" ht="11.4">
      <c r="A298" s="211" t="str">
        <f t="shared" si="119"/>
        <v/>
      </c>
      <c r="B298" s="211"/>
      <c r="C298" s="185"/>
      <c r="D298" s="186" t="str">
        <f t="shared" si="108"/>
        <v/>
      </c>
      <c r="E298" s="186" t="str">
        <f>IF(OR(C298="",C298=Data!$B$3),"",IF(C298=Data!$B$4,"L","S"))</f>
        <v/>
      </c>
      <c r="F298" s="186" t="str">
        <f t="shared" si="109"/>
        <v/>
      </c>
      <c r="G298" s="187" t="str">
        <f t="shared" si="100"/>
        <v/>
      </c>
      <c r="H298" s="188"/>
      <c r="I298" s="189" t="str">
        <f t="shared" si="110"/>
        <v/>
      </c>
      <c r="J298" s="189" t="str">
        <f t="shared" si="111"/>
        <v/>
      </c>
      <c r="K298" s="190" t="str">
        <f t="shared" si="112"/>
        <v/>
      </c>
      <c r="L298" s="190" t="str">
        <f t="shared" si="113"/>
        <v/>
      </c>
      <c r="M298" s="214"/>
      <c r="N298" s="214"/>
      <c r="O298" s="189" t="str">
        <f t="shared" si="114"/>
        <v/>
      </c>
      <c r="P298" s="191" t="str">
        <f t="shared" si="101"/>
        <v/>
      </c>
      <c r="Q298" s="192" t="str">
        <f t="shared" si="115"/>
        <v/>
      </c>
      <c r="R298" s="191" t="str">
        <f t="shared" si="102"/>
        <v/>
      </c>
      <c r="S298" s="193" t="str">
        <f t="shared" si="116"/>
        <v/>
      </c>
      <c r="T298" s="194" t="str">
        <f t="shared" si="103"/>
        <v/>
      </c>
      <c r="U298" s="192" t="str">
        <f t="shared" si="117"/>
        <v/>
      </c>
      <c r="V298" s="195" t="str">
        <f t="shared" si="104"/>
        <v/>
      </c>
      <c r="W298" s="195" t="str">
        <f t="shared" si="105"/>
        <v/>
      </c>
      <c r="X298" s="196" t="str">
        <f t="shared" si="118"/>
        <v/>
      </c>
      <c r="Y298" s="191" t="str">
        <f t="shared" si="120"/>
        <v/>
      </c>
      <c r="Z298" s="197" t="str">
        <f t="shared" si="106"/>
        <v/>
      </c>
      <c r="AA298" s="197" t="str">
        <f t="shared" si="107"/>
        <v/>
      </c>
      <c r="AB298" s="213"/>
      <c r="AC298" s="204"/>
    </row>
    <row r="299" spans="1:29" ht="11.4">
      <c r="A299" s="211" t="str">
        <f t="shared" si="119"/>
        <v/>
      </c>
      <c r="B299" s="211"/>
      <c r="C299" s="185"/>
      <c r="D299" s="186" t="str">
        <f t="shared" si="108"/>
        <v/>
      </c>
      <c r="E299" s="186" t="str">
        <f>IF(OR(C299="",C299=Data!$B$3),"",IF(C299=Data!$B$4,"L","S"))</f>
        <v/>
      </c>
      <c r="F299" s="186" t="str">
        <f t="shared" si="109"/>
        <v/>
      </c>
      <c r="G299" s="187" t="str">
        <f t="shared" si="100"/>
        <v/>
      </c>
      <c r="H299" s="188"/>
      <c r="I299" s="189" t="str">
        <f t="shared" si="110"/>
        <v/>
      </c>
      <c r="J299" s="189" t="str">
        <f t="shared" si="111"/>
        <v/>
      </c>
      <c r="K299" s="190" t="str">
        <f t="shared" si="112"/>
        <v/>
      </c>
      <c r="L299" s="190" t="str">
        <f t="shared" si="113"/>
        <v/>
      </c>
      <c r="M299" s="214"/>
      <c r="N299" s="214"/>
      <c r="O299" s="189" t="str">
        <f t="shared" si="114"/>
        <v/>
      </c>
      <c r="P299" s="191" t="str">
        <f t="shared" si="101"/>
        <v/>
      </c>
      <c r="Q299" s="192" t="str">
        <f t="shared" si="115"/>
        <v/>
      </c>
      <c r="R299" s="191" t="str">
        <f t="shared" si="102"/>
        <v/>
      </c>
      <c r="S299" s="193" t="str">
        <f t="shared" si="116"/>
        <v/>
      </c>
      <c r="T299" s="194" t="str">
        <f t="shared" si="103"/>
        <v/>
      </c>
      <c r="U299" s="192" t="str">
        <f t="shared" si="117"/>
        <v/>
      </c>
      <c r="V299" s="195" t="str">
        <f t="shared" si="104"/>
        <v/>
      </c>
      <c r="W299" s="195" t="str">
        <f t="shared" si="105"/>
        <v/>
      </c>
      <c r="X299" s="196" t="str">
        <f t="shared" si="118"/>
        <v/>
      </c>
      <c r="Y299" s="191" t="str">
        <f t="shared" si="120"/>
        <v/>
      </c>
      <c r="Z299" s="197" t="str">
        <f t="shared" si="106"/>
        <v/>
      </c>
      <c r="AA299" s="197" t="str">
        <f t="shared" si="107"/>
        <v/>
      </c>
      <c r="AB299" s="213"/>
      <c r="AC299" s="204"/>
    </row>
    <row r="300" spans="1:29" ht="11.4">
      <c r="A300" s="211" t="str">
        <f t="shared" si="119"/>
        <v/>
      </c>
      <c r="B300" s="211"/>
      <c r="C300" s="185"/>
      <c r="D300" s="186" t="str">
        <f t="shared" si="108"/>
        <v/>
      </c>
      <c r="E300" s="186" t="str">
        <f>IF(OR(C300="",C300=Data!$B$3),"",IF(C300=Data!$B$4,"L","S"))</f>
        <v/>
      </c>
      <c r="F300" s="186" t="str">
        <f t="shared" si="109"/>
        <v/>
      </c>
      <c r="G300" s="187" t="str">
        <f t="shared" si="100"/>
        <v/>
      </c>
      <c r="H300" s="188"/>
      <c r="I300" s="189" t="str">
        <f t="shared" si="110"/>
        <v/>
      </c>
      <c r="J300" s="189" t="str">
        <f t="shared" si="111"/>
        <v/>
      </c>
      <c r="K300" s="190" t="str">
        <f t="shared" si="112"/>
        <v/>
      </c>
      <c r="L300" s="190" t="str">
        <f t="shared" si="113"/>
        <v/>
      </c>
      <c r="M300" s="214"/>
      <c r="N300" s="214"/>
      <c r="O300" s="189" t="str">
        <f t="shared" si="114"/>
        <v/>
      </c>
      <c r="P300" s="191" t="str">
        <f t="shared" si="101"/>
        <v/>
      </c>
      <c r="Q300" s="192" t="str">
        <f t="shared" si="115"/>
        <v/>
      </c>
      <c r="R300" s="191" t="str">
        <f t="shared" si="102"/>
        <v/>
      </c>
      <c r="S300" s="193" t="str">
        <f t="shared" si="116"/>
        <v/>
      </c>
      <c r="T300" s="194" t="str">
        <f t="shared" si="103"/>
        <v/>
      </c>
      <c r="U300" s="192" t="str">
        <f t="shared" si="117"/>
        <v/>
      </c>
      <c r="V300" s="195" t="str">
        <f t="shared" si="104"/>
        <v/>
      </c>
      <c r="W300" s="195" t="str">
        <f t="shared" si="105"/>
        <v/>
      </c>
      <c r="X300" s="196" t="str">
        <f t="shared" si="118"/>
        <v/>
      </c>
      <c r="Y300" s="191" t="str">
        <f t="shared" si="120"/>
        <v/>
      </c>
      <c r="Z300" s="197" t="str">
        <f t="shared" si="106"/>
        <v/>
      </c>
      <c r="AA300" s="197" t="str">
        <f t="shared" si="107"/>
        <v/>
      </c>
      <c r="AB300" s="213"/>
      <c r="AC300" s="204"/>
    </row>
    <row r="301" spans="1:29" ht="11.4">
      <c r="A301" s="211" t="str">
        <f t="shared" si="119"/>
        <v/>
      </c>
      <c r="B301" s="211"/>
      <c r="C301" s="185"/>
      <c r="D301" s="186" t="str">
        <f t="shared" si="108"/>
        <v/>
      </c>
      <c r="E301" s="186" t="str">
        <f>IF(OR(C301="",C301=Data!$B$3),"",IF(C301=Data!$B$4,"L","S"))</f>
        <v/>
      </c>
      <c r="F301" s="186" t="str">
        <f t="shared" si="109"/>
        <v/>
      </c>
      <c r="G301" s="187" t="str">
        <f t="shared" si="100"/>
        <v/>
      </c>
      <c r="H301" s="188"/>
      <c r="I301" s="189" t="str">
        <f t="shared" si="110"/>
        <v/>
      </c>
      <c r="J301" s="189" t="str">
        <f t="shared" si="111"/>
        <v/>
      </c>
      <c r="K301" s="190" t="str">
        <f t="shared" si="112"/>
        <v/>
      </c>
      <c r="L301" s="190" t="str">
        <f t="shared" si="113"/>
        <v/>
      </c>
      <c r="M301" s="214"/>
      <c r="N301" s="214"/>
      <c r="O301" s="189" t="str">
        <f t="shared" si="114"/>
        <v/>
      </c>
      <c r="P301" s="191" t="str">
        <f t="shared" si="101"/>
        <v/>
      </c>
      <c r="Q301" s="192" t="str">
        <f t="shared" si="115"/>
        <v/>
      </c>
      <c r="R301" s="191" t="str">
        <f t="shared" si="102"/>
        <v/>
      </c>
      <c r="S301" s="193" t="str">
        <f t="shared" si="116"/>
        <v/>
      </c>
      <c r="T301" s="194" t="str">
        <f t="shared" si="103"/>
        <v/>
      </c>
      <c r="U301" s="192" t="str">
        <f t="shared" si="117"/>
        <v/>
      </c>
      <c r="V301" s="195" t="str">
        <f t="shared" si="104"/>
        <v/>
      </c>
      <c r="W301" s="195" t="str">
        <f t="shared" si="105"/>
        <v/>
      </c>
      <c r="X301" s="196" t="str">
        <f t="shared" si="118"/>
        <v/>
      </c>
      <c r="Y301" s="191" t="str">
        <f t="shared" si="120"/>
        <v/>
      </c>
      <c r="Z301" s="197" t="str">
        <f t="shared" si="106"/>
        <v/>
      </c>
      <c r="AA301" s="197" t="str">
        <f t="shared" si="107"/>
        <v/>
      </c>
      <c r="AB301" s="213"/>
      <c r="AC301" s="204"/>
    </row>
    <row r="302" spans="1:29" ht="11.4">
      <c r="A302" s="211" t="str">
        <f t="shared" si="119"/>
        <v/>
      </c>
      <c r="B302" s="211"/>
      <c r="C302" s="185"/>
      <c r="D302" s="186" t="str">
        <f t="shared" si="108"/>
        <v/>
      </c>
      <c r="E302" s="186" t="str">
        <f>IF(OR(C302="",C302=Data!$B$3),"",IF(C302=Data!$B$4,"L","S"))</f>
        <v/>
      </c>
      <c r="F302" s="186" t="str">
        <f t="shared" si="109"/>
        <v/>
      </c>
      <c r="G302" s="187" t="str">
        <f t="shared" si="100"/>
        <v/>
      </c>
      <c r="H302" s="188"/>
      <c r="I302" s="189" t="str">
        <f t="shared" si="110"/>
        <v/>
      </c>
      <c r="J302" s="189" t="str">
        <f t="shared" si="111"/>
        <v/>
      </c>
      <c r="K302" s="190" t="str">
        <f t="shared" si="112"/>
        <v/>
      </c>
      <c r="L302" s="190" t="str">
        <f t="shared" si="113"/>
        <v/>
      </c>
      <c r="M302" s="214"/>
      <c r="N302" s="214"/>
      <c r="O302" s="189" t="str">
        <f t="shared" si="114"/>
        <v/>
      </c>
      <c r="P302" s="191" t="str">
        <f t="shared" si="101"/>
        <v/>
      </c>
      <c r="Q302" s="192" t="str">
        <f t="shared" si="115"/>
        <v/>
      </c>
      <c r="R302" s="191" t="str">
        <f t="shared" si="102"/>
        <v/>
      </c>
      <c r="S302" s="193" t="str">
        <f t="shared" si="116"/>
        <v/>
      </c>
      <c r="T302" s="194" t="str">
        <f t="shared" si="103"/>
        <v/>
      </c>
      <c r="U302" s="192" t="str">
        <f t="shared" si="117"/>
        <v/>
      </c>
      <c r="V302" s="195" t="str">
        <f t="shared" si="104"/>
        <v/>
      </c>
      <c r="W302" s="195" t="str">
        <f t="shared" si="105"/>
        <v/>
      </c>
      <c r="X302" s="196" t="str">
        <f t="shared" si="118"/>
        <v/>
      </c>
      <c r="Y302" s="191" t="str">
        <f t="shared" si="120"/>
        <v/>
      </c>
      <c r="Z302" s="197" t="str">
        <f t="shared" si="106"/>
        <v/>
      </c>
      <c r="AA302" s="197" t="str">
        <f t="shared" si="107"/>
        <v/>
      </c>
      <c r="AB302" s="213"/>
      <c r="AC302" s="204"/>
    </row>
    <row r="303" spans="1:29" ht="11.4">
      <c r="A303" s="211" t="str">
        <f t="shared" si="119"/>
        <v/>
      </c>
      <c r="B303" s="211"/>
      <c r="C303" s="185"/>
      <c r="D303" s="186" t="str">
        <f t="shared" si="108"/>
        <v/>
      </c>
      <c r="E303" s="186" t="str">
        <f>IF(OR(C303="",C303=Data!$B$3),"",IF(C303=Data!$B$4,"L","S"))</f>
        <v/>
      </c>
      <c r="F303" s="186" t="str">
        <f t="shared" si="109"/>
        <v/>
      </c>
      <c r="G303" s="187" t="str">
        <f t="shared" si="100"/>
        <v/>
      </c>
      <c r="H303" s="188"/>
      <c r="I303" s="189" t="str">
        <f t="shared" si="110"/>
        <v/>
      </c>
      <c r="J303" s="189" t="str">
        <f t="shared" si="111"/>
        <v/>
      </c>
      <c r="K303" s="190" t="str">
        <f t="shared" si="112"/>
        <v/>
      </c>
      <c r="L303" s="190" t="str">
        <f t="shared" si="113"/>
        <v/>
      </c>
      <c r="M303" s="214"/>
      <c r="N303" s="214"/>
      <c r="O303" s="189" t="str">
        <f t="shared" si="114"/>
        <v/>
      </c>
      <c r="P303" s="191" t="str">
        <f t="shared" si="101"/>
        <v/>
      </c>
      <c r="Q303" s="192" t="str">
        <f t="shared" si="115"/>
        <v/>
      </c>
      <c r="R303" s="191" t="str">
        <f t="shared" si="102"/>
        <v/>
      </c>
      <c r="S303" s="193" t="str">
        <f t="shared" si="116"/>
        <v/>
      </c>
      <c r="T303" s="194" t="str">
        <f t="shared" si="103"/>
        <v/>
      </c>
      <c r="U303" s="192" t="str">
        <f t="shared" si="117"/>
        <v/>
      </c>
      <c r="V303" s="195" t="str">
        <f t="shared" si="104"/>
        <v/>
      </c>
      <c r="W303" s="195" t="str">
        <f t="shared" si="105"/>
        <v/>
      </c>
      <c r="X303" s="196" t="str">
        <f t="shared" si="118"/>
        <v/>
      </c>
      <c r="Y303" s="191" t="str">
        <f t="shared" si="120"/>
        <v/>
      </c>
      <c r="Z303" s="197" t="str">
        <f t="shared" si="106"/>
        <v/>
      </c>
      <c r="AA303" s="197" t="str">
        <f t="shared" si="107"/>
        <v/>
      </c>
      <c r="AB303" s="213"/>
      <c r="AC303" s="204"/>
    </row>
    <row r="304" spans="1:29" ht="11.4">
      <c r="A304" s="211" t="str">
        <f t="shared" si="119"/>
        <v/>
      </c>
      <c r="B304" s="211"/>
      <c r="C304" s="185"/>
      <c r="D304" s="186" t="str">
        <f t="shared" si="108"/>
        <v/>
      </c>
      <c r="E304" s="186" t="str">
        <f>IF(OR(C304="",C304=Data!$B$3),"",IF(C304=Data!$B$4,"L","S"))</f>
        <v/>
      </c>
      <c r="F304" s="186" t="str">
        <f t="shared" si="109"/>
        <v/>
      </c>
      <c r="G304" s="187" t="str">
        <f t="shared" si="100"/>
        <v/>
      </c>
      <c r="H304" s="188"/>
      <c r="I304" s="189" t="str">
        <f t="shared" si="110"/>
        <v/>
      </c>
      <c r="J304" s="189" t="str">
        <f t="shared" si="111"/>
        <v/>
      </c>
      <c r="K304" s="190" t="str">
        <f t="shared" si="112"/>
        <v/>
      </c>
      <c r="L304" s="190" t="str">
        <f t="shared" si="113"/>
        <v/>
      </c>
      <c r="M304" s="214"/>
      <c r="N304" s="214"/>
      <c r="O304" s="189" t="str">
        <f t="shared" si="114"/>
        <v/>
      </c>
      <c r="P304" s="191" t="str">
        <f t="shared" si="101"/>
        <v/>
      </c>
      <c r="Q304" s="192" t="str">
        <f t="shared" si="115"/>
        <v/>
      </c>
      <c r="R304" s="191" t="str">
        <f t="shared" si="102"/>
        <v/>
      </c>
      <c r="S304" s="193" t="str">
        <f t="shared" si="116"/>
        <v/>
      </c>
      <c r="T304" s="194" t="str">
        <f t="shared" si="103"/>
        <v/>
      </c>
      <c r="U304" s="192" t="str">
        <f t="shared" si="117"/>
        <v/>
      </c>
      <c r="V304" s="195" t="str">
        <f t="shared" si="104"/>
        <v/>
      </c>
      <c r="W304" s="195" t="str">
        <f t="shared" si="105"/>
        <v/>
      </c>
      <c r="X304" s="196" t="str">
        <f t="shared" si="118"/>
        <v/>
      </c>
      <c r="Y304" s="191" t="str">
        <f t="shared" si="120"/>
        <v/>
      </c>
      <c r="Z304" s="197" t="str">
        <f t="shared" si="106"/>
        <v/>
      </c>
      <c r="AA304" s="197" t="str">
        <f t="shared" si="107"/>
        <v/>
      </c>
      <c r="AB304" s="213"/>
      <c r="AC304" s="204"/>
    </row>
    <row r="305" spans="1:29" ht="11.4">
      <c r="A305" s="211" t="str">
        <f t="shared" si="119"/>
        <v/>
      </c>
      <c r="B305" s="211"/>
      <c r="C305" s="185"/>
      <c r="D305" s="186" t="str">
        <f t="shared" si="108"/>
        <v/>
      </c>
      <c r="E305" s="186" t="str">
        <f>IF(OR(C305="",C305=Data!$B$3),"",IF(C305=Data!$B$4,"L","S"))</f>
        <v/>
      </c>
      <c r="F305" s="186" t="str">
        <f t="shared" si="109"/>
        <v/>
      </c>
      <c r="G305" s="187" t="str">
        <f t="shared" si="100"/>
        <v/>
      </c>
      <c r="H305" s="188"/>
      <c r="I305" s="189" t="str">
        <f t="shared" si="110"/>
        <v/>
      </c>
      <c r="J305" s="189" t="str">
        <f t="shared" si="111"/>
        <v/>
      </c>
      <c r="K305" s="190" t="str">
        <f t="shared" si="112"/>
        <v/>
      </c>
      <c r="L305" s="190" t="str">
        <f t="shared" si="113"/>
        <v/>
      </c>
      <c r="M305" s="214"/>
      <c r="N305" s="214"/>
      <c r="O305" s="189" t="str">
        <f t="shared" si="114"/>
        <v/>
      </c>
      <c r="P305" s="191" t="str">
        <f t="shared" si="101"/>
        <v/>
      </c>
      <c r="Q305" s="192" t="str">
        <f t="shared" si="115"/>
        <v/>
      </c>
      <c r="R305" s="191" t="str">
        <f t="shared" si="102"/>
        <v/>
      </c>
      <c r="S305" s="193" t="str">
        <f t="shared" si="116"/>
        <v/>
      </c>
      <c r="T305" s="194" t="str">
        <f t="shared" si="103"/>
        <v/>
      </c>
      <c r="U305" s="192" t="str">
        <f t="shared" si="117"/>
        <v/>
      </c>
      <c r="V305" s="195" t="str">
        <f t="shared" si="104"/>
        <v/>
      </c>
      <c r="W305" s="195" t="str">
        <f t="shared" si="105"/>
        <v/>
      </c>
      <c r="X305" s="196" t="str">
        <f t="shared" si="118"/>
        <v/>
      </c>
      <c r="Y305" s="191" t="str">
        <f t="shared" si="120"/>
        <v/>
      </c>
      <c r="Z305" s="197" t="str">
        <f t="shared" si="106"/>
        <v/>
      </c>
      <c r="AA305" s="197" t="str">
        <f t="shared" si="107"/>
        <v/>
      </c>
      <c r="AB305" s="213"/>
      <c r="AC305" s="204"/>
    </row>
    <row r="306" spans="1:29" ht="11.4">
      <c r="A306" s="211" t="str">
        <f t="shared" si="119"/>
        <v/>
      </c>
      <c r="B306" s="211"/>
      <c r="C306" s="185"/>
      <c r="D306" s="186" t="str">
        <f t="shared" si="108"/>
        <v/>
      </c>
      <c r="E306" s="186" t="str">
        <f>IF(OR(C306="",C306=Data!$B$3),"",IF(C306=Data!$B$4,"L","S"))</f>
        <v/>
      </c>
      <c r="F306" s="186" t="str">
        <f t="shared" si="109"/>
        <v/>
      </c>
      <c r="G306" s="187" t="str">
        <f t="shared" si="100"/>
        <v/>
      </c>
      <c r="H306" s="188"/>
      <c r="I306" s="189" t="str">
        <f t="shared" si="110"/>
        <v/>
      </c>
      <c r="J306" s="189" t="str">
        <f t="shared" si="111"/>
        <v/>
      </c>
      <c r="K306" s="190" t="str">
        <f t="shared" si="112"/>
        <v/>
      </c>
      <c r="L306" s="190" t="str">
        <f t="shared" si="113"/>
        <v/>
      </c>
      <c r="M306" s="214"/>
      <c r="N306" s="214"/>
      <c r="O306" s="189" t="str">
        <f t="shared" si="114"/>
        <v/>
      </c>
      <c r="P306" s="191" t="str">
        <f t="shared" si="101"/>
        <v/>
      </c>
      <c r="Q306" s="192" t="str">
        <f t="shared" si="115"/>
        <v/>
      </c>
      <c r="R306" s="191" t="str">
        <f t="shared" si="102"/>
        <v/>
      </c>
      <c r="S306" s="193" t="str">
        <f t="shared" si="116"/>
        <v/>
      </c>
      <c r="T306" s="194" t="str">
        <f t="shared" si="103"/>
        <v/>
      </c>
      <c r="U306" s="192" t="str">
        <f t="shared" si="117"/>
        <v/>
      </c>
      <c r="V306" s="195" t="str">
        <f t="shared" si="104"/>
        <v/>
      </c>
      <c r="W306" s="195" t="str">
        <f t="shared" si="105"/>
        <v/>
      </c>
      <c r="X306" s="196" t="str">
        <f t="shared" si="118"/>
        <v/>
      </c>
      <c r="Y306" s="191" t="str">
        <f t="shared" si="120"/>
        <v/>
      </c>
      <c r="Z306" s="197" t="str">
        <f t="shared" si="106"/>
        <v/>
      </c>
      <c r="AA306" s="197" t="str">
        <f t="shared" si="107"/>
        <v/>
      </c>
      <c r="AB306" s="213"/>
      <c r="AC306" s="204"/>
    </row>
    <row r="307" spans="1:29" ht="11.4">
      <c r="A307" s="211" t="str">
        <f t="shared" si="119"/>
        <v/>
      </c>
      <c r="B307" s="211"/>
      <c r="C307" s="185"/>
      <c r="D307" s="186" t="str">
        <f t="shared" si="108"/>
        <v/>
      </c>
      <c r="E307" s="186" t="str">
        <f>IF(OR(C307="",C307=Data!$B$3),"",IF(C307=Data!$B$4,"L","S"))</f>
        <v/>
      </c>
      <c r="F307" s="186" t="str">
        <f t="shared" si="109"/>
        <v/>
      </c>
      <c r="G307" s="187" t="str">
        <f t="shared" si="100"/>
        <v/>
      </c>
      <c r="H307" s="188"/>
      <c r="I307" s="189" t="str">
        <f t="shared" si="110"/>
        <v/>
      </c>
      <c r="J307" s="189" t="str">
        <f t="shared" si="111"/>
        <v/>
      </c>
      <c r="K307" s="190" t="str">
        <f t="shared" si="112"/>
        <v/>
      </c>
      <c r="L307" s="190" t="str">
        <f t="shared" si="113"/>
        <v/>
      </c>
      <c r="M307" s="214"/>
      <c r="N307" s="214"/>
      <c r="O307" s="189" t="str">
        <f t="shared" si="114"/>
        <v/>
      </c>
      <c r="P307" s="191" t="str">
        <f t="shared" si="101"/>
        <v/>
      </c>
      <c r="Q307" s="192" t="str">
        <f t="shared" si="115"/>
        <v/>
      </c>
      <c r="R307" s="191" t="str">
        <f t="shared" si="102"/>
        <v/>
      </c>
      <c r="S307" s="193" t="str">
        <f t="shared" si="116"/>
        <v/>
      </c>
      <c r="T307" s="194" t="str">
        <f t="shared" si="103"/>
        <v/>
      </c>
      <c r="U307" s="192" t="str">
        <f t="shared" si="117"/>
        <v/>
      </c>
      <c r="V307" s="195" t="str">
        <f t="shared" si="104"/>
        <v/>
      </c>
      <c r="W307" s="195" t="str">
        <f t="shared" si="105"/>
        <v/>
      </c>
      <c r="X307" s="196" t="str">
        <f t="shared" si="118"/>
        <v/>
      </c>
      <c r="Y307" s="191" t="str">
        <f t="shared" si="120"/>
        <v/>
      </c>
      <c r="Z307" s="197" t="str">
        <f t="shared" si="106"/>
        <v/>
      </c>
      <c r="AA307" s="197" t="str">
        <f t="shared" si="107"/>
        <v/>
      </c>
      <c r="AB307" s="213"/>
      <c r="AC307" s="204"/>
    </row>
    <row r="308" spans="1:29" ht="11.4">
      <c r="A308" s="211" t="str">
        <f t="shared" si="119"/>
        <v/>
      </c>
      <c r="B308" s="211"/>
      <c r="C308" s="185"/>
      <c r="D308" s="186" t="str">
        <f t="shared" si="108"/>
        <v/>
      </c>
      <c r="E308" s="186" t="str">
        <f>IF(OR(C308="",C308=Data!$B$3),"",IF(C308=Data!$B$4,"L","S"))</f>
        <v/>
      </c>
      <c r="F308" s="186" t="str">
        <f t="shared" si="109"/>
        <v/>
      </c>
      <c r="G308" s="187" t="str">
        <f t="shared" si="100"/>
        <v/>
      </c>
      <c r="H308" s="188"/>
      <c r="I308" s="189" t="str">
        <f t="shared" si="110"/>
        <v/>
      </c>
      <c r="J308" s="189" t="str">
        <f t="shared" si="111"/>
        <v/>
      </c>
      <c r="K308" s="190" t="str">
        <f t="shared" si="112"/>
        <v/>
      </c>
      <c r="L308" s="190" t="str">
        <f t="shared" si="113"/>
        <v/>
      </c>
      <c r="M308" s="214"/>
      <c r="N308" s="214"/>
      <c r="O308" s="189" t="str">
        <f t="shared" si="114"/>
        <v/>
      </c>
      <c r="P308" s="191" t="str">
        <f t="shared" si="101"/>
        <v/>
      </c>
      <c r="Q308" s="192" t="str">
        <f t="shared" si="115"/>
        <v/>
      </c>
      <c r="R308" s="191" t="str">
        <f t="shared" si="102"/>
        <v/>
      </c>
      <c r="S308" s="193" t="str">
        <f t="shared" si="116"/>
        <v/>
      </c>
      <c r="T308" s="194" t="str">
        <f t="shared" si="103"/>
        <v/>
      </c>
      <c r="U308" s="192" t="str">
        <f t="shared" si="117"/>
        <v/>
      </c>
      <c r="V308" s="195" t="str">
        <f t="shared" si="104"/>
        <v/>
      </c>
      <c r="W308" s="195" t="str">
        <f t="shared" si="105"/>
        <v/>
      </c>
      <c r="X308" s="196" t="str">
        <f t="shared" si="118"/>
        <v/>
      </c>
      <c r="Y308" s="191" t="str">
        <f t="shared" si="120"/>
        <v/>
      </c>
      <c r="Z308" s="197" t="str">
        <f t="shared" si="106"/>
        <v/>
      </c>
      <c r="AA308" s="197" t="str">
        <f t="shared" si="107"/>
        <v/>
      </c>
      <c r="AB308" s="213"/>
      <c r="AC308" s="204"/>
    </row>
    <row r="309" spans="1:29" ht="11.4">
      <c r="A309" s="211" t="str">
        <f t="shared" si="119"/>
        <v/>
      </c>
      <c r="B309" s="211"/>
      <c r="C309" s="185"/>
      <c r="D309" s="186" t="str">
        <f t="shared" si="108"/>
        <v/>
      </c>
      <c r="E309" s="186" t="str">
        <f>IF(OR(C309="",C309=Data!$B$3),"",IF(C309=Data!$B$4,"L","S"))</f>
        <v/>
      </c>
      <c r="F309" s="186" t="str">
        <f t="shared" si="109"/>
        <v/>
      </c>
      <c r="G309" s="187" t="str">
        <f t="shared" si="100"/>
        <v/>
      </c>
      <c r="H309" s="188"/>
      <c r="I309" s="189" t="str">
        <f t="shared" si="110"/>
        <v/>
      </c>
      <c r="J309" s="189" t="str">
        <f t="shared" si="111"/>
        <v/>
      </c>
      <c r="K309" s="190" t="str">
        <f t="shared" si="112"/>
        <v/>
      </c>
      <c r="L309" s="190" t="str">
        <f t="shared" si="113"/>
        <v/>
      </c>
      <c r="M309" s="214"/>
      <c r="N309" s="214"/>
      <c r="O309" s="189" t="str">
        <f t="shared" si="114"/>
        <v/>
      </c>
      <c r="P309" s="191" t="str">
        <f t="shared" si="101"/>
        <v/>
      </c>
      <c r="Q309" s="192" t="str">
        <f t="shared" si="115"/>
        <v/>
      </c>
      <c r="R309" s="191" t="str">
        <f t="shared" si="102"/>
        <v/>
      </c>
      <c r="S309" s="193" t="str">
        <f t="shared" si="116"/>
        <v/>
      </c>
      <c r="T309" s="194" t="str">
        <f t="shared" si="103"/>
        <v/>
      </c>
      <c r="U309" s="192" t="str">
        <f t="shared" si="117"/>
        <v/>
      </c>
      <c r="V309" s="195" t="str">
        <f t="shared" si="104"/>
        <v/>
      </c>
      <c r="W309" s="195" t="str">
        <f t="shared" si="105"/>
        <v/>
      </c>
      <c r="X309" s="196" t="str">
        <f t="shared" si="118"/>
        <v/>
      </c>
      <c r="Y309" s="191" t="str">
        <f t="shared" si="120"/>
        <v/>
      </c>
      <c r="Z309" s="197" t="str">
        <f t="shared" si="106"/>
        <v/>
      </c>
      <c r="AA309" s="197" t="str">
        <f t="shared" si="107"/>
        <v/>
      </c>
      <c r="AB309" s="213"/>
      <c r="AC309" s="204"/>
    </row>
    <row r="310" spans="1:29" ht="11.4">
      <c r="A310" s="211" t="str">
        <f t="shared" si="119"/>
        <v/>
      </c>
      <c r="B310" s="211"/>
      <c r="C310" s="185"/>
      <c r="D310" s="186" t="str">
        <f t="shared" si="108"/>
        <v/>
      </c>
      <c r="E310" s="186" t="str">
        <f>IF(OR(C310="",C310=Data!$B$3),"",IF(C310=Data!$B$4,"L","S"))</f>
        <v/>
      </c>
      <c r="F310" s="186" t="str">
        <f t="shared" si="109"/>
        <v/>
      </c>
      <c r="G310" s="187" t="str">
        <f t="shared" si="100"/>
        <v/>
      </c>
      <c r="H310" s="188"/>
      <c r="I310" s="189" t="str">
        <f t="shared" si="110"/>
        <v/>
      </c>
      <c r="J310" s="189" t="str">
        <f t="shared" si="111"/>
        <v/>
      </c>
      <c r="K310" s="190" t="str">
        <f t="shared" si="112"/>
        <v/>
      </c>
      <c r="L310" s="190" t="str">
        <f t="shared" si="113"/>
        <v/>
      </c>
      <c r="M310" s="214"/>
      <c r="N310" s="214"/>
      <c r="O310" s="189" t="str">
        <f t="shared" si="114"/>
        <v/>
      </c>
      <c r="P310" s="191" t="str">
        <f t="shared" si="101"/>
        <v/>
      </c>
      <c r="Q310" s="192" t="str">
        <f t="shared" si="115"/>
        <v/>
      </c>
      <c r="R310" s="191" t="str">
        <f t="shared" si="102"/>
        <v/>
      </c>
      <c r="S310" s="193" t="str">
        <f t="shared" si="116"/>
        <v/>
      </c>
      <c r="T310" s="194" t="str">
        <f t="shared" si="103"/>
        <v/>
      </c>
      <c r="U310" s="192" t="str">
        <f t="shared" si="117"/>
        <v/>
      </c>
      <c r="V310" s="195" t="str">
        <f t="shared" si="104"/>
        <v/>
      </c>
      <c r="W310" s="195" t="str">
        <f t="shared" si="105"/>
        <v/>
      </c>
      <c r="X310" s="196" t="str">
        <f t="shared" si="118"/>
        <v/>
      </c>
      <c r="Y310" s="191" t="str">
        <f t="shared" si="120"/>
        <v/>
      </c>
      <c r="Z310" s="197" t="str">
        <f t="shared" si="106"/>
        <v/>
      </c>
      <c r="AA310" s="197" t="str">
        <f t="shared" si="107"/>
        <v/>
      </c>
      <c r="AB310" s="213"/>
      <c r="AC310" s="204"/>
    </row>
    <row r="311" spans="1:29" ht="11.4">
      <c r="A311" s="211" t="str">
        <f t="shared" si="119"/>
        <v/>
      </c>
      <c r="B311" s="211"/>
      <c r="C311" s="185"/>
      <c r="D311" s="186" t="str">
        <f t="shared" si="108"/>
        <v/>
      </c>
      <c r="E311" s="186" t="str">
        <f>IF(OR(C311="",C311=Data!$B$3),"",IF(C311=Data!$B$4,"L","S"))</f>
        <v/>
      </c>
      <c r="F311" s="186" t="str">
        <f t="shared" si="109"/>
        <v/>
      </c>
      <c r="G311" s="187" t="str">
        <f t="shared" si="100"/>
        <v/>
      </c>
      <c r="H311" s="188"/>
      <c r="I311" s="189" t="str">
        <f t="shared" si="110"/>
        <v/>
      </c>
      <c r="J311" s="189" t="str">
        <f t="shared" si="111"/>
        <v/>
      </c>
      <c r="K311" s="190" t="str">
        <f t="shared" si="112"/>
        <v/>
      </c>
      <c r="L311" s="190" t="str">
        <f t="shared" si="113"/>
        <v/>
      </c>
      <c r="M311" s="214"/>
      <c r="N311" s="214"/>
      <c r="O311" s="189" t="str">
        <f t="shared" si="114"/>
        <v/>
      </c>
      <c r="P311" s="191" t="str">
        <f t="shared" si="101"/>
        <v/>
      </c>
      <c r="Q311" s="192" t="str">
        <f t="shared" si="115"/>
        <v/>
      </c>
      <c r="R311" s="191" t="str">
        <f t="shared" si="102"/>
        <v/>
      </c>
      <c r="S311" s="193" t="str">
        <f t="shared" si="116"/>
        <v/>
      </c>
      <c r="T311" s="194" t="str">
        <f t="shared" si="103"/>
        <v/>
      </c>
      <c r="U311" s="192" t="str">
        <f t="shared" si="117"/>
        <v/>
      </c>
      <c r="V311" s="195" t="str">
        <f t="shared" si="104"/>
        <v/>
      </c>
      <c r="W311" s="195" t="str">
        <f t="shared" si="105"/>
        <v/>
      </c>
      <c r="X311" s="196" t="str">
        <f t="shared" si="118"/>
        <v/>
      </c>
      <c r="Y311" s="191" t="str">
        <f t="shared" si="120"/>
        <v/>
      </c>
      <c r="Z311" s="197" t="str">
        <f t="shared" si="106"/>
        <v/>
      </c>
      <c r="AA311" s="197" t="str">
        <f t="shared" si="107"/>
        <v/>
      </c>
      <c r="AB311" s="213"/>
      <c r="AC311" s="204"/>
    </row>
    <row r="312" spans="1:29" ht="11.4">
      <c r="A312" s="211" t="str">
        <f t="shared" si="119"/>
        <v/>
      </c>
      <c r="B312" s="211"/>
      <c r="C312" s="185"/>
      <c r="D312" s="186" t="str">
        <f t="shared" si="108"/>
        <v/>
      </c>
      <c r="E312" s="186" t="str">
        <f>IF(OR(C312="",C312=Data!$B$3),"",IF(C312=Data!$B$4,"L","S"))</f>
        <v/>
      </c>
      <c r="F312" s="186" t="str">
        <f t="shared" si="109"/>
        <v/>
      </c>
      <c r="G312" s="187" t="str">
        <f t="shared" si="100"/>
        <v/>
      </c>
      <c r="H312" s="188"/>
      <c r="I312" s="189" t="str">
        <f t="shared" si="110"/>
        <v/>
      </c>
      <c r="J312" s="189" t="str">
        <f t="shared" si="111"/>
        <v/>
      </c>
      <c r="K312" s="190" t="str">
        <f t="shared" si="112"/>
        <v/>
      </c>
      <c r="L312" s="190" t="str">
        <f t="shared" si="113"/>
        <v/>
      </c>
      <c r="M312" s="214"/>
      <c r="N312" s="214"/>
      <c r="O312" s="189" t="str">
        <f t="shared" si="114"/>
        <v/>
      </c>
      <c r="P312" s="191" t="str">
        <f t="shared" si="101"/>
        <v/>
      </c>
      <c r="Q312" s="192" t="str">
        <f t="shared" si="115"/>
        <v/>
      </c>
      <c r="R312" s="191" t="str">
        <f t="shared" si="102"/>
        <v/>
      </c>
      <c r="S312" s="193" t="str">
        <f t="shared" si="116"/>
        <v/>
      </c>
      <c r="T312" s="194" t="str">
        <f t="shared" si="103"/>
        <v/>
      </c>
      <c r="U312" s="192" t="str">
        <f t="shared" si="117"/>
        <v/>
      </c>
      <c r="V312" s="195" t="str">
        <f t="shared" si="104"/>
        <v/>
      </c>
      <c r="W312" s="195" t="str">
        <f t="shared" si="105"/>
        <v/>
      </c>
      <c r="X312" s="196" t="str">
        <f t="shared" si="118"/>
        <v/>
      </c>
      <c r="Y312" s="191" t="str">
        <f t="shared" si="120"/>
        <v/>
      </c>
      <c r="Z312" s="197" t="str">
        <f t="shared" si="106"/>
        <v/>
      </c>
      <c r="AA312" s="197" t="str">
        <f t="shared" si="107"/>
        <v/>
      </c>
      <c r="AB312" s="213"/>
      <c r="AC312" s="204"/>
    </row>
    <row r="313" spans="1:29" ht="11.4">
      <c r="A313" s="211" t="str">
        <f t="shared" si="119"/>
        <v/>
      </c>
      <c r="B313" s="211"/>
      <c r="C313" s="185"/>
      <c r="D313" s="186" t="str">
        <f t="shared" si="108"/>
        <v/>
      </c>
      <c r="E313" s="186" t="str">
        <f>IF(OR(C313="",C313=Data!$B$3),"",IF(C313=Data!$B$4,"L","S"))</f>
        <v/>
      </c>
      <c r="F313" s="186" t="str">
        <f t="shared" si="109"/>
        <v/>
      </c>
      <c r="G313" s="187" t="str">
        <f t="shared" si="100"/>
        <v/>
      </c>
      <c r="H313" s="188"/>
      <c r="I313" s="189" t="str">
        <f t="shared" si="110"/>
        <v/>
      </c>
      <c r="J313" s="189" t="str">
        <f t="shared" si="111"/>
        <v/>
      </c>
      <c r="K313" s="190" t="str">
        <f t="shared" si="112"/>
        <v/>
      </c>
      <c r="L313" s="190" t="str">
        <f t="shared" si="113"/>
        <v/>
      </c>
      <c r="M313" s="214"/>
      <c r="N313" s="214"/>
      <c r="O313" s="189" t="str">
        <f t="shared" si="114"/>
        <v/>
      </c>
      <c r="P313" s="191" t="str">
        <f t="shared" si="101"/>
        <v/>
      </c>
      <c r="Q313" s="192" t="str">
        <f t="shared" si="115"/>
        <v/>
      </c>
      <c r="R313" s="191" t="str">
        <f t="shared" si="102"/>
        <v/>
      </c>
      <c r="S313" s="193" t="str">
        <f t="shared" si="116"/>
        <v/>
      </c>
      <c r="T313" s="194" t="str">
        <f t="shared" si="103"/>
        <v/>
      </c>
      <c r="U313" s="192" t="str">
        <f t="shared" si="117"/>
        <v/>
      </c>
      <c r="V313" s="195" t="str">
        <f t="shared" si="104"/>
        <v/>
      </c>
      <c r="W313" s="195" t="str">
        <f t="shared" si="105"/>
        <v/>
      </c>
      <c r="X313" s="196" t="str">
        <f t="shared" si="118"/>
        <v/>
      </c>
      <c r="Y313" s="191" t="str">
        <f t="shared" si="120"/>
        <v/>
      </c>
      <c r="Z313" s="197" t="str">
        <f t="shared" si="106"/>
        <v/>
      </c>
      <c r="AA313" s="197" t="str">
        <f t="shared" si="107"/>
        <v/>
      </c>
      <c r="AB313" s="213"/>
      <c r="AC313" s="204"/>
    </row>
    <row r="314" spans="1:29" ht="11.4">
      <c r="A314" s="211" t="str">
        <f t="shared" si="119"/>
        <v/>
      </c>
      <c r="B314" s="211"/>
      <c r="C314" s="185"/>
      <c r="D314" s="186" t="str">
        <f t="shared" si="108"/>
        <v/>
      </c>
      <c r="E314" s="186" t="str">
        <f>IF(OR(C314="",C314=Data!$B$3),"",IF(C314=Data!$B$4,"L","S"))</f>
        <v/>
      </c>
      <c r="F314" s="186" t="str">
        <f t="shared" si="109"/>
        <v/>
      </c>
      <c r="G314" s="187" t="str">
        <f t="shared" si="100"/>
        <v/>
      </c>
      <c r="H314" s="188"/>
      <c r="I314" s="189" t="str">
        <f t="shared" si="110"/>
        <v/>
      </c>
      <c r="J314" s="189" t="str">
        <f t="shared" si="111"/>
        <v/>
      </c>
      <c r="K314" s="190" t="str">
        <f t="shared" si="112"/>
        <v/>
      </c>
      <c r="L314" s="190" t="str">
        <f t="shared" si="113"/>
        <v/>
      </c>
      <c r="M314" s="214"/>
      <c r="N314" s="214"/>
      <c r="O314" s="189" t="str">
        <f t="shared" si="114"/>
        <v/>
      </c>
      <c r="P314" s="191" t="str">
        <f t="shared" si="101"/>
        <v/>
      </c>
      <c r="Q314" s="192" t="str">
        <f t="shared" si="115"/>
        <v/>
      </c>
      <c r="R314" s="191" t="str">
        <f t="shared" si="102"/>
        <v/>
      </c>
      <c r="S314" s="193" t="str">
        <f t="shared" si="116"/>
        <v/>
      </c>
      <c r="T314" s="194" t="str">
        <f t="shared" si="103"/>
        <v/>
      </c>
      <c r="U314" s="192" t="str">
        <f t="shared" si="117"/>
        <v/>
      </c>
      <c r="V314" s="195" t="str">
        <f t="shared" si="104"/>
        <v/>
      </c>
      <c r="W314" s="195" t="str">
        <f t="shared" si="105"/>
        <v/>
      </c>
      <c r="X314" s="196" t="str">
        <f t="shared" si="118"/>
        <v/>
      </c>
      <c r="Y314" s="191" t="str">
        <f t="shared" si="120"/>
        <v/>
      </c>
      <c r="Z314" s="197" t="str">
        <f t="shared" si="106"/>
        <v/>
      </c>
      <c r="AA314" s="197" t="str">
        <f t="shared" si="107"/>
        <v/>
      </c>
      <c r="AB314" s="213"/>
      <c r="AC314" s="204"/>
    </row>
    <row r="315" spans="1:29" ht="11.4">
      <c r="A315" s="211" t="str">
        <f t="shared" si="119"/>
        <v/>
      </c>
      <c r="B315" s="211"/>
      <c r="C315" s="185"/>
      <c r="D315" s="186" t="str">
        <f t="shared" si="108"/>
        <v/>
      </c>
      <c r="E315" s="186" t="str">
        <f>IF(OR(C315="",C315=Data!$B$3),"",IF(C315=Data!$B$4,"L","S"))</f>
        <v/>
      </c>
      <c r="F315" s="186" t="str">
        <f t="shared" si="109"/>
        <v/>
      </c>
      <c r="G315" s="187" t="str">
        <f t="shared" si="100"/>
        <v/>
      </c>
      <c r="H315" s="188"/>
      <c r="I315" s="189" t="str">
        <f t="shared" si="110"/>
        <v/>
      </c>
      <c r="J315" s="189" t="str">
        <f t="shared" si="111"/>
        <v/>
      </c>
      <c r="K315" s="190" t="str">
        <f t="shared" si="112"/>
        <v/>
      </c>
      <c r="L315" s="190" t="str">
        <f t="shared" si="113"/>
        <v/>
      </c>
      <c r="M315" s="214"/>
      <c r="N315" s="214"/>
      <c r="O315" s="189" t="str">
        <f t="shared" si="114"/>
        <v/>
      </c>
      <c r="P315" s="191" t="str">
        <f t="shared" si="101"/>
        <v/>
      </c>
      <c r="Q315" s="192" t="str">
        <f t="shared" si="115"/>
        <v/>
      </c>
      <c r="R315" s="191" t="str">
        <f t="shared" si="102"/>
        <v/>
      </c>
      <c r="S315" s="193" t="str">
        <f t="shared" si="116"/>
        <v/>
      </c>
      <c r="T315" s="194" t="str">
        <f t="shared" si="103"/>
        <v/>
      </c>
      <c r="U315" s="192" t="str">
        <f t="shared" si="117"/>
        <v/>
      </c>
      <c r="V315" s="195" t="str">
        <f t="shared" si="104"/>
        <v/>
      </c>
      <c r="W315" s="195" t="str">
        <f t="shared" si="105"/>
        <v/>
      </c>
      <c r="X315" s="196" t="str">
        <f t="shared" si="118"/>
        <v/>
      </c>
      <c r="Y315" s="191" t="str">
        <f t="shared" si="120"/>
        <v/>
      </c>
      <c r="Z315" s="197" t="str">
        <f t="shared" si="106"/>
        <v/>
      </c>
      <c r="AA315" s="197" t="str">
        <f t="shared" si="107"/>
        <v/>
      </c>
      <c r="AB315" s="213"/>
      <c r="AC315" s="204"/>
    </row>
    <row r="316" spans="1:29" ht="11.4">
      <c r="A316" s="211" t="str">
        <f t="shared" si="119"/>
        <v/>
      </c>
      <c r="B316" s="211"/>
      <c r="C316" s="185"/>
      <c r="D316" s="186" t="str">
        <f t="shared" si="108"/>
        <v/>
      </c>
      <c r="E316" s="186" t="str">
        <f>IF(OR(C316="",C316=Data!$B$3),"",IF(C316=Data!$B$4,"L","S"))</f>
        <v/>
      </c>
      <c r="F316" s="186" t="str">
        <f t="shared" si="109"/>
        <v/>
      </c>
      <c r="G316" s="187" t="str">
        <f t="shared" si="100"/>
        <v/>
      </c>
      <c r="H316" s="188"/>
      <c r="I316" s="189" t="str">
        <f t="shared" si="110"/>
        <v/>
      </c>
      <c r="J316" s="189" t="str">
        <f t="shared" si="111"/>
        <v/>
      </c>
      <c r="K316" s="190" t="str">
        <f t="shared" si="112"/>
        <v/>
      </c>
      <c r="L316" s="190" t="str">
        <f t="shared" si="113"/>
        <v/>
      </c>
      <c r="M316" s="214"/>
      <c r="N316" s="214"/>
      <c r="O316" s="189" t="str">
        <f t="shared" si="114"/>
        <v/>
      </c>
      <c r="P316" s="191" t="str">
        <f t="shared" si="101"/>
        <v/>
      </c>
      <c r="Q316" s="192" t="str">
        <f t="shared" si="115"/>
        <v/>
      </c>
      <c r="R316" s="191" t="str">
        <f t="shared" si="102"/>
        <v/>
      </c>
      <c r="S316" s="193" t="str">
        <f t="shared" si="116"/>
        <v/>
      </c>
      <c r="T316" s="194" t="str">
        <f t="shared" si="103"/>
        <v/>
      </c>
      <c r="U316" s="192" t="str">
        <f t="shared" si="117"/>
        <v/>
      </c>
      <c r="V316" s="195" t="str">
        <f t="shared" si="104"/>
        <v/>
      </c>
      <c r="W316" s="195" t="str">
        <f t="shared" si="105"/>
        <v/>
      </c>
      <c r="X316" s="196" t="str">
        <f t="shared" si="118"/>
        <v/>
      </c>
      <c r="Y316" s="191" t="str">
        <f t="shared" si="120"/>
        <v/>
      </c>
      <c r="Z316" s="197" t="str">
        <f t="shared" si="106"/>
        <v/>
      </c>
      <c r="AA316" s="197" t="str">
        <f t="shared" si="107"/>
        <v/>
      </c>
      <c r="AB316" s="213"/>
      <c r="AC316" s="204"/>
    </row>
    <row r="317" spans="1:29" ht="11.4">
      <c r="A317" s="211" t="str">
        <f t="shared" si="119"/>
        <v/>
      </c>
      <c r="B317" s="211"/>
      <c r="C317" s="185"/>
      <c r="D317" s="186" t="str">
        <f t="shared" si="108"/>
        <v/>
      </c>
      <c r="E317" s="186" t="str">
        <f>IF(OR(C317="",C317=Data!$B$3),"",IF(C317=Data!$B$4,"L","S"))</f>
        <v/>
      </c>
      <c r="F317" s="186" t="str">
        <f t="shared" si="109"/>
        <v/>
      </c>
      <c r="G317" s="187" t="str">
        <f t="shared" si="100"/>
        <v/>
      </c>
      <c r="H317" s="188"/>
      <c r="I317" s="189" t="str">
        <f t="shared" si="110"/>
        <v/>
      </c>
      <c r="J317" s="189" t="str">
        <f t="shared" si="111"/>
        <v/>
      </c>
      <c r="K317" s="190" t="str">
        <f t="shared" si="112"/>
        <v/>
      </c>
      <c r="L317" s="190" t="str">
        <f t="shared" si="113"/>
        <v/>
      </c>
      <c r="M317" s="214"/>
      <c r="N317" s="214"/>
      <c r="O317" s="189" t="str">
        <f t="shared" si="114"/>
        <v/>
      </c>
      <c r="P317" s="191" t="str">
        <f t="shared" si="101"/>
        <v/>
      </c>
      <c r="Q317" s="192" t="str">
        <f t="shared" si="115"/>
        <v/>
      </c>
      <c r="R317" s="191" t="str">
        <f t="shared" si="102"/>
        <v/>
      </c>
      <c r="S317" s="193" t="str">
        <f t="shared" si="116"/>
        <v/>
      </c>
      <c r="T317" s="194" t="str">
        <f t="shared" si="103"/>
        <v/>
      </c>
      <c r="U317" s="192" t="str">
        <f t="shared" si="117"/>
        <v/>
      </c>
      <c r="V317" s="195" t="str">
        <f t="shared" si="104"/>
        <v/>
      </c>
      <c r="W317" s="195" t="str">
        <f t="shared" si="105"/>
        <v/>
      </c>
      <c r="X317" s="196" t="str">
        <f t="shared" si="118"/>
        <v/>
      </c>
      <c r="Y317" s="191" t="str">
        <f t="shared" si="120"/>
        <v/>
      </c>
      <c r="Z317" s="197" t="str">
        <f t="shared" si="106"/>
        <v/>
      </c>
      <c r="AA317" s="197" t="str">
        <f t="shared" si="107"/>
        <v/>
      </c>
      <c r="AB317" s="213"/>
      <c r="AC317" s="204"/>
    </row>
    <row r="318" spans="1:29" ht="11.4">
      <c r="A318" s="211" t="str">
        <f t="shared" si="119"/>
        <v/>
      </c>
      <c r="B318" s="211"/>
      <c r="C318" s="185"/>
      <c r="D318" s="186" t="str">
        <f t="shared" si="108"/>
        <v/>
      </c>
      <c r="E318" s="186" t="str">
        <f>IF(OR(C318="",C318=Data!$B$3),"",IF(C318=Data!$B$4,"L","S"))</f>
        <v/>
      </c>
      <c r="F318" s="186" t="str">
        <f t="shared" si="109"/>
        <v/>
      </c>
      <c r="G318" s="187" t="str">
        <f t="shared" si="100"/>
        <v/>
      </c>
      <c r="H318" s="188"/>
      <c r="I318" s="189" t="str">
        <f t="shared" si="110"/>
        <v/>
      </c>
      <c r="J318" s="189" t="str">
        <f t="shared" si="111"/>
        <v/>
      </c>
      <c r="K318" s="190" t="str">
        <f t="shared" si="112"/>
        <v/>
      </c>
      <c r="L318" s="190" t="str">
        <f t="shared" si="113"/>
        <v/>
      </c>
      <c r="M318" s="214"/>
      <c r="N318" s="214"/>
      <c r="O318" s="189" t="str">
        <f t="shared" si="114"/>
        <v/>
      </c>
      <c r="P318" s="191" t="str">
        <f t="shared" si="101"/>
        <v/>
      </c>
      <c r="Q318" s="192" t="str">
        <f t="shared" si="115"/>
        <v/>
      </c>
      <c r="R318" s="191" t="str">
        <f t="shared" si="102"/>
        <v/>
      </c>
      <c r="S318" s="193" t="str">
        <f t="shared" si="116"/>
        <v/>
      </c>
      <c r="T318" s="194" t="str">
        <f t="shared" si="103"/>
        <v/>
      </c>
      <c r="U318" s="192" t="str">
        <f t="shared" si="117"/>
        <v/>
      </c>
      <c r="V318" s="195" t="str">
        <f t="shared" si="104"/>
        <v/>
      </c>
      <c r="W318" s="195" t="str">
        <f t="shared" si="105"/>
        <v/>
      </c>
      <c r="X318" s="196" t="str">
        <f t="shared" si="118"/>
        <v/>
      </c>
      <c r="Y318" s="191" t="str">
        <f t="shared" si="120"/>
        <v/>
      </c>
      <c r="Z318" s="197" t="str">
        <f t="shared" si="106"/>
        <v/>
      </c>
      <c r="AA318" s="197" t="str">
        <f t="shared" si="107"/>
        <v/>
      </c>
      <c r="AB318" s="213"/>
      <c r="AC318" s="204"/>
    </row>
    <row r="319" spans="1:29" ht="11.4">
      <c r="A319" s="211" t="str">
        <f t="shared" si="119"/>
        <v/>
      </c>
      <c r="B319" s="211"/>
      <c r="C319" s="185"/>
      <c r="D319" s="186" t="str">
        <f t="shared" si="108"/>
        <v/>
      </c>
      <c r="E319" s="186" t="str">
        <f>IF(OR(C319="",C319=Data!$B$3),"",IF(C319=Data!$B$4,"L","S"))</f>
        <v/>
      </c>
      <c r="F319" s="186" t="str">
        <f t="shared" si="109"/>
        <v/>
      </c>
      <c r="G319" s="187" t="str">
        <f t="shared" si="100"/>
        <v/>
      </c>
      <c r="H319" s="188"/>
      <c r="I319" s="189" t="str">
        <f t="shared" si="110"/>
        <v/>
      </c>
      <c r="J319" s="189" t="str">
        <f t="shared" si="111"/>
        <v/>
      </c>
      <c r="K319" s="190" t="str">
        <f t="shared" si="112"/>
        <v/>
      </c>
      <c r="L319" s="190" t="str">
        <f t="shared" si="113"/>
        <v/>
      </c>
      <c r="M319" s="214"/>
      <c r="N319" s="214"/>
      <c r="O319" s="189" t="str">
        <f t="shared" si="114"/>
        <v/>
      </c>
      <c r="P319" s="191" t="str">
        <f t="shared" si="101"/>
        <v/>
      </c>
      <c r="Q319" s="192" t="str">
        <f t="shared" si="115"/>
        <v/>
      </c>
      <c r="R319" s="191" t="str">
        <f t="shared" si="102"/>
        <v/>
      </c>
      <c r="S319" s="193" t="str">
        <f t="shared" si="116"/>
        <v/>
      </c>
      <c r="T319" s="194" t="str">
        <f t="shared" si="103"/>
        <v/>
      </c>
      <c r="U319" s="192" t="str">
        <f t="shared" si="117"/>
        <v/>
      </c>
      <c r="V319" s="195" t="str">
        <f t="shared" si="104"/>
        <v/>
      </c>
      <c r="W319" s="195" t="str">
        <f t="shared" si="105"/>
        <v/>
      </c>
      <c r="X319" s="196" t="str">
        <f t="shared" si="118"/>
        <v/>
      </c>
      <c r="Y319" s="191" t="str">
        <f t="shared" si="120"/>
        <v/>
      </c>
      <c r="Z319" s="197" t="str">
        <f t="shared" si="106"/>
        <v/>
      </c>
      <c r="AA319" s="197" t="str">
        <f t="shared" si="107"/>
        <v/>
      </c>
      <c r="AB319" s="213"/>
      <c r="AC319" s="204"/>
    </row>
    <row r="320" spans="1:29" ht="11.4">
      <c r="A320" s="211" t="str">
        <f t="shared" si="119"/>
        <v/>
      </c>
      <c r="B320" s="211"/>
      <c r="C320" s="185"/>
      <c r="D320" s="186" t="str">
        <f t="shared" si="108"/>
        <v/>
      </c>
      <c r="E320" s="186" t="str">
        <f>IF(OR(C320="",C320=Data!$B$3),"",IF(C320=Data!$B$4,"L","S"))</f>
        <v/>
      </c>
      <c r="F320" s="186" t="str">
        <f t="shared" si="109"/>
        <v/>
      </c>
      <c r="G320" s="187" t="str">
        <f t="shared" si="100"/>
        <v/>
      </c>
      <c r="H320" s="188"/>
      <c r="I320" s="189" t="str">
        <f t="shared" si="110"/>
        <v/>
      </c>
      <c r="J320" s="189" t="str">
        <f t="shared" si="111"/>
        <v/>
      </c>
      <c r="K320" s="190" t="str">
        <f t="shared" si="112"/>
        <v/>
      </c>
      <c r="L320" s="190" t="str">
        <f t="shared" si="113"/>
        <v/>
      </c>
      <c r="M320" s="214"/>
      <c r="N320" s="214"/>
      <c r="O320" s="189" t="str">
        <f t="shared" si="114"/>
        <v/>
      </c>
      <c r="P320" s="191" t="str">
        <f t="shared" si="101"/>
        <v/>
      </c>
      <c r="Q320" s="192" t="str">
        <f t="shared" si="115"/>
        <v/>
      </c>
      <c r="R320" s="191" t="str">
        <f t="shared" si="102"/>
        <v/>
      </c>
      <c r="S320" s="193" t="str">
        <f t="shared" si="116"/>
        <v/>
      </c>
      <c r="T320" s="194" t="str">
        <f t="shared" si="103"/>
        <v/>
      </c>
      <c r="U320" s="192" t="str">
        <f t="shared" si="117"/>
        <v/>
      </c>
      <c r="V320" s="195" t="str">
        <f t="shared" si="104"/>
        <v/>
      </c>
      <c r="W320" s="195" t="str">
        <f t="shared" si="105"/>
        <v/>
      </c>
      <c r="X320" s="196" t="str">
        <f t="shared" si="118"/>
        <v/>
      </c>
      <c r="Y320" s="191" t="str">
        <f t="shared" si="120"/>
        <v/>
      </c>
      <c r="Z320" s="197" t="str">
        <f t="shared" si="106"/>
        <v/>
      </c>
      <c r="AA320" s="197" t="str">
        <f t="shared" si="107"/>
        <v/>
      </c>
      <c r="AB320" s="213"/>
      <c r="AC320" s="204"/>
    </row>
    <row r="321" spans="1:29" ht="11.4">
      <c r="A321" s="211" t="str">
        <f t="shared" si="119"/>
        <v/>
      </c>
      <c r="B321" s="211"/>
      <c r="C321" s="185"/>
      <c r="D321" s="186" t="str">
        <f t="shared" si="108"/>
        <v/>
      </c>
      <c r="E321" s="186" t="str">
        <f>IF(OR(C321="",C321=Data!$B$3),"",IF(C321=Data!$B$4,"L","S"))</f>
        <v/>
      </c>
      <c r="F321" s="186" t="str">
        <f t="shared" si="109"/>
        <v/>
      </c>
      <c r="G321" s="187" t="str">
        <f t="shared" si="100"/>
        <v/>
      </c>
      <c r="H321" s="188"/>
      <c r="I321" s="189" t="str">
        <f t="shared" si="110"/>
        <v/>
      </c>
      <c r="J321" s="189" t="str">
        <f t="shared" si="111"/>
        <v/>
      </c>
      <c r="K321" s="190" t="str">
        <f t="shared" si="112"/>
        <v/>
      </c>
      <c r="L321" s="190" t="str">
        <f t="shared" si="113"/>
        <v/>
      </c>
      <c r="M321" s="214"/>
      <c r="N321" s="214"/>
      <c r="O321" s="189" t="str">
        <f t="shared" si="114"/>
        <v/>
      </c>
      <c r="P321" s="191" t="str">
        <f t="shared" si="101"/>
        <v/>
      </c>
      <c r="Q321" s="192" t="str">
        <f t="shared" si="115"/>
        <v/>
      </c>
      <c r="R321" s="191" t="str">
        <f t="shared" si="102"/>
        <v/>
      </c>
      <c r="S321" s="193" t="str">
        <f t="shared" si="116"/>
        <v/>
      </c>
      <c r="T321" s="194" t="str">
        <f t="shared" si="103"/>
        <v/>
      </c>
      <c r="U321" s="192" t="str">
        <f t="shared" si="117"/>
        <v/>
      </c>
      <c r="V321" s="195" t="str">
        <f t="shared" si="104"/>
        <v/>
      </c>
      <c r="W321" s="195" t="str">
        <f t="shared" si="105"/>
        <v/>
      </c>
      <c r="X321" s="196" t="str">
        <f t="shared" si="118"/>
        <v/>
      </c>
      <c r="Y321" s="191" t="str">
        <f t="shared" si="120"/>
        <v/>
      </c>
      <c r="Z321" s="197" t="str">
        <f t="shared" si="106"/>
        <v/>
      </c>
      <c r="AA321" s="197" t="str">
        <f t="shared" si="107"/>
        <v/>
      </c>
      <c r="AB321" s="213"/>
      <c r="AC321" s="204"/>
    </row>
    <row r="322" spans="1:29" ht="11.4">
      <c r="A322" s="211" t="str">
        <f t="shared" si="119"/>
        <v/>
      </c>
      <c r="B322" s="211"/>
      <c r="C322" s="185"/>
      <c r="D322" s="186" t="str">
        <f t="shared" si="108"/>
        <v/>
      </c>
      <c r="E322" s="186" t="str">
        <f>IF(OR(C322="",C322=Data!$B$3),"",IF(C322=Data!$B$4,"L","S"))</f>
        <v/>
      </c>
      <c r="F322" s="186" t="str">
        <f t="shared" si="109"/>
        <v/>
      </c>
      <c r="G322" s="187" t="str">
        <f t="shared" si="100"/>
        <v/>
      </c>
      <c r="H322" s="188"/>
      <c r="I322" s="189" t="str">
        <f t="shared" si="110"/>
        <v/>
      </c>
      <c r="J322" s="189" t="str">
        <f t="shared" si="111"/>
        <v/>
      </c>
      <c r="K322" s="190" t="str">
        <f t="shared" si="112"/>
        <v/>
      </c>
      <c r="L322" s="190" t="str">
        <f t="shared" si="113"/>
        <v/>
      </c>
      <c r="M322" s="214"/>
      <c r="N322" s="214"/>
      <c r="O322" s="189" t="str">
        <f t="shared" si="114"/>
        <v/>
      </c>
      <c r="P322" s="191" t="str">
        <f t="shared" si="101"/>
        <v/>
      </c>
      <c r="Q322" s="192" t="str">
        <f t="shared" si="115"/>
        <v/>
      </c>
      <c r="R322" s="191" t="str">
        <f t="shared" si="102"/>
        <v/>
      </c>
      <c r="S322" s="193" t="str">
        <f t="shared" si="116"/>
        <v/>
      </c>
      <c r="T322" s="194" t="str">
        <f t="shared" si="103"/>
        <v/>
      </c>
      <c r="U322" s="192" t="str">
        <f t="shared" si="117"/>
        <v/>
      </c>
      <c r="V322" s="195" t="str">
        <f t="shared" si="104"/>
        <v/>
      </c>
      <c r="W322" s="195" t="str">
        <f t="shared" si="105"/>
        <v/>
      </c>
      <c r="X322" s="196" t="str">
        <f t="shared" si="118"/>
        <v/>
      </c>
      <c r="Y322" s="191" t="str">
        <f t="shared" si="120"/>
        <v/>
      </c>
      <c r="Z322" s="197" t="str">
        <f t="shared" si="106"/>
        <v/>
      </c>
      <c r="AA322" s="197" t="str">
        <f t="shared" si="107"/>
        <v/>
      </c>
      <c r="AB322" s="213"/>
      <c r="AC322" s="204"/>
    </row>
    <row r="323" spans="1:29" ht="11.4">
      <c r="A323" s="211" t="str">
        <f t="shared" si="119"/>
        <v/>
      </c>
      <c r="B323" s="211"/>
      <c r="C323" s="185"/>
      <c r="D323" s="186" t="str">
        <f t="shared" si="108"/>
        <v/>
      </c>
      <c r="E323" s="186" t="str">
        <f>IF(OR(C323="",C323=Data!$B$3),"",IF(C323=Data!$B$4,"L","S"))</f>
        <v/>
      </c>
      <c r="F323" s="186" t="str">
        <f t="shared" si="109"/>
        <v/>
      </c>
      <c r="G323" s="187" t="str">
        <f t="shared" si="100"/>
        <v/>
      </c>
      <c r="H323" s="188"/>
      <c r="I323" s="189" t="str">
        <f t="shared" si="110"/>
        <v/>
      </c>
      <c r="J323" s="189" t="str">
        <f t="shared" si="111"/>
        <v/>
      </c>
      <c r="K323" s="190" t="str">
        <f t="shared" si="112"/>
        <v/>
      </c>
      <c r="L323" s="190" t="str">
        <f t="shared" si="113"/>
        <v/>
      </c>
      <c r="M323" s="214"/>
      <c r="N323" s="214"/>
      <c r="O323" s="189" t="str">
        <f t="shared" si="114"/>
        <v/>
      </c>
      <c r="P323" s="191" t="str">
        <f t="shared" si="101"/>
        <v/>
      </c>
      <c r="Q323" s="192" t="str">
        <f t="shared" si="115"/>
        <v/>
      </c>
      <c r="R323" s="191" t="str">
        <f t="shared" si="102"/>
        <v/>
      </c>
      <c r="S323" s="193" t="str">
        <f t="shared" si="116"/>
        <v/>
      </c>
      <c r="T323" s="194" t="str">
        <f t="shared" si="103"/>
        <v/>
      </c>
      <c r="U323" s="192" t="str">
        <f t="shared" si="117"/>
        <v/>
      </c>
      <c r="V323" s="195" t="str">
        <f t="shared" si="104"/>
        <v/>
      </c>
      <c r="W323" s="195" t="str">
        <f t="shared" si="105"/>
        <v/>
      </c>
      <c r="X323" s="196" t="str">
        <f t="shared" si="118"/>
        <v/>
      </c>
      <c r="Y323" s="191" t="str">
        <f t="shared" si="120"/>
        <v/>
      </c>
      <c r="Z323" s="197" t="str">
        <f t="shared" si="106"/>
        <v/>
      </c>
      <c r="AA323" s="197" t="str">
        <f t="shared" si="107"/>
        <v/>
      </c>
      <c r="AB323" s="213"/>
      <c r="AC323" s="204"/>
    </row>
    <row r="324" spans="1:29" ht="11.4">
      <c r="A324" s="211" t="str">
        <f t="shared" si="119"/>
        <v/>
      </c>
      <c r="B324" s="211"/>
      <c r="C324" s="185"/>
      <c r="D324" s="186" t="str">
        <f t="shared" si="108"/>
        <v/>
      </c>
      <c r="E324" s="186" t="str">
        <f>IF(OR(C324="",C324=Data!$B$3),"",IF(C324=Data!$B$4,"L","S"))</f>
        <v/>
      </c>
      <c r="F324" s="186" t="str">
        <f t="shared" si="109"/>
        <v/>
      </c>
      <c r="G324" s="187" t="str">
        <f t="shared" si="100"/>
        <v/>
      </c>
      <c r="H324" s="188"/>
      <c r="I324" s="189" t="str">
        <f t="shared" si="110"/>
        <v/>
      </c>
      <c r="J324" s="189" t="str">
        <f t="shared" si="111"/>
        <v/>
      </c>
      <c r="K324" s="190" t="str">
        <f t="shared" si="112"/>
        <v/>
      </c>
      <c r="L324" s="190" t="str">
        <f t="shared" si="113"/>
        <v/>
      </c>
      <c r="M324" s="214"/>
      <c r="N324" s="214"/>
      <c r="O324" s="189" t="str">
        <f t="shared" si="114"/>
        <v/>
      </c>
      <c r="P324" s="191" t="str">
        <f t="shared" si="101"/>
        <v/>
      </c>
      <c r="Q324" s="192" t="str">
        <f t="shared" si="115"/>
        <v/>
      </c>
      <c r="R324" s="191" t="str">
        <f t="shared" si="102"/>
        <v/>
      </c>
      <c r="S324" s="193" t="str">
        <f t="shared" si="116"/>
        <v/>
      </c>
      <c r="T324" s="194" t="str">
        <f t="shared" si="103"/>
        <v/>
      </c>
      <c r="U324" s="192" t="str">
        <f t="shared" si="117"/>
        <v/>
      </c>
      <c r="V324" s="195" t="str">
        <f t="shared" si="104"/>
        <v/>
      </c>
      <c r="W324" s="195" t="str">
        <f t="shared" si="105"/>
        <v/>
      </c>
      <c r="X324" s="196" t="str">
        <f t="shared" si="118"/>
        <v/>
      </c>
      <c r="Y324" s="191" t="str">
        <f t="shared" si="120"/>
        <v/>
      </c>
      <c r="Z324" s="197" t="str">
        <f t="shared" si="106"/>
        <v/>
      </c>
      <c r="AA324" s="197" t="str">
        <f t="shared" si="107"/>
        <v/>
      </c>
      <c r="AB324" s="213"/>
      <c r="AC324" s="204"/>
    </row>
    <row r="325" spans="1:29" ht="11.4">
      <c r="A325" s="211" t="str">
        <f t="shared" si="119"/>
        <v/>
      </c>
      <c r="B325" s="211"/>
      <c r="C325" s="185"/>
      <c r="D325" s="186" t="str">
        <f t="shared" si="108"/>
        <v/>
      </c>
      <c r="E325" s="186" t="str">
        <f>IF(OR(C325="",C325=Data!$B$3),"",IF(C325=Data!$B$4,"L","S"))</f>
        <v/>
      </c>
      <c r="F325" s="186" t="str">
        <f t="shared" si="109"/>
        <v/>
      </c>
      <c r="G325" s="187" t="str">
        <f t="shared" si="100"/>
        <v/>
      </c>
      <c r="H325" s="188"/>
      <c r="I325" s="189" t="str">
        <f t="shared" si="110"/>
        <v/>
      </c>
      <c r="J325" s="189" t="str">
        <f t="shared" si="111"/>
        <v/>
      </c>
      <c r="K325" s="190" t="str">
        <f t="shared" si="112"/>
        <v/>
      </c>
      <c r="L325" s="190" t="str">
        <f t="shared" si="113"/>
        <v/>
      </c>
      <c r="M325" s="214"/>
      <c r="N325" s="214"/>
      <c r="O325" s="189" t="str">
        <f t="shared" si="114"/>
        <v/>
      </c>
      <c r="P325" s="191" t="str">
        <f t="shared" si="101"/>
        <v/>
      </c>
      <c r="Q325" s="192" t="str">
        <f t="shared" si="115"/>
        <v/>
      </c>
      <c r="R325" s="191" t="str">
        <f t="shared" si="102"/>
        <v/>
      </c>
      <c r="S325" s="193" t="str">
        <f t="shared" si="116"/>
        <v/>
      </c>
      <c r="T325" s="194" t="str">
        <f t="shared" si="103"/>
        <v/>
      </c>
      <c r="U325" s="192" t="str">
        <f t="shared" si="117"/>
        <v/>
      </c>
      <c r="V325" s="195" t="str">
        <f t="shared" si="104"/>
        <v/>
      </c>
      <c r="W325" s="195" t="str">
        <f t="shared" si="105"/>
        <v/>
      </c>
      <c r="X325" s="196" t="str">
        <f t="shared" si="118"/>
        <v/>
      </c>
      <c r="Y325" s="191" t="str">
        <f t="shared" si="120"/>
        <v/>
      </c>
      <c r="Z325" s="197" t="str">
        <f t="shared" si="106"/>
        <v/>
      </c>
      <c r="AA325" s="197" t="str">
        <f t="shared" si="107"/>
        <v/>
      </c>
      <c r="AB325" s="213"/>
      <c r="AC325" s="204"/>
    </row>
    <row r="326" spans="1:29" ht="11.4">
      <c r="A326" s="211" t="str">
        <f t="shared" si="119"/>
        <v/>
      </c>
      <c r="B326" s="211"/>
      <c r="C326" s="185"/>
      <c r="D326" s="186" t="str">
        <f t="shared" si="108"/>
        <v/>
      </c>
      <c r="E326" s="186" t="str">
        <f>IF(OR(C326="",C326=Data!$B$3),"",IF(C326=Data!$B$4,"L","S"))</f>
        <v/>
      </c>
      <c r="F326" s="186" t="str">
        <f t="shared" si="109"/>
        <v/>
      </c>
      <c r="G326" s="187" t="str">
        <f t="shared" si="100"/>
        <v/>
      </c>
      <c r="H326" s="188"/>
      <c r="I326" s="189" t="str">
        <f t="shared" si="110"/>
        <v/>
      </c>
      <c r="J326" s="189" t="str">
        <f t="shared" si="111"/>
        <v/>
      </c>
      <c r="K326" s="190" t="str">
        <f t="shared" si="112"/>
        <v/>
      </c>
      <c r="L326" s="190" t="str">
        <f t="shared" si="113"/>
        <v/>
      </c>
      <c r="M326" s="214"/>
      <c r="N326" s="214"/>
      <c r="O326" s="189" t="str">
        <f t="shared" si="114"/>
        <v/>
      </c>
      <c r="P326" s="191" t="str">
        <f t="shared" si="101"/>
        <v/>
      </c>
      <c r="Q326" s="192" t="str">
        <f t="shared" si="115"/>
        <v/>
      </c>
      <c r="R326" s="191" t="str">
        <f t="shared" si="102"/>
        <v/>
      </c>
      <c r="S326" s="193" t="str">
        <f t="shared" si="116"/>
        <v/>
      </c>
      <c r="T326" s="194" t="str">
        <f t="shared" si="103"/>
        <v/>
      </c>
      <c r="U326" s="192" t="str">
        <f t="shared" si="117"/>
        <v/>
      </c>
      <c r="V326" s="195" t="str">
        <f t="shared" si="104"/>
        <v/>
      </c>
      <c r="W326" s="195" t="str">
        <f t="shared" si="105"/>
        <v/>
      </c>
      <c r="X326" s="196" t="str">
        <f t="shared" si="118"/>
        <v/>
      </c>
      <c r="Y326" s="191" t="str">
        <f t="shared" si="120"/>
        <v/>
      </c>
      <c r="Z326" s="197" t="str">
        <f t="shared" si="106"/>
        <v/>
      </c>
      <c r="AA326" s="197" t="str">
        <f t="shared" si="107"/>
        <v/>
      </c>
      <c r="AB326" s="213"/>
      <c r="AC326" s="204"/>
    </row>
    <row r="327" spans="1:29" ht="11.4">
      <c r="A327" s="211" t="str">
        <f t="shared" si="119"/>
        <v/>
      </c>
      <c r="B327" s="211"/>
      <c r="C327" s="185"/>
      <c r="D327" s="186" t="str">
        <f t="shared" si="108"/>
        <v/>
      </c>
      <c r="E327" s="186" t="str">
        <f>IF(OR(C327="",C327=Data!$B$3),"",IF(C327=Data!$B$4,"L","S"))</f>
        <v/>
      </c>
      <c r="F327" s="186" t="str">
        <f t="shared" si="109"/>
        <v/>
      </c>
      <c r="G327" s="187" t="str">
        <f t="shared" si="100"/>
        <v/>
      </c>
      <c r="H327" s="188"/>
      <c r="I327" s="189" t="str">
        <f t="shared" si="110"/>
        <v/>
      </c>
      <c r="J327" s="189" t="str">
        <f t="shared" si="111"/>
        <v/>
      </c>
      <c r="K327" s="190" t="str">
        <f t="shared" si="112"/>
        <v/>
      </c>
      <c r="L327" s="190" t="str">
        <f t="shared" si="113"/>
        <v/>
      </c>
      <c r="M327" s="214"/>
      <c r="N327" s="214"/>
      <c r="O327" s="189" t="str">
        <f t="shared" si="114"/>
        <v/>
      </c>
      <c r="P327" s="191" t="str">
        <f t="shared" si="101"/>
        <v/>
      </c>
      <c r="Q327" s="192" t="str">
        <f t="shared" si="115"/>
        <v/>
      </c>
      <c r="R327" s="191" t="str">
        <f t="shared" si="102"/>
        <v/>
      </c>
      <c r="S327" s="193" t="str">
        <f t="shared" si="116"/>
        <v/>
      </c>
      <c r="T327" s="194" t="str">
        <f t="shared" si="103"/>
        <v/>
      </c>
      <c r="U327" s="192" t="str">
        <f t="shared" si="117"/>
        <v/>
      </c>
      <c r="V327" s="195" t="str">
        <f t="shared" si="104"/>
        <v/>
      </c>
      <c r="W327" s="195" t="str">
        <f t="shared" si="105"/>
        <v/>
      </c>
      <c r="X327" s="196" t="str">
        <f t="shared" si="118"/>
        <v/>
      </c>
      <c r="Y327" s="191" t="str">
        <f t="shared" si="120"/>
        <v/>
      </c>
      <c r="Z327" s="197" t="str">
        <f t="shared" si="106"/>
        <v/>
      </c>
      <c r="AA327" s="197" t="str">
        <f t="shared" si="107"/>
        <v/>
      </c>
      <c r="AB327" s="213"/>
      <c r="AC327" s="204"/>
    </row>
    <row r="328" spans="1:29" ht="11.4">
      <c r="A328" s="211" t="str">
        <f t="shared" si="119"/>
        <v/>
      </c>
      <c r="B328" s="211"/>
      <c r="C328" s="185"/>
      <c r="D328" s="186" t="str">
        <f t="shared" si="108"/>
        <v/>
      </c>
      <c r="E328" s="186" t="str">
        <f>IF(OR(C328="",C328=Data!$B$3),"",IF(C328=Data!$B$4,"L","S"))</f>
        <v/>
      </c>
      <c r="F328" s="186" t="str">
        <f t="shared" si="109"/>
        <v/>
      </c>
      <c r="G328" s="187" t="str">
        <f t="shared" si="100"/>
        <v/>
      </c>
      <c r="H328" s="188"/>
      <c r="I328" s="189" t="str">
        <f t="shared" si="110"/>
        <v/>
      </c>
      <c r="J328" s="189" t="str">
        <f t="shared" si="111"/>
        <v/>
      </c>
      <c r="K328" s="190" t="str">
        <f t="shared" si="112"/>
        <v/>
      </c>
      <c r="L328" s="190" t="str">
        <f t="shared" si="113"/>
        <v/>
      </c>
      <c r="M328" s="214"/>
      <c r="N328" s="214"/>
      <c r="O328" s="189" t="str">
        <f t="shared" si="114"/>
        <v/>
      </c>
      <c r="P328" s="191" t="str">
        <f t="shared" si="101"/>
        <v/>
      </c>
      <c r="Q328" s="192" t="str">
        <f t="shared" si="115"/>
        <v/>
      </c>
      <c r="R328" s="191" t="str">
        <f t="shared" si="102"/>
        <v/>
      </c>
      <c r="S328" s="193" t="str">
        <f t="shared" si="116"/>
        <v/>
      </c>
      <c r="T328" s="194" t="str">
        <f t="shared" si="103"/>
        <v/>
      </c>
      <c r="U328" s="192" t="str">
        <f t="shared" si="117"/>
        <v/>
      </c>
      <c r="V328" s="195" t="str">
        <f t="shared" si="104"/>
        <v/>
      </c>
      <c r="W328" s="195" t="str">
        <f t="shared" si="105"/>
        <v/>
      </c>
      <c r="X328" s="196" t="str">
        <f t="shared" si="118"/>
        <v/>
      </c>
      <c r="Y328" s="191" t="str">
        <f t="shared" si="120"/>
        <v/>
      </c>
      <c r="Z328" s="197" t="str">
        <f t="shared" si="106"/>
        <v/>
      </c>
      <c r="AA328" s="197" t="str">
        <f t="shared" si="107"/>
        <v/>
      </c>
      <c r="AB328" s="213"/>
      <c r="AC328" s="204"/>
    </row>
    <row r="329" spans="1:29" ht="11.4">
      <c r="A329" s="211" t="str">
        <f t="shared" si="119"/>
        <v/>
      </c>
      <c r="B329" s="211"/>
      <c r="C329" s="185"/>
      <c r="D329" s="186" t="str">
        <f t="shared" si="108"/>
        <v/>
      </c>
      <c r="E329" s="186" t="str">
        <f>IF(OR(C329="",C329=Data!$B$3),"",IF(C329=Data!$B$4,"L","S"))</f>
        <v/>
      </c>
      <c r="F329" s="186" t="str">
        <f t="shared" si="109"/>
        <v/>
      </c>
      <c r="G329" s="187" t="str">
        <f t="shared" si="100"/>
        <v/>
      </c>
      <c r="H329" s="188"/>
      <c r="I329" s="189" t="str">
        <f t="shared" si="110"/>
        <v/>
      </c>
      <c r="J329" s="189" t="str">
        <f t="shared" si="111"/>
        <v/>
      </c>
      <c r="K329" s="190" t="str">
        <f t="shared" si="112"/>
        <v/>
      </c>
      <c r="L329" s="190" t="str">
        <f t="shared" si="113"/>
        <v/>
      </c>
      <c r="M329" s="214"/>
      <c r="N329" s="214"/>
      <c r="O329" s="189" t="str">
        <f t="shared" si="114"/>
        <v/>
      </c>
      <c r="P329" s="191" t="str">
        <f t="shared" si="101"/>
        <v/>
      </c>
      <c r="Q329" s="192" t="str">
        <f t="shared" si="115"/>
        <v/>
      </c>
      <c r="R329" s="191" t="str">
        <f t="shared" si="102"/>
        <v/>
      </c>
      <c r="S329" s="193" t="str">
        <f t="shared" si="116"/>
        <v/>
      </c>
      <c r="T329" s="194" t="str">
        <f t="shared" si="103"/>
        <v/>
      </c>
      <c r="U329" s="192" t="str">
        <f t="shared" si="117"/>
        <v/>
      </c>
      <c r="V329" s="195" t="str">
        <f t="shared" si="104"/>
        <v/>
      </c>
      <c r="W329" s="195" t="str">
        <f t="shared" si="105"/>
        <v/>
      </c>
      <c r="X329" s="196" t="str">
        <f t="shared" si="118"/>
        <v/>
      </c>
      <c r="Y329" s="191" t="str">
        <f t="shared" si="120"/>
        <v/>
      </c>
      <c r="Z329" s="197" t="str">
        <f t="shared" si="106"/>
        <v/>
      </c>
      <c r="AA329" s="197" t="str">
        <f t="shared" si="107"/>
        <v/>
      </c>
      <c r="AB329" s="213"/>
      <c r="AC329" s="204"/>
    </row>
    <row r="330" spans="1:29" ht="11.4">
      <c r="A330" s="211" t="str">
        <f t="shared" si="119"/>
        <v/>
      </c>
      <c r="B330" s="211"/>
      <c r="C330" s="185"/>
      <c r="D330" s="186" t="str">
        <f t="shared" si="108"/>
        <v/>
      </c>
      <c r="E330" s="186" t="str">
        <f>IF(OR(C330="",C330=Data!$B$3),"",IF(C330=Data!$B$4,"L","S"))</f>
        <v/>
      </c>
      <c r="F330" s="186" t="str">
        <f t="shared" si="109"/>
        <v/>
      </c>
      <c r="G330" s="187" t="str">
        <f t="shared" si="100"/>
        <v/>
      </c>
      <c r="H330" s="188"/>
      <c r="I330" s="189" t="str">
        <f t="shared" si="110"/>
        <v/>
      </c>
      <c r="J330" s="189" t="str">
        <f t="shared" si="111"/>
        <v/>
      </c>
      <c r="K330" s="190" t="str">
        <f t="shared" si="112"/>
        <v/>
      </c>
      <c r="L330" s="190" t="str">
        <f t="shared" si="113"/>
        <v/>
      </c>
      <c r="M330" s="214"/>
      <c r="N330" s="214"/>
      <c r="O330" s="189" t="str">
        <f t="shared" si="114"/>
        <v/>
      </c>
      <c r="P330" s="191" t="str">
        <f t="shared" si="101"/>
        <v/>
      </c>
      <c r="Q330" s="192" t="str">
        <f t="shared" si="115"/>
        <v/>
      </c>
      <c r="R330" s="191" t="str">
        <f t="shared" si="102"/>
        <v/>
      </c>
      <c r="S330" s="193" t="str">
        <f t="shared" si="116"/>
        <v/>
      </c>
      <c r="T330" s="194" t="str">
        <f t="shared" si="103"/>
        <v/>
      </c>
      <c r="U330" s="192" t="str">
        <f t="shared" si="117"/>
        <v/>
      </c>
      <c r="V330" s="195" t="str">
        <f t="shared" si="104"/>
        <v/>
      </c>
      <c r="W330" s="195" t="str">
        <f t="shared" si="105"/>
        <v/>
      </c>
      <c r="X330" s="196" t="str">
        <f t="shared" si="118"/>
        <v/>
      </c>
      <c r="Y330" s="191" t="str">
        <f t="shared" si="120"/>
        <v/>
      </c>
      <c r="Z330" s="197" t="str">
        <f t="shared" si="106"/>
        <v/>
      </c>
      <c r="AA330" s="197" t="str">
        <f t="shared" si="107"/>
        <v/>
      </c>
      <c r="AB330" s="213"/>
      <c r="AC330" s="204"/>
    </row>
    <row r="331" spans="1:29" ht="11.4">
      <c r="A331" s="211" t="str">
        <f t="shared" si="119"/>
        <v/>
      </c>
      <c r="B331" s="211"/>
      <c r="C331" s="185"/>
      <c r="D331" s="186" t="str">
        <f t="shared" si="108"/>
        <v/>
      </c>
      <c r="E331" s="186" t="str">
        <f>IF(OR(C331="",C331=Data!$B$3),"",IF(C331=Data!$B$4,"L","S"))</f>
        <v/>
      </c>
      <c r="F331" s="186" t="str">
        <f t="shared" si="109"/>
        <v/>
      </c>
      <c r="G331" s="187" t="str">
        <f t="shared" si="100"/>
        <v/>
      </c>
      <c r="H331" s="188"/>
      <c r="I331" s="189" t="str">
        <f t="shared" si="110"/>
        <v/>
      </c>
      <c r="J331" s="189" t="str">
        <f t="shared" si="111"/>
        <v/>
      </c>
      <c r="K331" s="190" t="str">
        <f t="shared" si="112"/>
        <v/>
      </c>
      <c r="L331" s="190" t="str">
        <f t="shared" si="113"/>
        <v/>
      </c>
      <c r="M331" s="214"/>
      <c r="N331" s="214"/>
      <c r="O331" s="189" t="str">
        <f t="shared" si="114"/>
        <v/>
      </c>
      <c r="P331" s="191" t="str">
        <f t="shared" si="101"/>
        <v/>
      </c>
      <c r="Q331" s="192" t="str">
        <f t="shared" si="115"/>
        <v/>
      </c>
      <c r="R331" s="191" t="str">
        <f t="shared" si="102"/>
        <v/>
      </c>
      <c r="S331" s="193" t="str">
        <f t="shared" si="116"/>
        <v/>
      </c>
      <c r="T331" s="194" t="str">
        <f t="shared" si="103"/>
        <v/>
      </c>
      <c r="U331" s="192" t="str">
        <f t="shared" si="117"/>
        <v/>
      </c>
      <c r="V331" s="195" t="str">
        <f t="shared" si="104"/>
        <v/>
      </c>
      <c r="W331" s="195" t="str">
        <f t="shared" si="105"/>
        <v/>
      </c>
      <c r="X331" s="196" t="str">
        <f t="shared" si="118"/>
        <v/>
      </c>
      <c r="Y331" s="191" t="str">
        <f t="shared" si="120"/>
        <v/>
      </c>
      <c r="Z331" s="197" t="str">
        <f t="shared" si="106"/>
        <v/>
      </c>
      <c r="AA331" s="197" t="str">
        <f t="shared" si="107"/>
        <v/>
      </c>
      <c r="AB331" s="213"/>
      <c r="AC331" s="204"/>
    </row>
    <row r="332" spans="1:29" ht="11.4">
      <c r="A332" s="211" t="str">
        <f t="shared" si="119"/>
        <v/>
      </c>
      <c r="B332" s="211"/>
      <c r="C332" s="185"/>
      <c r="D332" s="186" t="str">
        <f t="shared" si="108"/>
        <v/>
      </c>
      <c r="E332" s="186" t="str">
        <f>IF(OR(C332="",C332=Data!$B$3),"",IF(C332=Data!$B$4,"L","S"))</f>
        <v/>
      </c>
      <c r="F332" s="186" t="str">
        <f t="shared" si="109"/>
        <v/>
      </c>
      <c r="G332" s="187" t="str">
        <f t="shared" ref="G332:G395" si="121">IF(A332="","",$D$3)</f>
        <v/>
      </c>
      <c r="H332" s="188"/>
      <c r="I332" s="189" t="str">
        <f t="shared" si="110"/>
        <v/>
      </c>
      <c r="J332" s="189" t="str">
        <f t="shared" si="111"/>
        <v/>
      </c>
      <c r="K332" s="190" t="str">
        <f t="shared" si="112"/>
        <v/>
      </c>
      <c r="L332" s="190" t="str">
        <f t="shared" si="113"/>
        <v/>
      </c>
      <c r="M332" s="214"/>
      <c r="N332" s="214"/>
      <c r="O332" s="189" t="str">
        <f t="shared" si="114"/>
        <v/>
      </c>
      <c r="P332" s="191" t="str">
        <f t="shared" ref="P332:P395" si="122">IF(O332="","",IF(L332*F332*G332=0,0,L332*F332*G332))</f>
        <v/>
      </c>
      <c r="Q332" s="192" t="str">
        <f t="shared" si="115"/>
        <v/>
      </c>
      <c r="R332" s="191" t="str">
        <f t="shared" ref="R332:R395" si="123">IF(O332&lt;&gt;"",IF(K332*F332*G332=0,"",K332*F332*G332),"")</f>
        <v/>
      </c>
      <c r="S332" s="193" t="str">
        <f t="shared" si="116"/>
        <v/>
      </c>
      <c r="T332" s="194" t="str">
        <f t="shared" ref="T332:T395" si="124">IF(X332="","",X332*F332*G332)</f>
        <v/>
      </c>
      <c r="U332" s="192" t="str">
        <f t="shared" si="117"/>
        <v/>
      </c>
      <c r="V332" s="195" t="str">
        <f t="shared" ref="V332:V395" si="125">IF(O332="","",IF(AND(O332&gt;I332,E332="L"),1, IF(AND(I332&gt;O332,E332="S"),1,0)))</f>
        <v/>
      </c>
      <c r="W332" s="195" t="str">
        <f t="shared" ref="W332:W395" si="126">IF(O332="","",IF(AND(O332&lt;I332,E332="L"),1, IF(AND(I332&lt;O332,E332="S"),1,0)))</f>
        <v/>
      </c>
      <c r="X332" s="196" t="str">
        <f t="shared" si="118"/>
        <v/>
      </c>
      <c r="Y332" s="191" t="str">
        <f t="shared" si="120"/>
        <v/>
      </c>
      <c r="Z332" s="197" t="str">
        <f t="shared" ref="Z332:Z395" si="127">IF(M332="","",MONTH(M332))</f>
        <v/>
      </c>
      <c r="AA332" s="197" t="str">
        <f t="shared" ref="AA332:AA395" si="128">IF(M332="","",YEAR(M332))</f>
        <v/>
      </c>
      <c r="AB332" s="213"/>
      <c r="AC332" s="204"/>
    </row>
    <row r="333" spans="1:29" ht="11.4">
      <c r="A333" s="211" t="str">
        <f t="shared" si="119"/>
        <v/>
      </c>
      <c r="B333" s="211"/>
      <c r="C333" s="185"/>
      <c r="D333" s="186" t="str">
        <f t="shared" ref="D333:D396" si="129">IF(A333&lt;&gt;"","GBPUSD","")</f>
        <v/>
      </c>
      <c r="E333" s="186" t="str">
        <f>IF(OR(C333="",C333=Data!$B$3),"",IF(C333=Data!$B$4,"L","S"))</f>
        <v/>
      </c>
      <c r="F333" s="186" t="str">
        <f t="shared" ref="F333:F396" si="130">IF(A333&lt;&gt;"",$D$2,"")</f>
        <v/>
      </c>
      <c r="G333" s="187" t="str">
        <f t="shared" si="121"/>
        <v/>
      </c>
      <c r="H333" s="188"/>
      <c r="I333" s="189" t="str">
        <f t="shared" ref="I333:I396" si="131">IF(H333="","",IF(E333="L",H333+$D$4*0.0001,H333-$D$4*0.0001))</f>
        <v/>
      </c>
      <c r="J333" s="189" t="str">
        <f t="shared" ref="J333:J396" si="132">IF(AND(H333&lt;&gt;"",I333&lt;&gt;""),IF(E333="L",I333+(I333-H333)*3,I333-(H333-I333)*3),"")</f>
        <v/>
      </c>
      <c r="K333" s="190" t="str">
        <f t="shared" ref="K333:K396" si="133">IF(AND(E333&lt;&gt;"",AND(I333&lt;&gt;"",J333&lt;&gt;"")),IF(E333="L",(J333-I333)*IF(I333&gt;10,IF(SEARCH("JPY",D333),10,100),10000),(I333-J333)*IF(I333&gt;10,IF(SEARCH("JPY",D333),10,100),10000)),"")</f>
        <v/>
      </c>
      <c r="L333" s="190" t="str">
        <f t="shared" ref="L333:L396" si="134">IF(AND(E333&lt;&gt;"",AND(H333&lt;&gt;"",I333&lt;&gt;"")),IF(E333="L",(I333-H333)*IF(I333&gt;10,IF(SEARCH("JPY",D333),10,100),10000),(H333-I333)*IF(I333&gt;10,IF(SEARCH("JPY",D333),10,100),10000)),"")</f>
        <v/>
      </c>
      <c r="M333" s="214"/>
      <c r="N333" s="214"/>
      <c r="O333" s="189" t="str">
        <f t="shared" ref="O333:O396" si="135">IF(H333&lt;&gt;"",H333, "")</f>
        <v/>
      </c>
      <c r="P333" s="191" t="str">
        <f t="shared" si="122"/>
        <v/>
      </c>
      <c r="Q333" s="192" t="str">
        <f t="shared" ref="Q333:Q396" si="136">IF(P333="","",IF(P333=0,0,P333/$I$4))</f>
        <v/>
      </c>
      <c r="R333" s="191" t="str">
        <f t="shared" si="123"/>
        <v/>
      </c>
      <c r="S333" s="193" t="str">
        <f t="shared" ref="S333:S396" si="137">IF(P333="","",IF(P333=0,0,R333/P333))</f>
        <v/>
      </c>
      <c r="T333" s="194" t="str">
        <f t="shared" si="124"/>
        <v/>
      </c>
      <c r="U333" s="192" t="str">
        <f t="shared" ref="U333:U396" si="138">IF(T333="","",IF($I$4="","",T333/$I$4))</f>
        <v/>
      </c>
      <c r="V333" s="195" t="str">
        <f t="shared" si="125"/>
        <v/>
      </c>
      <c r="W333" s="195" t="str">
        <f t="shared" si="126"/>
        <v/>
      </c>
      <c r="X333" s="196" t="str">
        <f t="shared" ref="X333:X396" si="139">IF((O333=""),"",IF(E333="L",1,-1)*(O333-I333)*IF(O333&gt;10,IF(SEARCH("JPY",D333),10,100),10000))</f>
        <v/>
      </c>
      <c r="Y333" s="191" t="str">
        <f t="shared" si="120"/>
        <v/>
      </c>
      <c r="Z333" s="197" t="str">
        <f t="shared" si="127"/>
        <v/>
      </c>
      <c r="AA333" s="197" t="str">
        <f t="shared" si="128"/>
        <v/>
      </c>
      <c r="AB333" s="213"/>
      <c r="AC333" s="204"/>
    </row>
    <row r="334" spans="1:29" ht="11.4">
      <c r="A334" s="211" t="str">
        <f t="shared" ref="A334:A397" si="140">IF(C334="","",A333+1)</f>
        <v/>
      </c>
      <c r="B334" s="211"/>
      <c r="C334" s="185"/>
      <c r="D334" s="186" t="str">
        <f t="shared" si="129"/>
        <v/>
      </c>
      <c r="E334" s="186" t="str">
        <f>IF(OR(C334="",C334=Data!$B$3),"",IF(C334=Data!$B$4,"L","S"))</f>
        <v/>
      </c>
      <c r="F334" s="186" t="str">
        <f t="shared" si="130"/>
        <v/>
      </c>
      <c r="G334" s="187" t="str">
        <f t="shared" si="121"/>
        <v/>
      </c>
      <c r="H334" s="188"/>
      <c r="I334" s="189" t="str">
        <f t="shared" si="131"/>
        <v/>
      </c>
      <c r="J334" s="189" t="str">
        <f t="shared" si="132"/>
        <v/>
      </c>
      <c r="K334" s="190" t="str">
        <f t="shared" si="133"/>
        <v/>
      </c>
      <c r="L334" s="190" t="str">
        <f t="shared" si="134"/>
        <v/>
      </c>
      <c r="M334" s="214"/>
      <c r="N334" s="214"/>
      <c r="O334" s="189" t="str">
        <f t="shared" si="135"/>
        <v/>
      </c>
      <c r="P334" s="191" t="str">
        <f t="shared" si="122"/>
        <v/>
      </c>
      <c r="Q334" s="192" t="str">
        <f t="shared" si="136"/>
        <v/>
      </c>
      <c r="R334" s="191" t="str">
        <f t="shared" si="123"/>
        <v/>
      </c>
      <c r="S334" s="193" t="str">
        <f t="shared" si="137"/>
        <v/>
      </c>
      <c r="T334" s="194" t="str">
        <f t="shared" si="124"/>
        <v/>
      </c>
      <c r="U334" s="192" t="str">
        <f t="shared" si="138"/>
        <v/>
      </c>
      <c r="V334" s="195" t="str">
        <f t="shared" si="125"/>
        <v/>
      </c>
      <c r="W334" s="195" t="str">
        <f t="shared" si="126"/>
        <v/>
      </c>
      <c r="X334" s="196" t="str">
        <f t="shared" si="139"/>
        <v/>
      </c>
      <c r="Y334" s="191" t="str">
        <f t="shared" si="120"/>
        <v/>
      </c>
      <c r="Z334" s="197" t="str">
        <f t="shared" si="127"/>
        <v/>
      </c>
      <c r="AA334" s="197" t="str">
        <f t="shared" si="128"/>
        <v/>
      </c>
      <c r="AB334" s="213"/>
      <c r="AC334" s="204"/>
    </row>
    <row r="335" spans="1:29" ht="11.4">
      <c r="A335" s="211" t="str">
        <f t="shared" si="140"/>
        <v/>
      </c>
      <c r="B335" s="211"/>
      <c r="C335" s="185"/>
      <c r="D335" s="186" t="str">
        <f t="shared" si="129"/>
        <v/>
      </c>
      <c r="E335" s="186" t="str">
        <f>IF(OR(C335="",C335=Data!$B$3),"",IF(C335=Data!$B$4,"L","S"))</f>
        <v/>
      </c>
      <c r="F335" s="186" t="str">
        <f t="shared" si="130"/>
        <v/>
      </c>
      <c r="G335" s="187" t="str">
        <f t="shared" si="121"/>
        <v/>
      </c>
      <c r="H335" s="188"/>
      <c r="I335" s="189" t="str">
        <f t="shared" si="131"/>
        <v/>
      </c>
      <c r="J335" s="189" t="str">
        <f t="shared" si="132"/>
        <v/>
      </c>
      <c r="K335" s="190" t="str">
        <f t="shared" si="133"/>
        <v/>
      </c>
      <c r="L335" s="190" t="str">
        <f t="shared" si="134"/>
        <v/>
      </c>
      <c r="M335" s="214"/>
      <c r="N335" s="214"/>
      <c r="O335" s="189" t="str">
        <f t="shared" si="135"/>
        <v/>
      </c>
      <c r="P335" s="191" t="str">
        <f t="shared" si="122"/>
        <v/>
      </c>
      <c r="Q335" s="192" t="str">
        <f t="shared" si="136"/>
        <v/>
      </c>
      <c r="R335" s="191" t="str">
        <f t="shared" si="123"/>
        <v/>
      </c>
      <c r="S335" s="193" t="str">
        <f t="shared" si="137"/>
        <v/>
      </c>
      <c r="T335" s="194" t="str">
        <f t="shared" si="124"/>
        <v/>
      </c>
      <c r="U335" s="192" t="str">
        <f t="shared" si="138"/>
        <v/>
      </c>
      <c r="V335" s="195" t="str">
        <f t="shared" si="125"/>
        <v/>
      </c>
      <c r="W335" s="195" t="str">
        <f t="shared" si="126"/>
        <v/>
      </c>
      <c r="X335" s="196" t="str">
        <f t="shared" si="139"/>
        <v/>
      </c>
      <c r="Y335" s="191" t="str">
        <f t="shared" si="120"/>
        <v/>
      </c>
      <c r="Z335" s="197" t="str">
        <f t="shared" si="127"/>
        <v/>
      </c>
      <c r="AA335" s="197" t="str">
        <f t="shared" si="128"/>
        <v/>
      </c>
      <c r="AB335" s="213"/>
      <c r="AC335" s="204"/>
    </row>
    <row r="336" spans="1:29" ht="11.4">
      <c r="A336" s="211" t="str">
        <f t="shared" si="140"/>
        <v/>
      </c>
      <c r="B336" s="211"/>
      <c r="C336" s="185"/>
      <c r="D336" s="186" t="str">
        <f t="shared" si="129"/>
        <v/>
      </c>
      <c r="E336" s="186" t="str">
        <f>IF(OR(C336="",C336=Data!$B$3),"",IF(C336=Data!$B$4,"L","S"))</f>
        <v/>
      </c>
      <c r="F336" s="186" t="str">
        <f t="shared" si="130"/>
        <v/>
      </c>
      <c r="G336" s="187" t="str">
        <f t="shared" si="121"/>
        <v/>
      </c>
      <c r="H336" s="188"/>
      <c r="I336" s="189" t="str">
        <f t="shared" si="131"/>
        <v/>
      </c>
      <c r="J336" s="189" t="str">
        <f t="shared" si="132"/>
        <v/>
      </c>
      <c r="K336" s="190" t="str">
        <f t="shared" si="133"/>
        <v/>
      </c>
      <c r="L336" s="190" t="str">
        <f t="shared" si="134"/>
        <v/>
      </c>
      <c r="M336" s="214"/>
      <c r="N336" s="214"/>
      <c r="O336" s="189" t="str">
        <f t="shared" si="135"/>
        <v/>
      </c>
      <c r="P336" s="191" t="str">
        <f t="shared" si="122"/>
        <v/>
      </c>
      <c r="Q336" s="192" t="str">
        <f t="shared" si="136"/>
        <v/>
      </c>
      <c r="R336" s="191" t="str">
        <f t="shared" si="123"/>
        <v/>
      </c>
      <c r="S336" s="193" t="str">
        <f t="shared" si="137"/>
        <v/>
      </c>
      <c r="T336" s="194" t="str">
        <f t="shared" si="124"/>
        <v/>
      </c>
      <c r="U336" s="192" t="str">
        <f t="shared" si="138"/>
        <v/>
      </c>
      <c r="V336" s="195" t="str">
        <f t="shared" si="125"/>
        <v/>
      </c>
      <c r="W336" s="195" t="str">
        <f t="shared" si="126"/>
        <v/>
      </c>
      <c r="X336" s="196" t="str">
        <f t="shared" si="139"/>
        <v/>
      </c>
      <c r="Y336" s="191" t="str">
        <f t="shared" si="120"/>
        <v/>
      </c>
      <c r="Z336" s="197" t="str">
        <f t="shared" si="127"/>
        <v/>
      </c>
      <c r="AA336" s="197" t="str">
        <f t="shared" si="128"/>
        <v/>
      </c>
      <c r="AB336" s="213"/>
      <c r="AC336" s="204"/>
    </row>
    <row r="337" spans="1:29" ht="11.4">
      <c r="A337" s="211" t="str">
        <f t="shared" si="140"/>
        <v/>
      </c>
      <c r="B337" s="211"/>
      <c r="C337" s="185"/>
      <c r="D337" s="186" t="str">
        <f t="shared" si="129"/>
        <v/>
      </c>
      <c r="E337" s="186" t="str">
        <f>IF(OR(C337="",C337=Data!$B$3),"",IF(C337=Data!$B$4,"L","S"))</f>
        <v/>
      </c>
      <c r="F337" s="186" t="str">
        <f t="shared" si="130"/>
        <v/>
      </c>
      <c r="G337" s="187" t="str">
        <f t="shared" si="121"/>
        <v/>
      </c>
      <c r="H337" s="188"/>
      <c r="I337" s="189" t="str">
        <f t="shared" si="131"/>
        <v/>
      </c>
      <c r="J337" s="189" t="str">
        <f t="shared" si="132"/>
        <v/>
      </c>
      <c r="K337" s="190" t="str">
        <f t="shared" si="133"/>
        <v/>
      </c>
      <c r="L337" s="190" t="str">
        <f t="shared" si="134"/>
        <v/>
      </c>
      <c r="M337" s="214"/>
      <c r="N337" s="214"/>
      <c r="O337" s="189" t="str">
        <f t="shared" si="135"/>
        <v/>
      </c>
      <c r="P337" s="191" t="str">
        <f t="shared" si="122"/>
        <v/>
      </c>
      <c r="Q337" s="192" t="str">
        <f t="shared" si="136"/>
        <v/>
      </c>
      <c r="R337" s="191" t="str">
        <f t="shared" si="123"/>
        <v/>
      </c>
      <c r="S337" s="193" t="str">
        <f t="shared" si="137"/>
        <v/>
      </c>
      <c r="T337" s="194" t="str">
        <f t="shared" si="124"/>
        <v/>
      </c>
      <c r="U337" s="192" t="str">
        <f t="shared" si="138"/>
        <v/>
      </c>
      <c r="V337" s="195" t="str">
        <f t="shared" si="125"/>
        <v/>
      </c>
      <c r="W337" s="195" t="str">
        <f t="shared" si="126"/>
        <v/>
      </c>
      <c r="X337" s="196" t="str">
        <f t="shared" si="139"/>
        <v/>
      </c>
      <c r="Y337" s="191" t="str">
        <f t="shared" si="120"/>
        <v/>
      </c>
      <c r="Z337" s="197" t="str">
        <f t="shared" si="127"/>
        <v/>
      </c>
      <c r="AA337" s="197" t="str">
        <f t="shared" si="128"/>
        <v/>
      </c>
      <c r="AB337" s="213"/>
      <c r="AC337" s="204"/>
    </row>
    <row r="338" spans="1:29" ht="11.4">
      <c r="A338" s="211" t="str">
        <f t="shared" si="140"/>
        <v/>
      </c>
      <c r="B338" s="211"/>
      <c r="C338" s="185"/>
      <c r="D338" s="186" t="str">
        <f t="shared" si="129"/>
        <v/>
      </c>
      <c r="E338" s="186" t="str">
        <f>IF(OR(C338="",C338=Data!$B$3),"",IF(C338=Data!$B$4,"L","S"))</f>
        <v/>
      </c>
      <c r="F338" s="186" t="str">
        <f t="shared" si="130"/>
        <v/>
      </c>
      <c r="G338" s="187" t="str">
        <f t="shared" si="121"/>
        <v/>
      </c>
      <c r="H338" s="188"/>
      <c r="I338" s="189" t="str">
        <f t="shared" si="131"/>
        <v/>
      </c>
      <c r="J338" s="189" t="str">
        <f t="shared" si="132"/>
        <v/>
      </c>
      <c r="K338" s="190" t="str">
        <f t="shared" si="133"/>
        <v/>
      </c>
      <c r="L338" s="190" t="str">
        <f t="shared" si="134"/>
        <v/>
      </c>
      <c r="M338" s="214"/>
      <c r="N338" s="214"/>
      <c r="O338" s="189" t="str">
        <f t="shared" si="135"/>
        <v/>
      </c>
      <c r="P338" s="191" t="str">
        <f t="shared" si="122"/>
        <v/>
      </c>
      <c r="Q338" s="192" t="str">
        <f t="shared" si="136"/>
        <v/>
      </c>
      <c r="R338" s="191" t="str">
        <f t="shared" si="123"/>
        <v/>
      </c>
      <c r="S338" s="193" t="str">
        <f t="shared" si="137"/>
        <v/>
      </c>
      <c r="T338" s="194" t="str">
        <f t="shared" si="124"/>
        <v/>
      </c>
      <c r="U338" s="192" t="str">
        <f t="shared" si="138"/>
        <v/>
      </c>
      <c r="V338" s="195" t="str">
        <f t="shared" si="125"/>
        <v/>
      </c>
      <c r="W338" s="195" t="str">
        <f t="shared" si="126"/>
        <v/>
      </c>
      <c r="X338" s="196" t="str">
        <f t="shared" si="139"/>
        <v/>
      </c>
      <c r="Y338" s="191" t="str">
        <f t="shared" si="120"/>
        <v/>
      </c>
      <c r="Z338" s="197" t="str">
        <f t="shared" si="127"/>
        <v/>
      </c>
      <c r="AA338" s="197" t="str">
        <f t="shared" si="128"/>
        <v/>
      </c>
      <c r="AB338" s="213"/>
      <c r="AC338" s="204"/>
    </row>
    <row r="339" spans="1:29" ht="11.4">
      <c r="A339" s="211" t="str">
        <f t="shared" si="140"/>
        <v/>
      </c>
      <c r="B339" s="211"/>
      <c r="C339" s="185"/>
      <c r="D339" s="186" t="str">
        <f t="shared" si="129"/>
        <v/>
      </c>
      <c r="E339" s="186" t="str">
        <f>IF(OR(C339="",C339=Data!$B$3),"",IF(C339=Data!$B$4,"L","S"))</f>
        <v/>
      </c>
      <c r="F339" s="186" t="str">
        <f t="shared" si="130"/>
        <v/>
      </c>
      <c r="G339" s="187" t="str">
        <f t="shared" si="121"/>
        <v/>
      </c>
      <c r="H339" s="188"/>
      <c r="I339" s="189" t="str">
        <f t="shared" si="131"/>
        <v/>
      </c>
      <c r="J339" s="189" t="str">
        <f t="shared" si="132"/>
        <v/>
      </c>
      <c r="K339" s="190" t="str">
        <f t="shared" si="133"/>
        <v/>
      </c>
      <c r="L339" s="190" t="str">
        <f t="shared" si="134"/>
        <v/>
      </c>
      <c r="M339" s="214"/>
      <c r="N339" s="214"/>
      <c r="O339" s="189" t="str">
        <f t="shared" si="135"/>
        <v/>
      </c>
      <c r="P339" s="191" t="str">
        <f t="shared" si="122"/>
        <v/>
      </c>
      <c r="Q339" s="192" t="str">
        <f t="shared" si="136"/>
        <v/>
      </c>
      <c r="R339" s="191" t="str">
        <f t="shared" si="123"/>
        <v/>
      </c>
      <c r="S339" s="193" t="str">
        <f t="shared" si="137"/>
        <v/>
      </c>
      <c r="T339" s="194" t="str">
        <f t="shared" si="124"/>
        <v/>
      </c>
      <c r="U339" s="192" t="str">
        <f t="shared" si="138"/>
        <v/>
      </c>
      <c r="V339" s="195" t="str">
        <f t="shared" si="125"/>
        <v/>
      </c>
      <c r="W339" s="195" t="str">
        <f t="shared" si="126"/>
        <v/>
      </c>
      <c r="X339" s="196" t="str">
        <f t="shared" si="139"/>
        <v/>
      </c>
      <c r="Y339" s="191" t="str">
        <f t="shared" si="120"/>
        <v/>
      </c>
      <c r="Z339" s="197" t="str">
        <f t="shared" si="127"/>
        <v/>
      </c>
      <c r="AA339" s="197" t="str">
        <f t="shared" si="128"/>
        <v/>
      </c>
      <c r="AB339" s="213"/>
      <c r="AC339" s="204"/>
    </row>
    <row r="340" spans="1:29" ht="11.4">
      <c r="A340" s="211" t="str">
        <f t="shared" si="140"/>
        <v/>
      </c>
      <c r="B340" s="211"/>
      <c r="C340" s="185"/>
      <c r="D340" s="186" t="str">
        <f t="shared" si="129"/>
        <v/>
      </c>
      <c r="E340" s="186" t="str">
        <f>IF(OR(C340="",C340=Data!$B$3),"",IF(C340=Data!$B$4,"L","S"))</f>
        <v/>
      </c>
      <c r="F340" s="186" t="str">
        <f t="shared" si="130"/>
        <v/>
      </c>
      <c r="G340" s="187" t="str">
        <f t="shared" si="121"/>
        <v/>
      </c>
      <c r="H340" s="188"/>
      <c r="I340" s="189" t="str">
        <f t="shared" si="131"/>
        <v/>
      </c>
      <c r="J340" s="189" t="str">
        <f t="shared" si="132"/>
        <v/>
      </c>
      <c r="K340" s="190" t="str">
        <f t="shared" si="133"/>
        <v/>
      </c>
      <c r="L340" s="190" t="str">
        <f t="shared" si="134"/>
        <v/>
      </c>
      <c r="M340" s="214"/>
      <c r="N340" s="214"/>
      <c r="O340" s="189" t="str">
        <f t="shared" si="135"/>
        <v/>
      </c>
      <c r="P340" s="191" t="str">
        <f t="shared" si="122"/>
        <v/>
      </c>
      <c r="Q340" s="192" t="str">
        <f t="shared" si="136"/>
        <v/>
      </c>
      <c r="R340" s="191" t="str">
        <f t="shared" si="123"/>
        <v/>
      </c>
      <c r="S340" s="193" t="str">
        <f t="shared" si="137"/>
        <v/>
      </c>
      <c r="T340" s="194" t="str">
        <f t="shared" si="124"/>
        <v/>
      </c>
      <c r="U340" s="192" t="str">
        <f t="shared" si="138"/>
        <v/>
      </c>
      <c r="V340" s="195" t="str">
        <f t="shared" si="125"/>
        <v/>
      </c>
      <c r="W340" s="195" t="str">
        <f t="shared" si="126"/>
        <v/>
      </c>
      <c r="X340" s="196" t="str">
        <f t="shared" si="139"/>
        <v/>
      </c>
      <c r="Y340" s="191" t="str">
        <f t="shared" ref="Y340:Y403" si="141">IF(Y339="","",IF(T340="","",Y339+T340))</f>
        <v/>
      </c>
      <c r="Z340" s="197" t="str">
        <f t="shared" si="127"/>
        <v/>
      </c>
      <c r="AA340" s="197" t="str">
        <f t="shared" si="128"/>
        <v/>
      </c>
      <c r="AB340" s="213"/>
      <c r="AC340" s="204"/>
    </row>
    <row r="341" spans="1:29" ht="11.4">
      <c r="A341" s="211" t="str">
        <f t="shared" si="140"/>
        <v/>
      </c>
      <c r="B341" s="211"/>
      <c r="C341" s="185"/>
      <c r="D341" s="186" t="str">
        <f t="shared" si="129"/>
        <v/>
      </c>
      <c r="E341" s="186" t="str">
        <f>IF(OR(C341="",C341=Data!$B$3),"",IF(C341=Data!$B$4,"L","S"))</f>
        <v/>
      </c>
      <c r="F341" s="186" t="str">
        <f t="shared" si="130"/>
        <v/>
      </c>
      <c r="G341" s="187" t="str">
        <f t="shared" si="121"/>
        <v/>
      </c>
      <c r="H341" s="188"/>
      <c r="I341" s="189" t="str">
        <f t="shared" si="131"/>
        <v/>
      </c>
      <c r="J341" s="189" t="str">
        <f t="shared" si="132"/>
        <v/>
      </c>
      <c r="K341" s="190" t="str">
        <f t="shared" si="133"/>
        <v/>
      </c>
      <c r="L341" s="190" t="str">
        <f t="shared" si="134"/>
        <v/>
      </c>
      <c r="M341" s="214"/>
      <c r="N341" s="214"/>
      <c r="O341" s="189" t="str">
        <f t="shared" si="135"/>
        <v/>
      </c>
      <c r="P341" s="191" t="str">
        <f t="shared" si="122"/>
        <v/>
      </c>
      <c r="Q341" s="192" t="str">
        <f t="shared" si="136"/>
        <v/>
      </c>
      <c r="R341" s="191" t="str">
        <f t="shared" si="123"/>
        <v/>
      </c>
      <c r="S341" s="193" t="str">
        <f t="shared" si="137"/>
        <v/>
      </c>
      <c r="T341" s="194" t="str">
        <f t="shared" si="124"/>
        <v/>
      </c>
      <c r="U341" s="192" t="str">
        <f t="shared" si="138"/>
        <v/>
      </c>
      <c r="V341" s="195" t="str">
        <f t="shared" si="125"/>
        <v/>
      </c>
      <c r="W341" s="195" t="str">
        <f t="shared" si="126"/>
        <v/>
      </c>
      <c r="X341" s="196" t="str">
        <f t="shared" si="139"/>
        <v/>
      </c>
      <c r="Y341" s="191" t="str">
        <f t="shared" si="141"/>
        <v/>
      </c>
      <c r="Z341" s="197" t="str">
        <f t="shared" si="127"/>
        <v/>
      </c>
      <c r="AA341" s="197" t="str">
        <f t="shared" si="128"/>
        <v/>
      </c>
      <c r="AB341" s="213"/>
      <c r="AC341" s="204"/>
    </row>
    <row r="342" spans="1:29" ht="11.4">
      <c r="A342" s="211" t="str">
        <f t="shared" si="140"/>
        <v/>
      </c>
      <c r="B342" s="211"/>
      <c r="C342" s="185"/>
      <c r="D342" s="186" t="str">
        <f t="shared" si="129"/>
        <v/>
      </c>
      <c r="E342" s="186" t="str">
        <f>IF(OR(C342="",C342=Data!$B$3),"",IF(C342=Data!$B$4,"L","S"))</f>
        <v/>
      </c>
      <c r="F342" s="186" t="str">
        <f t="shared" si="130"/>
        <v/>
      </c>
      <c r="G342" s="187" t="str">
        <f t="shared" si="121"/>
        <v/>
      </c>
      <c r="H342" s="188"/>
      <c r="I342" s="189" t="str">
        <f t="shared" si="131"/>
        <v/>
      </c>
      <c r="J342" s="189" t="str">
        <f t="shared" si="132"/>
        <v/>
      </c>
      <c r="K342" s="190" t="str">
        <f t="shared" si="133"/>
        <v/>
      </c>
      <c r="L342" s="190" t="str">
        <f t="shared" si="134"/>
        <v/>
      </c>
      <c r="M342" s="214"/>
      <c r="N342" s="214"/>
      <c r="O342" s="189" t="str">
        <f t="shared" si="135"/>
        <v/>
      </c>
      <c r="P342" s="191" t="str">
        <f t="shared" si="122"/>
        <v/>
      </c>
      <c r="Q342" s="192" t="str">
        <f t="shared" si="136"/>
        <v/>
      </c>
      <c r="R342" s="191" t="str">
        <f t="shared" si="123"/>
        <v/>
      </c>
      <c r="S342" s="193" t="str">
        <f t="shared" si="137"/>
        <v/>
      </c>
      <c r="T342" s="194" t="str">
        <f t="shared" si="124"/>
        <v/>
      </c>
      <c r="U342" s="192" t="str">
        <f t="shared" si="138"/>
        <v/>
      </c>
      <c r="V342" s="195" t="str">
        <f t="shared" si="125"/>
        <v/>
      </c>
      <c r="W342" s="195" t="str">
        <f t="shared" si="126"/>
        <v/>
      </c>
      <c r="X342" s="196" t="str">
        <f t="shared" si="139"/>
        <v/>
      </c>
      <c r="Y342" s="191" t="str">
        <f t="shared" si="141"/>
        <v/>
      </c>
      <c r="Z342" s="197" t="str">
        <f t="shared" si="127"/>
        <v/>
      </c>
      <c r="AA342" s="197" t="str">
        <f t="shared" si="128"/>
        <v/>
      </c>
      <c r="AB342" s="213"/>
      <c r="AC342" s="204"/>
    </row>
    <row r="343" spans="1:29" ht="11.4">
      <c r="A343" s="211" t="str">
        <f t="shared" si="140"/>
        <v/>
      </c>
      <c r="B343" s="211"/>
      <c r="C343" s="185"/>
      <c r="D343" s="186" t="str">
        <f t="shared" si="129"/>
        <v/>
      </c>
      <c r="E343" s="186" t="str">
        <f>IF(OR(C343="",C343=Data!$B$3),"",IF(C343=Data!$B$4,"L","S"))</f>
        <v/>
      </c>
      <c r="F343" s="186" t="str">
        <f t="shared" si="130"/>
        <v/>
      </c>
      <c r="G343" s="187" t="str">
        <f t="shared" si="121"/>
        <v/>
      </c>
      <c r="H343" s="188"/>
      <c r="I343" s="189" t="str">
        <f t="shared" si="131"/>
        <v/>
      </c>
      <c r="J343" s="189" t="str">
        <f t="shared" si="132"/>
        <v/>
      </c>
      <c r="K343" s="190" t="str">
        <f t="shared" si="133"/>
        <v/>
      </c>
      <c r="L343" s="190" t="str">
        <f t="shared" si="134"/>
        <v/>
      </c>
      <c r="M343" s="214"/>
      <c r="N343" s="214"/>
      <c r="O343" s="189" t="str">
        <f t="shared" si="135"/>
        <v/>
      </c>
      <c r="P343" s="191" t="str">
        <f t="shared" si="122"/>
        <v/>
      </c>
      <c r="Q343" s="192" t="str">
        <f t="shared" si="136"/>
        <v/>
      </c>
      <c r="R343" s="191" t="str">
        <f t="shared" si="123"/>
        <v/>
      </c>
      <c r="S343" s="193" t="str">
        <f t="shared" si="137"/>
        <v/>
      </c>
      <c r="T343" s="194" t="str">
        <f t="shared" si="124"/>
        <v/>
      </c>
      <c r="U343" s="192" t="str">
        <f t="shared" si="138"/>
        <v/>
      </c>
      <c r="V343" s="195" t="str">
        <f t="shared" si="125"/>
        <v/>
      </c>
      <c r="W343" s="195" t="str">
        <f t="shared" si="126"/>
        <v/>
      </c>
      <c r="X343" s="196" t="str">
        <f t="shared" si="139"/>
        <v/>
      </c>
      <c r="Y343" s="191" t="str">
        <f t="shared" si="141"/>
        <v/>
      </c>
      <c r="Z343" s="197" t="str">
        <f t="shared" si="127"/>
        <v/>
      </c>
      <c r="AA343" s="197" t="str">
        <f t="shared" si="128"/>
        <v/>
      </c>
      <c r="AB343" s="213"/>
      <c r="AC343" s="204"/>
    </row>
    <row r="344" spans="1:29" ht="11.4">
      <c r="A344" s="211" t="str">
        <f t="shared" si="140"/>
        <v/>
      </c>
      <c r="B344" s="211"/>
      <c r="C344" s="185"/>
      <c r="D344" s="186" t="str">
        <f t="shared" si="129"/>
        <v/>
      </c>
      <c r="E344" s="186" t="str">
        <f>IF(OR(C344="",C344=Data!$B$3),"",IF(C344=Data!$B$4,"L","S"))</f>
        <v/>
      </c>
      <c r="F344" s="186" t="str">
        <f t="shared" si="130"/>
        <v/>
      </c>
      <c r="G344" s="187" t="str">
        <f t="shared" si="121"/>
        <v/>
      </c>
      <c r="H344" s="188"/>
      <c r="I344" s="189" t="str">
        <f t="shared" si="131"/>
        <v/>
      </c>
      <c r="J344" s="189" t="str">
        <f t="shared" si="132"/>
        <v/>
      </c>
      <c r="K344" s="190" t="str">
        <f t="shared" si="133"/>
        <v/>
      </c>
      <c r="L344" s="190" t="str">
        <f t="shared" si="134"/>
        <v/>
      </c>
      <c r="M344" s="214"/>
      <c r="N344" s="214"/>
      <c r="O344" s="189" t="str">
        <f t="shared" si="135"/>
        <v/>
      </c>
      <c r="P344" s="191" t="str">
        <f t="shared" si="122"/>
        <v/>
      </c>
      <c r="Q344" s="192" t="str">
        <f t="shared" si="136"/>
        <v/>
      </c>
      <c r="R344" s="191" t="str">
        <f t="shared" si="123"/>
        <v/>
      </c>
      <c r="S344" s="193" t="str">
        <f t="shared" si="137"/>
        <v/>
      </c>
      <c r="T344" s="194" t="str">
        <f t="shared" si="124"/>
        <v/>
      </c>
      <c r="U344" s="192" t="str">
        <f t="shared" si="138"/>
        <v/>
      </c>
      <c r="V344" s="195" t="str">
        <f t="shared" si="125"/>
        <v/>
      </c>
      <c r="W344" s="195" t="str">
        <f t="shared" si="126"/>
        <v/>
      </c>
      <c r="X344" s="196" t="str">
        <f t="shared" si="139"/>
        <v/>
      </c>
      <c r="Y344" s="191" t="str">
        <f t="shared" si="141"/>
        <v/>
      </c>
      <c r="Z344" s="197" t="str">
        <f t="shared" si="127"/>
        <v/>
      </c>
      <c r="AA344" s="197" t="str">
        <f t="shared" si="128"/>
        <v/>
      </c>
      <c r="AB344" s="213"/>
      <c r="AC344" s="204"/>
    </row>
    <row r="345" spans="1:29" ht="11.4">
      <c r="A345" s="211" t="str">
        <f t="shared" si="140"/>
        <v/>
      </c>
      <c r="B345" s="211"/>
      <c r="C345" s="185"/>
      <c r="D345" s="186" t="str">
        <f t="shared" si="129"/>
        <v/>
      </c>
      <c r="E345" s="186" t="str">
        <f>IF(OR(C345="",C345=Data!$B$3),"",IF(C345=Data!$B$4,"L","S"))</f>
        <v/>
      </c>
      <c r="F345" s="186" t="str">
        <f t="shared" si="130"/>
        <v/>
      </c>
      <c r="G345" s="187" t="str">
        <f t="shared" si="121"/>
        <v/>
      </c>
      <c r="H345" s="188"/>
      <c r="I345" s="189" t="str">
        <f t="shared" si="131"/>
        <v/>
      </c>
      <c r="J345" s="189" t="str">
        <f t="shared" si="132"/>
        <v/>
      </c>
      <c r="K345" s="190" t="str">
        <f t="shared" si="133"/>
        <v/>
      </c>
      <c r="L345" s="190" t="str">
        <f t="shared" si="134"/>
        <v/>
      </c>
      <c r="M345" s="214"/>
      <c r="N345" s="214"/>
      <c r="O345" s="189" t="str">
        <f t="shared" si="135"/>
        <v/>
      </c>
      <c r="P345" s="191" t="str">
        <f t="shared" si="122"/>
        <v/>
      </c>
      <c r="Q345" s="192" t="str">
        <f t="shared" si="136"/>
        <v/>
      </c>
      <c r="R345" s="191" t="str">
        <f t="shared" si="123"/>
        <v/>
      </c>
      <c r="S345" s="193" t="str">
        <f t="shared" si="137"/>
        <v/>
      </c>
      <c r="T345" s="194" t="str">
        <f t="shared" si="124"/>
        <v/>
      </c>
      <c r="U345" s="192" t="str">
        <f t="shared" si="138"/>
        <v/>
      </c>
      <c r="V345" s="195" t="str">
        <f t="shared" si="125"/>
        <v/>
      </c>
      <c r="W345" s="195" t="str">
        <f t="shared" si="126"/>
        <v/>
      </c>
      <c r="X345" s="196" t="str">
        <f t="shared" si="139"/>
        <v/>
      </c>
      <c r="Y345" s="191" t="str">
        <f t="shared" si="141"/>
        <v/>
      </c>
      <c r="Z345" s="197" t="str">
        <f t="shared" si="127"/>
        <v/>
      </c>
      <c r="AA345" s="197" t="str">
        <f t="shared" si="128"/>
        <v/>
      </c>
      <c r="AB345" s="213"/>
      <c r="AC345" s="204"/>
    </row>
    <row r="346" spans="1:29" ht="11.4">
      <c r="A346" s="211" t="str">
        <f t="shared" si="140"/>
        <v/>
      </c>
      <c r="B346" s="211"/>
      <c r="C346" s="185"/>
      <c r="D346" s="186" t="str">
        <f t="shared" si="129"/>
        <v/>
      </c>
      <c r="E346" s="186" t="str">
        <f>IF(OR(C346="",C346=Data!$B$3),"",IF(C346=Data!$B$4,"L","S"))</f>
        <v/>
      </c>
      <c r="F346" s="186" t="str">
        <f t="shared" si="130"/>
        <v/>
      </c>
      <c r="G346" s="187" t="str">
        <f t="shared" si="121"/>
        <v/>
      </c>
      <c r="H346" s="188"/>
      <c r="I346" s="189" t="str">
        <f t="shared" si="131"/>
        <v/>
      </c>
      <c r="J346" s="189" t="str">
        <f t="shared" si="132"/>
        <v/>
      </c>
      <c r="K346" s="190" t="str">
        <f t="shared" si="133"/>
        <v/>
      </c>
      <c r="L346" s="190" t="str">
        <f t="shared" si="134"/>
        <v/>
      </c>
      <c r="M346" s="214"/>
      <c r="N346" s="214"/>
      <c r="O346" s="189" t="str">
        <f t="shared" si="135"/>
        <v/>
      </c>
      <c r="P346" s="191" t="str">
        <f t="shared" si="122"/>
        <v/>
      </c>
      <c r="Q346" s="192" t="str">
        <f t="shared" si="136"/>
        <v/>
      </c>
      <c r="R346" s="191" t="str">
        <f t="shared" si="123"/>
        <v/>
      </c>
      <c r="S346" s="193" t="str">
        <f t="shared" si="137"/>
        <v/>
      </c>
      <c r="T346" s="194" t="str">
        <f t="shared" si="124"/>
        <v/>
      </c>
      <c r="U346" s="192" t="str">
        <f t="shared" si="138"/>
        <v/>
      </c>
      <c r="V346" s="195" t="str">
        <f t="shared" si="125"/>
        <v/>
      </c>
      <c r="W346" s="195" t="str">
        <f t="shared" si="126"/>
        <v/>
      </c>
      <c r="X346" s="196" t="str">
        <f t="shared" si="139"/>
        <v/>
      </c>
      <c r="Y346" s="191" t="str">
        <f t="shared" si="141"/>
        <v/>
      </c>
      <c r="Z346" s="197" t="str">
        <f t="shared" si="127"/>
        <v/>
      </c>
      <c r="AA346" s="197" t="str">
        <f t="shared" si="128"/>
        <v/>
      </c>
      <c r="AB346" s="213"/>
      <c r="AC346" s="204"/>
    </row>
    <row r="347" spans="1:29" ht="11.4">
      <c r="A347" s="211" t="str">
        <f t="shared" si="140"/>
        <v/>
      </c>
      <c r="B347" s="211"/>
      <c r="C347" s="185"/>
      <c r="D347" s="186" t="str">
        <f t="shared" si="129"/>
        <v/>
      </c>
      <c r="E347" s="186" t="str">
        <f>IF(OR(C347="",C347=Data!$B$3),"",IF(C347=Data!$B$4,"L","S"))</f>
        <v/>
      </c>
      <c r="F347" s="186" t="str">
        <f t="shared" si="130"/>
        <v/>
      </c>
      <c r="G347" s="187" t="str">
        <f t="shared" si="121"/>
        <v/>
      </c>
      <c r="H347" s="188"/>
      <c r="I347" s="189" t="str">
        <f t="shared" si="131"/>
        <v/>
      </c>
      <c r="J347" s="189" t="str">
        <f t="shared" si="132"/>
        <v/>
      </c>
      <c r="K347" s="190" t="str">
        <f t="shared" si="133"/>
        <v/>
      </c>
      <c r="L347" s="190" t="str">
        <f t="shared" si="134"/>
        <v/>
      </c>
      <c r="M347" s="214"/>
      <c r="N347" s="214"/>
      <c r="O347" s="189" t="str">
        <f t="shared" si="135"/>
        <v/>
      </c>
      <c r="P347" s="191" t="str">
        <f t="shared" si="122"/>
        <v/>
      </c>
      <c r="Q347" s="192" t="str">
        <f t="shared" si="136"/>
        <v/>
      </c>
      <c r="R347" s="191" t="str">
        <f t="shared" si="123"/>
        <v/>
      </c>
      <c r="S347" s="193" t="str">
        <f t="shared" si="137"/>
        <v/>
      </c>
      <c r="T347" s="194" t="str">
        <f t="shared" si="124"/>
        <v/>
      </c>
      <c r="U347" s="192" t="str">
        <f t="shared" si="138"/>
        <v/>
      </c>
      <c r="V347" s="195" t="str">
        <f t="shared" si="125"/>
        <v/>
      </c>
      <c r="W347" s="195" t="str">
        <f t="shared" si="126"/>
        <v/>
      </c>
      <c r="X347" s="196" t="str">
        <f t="shared" si="139"/>
        <v/>
      </c>
      <c r="Y347" s="191" t="str">
        <f t="shared" si="141"/>
        <v/>
      </c>
      <c r="Z347" s="197" t="str">
        <f t="shared" si="127"/>
        <v/>
      </c>
      <c r="AA347" s="197" t="str">
        <f t="shared" si="128"/>
        <v/>
      </c>
      <c r="AB347" s="213"/>
      <c r="AC347" s="204"/>
    </row>
    <row r="348" spans="1:29" ht="11.4">
      <c r="A348" s="211" t="str">
        <f t="shared" si="140"/>
        <v/>
      </c>
      <c r="B348" s="211"/>
      <c r="C348" s="185"/>
      <c r="D348" s="186" t="str">
        <f t="shared" si="129"/>
        <v/>
      </c>
      <c r="E348" s="186" t="str">
        <f>IF(OR(C348="",C348=Data!$B$3),"",IF(C348=Data!$B$4,"L","S"))</f>
        <v/>
      </c>
      <c r="F348" s="186" t="str">
        <f t="shared" si="130"/>
        <v/>
      </c>
      <c r="G348" s="187" t="str">
        <f t="shared" si="121"/>
        <v/>
      </c>
      <c r="H348" s="188"/>
      <c r="I348" s="189" t="str">
        <f t="shared" si="131"/>
        <v/>
      </c>
      <c r="J348" s="189" t="str">
        <f t="shared" si="132"/>
        <v/>
      </c>
      <c r="K348" s="190" t="str">
        <f t="shared" si="133"/>
        <v/>
      </c>
      <c r="L348" s="190" t="str">
        <f t="shared" si="134"/>
        <v/>
      </c>
      <c r="M348" s="214"/>
      <c r="N348" s="214"/>
      <c r="O348" s="189" t="str">
        <f t="shared" si="135"/>
        <v/>
      </c>
      <c r="P348" s="191" t="str">
        <f t="shared" si="122"/>
        <v/>
      </c>
      <c r="Q348" s="192" t="str">
        <f t="shared" si="136"/>
        <v/>
      </c>
      <c r="R348" s="191" t="str">
        <f t="shared" si="123"/>
        <v/>
      </c>
      <c r="S348" s="193" t="str">
        <f t="shared" si="137"/>
        <v/>
      </c>
      <c r="T348" s="194" t="str">
        <f t="shared" si="124"/>
        <v/>
      </c>
      <c r="U348" s="192" t="str">
        <f t="shared" si="138"/>
        <v/>
      </c>
      <c r="V348" s="195" t="str">
        <f t="shared" si="125"/>
        <v/>
      </c>
      <c r="W348" s="195" t="str">
        <f t="shared" si="126"/>
        <v/>
      </c>
      <c r="X348" s="196" t="str">
        <f t="shared" si="139"/>
        <v/>
      </c>
      <c r="Y348" s="191" t="str">
        <f t="shared" si="141"/>
        <v/>
      </c>
      <c r="Z348" s="197" t="str">
        <f t="shared" si="127"/>
        <v/>
      </c>
      <c r="AA348" s="197" t="str">
        <f t="shared" si="128"/>
        <v/>
      </c>
      <c r="AB348" s="213"/>
      <c r="AC348" s="204"/>
    </row>
    <row r="349" spans="1:29" ht="11.4">
      <c r="A349" s="211" t="str">
        <f t="shared" si="140"/>
        <v/>
      </c>
      <c r="B349" s="211"/>
      <c r="C349" s="185"/>
      <c r="D349" s="186" t="str">
        <f t="shared" si="129"/>
        <v/>
      </c>
      <c r="E349" s="186" t="str">
        <f>IF(OR(C349="",C349=Data!$B$3),"",IF(C349=Data!$B$4,"L","S"))</f>
        <v/>
      </c>
      <c r="F349" s="186" t="str">
        <f t="shared" si="130"/>
        <v/>
      </c>
      <c r="G349" s="187" t="str">
        <f t="shared" si="121"/>
        <v/>
      </c>
      <c r="H349" s="188"/>
      <c r="I349" s="189" t="str">
        <f t="shared" si="131"/>
        <v/>
      </c>
      <c r="J349" s="189" t="str">
        <f t="shared" si="132"/>
        <v/>
      </c>
      <c r="K349" s="190" t="str">
        <f t="shared" si="133"/>
        <v/>
      </c>
      <c r="L349" s="190" t="str">
        <f t="shared" si="134"/>
        <v/>
      </c>
      <c r="M349" s="214"/>
      <c r="N349" s="214"/>
      <c r="O349" s="189" t="str">
        <f t="shared" si="135"/>
        <v/>
      </c>
      <c r="P349" s="191" t="str">
        <f t="shared" si="122"/>
        <v/>
      </c>
      <c r="Q349" s="192" t="str">
        <f t="shared" si="136"/>
        <v/>
      </c>
      <c r="R349" s="191" t="str">
        <f t="shared" si="123"/>
        <v/>
      </c>
      <c r="S349" s="193" t="str">
        <f t="shared" si="137"/>
        <v/>
      </c>
      <c r="T349" s="194" t="str">
        <f t="shared" si="124"/>
        <v/>
      </c>
      <c r="U349" s="192" t="str">
        <f t="shared" si="138"/>
        <v/>
      </c>
      <c r="V349" s="195" t="str">
        <f t="shared" si="125"/>
        <v/>
      </c>
      <c r="W349" s="195" t="str">
        <f t="shared" si="126"/>
        <v/>
      </c>
      <c r="X349" s="196" t="str">
        <f t="shared" si="139"/>
        <v/>
      </c>
      <c r="Y349" s="191" t="str">
        <f t="shared" si="141"/>
        <v/>
      </c>
      <c r="Z349" s="197" t="str">
        <f t="shared" si="127"/>
        <v/>
      </c>
      <c r="AA349" s="197" t="str">
        <f t="shared" si="128"/>
        <v/>
      </c>
      <c r="AB349" s="213"/>
      <c r="AC349" s="204"/>
    </row>
    <row r="350" spans="1:29" ht="11.4">
      <c r="A350" s="211" t="str">
        <f t="shared" si="140"/>
        <v/>
      </c>
      <c r="B350" s="211"/>
      <c r="C350" s="185"/>
      <c r="D350" s="186" t="str">
        <f t="shared" si="129"/>
        <v/>
      </c>
      <c r="E350" s="186" t="str">
        <f>IF(OR(C350="",C350=Data!$B$3),"",IF(C350=Data!$B$4,"L","S"))</f>
        <v/>
      </c>
      <c r="F350" s="186" t="str">
        <f t="shared" si="130"/>
        <v/>
      </c>
      <c r="G350" s="187" t="str">
        <f t="shared" si="121"/>
        <v/>
      </c>
      <c r="H350" s="188"/>
      <c r="I350" s="189" t="str">
        <f t="shared" si="131"/>
        <v/>
      </c>
      <c r="J350" s="189" t="str">
        <f t="shared" si="132"/>
        <v/>
      </c>
      <c r="K350" s="190" t="str">
        <f t="shared" si="133"/>
        <v/>
      </c>
      <c r="L350" s="190" t="str">
        <f t="shared" si="134"/>
        <v/>
      </c>
      <c r="M350" s="214"/>
      <c r="N350" s="214"/>
      <c r="O350" s="189" t="str">
        <f t="shared" si="135"/>
        <v/>
      </c>
      <c r="P350" s="191" t="str">
        <f t="shared" si="122"/>
        <v/>
      </c>
      <c r="Q350" s="192" t="str">
        <f t="shared" si="136"/>
        <v/>
      </c>
      <c r="R350" s="191" t="str">
        <f t="shared" si="123"/>
        <v/>
      </c>
      <c r="S350" s="193" t="str">
        <f t="shared" si="137"/>
        <v/>
      </c>
      <c r="T350" s="194" t="str">
        <f t="shared" si="124"/>
        <v/>
      </c>
      <c r="U350" s="192" t="str">
        <f t="shared" si="138"/>
        <v/>
      </c>
      <c r="V350" s="195" t="str">
        <f t="shared" si="125"/>
        <v/>
      </c>
      <c r="W350" s="195" t="str">
        <f t="shared" si="126"/>
        <v/>
      </c>
      <c r="X350" s="196" t="str">
        <f t="shared" si="139"/>
        <v/>
      </c>
      <c r="Y350" s="191" t="str">
        <f t="shared" si="141"/>
        <v/>
      </c>
      <c r="Z350" s="197" t="str">
        <f t="shared" si="127"/>
        <v/>
      </c>
      <c r="AA350" s="197" t="str">
        <f t="shared" si="128"/>
        <v/>
      </c>
      <c r="AB350" s="213"/>
      <c r="AC350" s="204"/>
    </row>
    <row r="351" spans="1:29" ht="11.4">
      <c r="A351" s="211" t="str">
        <f t="shared" si="140"/>
        <v/>
      </c>
      <c r="B351" s="211"/>
      <c r="C351" s="185"/>
      <c r="D351" s="186" t="str">
        <f t="shared" si="129"/>
        <v/>
      </c>
      <c r="E351" s="186" t="str">
        <f>IF(OR(C351="",C351=Data!$B$3),"",IF(C351=Data!$B$4,"L","S"))</f>
        <v/>
      </c>
      <c r="F351" s="186" t="str">
        <f t="shared" si="130"/>
        <v/>
      </c>
      <c r="G351" s="187" t="str">
        <f t="shared" si="121"/>
        <v/>
      </c>
      <c r="H351" s="188"/>
      <c r="I351" s="189" t="str">
        <f t="shared" si="131"/>
        <v/>
      </c>
      <c r="J351" s="189" t="str">
        <f t="shared" si="132"/>
        <v/>
      </c>
      <c r="K351" s="190" t="str">
        <f t="shared" si="133"/>
        <v/>
      </c>
      <c r="L351" s="190" t="str">
        <f t="shared" si="134"/>
        <v/>
      </c>
      <c r="M351" s="214"/>
      <c r="N351" s="214"/>
      <c r="O351" s="189" t="str">
        <f t="shared" si="135"/>
        <v/>
      </c>
      <c r="P351" s="191" t="str">
        <f t="shared" si="122"/>
        <v/>
      </c>
      <c r="Q351" s="192" t="str">
        <f t="shared" si="136"/>
        <v/>
      </c>
      <c r="R351" s="191" t="str">
        <f t="shared" si="123"/>
        <v/>
      </c>
      <c r="S351" s="193" t="str">
        <f t="shared" si="137"/>
        <v/>
      </c>
      <c r="T351" s="194" t="str">
        <f t="shared" si="124"/>
        <v/>
      </c>
      <c r="U351" s="192" t="str">
        <f t="shared" si="138"/>
        <v/>
      </c>
      <c r="V351" s="195" t="str">
        <f t="shared" si="125"/>
        <v/>
      </c>
      <c r="W351" s="195" t="str">
        <f t="shared" si="126"/>
        <v/>
      </c>
      <c r="X351" s="196" t="str">
        <f t="shared" si="139"/>
        <v/>
      </c>
      <c r="Y351" s="191" t="str">
        <f t="shared" si="141"/>
        <v/>
      </c>
      <c r="Z351" s="197" t="str">
        <f t="shared" si="127"/>
        <v/>
      </c>
      <c r="AA351" s="197" t="str">
        <f t="shared" si="128"/>
        <v/>
      </c>
      <c r="AB351" s="213"/>
      <c r="AC351" s="204"/>
    </row>
    <row r="352" spans="1:29" ht="11.4">
      <c r="A352" s="211" t="str">
        <f t="shared" si="140"/>
        <v/>
      </c>
      <c r="B352" s="211"/>
      <c r="C352" s="185"/>
      <c r="D352" s="186" t="str">
        <f t="shared" si="129"/>
        <v/>
      </c>
      <c r="E352" s="186" t="str">
        <f>IF(OR(C352="",C352=Data!$B$3),"",IF(C352=Data!$B$4,"L","S"))</f>
        <v/>
      </c>
      <c r="F352" s="186" t="str">
        <f t="shared" si="130"/>
        <v/>
      </c>
      <c r="G352" s="187" t="str">
        <f t="shared" si="121"/>
        <v/>
      </c>
      <c r="H352" s="188"/>
      <c r="I352" s="189" t="str">
        <f t="shared" si="131"/>
        <v/>
      </c>
      <c r="J352" s="189" t="str">
        <f t="shared" si="132"/>
        <v/>
      </c>
      <c r="K352" s="190" t="str">
        <f t="shared" si="133"/>
        <v/>
      </c>
      <c r="L352" s="190" t="str">
        <f t="shared" si="134"/>
        <v/>
      </c>
      <c r="M352" s="214"/>
      <c r="N352" s="214"/>
      <c r="O352" s="189" t="str">
        <f t="shared" si="135"/>
        <v/>
      </c>
      <c r="P352" s="191" t="str">
        <f t="shared" si="122"/>
        <v/>
      </c>
      <c r="Q352" s="192" t="str">
        <f t="shared" si="136"/>
        <v/>
      </c>
      <c r="R352" s="191" t="str">
        <f t="shared" si="123"/>
        <v/>
      </c>
      <c r="S352" s="193" t="str">
        <f t="shared" si="137"/>
        <v/>
      </c>
      <c r="T352" s="194" t="str">
        <f t="shared" si="124"/>
        <v/>
      </c>
      <c r="U352" s="192" t="str">
        <f t="shared" si="138"/>
        <v/>
      </c>
      <c r="V352" s="195" t="str">
        <f t="shared" si="125"/>
        <v/>
      </c>
      <c r="W352" s="195" t="str">
        <f t="shared" si="126"/>
        <v/>
      </c>
      <c r="X352" s="196" t="str">
        <f t="shared" si="139"/>
        <v/>
      </c>
      <c r="Y352" s="191" t="str">
        <f t="shared" si="141"/>
        <v/>
      </c>
      <c r="Z352" s="197" t="str">
        <f t="shared" si="127"/>
        <v/>
      </c>
      <c r="AA352" s="197" t="str">
        <f t="shared" si="128"/>
        <v/>
      </c>
      <c r="AB352" s="213"/>
      <c r="AC352" s="204"/>
    </row>
    <row r="353" spans="1:29" ht="11.4">
      <c r="A353" s="211" t="str">
        <f t="shared" si="140"/>
        <v/>
      </c>
      <c r="B353" s="211"/>
      <c r="C353" s="185"/>
      <c r="D353" s="186" t="str">
        <f t="shared" si="129"/>
        <v/>
      </c>
      <c r="E353" s="186" t="str">
        <f>IF(OR(C353="",C353=Data!$B$3),"",IF(C353=Data!$B$4,"L","S"))</f>
        <v/>
      </c>
      <c r="F353" s="186" t="str">
        <f t="shared" si="130"/>
        <v/>
      </c>
      <c r="G353" s="187" t="str">
        <f t="shared" si="121"/>
        <v/>
      </c>
      <c r="H353" s="188"/>
      <c r="I353" s="189" t="str">
        <f t="shared" si="131"/>
        <v/>
      </c>
      <c r="J353" s="189" t="str">
        <f t="shared" si="132"/>
        <v/>
      </c>
      <c r="K353" s="190" t="str">
        <f t="shared" si="133"/>
        <v/>
      </c>
      <c r="L353" s="190" t="str">
        <f t="shared" si="134"/>
        <v/>
      </c>
      <c r="M353" s="214"/>
      <c r="N353" s="214"/>
      <c r="O353" s="189" t="str">
        <f t="shared" si="135"/>
        <v/>
      </c>
      <c r="P353" s="191" t="str">
        <f t="shared" si="122"/>
        <v/>
      </c>
      <c r="Q353" s="192" t="str">
        <f t="shared" si="136"/>
        <v/>
      </c>
      <c r="R353" s="191" t="str">
        <f t="shared" si="123"/>
        <v/>
      </c>
      <c r="S353" s="193" t="str">
        <f t="shared" si="137"/>
        <v/>
      </c>
      <c r="T353" s="194" t="str">
        <f t="shared" si="124"/>
        <v/>
      </c>
      <c r="U353" s="192" t="str">
        <f t="shared" si="138"/>
        <v/>
      </c>
      <c r="V353" s="195" t="str">
        <f t="shared" si="125"/>
        <v/>
      </c>
      <c r="W353" s="195" t="str">
        <f t="shared" si="126"/>
        <v/>
      </c>
      <c r="X353" s="196" t="str">
        <f t="shared" si="139"/>
        <v/>
      </c>
      <c r="Y353" s="191" t="str">
        <f t="shared" si="141"/>
        <v/>
      </c>
      <c r="Z353" s="197" t="str">
        <f t="shared" si="127"/>
        <v/>
      </c>
      <c r="AA353" s="197" t="str">
        <f t="shared" si="128"/>
        <v/>
      </c>
      <c r="AB353" s="213"/>
      <c r="AC353" s="204"/>
    </row>
    <row r="354" spans="1:29" ht="11.4">
      <c r="A354" s="211" t="str">
        <f t="shared" si="140"/>
        <v/>
      </c>
      <c r="B354" s="211"/>
      <c r="C354" s="185"/>
      <c r="D354" s="186" t="str">
        <f t="shared" si="129"/>
        <v/>
      </c>
      <c r="E354" s="186" t="str">
        <f>IF(OR(C354="",C354=Data!$B$3),"",IF(C354=Data!$B$4,"L","S"))</f>
        <v/>
      </c>
      <c r="F354" s="186" t="str">
        <f t="shared" si="130"/>
        <v/>
      </c>
      <c r="G354" s="187" t="str">
        <f t="shared" si="121"/>
        <v/>
      </c>
      <c r="H354" s="188"/>
      <c r="I354" s="189" t="str">
        <f t="shared" si="131"/>
        <v/>
      </c>
      <c r="J354" s="189" t="str">
        <f t="shared" si="132"/>
        <v/>
      </c>
      <c r="K354" s="190" t="str">
        <f t="shared" si="133"/>
        <v/>
      </c>
      <c r="L354" s="190" t="str">
        <f t="shared" si="134"/>
        <v/>
      </c>
      <c r="M354" s="214"/>
      <c r="N354" s="214"/>
      <c r="O354" s="189" t="str">
        <f t="shared" si="135"/>
        <v/>
      </c>
      <c r="P354" s="191" t="str">
        <f t="shared" si="122"/>
        <v/>
      </c>
      <c r="Q354" s="192" t="str">
        <f t="shared" si="136"/>
        <v/>
      </c>
      <c r="R354" s="191" t="str">
        <f t="shared" si="123"/>
        <v/>
      </c>
      <c r="S354" s="193" t="str">
        <f t="shared" si="137"/>
        <v/>
      </c>
      <c r="T354" s="194" t="str">
        <f t="shared" si="124"/>
        <v/>
      </c>
      <c r="U354" s="192" t="str">
        <f t="shared" si="138"/>
        <v/>
      </c>
      <c r="V354" s="195" t="str">
        <f t="shared" si="125"/>
        <v/>
      </c>
      <c r="W354" s="195" t="str">
        <f t="shared" si="126"/>
        <v/>
      </c>
      <c r="X354" s="196" t="str">
        <f t="shared" si="139"/>
        <v/>
      </c>
      <c r="Y354" s="191" t="str">
        <f t="shared" si="141"/>
        <v/>
      </c>
      <c r="Z354" s="197" t="str">
        <f t="shared" si="127"/>
        <v/>
      </c>
      <c r="AA354" s="197" t="str">
        <f t="shared" si="128"/>
        <v/>
      </c>
      <c r="AB354" s="213"/>
      <c r="AC354" s="204"/>
    </row>
    <row r="355" spans="1:29" ht="11.4">
      <c r="A355" s="211" t="str">
        <f t="shared" si="140"/>
        <v/>
      </c>
      <c r="B355" s="211"/>
      <c r="C355" s="185"/>
      <c r="D355" s="186" t="str">
        <f t="shared" si="129"/>
        <v/>
      </c>
      <c r="E355" s="186" t="str">
        <f>IF(OR(C355="",C355=Data!$B$3),"",IF(C355=Data!$B$4,"L","S"))</f>
        <v/>
      </c>
      <c r="F355" s="186" t="str">
        <f t="shared" si="130"/>
        <v/>
      </c>
      <c r="G355" s="187" t="str">
        <f t="shared" si="121"/>
        <v/>
      </c>
      <c r="H355" s="188"/>
      <c r="I355" s="189" t="str">
        <f t="shared" si="131"/>
        <v/>
      </c>
      <c r="J355" s="189" t="str">
        <f t="shared" si="132"/>
        <v/>
      </c>
      <c r="K355" s="190" t="str">
        <f t="shared" si="133"/>
        <v/>
      </c>
      <c r="L355" s="190" t="str">
        <f t="shared" si="134"/>
        <v/>
      </c>
      <c r="M355" s="214"/>
      <c r="N355" s="214"/>
      <c r="O355" s="189" t="str">
        <f t="shared" si="135"/>
        <v/>
      </c>
      <c r="P355" s="191" t="str">
        <f t="shared" si="122"/>
        <v/>
      </c>
      <c r="Q355" s="192" t="str">
        <f t="shared" si="136"/>
        <v/>
      </c>
      <c r="R355" s="191" t="str">
        <f t="shared" si="123"/>
        <v/>
      </c>
      <c r="S355" s="193" t="str">
        <f t="shared" si="137"/>
        <v/>
      </c>
      <c r="T355" s="194" t="str">
        <f t="shared" si="124"/>
        <v/>
      </c>
      <c r="U355" s="192" t="str">
        <f t="shared" si="138"/>
        <v/>
      </c>
      <c r="V355" s="195" t="str">
        <f t="shared" si="125"/>
        <v/>
      </c>
      <c r="W355" s="195" t="str">
        <f t="shared" si="126"/>
        <v/>
      </c>
      <c r="X355" s="196" t="str">
        <f t="shared" si="139"/>
        <v/>
      </c>
      <c r="Y355" s="191" t="str">
        <f t="shared" si="141"/>
        <v/>
      </c>
      <c r="Z355" s="197" t="str">
        <f t="shared" si="127"/>
        <v/>
      </c>
      <c r="AA355" s="197" t="str">
        <f t="shared" si="128"/>
        <v/>
      </c>
      <c r="AB355" s="213"/>
      <c r="AC355" s="204"/>
    </row>
    <row r="356" spans="1:29" ht="11.4">
      <c r="A356" s="211" t="str">
        <f t="shared" si="140"/>
        <v/>
      </c>
      <c r="B356" s="211"/>
      <c r="C356" s="185"/>
      <c r="D356" s="186" t="str">
        <f t="shared" si="129"/>
        <v/>
      </c>
      <c r="E356" s="186" t="str">
        <f>IF(OR(C356="",C356=Data!$B$3),"",IF(C356=Data!$B$4,"L","S"))</f>
        <v/>
      </c>
      <c r="F356" s="186" t="str">
        <f t="shared" si="130"/>
        <v/>
      </c>
      <c r="G356" s="187" t="str">
        <f t="shared" si="121"/>
        <v/>
      </c>
      <c r="H356" s="188"/>
      <c r="I356" s="189" t="str">
        <f t="shared" si="131"/>
        <v/>
      </c>
      <c r="J356" s="189" t="str">
        <f t="shared" si="132"/>
        <v/>
      </c>
      <c r="K356" s="190" t="str">
        <f t="shared" si="133"/>
        <v/>
      </c>
      <c r="L356" s="190" t="str">
        <f t="shared" si="134"/>
        <v/>
      </c>
      <c r="M356" s="214"/>
      <c r="N356" s="214"/>
      <c r="O356" s="189" t="str">
        <f t="shared" si="135"/>
        <v/>
      </c>
      <c r="P356" s="191" t="str">
        <f t="shared" si="122"/>
        <v/>
      </c>
      <c r="Q356" s="192" t="str">
        <f t="shared" si="136"/>
        <v/>
      </c>
      <c r="R356" s="191" t="str">
        <f t="shared" si="123"/>
        <v/>
      </c>
      <c r="S356" s="193" t="str">
        <f t="shared" si="137"/>
        <v/>
      </c>
      <c r="T356" s="194" t="str">
        <f t="shared" si="124"/>
        <v/>
      </c>
      <c r="U356" s="192" t="str">
        <f t="shared" si="138"/>
        <v/>
      </c>
      <c r="V356" s="195" t="str">
        <f t="shared" si="125"/>
        <v/>
      </c>
      <c r="W356" s="195" t="str">
        <f t="shared" si="126"/>
        <v/>
      </c>
      <c r="X356" s="196" t="str">
        <f t="shared" si="139"/>
        <v/>
      </c>
      <c r="Y356" s="191" t="str">
        <f t="shared" si="141"/>
        <v/>
      </c>
      <c r="Z356" s="197" t="str">
        <f t="shared" si="127"/>
        <v/>
      </c>
      <c r="AA356" s="197" t="str">
        <f t="shared" si="128"/>
        <v/>
      </c>
      <c r="AB356" s="213"/>
      <c r="AC356" s="204"/>
    </row>
    <row r="357" spans="1:29" ht="11.4">
      <c r="A357" s="211" t="str">
        <f t="shared" si="140"/>
        <v/>
      </c>
      <c r="B357" s="211"/>
      <c r="C357" s="185"/>
      <c r="D357" s="186" t="str">
        <f t="shared" si="129"/>
        <v/>
      </c>
      <c r="E357" s="186" t="str">
        <f>IF(OR(C357="",C357=Data!$B$3),"",IF(C357=Data!$B$4,"L","S"))</f>
        <v/>
      </c>
      <c r="F357" s="186" t="str">
        <f t="shared" si="130"/>
        <v/>
      </c>
      <c r="G357" s="187" t="str">
        <f t="shared" si="121"/>
        <v/>
      </c>
      <c r="H357" s="188"/>
      <c r="I357" s="189" t="str">
        <f t="shared" si="131"/>
        <v/>
      </c>
      <c r="J357" s="189" t="str">
        <f t="shared" si="132"/>
        <v/>
      </c>
      <c r="K357" s="190" t="str">
        <f t="shared" si="133"/>
        <v/>
      </c>
      <c r="L357" s="190" t="str">
        <f t="shared" si="134"/>
        <v/>
      </c>
      <c r="M357" s="214"/>
      <c r="N357" s="214"/>
      <c r="O357" s="189" t="str">
        <f t="shared" si="135"/>
        <v/>
      </c>
      <c r="P357" s="191" t="str">
        <f t="shared" si="122"/>
        <v/>
      </c>
      <c r="Q357" s="192" t="str">
        <f t="shared" si="136"/>
        <v/>
      </c>
      <c r="R357" s="191" t="str">
        <f t="shared" si="123"/>
        <v/>
      </c>
      <c r="S357" s="193" t="str">
        <f t="shared" si="137"/>
        <v/>
      </c>
      <c r="T357" s="194" t="str">
        <f t="shared" si="124"/>
        <v/>
      </c>
      <c r="U357" s="192" t="str">
        <f t="shared" si="138"/>
        <v/>
      </c>
      <c r="V357" s="195" t="str">
        <f t="shared" si="125"/>
        <v/>
      </c>
      <c r="W357" s="195" t="str">
        <f t="shared" si="126"/>
        <v/>
      </c>
      <c r="X357" s="196" t="str">
        <f t="shared" si="139"/>
        <v/>
      </c>
      <c r="Y357" s="191" t="str">
        <f t="shared" si="141"/>
        <v/>
      </c>
      <c r="Z357" s="197" t="str">
        <f t="shared" si="127"/>
        <v/>
      </c>
      <c r="AA357" s="197" t="str">
        <f t="shared" si="128"/>
        <v/>
      </c>
      <c r="AB357" s="213"/>
      <c r="AC357" s="204"/>
    </row>
    <row r="358" spans="1:29" ht="11.4">
      <c r="A358" s="211" t="str">
        <f t="shared" si="140"/>
        <v/>
      </c>
      <c r="B358" s="211"/>
      <c r="C358" s="185"/>
      <c r="D358" s="186" t="str">
        <f t="shared" si="129"/>
        <v/>
      </c>
      <c r="E358" s="186" t="str">
        <f>IF(OR(C358="",C358=Data!$B$3),"",IF(C358=Data!$B$4,"L","S"))</f>
        <v/>
      </c>
      <c r="F358" s="186" t="str">
        <f t="shared" si="130"/>
        <v/>
      </c>
      <c r="G358" s="187" t="str">
        <f t="shared" si="121"/>
        <v/>
      </c>
      <c r="H358" s="188"/>
      <c r="I358" s="189" t="str">
        <f t="shared" si="131"/>
        <v/>
      </c>
      <c r="J358" s="189" t="str">
        <f t="shared" si="132"/>
        <v/>
      </c>
      <c r="K358" s="190" t="str">
        <f t="shared" si="133"/>
        <v/>
      </c>
      <c r="L358" s="190" t="str">
        <f t="shared" si="134"/>
        <v/>
      </c>
      <c r="M358" s="214"/>
      <c r="N358" s="214"/>
      <c r="O358" s="189" t="str">
        <f t="shared" si="135"/>
        <v/>
      </c>
      <c r="P358" s="191" t="str">
        <f t="shared" si="122"/>
        <v/>
      </c>
      <c r="Q358" s="192" t="str">
        <f t="shared" si="136"/>
        <v/>
      </c>
      <c r="R358" s="191" t="str">
        <f t="shared" si="123"/>
        <v/>
      </c>
      <c r="S358" s="193" t="str">
        <f t="shared" si="137"/>
        <v/>
      </c>
      <c r="T358" s="194" t="str">
        <f t="shared" si="124"/>
        <v/>
      </c>
      <c r="U358" s="192" t="str">
        <f t="shared" si="138"/>
        <v/>
      </c>
      <c r="V358" s="195" t="str">
        <f t="shared" si="125"/>
        <v/>
      </c>
      <c r="W358" s="195" t="str">
        <f t="shared" si="126"/>
        <v/>
      </c>
      <c r="X358" s="196" t="str">
        <f t="shared" si="139"/>
        <v/>
      </c>
      <c r="Y358" s="191" t="str">
        <f t="shared" si="141"/>
        <v/>
      </c>
      <c r="Z358" s="197" t="str">
        <f t="shared" si="127"/>
        <v/>
      </c>
      <c r="AA358" s="197" t="str">
        <f t="shared" si="128"/>
        <v/>
      </c>
      <c r="AB358" s="213"/>
      <c r="AC358" s="204"/>
    </row>
    <row r="359" spans="1:29" ht="11.4">
      <c r="A359" s="211" t="str">
        <f t="shared" si="140"/>
        <v/>
      </c>
      <c r="B359" s="211"/>
      <c r="C359" s="185"/>
      <c r="D359" s="186" t="str">
        <f t="shared" si="129"/>
        <v/>
      </c>
      <c r="E359" s="186" t="str">
        <f>IF(OR(C359="",C359=Data!$B$3),"",IF(C359=Data!$B$4,"L","S"))</f>
        <v/>
      </c>
      <c r="F359" s="186" t="str">
        <f t="shared" si="130"/>
        <v/>
      </c>
      <c r="G359" s="187" t="str">
        <f t="shared" si="121"/>
        <v/>
      </c>
      <c r="H359" s="188"/>
      <c r="I359" s="189" t="str">
        <f t="shared" si="131"/>
        <v/>
      </c>
      <c r="J359" s="189" t="str">
        <f t="shared" si="132"/>
        <v/>
      </c>
      <c r="K359" s="190" t="str">
        <f t="shared" si="133"/>
        <v/>
      </c>
      <c r="L359" s="190" t="str">
        <f t="shared" si="134"/>
        <v/>
      </c>
      <c r="M359" s="214"/>
      <c r="N359" s="214"/>
      <c r="O359" s="189" t="str">
        <f t="shared" si="135"/>
        <v/>
      </c>
      <c r="P359" s="191" t="str">
        <f t="shared" si="122"/>
        <v/>
      </c>
      <c r="Q359" s="192" t="str">
        <f t="shared" si="136"/>
        <v/>
      </c>
      <c r="R359" s="191" t="str">
        <f t="shared" si="123"/>
        <v/>
      </c>
      <c r="S359" s="193" t="str">
        <f t="shared" si="137"/>
        <v/>
      </c>
      <c r="T359" s="194" t="str">
        <f t="shared" si="124"/>
        <v/>
      </c>
      <c r="U359" s="192" t="str">
        <f t="shared" si="138"/>
        <v/>
      </c>
      <c r="V359" s="195" t="str">
        <f t="shared" si="125"/>
        <v/>
      </c>
      <c r="W359" s="195" t="str">
        <f t="shared" si="126"/>
        <v/>
      </c>
      <c r="X359" s="196" t="str">
        <f t="shared" si="139"/>
        <v/>
      </c>
      <c r="Y359" s="191" t="str">
        <f t="shared" si="141"/>
        <v/>
      </c>
      <c r="Z359" s="197" t="str">
        <f t="shared" si="127"/>
        <v/>
      </c>
      <c r="AA359" s="197" t="str">
        <f t="shared" si="128"/>
        <v/>
      </c>
      <c r="AB359" s="213"/>
      <c r="AC359" s="204"/>
    </row>
    <row r="360" spans="1:29" ht="11.4">
      <c r="A360" s="211" t="str">
        <f t="shared" si="140"/>
        <v/>
      </c>
      <c r="B360" s="211"/>
      <c r="C360" s="185"/>
      <c r="D360" s="186" t="str">
        <f t="shared" si="129"/>
        <v/>
      </c>
      <c r="E360" s="186" t="str">
        <f>IF(OR(C360="",C360=Data!$B$3),"",IF(C360=Data!$B$4,"L","S"))</f>
        <v/>
      </c>
      <c r="F360" s="186" t="str">
        <f t="shared" si="130"/>
        <v/>
      </c>
      <c r="G360" s="187" t="str">
        <f t="shared" si="121"/>
        <v/>
      </c>
      <c r="H360" s="188"/>
      <c r="I360" s="189" t="str">
        <f t="shared" si="131"/>
        <v/>
      </c>
      <c r="J360" s="189" t="str">
        <f t="shared" si="132"/>
        <v/>
      </c>
      <c r="K360" s="190" t="str">
        <f t="shared" si="133"/>
        <v/>
      </c>
      <c r="L360" s="190" t="str">
        <f t="shared" si="134"/>
        <v/>
      </c>
      <c r="M360" s="214"/>
      <c r="N360" s="214"/>
      <c r="O360" s="189" t="str">
        <f t="shared" si="135"/>
        <v/>
      </c>
      <c r="P360" s="191" t="str">
        <f t="shared" si="122"/>
        <v/>
      </c>
      <c r="Q360" s="192" t="str">
        <f t="shared" si="136"/>
        <v/>
      </c>
      <c r="R360" s="191" t="str">
        <f t="shared" si="123"/>
        <v/>
      </c>
      <c r="S360" s="193" t="str">
        <f t="shared" si="137"/>
        <v/>
      </c>
      <c r="T360" s="194" t="str">
        <f t="shared" si="124"/>
        <v/>
      </c>
      <c r="U360" s="192" t="str">
        <f t="shared" si="138"/>
        <v/>
      </c>
      <c r="V360" s="195" t="str">
        <f t="shared" si="125"/>
        <v/>
      </c>
      <c r="W360" s="195" t="str">
        <f t="shared" si="126"/>
        <v/>
      </c>
      <c r="X360" s="196" t="str">
        <f t="shared" si="139"/>
        <v/>
      </c>
      <c r="Y360" s="191" t="str">
        <f t="shared" si="141"/>
        <v/>
      </c>
      <c r="Z360" s="197" t="str">
        <f t="shared" si="127"/>
        <v/>
      </c>
      <c r="AA360" s="197" t="str">
        <f t="shared" si="128"/>
        <v/>
      </c>
      <c r="AB360" s="213"/>
      <c r="AC360" s="204"/>
    </row>
    <row r="361" spans="1:29" ht="11.4">
      <c r="A361" s="211" t="str">
        <f t="shared" si="140"/>
        <v/>
      </c>
      <c r="B361" s="211"/>
      <c r="C361" s="185"/>
      <c r="D361" s="186" t="str">
        <f t="shared" si="129"/>
        <v/>
      </c>
      <c r="E361" s="186" t="str">
        <f>IF(OR(C361="",C361=Data!$B$3),"",IF(C361=Data!$B$4,"L","S"))</f>
        <v/>
      </c>
      <c r="F361" s="186" t="str">
        <f t="shared" si="130"/>
        <v/>
      </c>
      <c r="G361" s="187" t="str">
        <f t="shared" si="121"/>
        <v/>
      </c>
      <c r="H361" s="188"/>
      <c r="I361" s="189" t="str">
        <f t="shared" si="131"/>
        <v/>
      </c>
      <c r="J361" s="189" t="str">
        <f t="shared" si="132"/>
        <v/>
      </c>
      <c r="K361" s="190" t="str">
        <f t="shared" si="133"/>
        <v/>
      </c>
      <c r="L361" s="190" t="str">
        <f t="shared" si="134"/>
        <v/>
      </c>
      <c r="M361" s="214"/>
      <c r="N361" s="214"/>
      <c r="O361" s="189" t="str">
        <f t="shared" si="135"/>
        <v/>
      </c>
      <c r="P361" s="191" t="str">
        <f t="shared" si="122"/>
        <v/>
      </c>
      <c r="Q361" s="192" t="str">
        <f t="shared" si="136"/>
        <v/>
      </c>
      <c r="R361" s="191" t="str">
        <f t="shared" si="123"/>
        <v/>
      </c>
      <c r="S361" s="193" t="str">
        <f t="shared" si="137"/>
        <v/>
      </c>
      <c r="T361" s="194" t="str">
        <f t="shared" si="124"/>
        <v/>
      </c>
      <c r="U361" s="192" t="str">
        <f t="shared" si="138"/>
        <v/>
      </c>
      <c r="V361" s="195" t="str">
        <f t="shared" si="125"/>
        <v/>
      </c>
      <c r="W361" s="195" t="str">
        <f t="shared" si="126"/>
        <v/>
      </c>
      <c r="X361" s="196" t="str">
        <f t="shared" si="139"/>
        <v/>
      </c>
      <c r="Y361" s="191" t="str">
        <f t="shared" si="141"/>
        <v/>
      </c>
      <c r="Z361" s="197" t="str">
        <f t="shared" si="127"/>
        <v/>
      </c>
      <c r="AA361" s="197" t="str">
        <f t="shared" si="128"/>
        <v/>
      </c>
      <c r="AB361" s="213"/>
      <c r="AC361" s="204"/>
    </row>
    <row r="362" spans="1:29" ht="11.4">
      <c r="A362" s="211" t="str">
        <f t="shared" si="140"/>
        <v/>
      </c>
      <c r="B362" s="211"/>
      <c r="C362" s="185"/>
      <c r="D362" s="186" t="str">
        <f t="shared" si="129"/>
        <v/>
      </c>
      <c r="E362" s="186" t="str">
        <f>IF(OR(C362="",C362=Data!$B$3),"",IF(C362=Data!$B$4,"L","S"))</f>
        <v/>
      </c>
      <c r="F362" s="186" t="str">
        <f t="shared" si="130"/>
        <v/>
      </c>
      <c r="G362" s="187" t="str">
        <f t="shared" si="121"/>
        <v/>
      </c>
      <c r="H362" s="188"/>
      <c r="I362" s="189" t="str">
        <f t="shared" si="131"/>
        <v/>
      </c>
      <c r="J362" s="189" t="str">
        <f t="shared" si="132"/>
        <v/>
      </c>
      <c r="K362" s="190" t="str">
        <f t="shared" si="133"/>
        <v/>
      </c>
      <c r="L362" s="190" t="str">
        <f t="shared" si="134"/>
        <v/>
      </c>
      <c r="M362" s="214"/>
      <c r="N362" s="214"/>
      <c r="O362" s="189" t="str">
        <f t="shared" si="135"/>
        <v/>
      </c>
      <c r="P362" s="191" t="str">
        <f t="shared" si="122"/>
        <v/>
      </c>
      <c r="Q362" s="192" t="str">
        <f t="shared" si="136"/>
        <v/>
      </c>
      <c r="R362" s="191" t="str">
        <f t="shared" si="123"/>
        <v/>
      </c>
      <c r="S362" s="193" t="str">
        <f t="shared" si="137"/>
        <v/>
      </c>
      <c r="T362" s="194" t="str">
        <f t="shared" si="124"/>
        <v/>
      </c>
      <c r="U362" s="192" t="str">
        <f t="shared" si="138"/>
        <v/>
      </c>
      <c r="V362" s="195" t="str">
        <f t="shared" si="125"/>
        <v/>
      </c>
      <c r="W362" s="195" t="str">
        <f t="shared" si="126"/>
        <v/>
      </c>
      <c r="X362" s="196" t="str">
        <f t="shared" si="139"/>
        <v/>
      </c>
      <c r="Y362" s="191" t="str">
        <f t="shared" si="141"/>
        <v/>
      </c>
      <c r="Z362" s="197" t="str">
        <f t="shared" si="127"/>
        <v/>
      </c>
      <c r="AA362" s="197" t="str">
        <f t="shared" si="128"/>
        <v/>
      </c>
      <c r="AB362" s="213"/>
      <c r="AC362" s="204"/>
    </row>
    <row r="363" spans="1:29" ht="11.4">
      <c r="A363" s="211" t="str">
        <f t="shared" si="140"/>
        <v/>
      </c>
      <c r="B363" s="211"/>
      <c r="C363" s="185"/>
      <c r="D363" s="186" t="str">
        <f t="shared" si="129"/>
        <v/>
      </c>
      <c r="E363" s="186" t="str">
        <f>IF(OR(C363="",C363=Data!$B$3),"",IF(C363=Data!$B$4,"L","S"))</f>
        <v/>
      </c>
      <c r="F363" s="186" t="str">
        <f t="shared" si="130"/>
        <v/>
      </c>
      <c r="G363" s="187" t="str">
        <f t="shared" si="121"/>
        <v/>
      </c>
      <c r="H363" s="188"/>
      <c r="I363" s="189" t="str">
        <f t="shared" si="131"/>
        <v/>
      </c>
      <c r="J363" s="189" t="str">
        <f t="shared" si="132"/>
        <v/>
      </c>
      <c r="K363" s="190" t="str">
        <f t="shared" si="133"/>
        <v/>
      </c>
      <c r="L363" s="190" t="str">
        <f t="shared" si="134"/>
        <v/>
      </c>
      <c r="M363" s="214"/>
      <c r="N363" s="214"/>
      <c r="O363" s="189" t="str">
        <f t="shared" si="135"/>
        <v/>
      </c>
      <c r="P363" s="191" t="str">
        <f t="shared" si="122"/>
        <v/>
      </c>
      <c r="Q363" s="192" t="str">
        <f t="shared" si="136"/>
        <v/>
      </c>
      <c r="R363" s="191" t="str">
        <f t="shared" si="123"/>
        <v/>
      </c>
      <c r="S363" s="193" t="str">
        <f t="shared" si="137"/>
        <v/>
      </c>
      <c r="T363" s="194" t="str">
        <f t="shared" si="124"/>
        <v/>
      </c>
      <c r="U363" s="192" t="str">
        <f t="shared" si="138"/>
        <v/>
      </c>
      <c r="V363" s="195" t="str">
        <f t="shared" si="125"/>
        <v/>
      </c>
      <c r="W363" s="195" t="str">
        <f t="shared" si="126"/>
        <v/>
      </c>
      <c r="X363" s="196" t="str">
        <f t="shared" si="139"/>
        <v/>
      </c>
      <c r="Y363" s="191" t="str">
        <f t="shared" si="141"/>
        <v/>
      </c>
      <c r="Z363" s="197" t="str">
        <f t="shared" si="127"/>
        <v/>
      </c>
      <c r="AA363" s="197" t="str">
        <f t="shared" si="128"/>
        <v/>
      </c>
      <c r="AB363" s="213"/>
      <c r="AC363" s="204"/>
    </row>
    <row r="364" spans="1:29" ht="11.4">
      <c r="A364" s="211" t="str">
        <f t="shared" si="140"/>
        <v/>
      </c>
      <c r="B364" s="211"/>
      <c r="C364" s="185"/>
      <c r="D364" s="186" t="str">
        <f t="shared" si="129"/>
        <v/>
      </c>
      <c r="E364" s="186" t="str">
        <f>IF(OR(C364="",C364=Data!$B$3),"",IF(C364=Data!$B$4,"L","S"))</f>
        <v/>
      </c>
      <c r="F364" s="186" t="str">
        <f t="shared" si="130"/>
        <v/>
      </c>
      <c r="G364" s="187" t="str">
        <f t="shared" si="121"/>
        <v/>
      </c>
      <c r="H364" s="188"/>
      <c r="I364" s="189" t="str">
        <f t="shared" si="131"/>
        <v/>
      </c>
      <c r="J364" s="189" t="str">
        <f t="shared" si="132"/>
        <v/>
      </c>
      <c r="K364" s="190" t="str">
        <f t="shared" si="133"/>
        <v/>
      </c>
      <c r="L364" s="190" t="str">
        <f t="shared" si="134"/>
        <v/>
      </c>
      <c r="M364" s="214"/>
      <c r="N364" s="214"/>
      <c r="O364" s="189" t="str">
        <f t="shared" si="135"/>
        <v/>
      </c>
      <c r="P364" s="191" t="str">
        <f t="shared" si="122"/>
        <v/>
      </c>
      <c r="Q364" s="192" t="str">
        <f t="shared" si="136"/>
        <v/>
      </c>
      <c r="R364" s="191" t="str">
        <f t="shared" si="123"/>
        <v/>
      </c>
      <c r="S364" s="193" t="str">
        <f t="shared" si="137"/>
        <v/>
      </c>
      <c r="T364" s="194" t="str">
        <f t="shared" si="124"/>
        <v/>
      </c>
      <c r="U364" s="192" t="str">
        <f t="shared" si="138"/>
        <v/>
      </c>
      <c r="V364" s="195" t="str">
        <f t="shared" si="125"/>
        <v/>
      </c>
      <c r="W364" s="195" t="str">
        <f t="shared" si="126"/>
        <v/>
      </c>
      <c r="X364" s="196" t="str">
        <f t="shared" si="139"/>
        <v/>
      </c>
      <c r="Y364" s="191" t="str">
        <f t="shared" si="141"/>
        <v/>
      </c>
      <c r="Z364" s="197" t="str">
        <f t="shared" si="127"/>
        <v/>
      </c>
      <c r="AA364" s="197" t="str">
        <f t="shared" si="128"/>
        <v/>
      </c>
      <c r="AB364" s="213"/>
      <c r="AC364" s="204"/>
    </row>
    <row r="365" spans="1:29" ht="11.4">
      <c r="A365" s="211" t="str">
        <f t="shared" si="140"/>
        <v/>
      </c>
      <c r="B365" s="211"/>
      <c r="C365" s="185"/>
      <c r="D365" s="186" t="str">
        <f t="shared" si="129"/>
        <v/>
      </c>
      <c r="E365" s="186" t="str">
        <f>IF(OR(C365="",C365=Data!$B$3),"",IF(C365=Data!$B$4,"L","S"))</f>
        <v/>
      </c>
      <c r="F365" s="186" t="str">
        <f t="shared" si="130"/>
        <v/>
      </c>
      <c r="G365" s="187" t="str">
        <f t="shared" si="121"/>
        <v/>
      </c>
      <c r="H365" s="188"/>
      <c r="I365" s="189" t="str">
        <f t="shared" si="131"/>
        <v/>
      </c>
      <c r="J365" s="189" t="str">
        <f t="shared" si="132"/>
        <v/>
      </c>
      <c r="K365" s="190" t="str">
        <f t="shared" si="133"/>
        <v/>
      </c>
      <c r="L365" s="190" t="str">
        <f t="shared" si="134"/>
        <v/>
      </c>
      <c r="M365" s="214"/>
      <c r="N365" s="214"/>
      <c r="O365" s="189" t="str">
        <f t="shared" si="135"/>
        <v/>
      </c>
      <c r="P365" s="191" t="str">
        <f t="shared" si="122"/>
        <v/>
      </c>
      <c r="Q365" s="192" t="str">
        <f t="shared" si="136"/>
        <v/>
      </c>
      <c r="R365" s="191" t="str">
        <f t="shared" si="123"/>
        <v/>
      </c>
      <c r="S365" s="193" t="str">
        <f t="shared" si="137"/>
        <v/>
      </c>
      <c r="T365" s="194" t="str">
        <f t="shared" si="124"/>
        <v/>
      </c>
      <c r="U365" s="192" t="str">
        <f t="shared" si="138"/>
        <v/>
      </c>
      <c r="V365" s="195" t="str">
        <f t="shared" si="125"/>
        <v/>
      </c>
      <c r="W365" s="195" t="str">
        <f t="shared" si="126"/>
        <v/>
      </c>
      <c r="X365" s="196" t="str">
        <f t="shared" si="139"/>
        <v/>
      </c>
      <c r="Y365" s="191" t="str">
        <f t="shared" si="141"/>
        <v/>
      </c>
      <c r="Z365" s="197" t="str">
        <f t="shared" si="127"/>
        <v/>
      </c>
      <c r="AA365" s="197" t="str">
        <f t="shared" si="128"/>
        <v/>
      </c>
      <c r="AB365" s="213"/>
      <c r="AC365" s="204"/>
    </row>
    <row r="366" spans="1:29" ht="11.4">
      <c r="A366" s="211" t="str">
        <f t="shared" si="140"/>
        <v/>
      </c>
      <c r="B366" s="211"/>
      <c r="C366" s="185"/>
      <c r="D366" s="186" t="str">
        <f t="shared" si="129"/>
        <v/>
      </c>
      <c r="E366" s="186" t="str">
        <f>IF(OR(C366="",C366=Data!$B$3),"",IF(C366=Data!$B$4,"L","S"))</f>
        <v/>
      </c>
      <c r="F366" s="186" t="str">
        <f t="shared" si="130"/>
        <v/>
      </c>
      <c r="G366" s="187" t="str">
        <f t="shared" si="121"/>
        <v/>
      </c>
      <c r="H366" s="188"/>
      <c r="I366" s="189" t="str">
        <f t="shared" si="131"/>
        <v/>
      </c>
      <c r="J366" s="189" t="str">
        <f t="shared" si="132"/>
        <v/>
      </c>
      <c r="K366" s="190" t="str">
        <f t="shared" si="133"/>
        <v/>
      </c>
      <c r="L366" s="190" t="str">
        <f t="shared" si="134"/>
        <v/>
      </c>
      <c r="M366" s="214"/>
      <c r="N366" s="214"/>
      <c r="O366" s="189" t="str">
        <f t="shared" si="135"/>
        <v/>
      </c>
      <c r="P366" s="191" t="str">
        <f t="shared" si="122"/>
        <v/>
      </c>
      <c r="Q366" s="192" t="str">
        <f t="shared" si="136"/>
        <v/>
      </c>
      <c r="R366" s="191" t="str">
        <f t="shared" si="123"/>
        <v/>
      </c>
      <c r="S366" s="193" t="str">
        <f t="shared" si="137"/>
        <v/>
      </c>
      <c r="T366" s="194" t="str">
        <f t="shared" si="124"/>
        <v/>
      </c>
      <c r="U366" s="192" t="str">
        <f t="shared" si="138"/>
        <v/>
      </c>
      <c r="V366" s="195" t="str">
        <f t="shared" si="125"/>
        <v/>
      </c>
      <c r="W366" s="195" t="str">
        <f t="shared" si="126"/>
        <v/>
      </c>
      <c r="X366" s="196" t="str">
        <f t="shared" si="139"/>
        <v/>
      </c>
      <c r="Y366" s="191" t="str">
        <f t="shared" si="141"/>
        <v/>
      </c>
      <c r="Z366" s="197" t="str">
        <f t="shared" si="127"/>
        <v/>
      </c>
      <c r="AA366" s="197" t="str">
        <f t="shared" si="128"/>
        <v/>
      </c>
      <c r="AB366" s="213"/>
      <c r="AC366" s="204"/>
    </row>
    <row r="367" spans="1:29" ht="11.4">
      <c r="A367" s="211" t="str">
        <f t="shared" si="140"/>
        <v/>
      </c>
      <c r="B367" s="211"/>
      <c r="C367" s="185"/>
      <c r="D367" s="186" t="str">
        <f t="shared" si="129"/>
        <v/>
      </c>
      <c r="E367" s="186" t="str">
        <f>IF(OR(C367="",C367=Data!$B$3),"",IF(C367=Data!$B$4,"L","S"))</f>
        <v/>
      </c>
      <c r="F367" s="186" t="str">
        <f t="shared" si="130"/>
        <v/>
      </c>
      <c r="G367" s="187" t="str">
        <f t="shared" si="121"/>
        <v/>
      </c>
      <c r="H367" s="188"/>
      <c r="I367" s="189" t="str">
        <f t="shared" si="131"/>
        <v/>
      </c>
      <c r="J367" s="189" t="str">
        <f t="shared" si="132"/>
        <v/>
      </c>
      <c r="K367" s="190" t="str">
        <f t="shared" si="133"/>
        <v/>
      </c>
      <c r="L367" s="190" t="str">
        <f t="shared" si="134"/>
        <v/>
      </c>
      <c r="M367" s="214"/>
      <c r="N367" s="214"/>
      <c r="O367" s="189" t="str">
        <f t="shared" si="135"/>
        <v/>
      </c>
      <c r="P367" s="191" t="str">
        <f t="shared" si="122"/>
        <v/>
      </c>
      <c r="Q367" s="192" t="str">
        <f t="shared" si="136"/>
        <v/>
      </c>
      <c r="R367" s="191" t="str">
        <f t="shared" si="123"/>
        <v/>
      </c>
      <c r="S367" s="193" t="str">
        <f t="shared" si="137"/>
        <v/>
      </c>
      <c r="T367" s="194" t="str">
        <f t="shared" si="124"/>
        <v/>
      </c>
      <c r="U367" s="192" t="str">
        <f t="shared" si="138"/>
        <v/>
      </c>
      <c r="V367" s="195" t="str">
        <f t="shared" si="125"/>
        <v/>
      </c>
      <c r="W367" s="195" t="str">
        <f t="shared" si="126"/>
        <v/>
      </c>
      <c r="X367" s="196" t="str">
        <f t="shared" si="139"/>
        <v/>
      </c>
      <c r="Y367" s="191" t="str">
        <f t="shared" si="141"/>
        <v/>
      </c>
      <c r="Z367" s="197" t="str">
        <f t="shared" si="127"/>
        <v/>
      </c>
      <c r="AA367" s="197" t="str">
        <f t="shared" si="128"/>
        <v/>
      </c>
      <c r="AB367" s="213"/>
      <c r="AC367" s="204"/>
    </row>
    <row r="368" spans="1:29" ht="11.4">
      <c r="A368" s="211" t="str">
        <f t="shared" si="140"/>
        <v/>
      </c>
      <c r="B368" s="211"/>
      <c r="C368" s="185"/>
      <c r="D368" s="186" t="str">
        <f t="shared" si="129"/>
        <v/>
      </c>
      <c r="E368" s="186" t="str">
        <f>IF(OR(C368="",C368=Data!$B$3),"",IF(C368=Data!$B$4,"L","S"))</f>
        <v/>
      </c>
      <c r="F368" s="186" t="str">
        <f t="shared" si="130"/>
        <v/>
      </c>
      <c r="G368" s="187" t="str">
        <f t="shared" si="121"/>
        <v/>
      </c>
      <c r="H368" s="188"/>
      <c r="I368" s="189" t="str">
        <f t="shared" si="131"/>
        <v/>
      </c>
      <c r="J368" s="189" t="str">
        <f t="shared" si="132"/>
        <v/>
      </c>
      <c r="K368" s="190" t="str">
        <f t="shared" si="133"/>
        <v/>
      </c>
      <c r="L368" s="190" t="str">
        <f t="shared" si="134"/>
        <v/>
      </c>
      <c r="M368" s="214"/>
      <c r="N368" s="214"/>
      <c r="O368" s="189" t="str">
        <f t="shared" si="135"/>
        <v/>
      </c>
      <c r="P368" s="191" t="str">
        <f t="shared" si="122"/>
        <v/>
      </c>
      <c r="Q368" s="192" t="str">
        <f t="shared" si="136"/>
        <v/>
      </c>
      <c r="R368" s="191" t="str">
        <f t="shared" si="123"/>
        <v/>
      </c>
      <c r="S368" s="193" t="str">
        <f t="shared" si="137"/>
        <v/>
      </c>
      <c r="T368" s="194" t="str">
        <f t="shared" si="124"/>
        <v/>
      </c>
      <c r="U368" s="192" t="str">
        <f t="shared" si="138"/>
        <v/>
      </c>
      <c r="V368" s="195" t="str">
        <f t="shared" si="125"/>
        <v/>
      </c>
      <c r="W368" s="195" t="str">
        <f t="shared" si="126"/>
        <v/>
      </c>
      <c r="X368" s="196" t="str">
        <f t="shared" si="139"/>
        <v/>
      </c>
      <c r="Y368" s="191" t="str">
        <f t="shared" si="141"/>
        <v/>
      </c>
      <c r="Z368" s="197" t="str">
        <f t="shared" si="127"/>
        <v/>
      </c>
      <c r="AA368" s="197" t="str">
        <f t="shared" si="128"/>
        <v/>
      </c>
      <c r="AB368" s="213"/>
      <c r="AC368" s="204"/>
    </row>
    <row r="369" spans="1:29" ht="11.4">
      <c r="A369" s="211" t="str">
        <f t="shared" si="140"/>
        <v/>
      </c>
      <c r="B369" s="211"/>
      <c r="C369" s="185"/>
      <c r="D369" s="186" t="str">
        <f t="shared" si="129"/>
        <v/>
      </c>
      <c r="E369" s="186" t="str">
        <f>IF(OR(C369="",C369=Data!$B$3),"",IF(C369=Data!$B$4,"L","S"))</f>
        <v/>
      </c>
      <c r="F369" s="186" t="str">
        <f t="shared" si="130"/>
        <v/>
      </c>
      <c r="G369" s="187" t="str">
        <f t="shared" si="121"/>
        <v/>
      </c>
      <c r="H369" s="188"/>
      <c r="I369" s="189" t="str">
        <f t="shared" si="131"/>
        <v/>
      </c>
      <c r="J369" s="189" t="str">
        <f t="shared" si="132"/>
        <v/>
      </c>
      <c r="K369" s="190" t="str">
        <f t="shared" si="133"/>
        <v/>
      </c>
      <c r="L369" s="190" t="str">
        <f t="shared" si="134"/>
        <v/>
      </c>
      <c r="M369" s="214"/>
      <c r="N369" s="214"/>
      <c r="O369" s="189" t="str">
        <f t="shared" si="135"/>
        <v/>
      </c>
      <c r="P369" s="191" t="str">
        <f t="shared" si="122"/>
        <v/>
      </c>
      <c r="Q369" s="192" t="str">
        <f t="shared" si="136"/>
        <v/>
      </c>
      <c r="R369" s="191" t="str">
        <f t="shared" si="123"/>
        <v/>
      </c>
      <c r="S369" s="193" t="str">
        <f t="shared" si="137"/>
        <v/>
      </c>
      <c r="T369" s="194" t="str">
        <f t="shared" si="124"/>
        <v/>
      </c>
      <c r="U369" s="192" t="str">
        <f t="shared" si="138"/>
        <v/>
      </c>
      <c r="V369" s="195" t="str">
        <f t="shared" si="125"/>
        <v/>
      </c>
      <c r="W369" s="195" t="str">
        <f t="shared" si="126"/>
        <v/>
      </c>
      <c r="X369" s="196" t="str">
        <f t="shared" si="139"/>
        <v/>
      </c>
      <c r="Y369" s="191" t="str">
        <f t="shared" si="141"/>
        <v/>
      </c>
      <c r="Z369" s="197" t="str">
        <f t="shared" si="127"/>
        <v/>
      </c>
      <c r="AA369" s="197" t="str">
        <f t="shared" si="128"/>
        <v/>
      </c>
      <c r="AB369" s="213"/>
      <c r="AC369" s="204"/>
    </row>
    <row r="370" spans="1:29" ht="11.4">
      <c r="A370" s="211" t="str">
        <f t="shared" si="140"/>
        <v/>
      </c>
      <c r="B370" s="211"/>
      <c r="C370" s="185"/>
      <c r="D370" s="186" t="str">
        <f t="shared" si="129"/>
        <v/>
      </c>
      <c r="E370" s="186" t="str">
        <f>IF(OR(C370="",C370=Data!$B$3),"",IF(C370=Data!$B$4,"L","S"))</f>
        <v/>
      </c>
      <c r="F370" s="186" t="str">
        <f t="shared" si="130"/>
        <v/>
      </c>
      <c r="G370" s="187" t="str">
        <f t="shared" si="121"/>
        <v/>
      </c>
      <c r="H370" s="188"/>
      <c r="I370" s="189" t="str">
        <f t="shared" si="131"/>
        <v/>
      </c>
      <c r="J370" s="189" t="str">
        <f t="shared" si="132"/>
        <v/>
      </c>
      <c r="K370" s="190" t="str">
        <f t="shared" si="133"/>
        <v/>
      </c>
      <c r="L370" s="190" t="str">
        <f t="shared" si="134"/>
        <v/>
      </c>
      <c r="M370" s="214"/>
      <c r="N370" s="214"/>
      <c r="O370" s="189" t="str">
        <f t="shared" si="135"/>
        <v/>
      </c>
      <c r="P370" s="191" t="str">
        <f t="shared" si="122"/>
        <v/>
      </c>
      <c r="Q370" s="192" t="str">
        <f t="shared" si="136"/>
        <v/>
      </c>
      <c r="R370" s="191" t="str">
        <f t="shared" si="123"/>
        <v/>
      </c>
      <c r="S370" s="193" t="str">
        <f t="shared" si="137"/>
        <v/>
      </c>
      <c r="T370" s="194" t="str">
        <f t="shared" si="124"/>
        <v/>
      </c>
      <c r="U370" s="192" t="str">
        <f t="shared" si="138"/>
        <v/>
      </c>
      <c r="V370" s="195" t="str">
        <f t="shared" si="125"/>
        <v/>
      </c>
      <c r="W370" s="195" t="str">
        <f t="shared" si="126"/>
        <v/>
      </c>
      <c r="X370" s="196" t="str">
        <f t="shared" si="139"/>
        <v/>
      </c>
      <c r="Y370" s="191" t="str">
        <f t="shared" si="141"/>
        <v/>
      </c>
      <c r="Z370" s="197" t="str">
        <f t="shared" si="127"/>
        <v/>
      </c>
      <c r="AA370" s="197" t="str">
        <f t="shared" si="128"/>
        <v/>
      </c>
      <c r="AB370" s="213"/>
      <c r="AC370" s="204"/>
    </row>
    <row r="371" spans="1:29" ht="11.4">
      <c r="A371" s="211" t="str">
        <f t="shared" si="140"/>
        <v/>
      </c>
      <c r="B371" s="211"/>
      <c r="C371" s="185"/>
      <c r="D371" s="186" t="str">
        <f t="shared" si="129"/>
        <v/>
      </c>
      <c r="E371" s="186" t="str">
        <f>IF(OR(C371="",C371=Data!$B$3),"",IF(C371=Data!$B$4,"L","S"))</f>
        <v/>
      </c>
      <c r="F371" s="186" t="str">
        <f t="shared" si="130"/>
        <v/>
      </c>
      <c r="G371" s="187" t="str">
        <f t="shared" si="121"/>
        <v/>
      </c>
      <c r="H371" s="188"/>
      <c r="I371" s="189" t="str">
        <f t="shared" si="131"/>
        <v/>
      </c>
      <c r="J371" s="189" t="str">
        <f t="shared" si="132"/>
        <v/>
      </c>
      <c r="K371" s="190" t="str">
        <f t="shared" si="133"/>
        <v/>
      </c>
      <c r="L371" s="190" t="str">
        <f t="shared" si="134"/>
        <v/>
      </c>
      <c r="M371" s="214"/>
      <c r="N371" s="214"/>
      <c r="O371" s="189" t="str">
        <f t="shared" si="135"/>
        <v/>
      </c>
      <c r="P371" s="191" t="str">
        <f t="shared" si="122"/>
        <v/>
      </c>
      <c r="Q371" s="192" t="str">
        <f t="shared" si="136"/>
        <v/>
      </c>
      <c r="R371" s="191" t="str">
        <f t="shared" si="123"/>
        <v/>
      </c>
      <c r="S371" s="193" t="str">
        <f t="shared" si="137"/>
        <v/>
      </c>
      <c r="T371" s="194" t="str">
        <f t="shared" si="124"/>
        <v/>
      </c>
      <c r="U371" s="192" t="str">
        <f t="shared" si="138"/>
        <v/>
      </c>
      <c r="V371" s="195" t="str">
        <f t="shared" si="125"/>
        <v/>
      </c>
      <c r="W371" s="195" t="str">
        <f t="shared" si="126"/>
        <v/>
      </c>
      <c r="X371" s="196" t="str">
        <f t="shared" si="139"/>
        <v/>
      </c>
      <c r="Y371" s="191" t="str">
        <f t="shared" si="141"/>
        <v/>
      </c>
      <c r="Z371" s="197" t="str">
        <f t="shared" si="127"/>
        <v/>
      </c>
      <c r="AA371" s="197" t="str">
        <f t="shared" si="128"/>
        <v/>
      </c>
      <c r="AB371" s="213"/>
      <c r="AC371" s="204"/>
    </row>
    <row r="372" spans="1:29" ht="11.4">
      <c r="A372" s="211" t="str">
        <f t="shared" si="140"/>
        <v/>
      </c>
      <c r="B372" s="211"/>
      <c r="C372" s="185"/>
      <c r="D372" s="186" t="str">
        <f t="shared" si="129"/>
        <v/>
      </c>
      <c r="E372" s="186" t="str">
        <f>IF(OR(C372="",C372=Data!$B$3),"",IF(C372=Data!$B$4,"L","S"))</f>
        <v/>
      </c>
      <c r="F372" s="186" t="str">
        <f t="shared" si="130"/>
        <v/>
      </c>
      <c r="G372" s="187" t="str">
        <f t="shared" si="121"/>
        <v/>
      </c>
      <c r="H372" s="188"/>
      <c r="I372" s="189" t="str">
        <f t="shared" si="131"/>
        <v/>
      </c>
      <c r="J372" s="189" t="str">
        <f t="shared" si="132"/>
        <v/>
      </c>
      <c r="K372" s="190" t="str">
        <f t="shared" si="133"/>
        <v/>
      </c>
      <c r="L372" s="190" t="str">
        <f t="shared" si="134"/>
        <v/>
      </c>
      <c r="M372" s="214"/>
      <c r="N372" s="214"/>
      <c r="O372" s="189" t="str">
        <f t="shared" si="135"/>
        <v/>
      </c>
      <c r="P372" s="191" t="str">
        <f t="shared" si="122"/>
        <v/>
      </c>
      <c r="Q372" s="192" t="str">
        <f t="shared" si="136"/>
        <v/>
      </c>
      <c r="R372" s="191" t="str">
        <f t="shared" si="123"/>
        <v/>
      </c>
      <c r="S372" s="193" t="str">
        <f t="shared" si="137"/>
        <v/>
      </c>
      <c r="T372" s="194" t="str">
        <f t="shared" si="124"/>
        <v/>
      </c>
      <c r="U372" s="192" t="str">
        <f t="shared" si="138"/>
        <v/>
      </c>
      <c r="V372" s="195" t="str">
        <f t="shared" si="125"/>
        <v/>
      </c>
      <c r="W372" s="195" t="str">
        <f t="shared" si="126"/>
        <v/>
      </c>
      <c r="X372" s="196" t="str">
        <f t="shared" si="139"/>
        <v/>
      </c>
      <c r="Y372" s="191" t="str">
        <f t="shared" si="141"/>
        <v/>
      </c>
      <c r="Z372" s="197" t="str">
        <f t="shared" si="127"/>
        <v/>
      </c>
      <c r="AA372" s="197" t="str">
        <f t="shared" si="128"/>
        <v/>
      </c>
      <c r="AB372" s="213"/>
      <c r="AC372" s="204"/>
    </row>
    <row r="373" spans="1:29" ht="11.4">
      <c r="A373" s="211" t="str">
        <f t="shared" si="140"/>
        <v/>
      </c>
      <c r="B373" s="211"/>
      <c r="C373" s="185"/>
      <c r="D373" s="186" t="str">
        <f t="shared" si="129"/>
        <v/>
      </c>
      <c r="E373" s="186" t="str">
        <f>IF(OR(C373="",C373=Data!$B$3),"",IF(C373=Data!$B$4,"L","S"))</f>
        <v/>
      </c>
      <c r="F373" s="186" t="str">
        <f t="shared" si="130"/>
        <v/>
      </c>
      <c r="G373" s="187" t="str">
        <f t="shared" si="121"/>
        <v/>
      </c>
      <c r="H373" s="188"/>
      <c r="I373" s="189" t="str">
        <f t="shared" si="131"/>
        <v/>
      </c>
      <c r="J373" s="189" t="str">
        <f t="shared" si="132"/>
        <v/>
      </c>
      <c r="K373" s="190" t="str">
        <f t="shared" si="133"/>
        <v/>
      </c>
      <c r="L373" s="190" t="str">
        <f t="shared" si="134"/>
        <v/>
      </c>
      <c r="M373" s="214"/>
      <c r="N373" s="214"/>
      <c r="O373" s="189" t="str">
        <f t="shared" si="135"/>
        <v/>
      </c>
      <c r="P373" s="191" t="str">
        <f t="shared" si="122"/>
        <v/>
      </c>
      <c r="Q373" s="192" t="str">
        <f t="shared" si="136"/>
        <v/>
      </c>
      <c r="R373" s="191" t="str">
        <f t="shared" si="123"/>
        <v/>
      </c>
      <c r="S373" s="193" t="str">
        <f t="shared" si="137"/>
        <v/>
      </c>
      <c r="T373" s="194" t="str">
        <f t="shared" si="124"/>
        <v/>
      </c>
      <c r="U373" s="192" t="str">
        <f t="shared" si="138"/>
        <v/>
      </c>
      <c r="V373" s="195" t="str">
        <f t="shared" si="125"/>
        <v/>
      </c>
      <c r="W373" s="195" t="str">
        <f t="shared" si="126"/>
        <v/>
      </c>
      <c r="X373" s="196" t="str">
        <f t="shared" si="139"/>
        <v/>
      </c>
      <c r="Y373" s="191" t="str">
        <f t="shared" si="141"/>
        <v/>
      </c>
      <c r="Z373" s="197" t="str">
        <f t="shared" si="127"/>
        <v/>
      </c>
      <c r="AA373" s="197" t="str">
        <f t="shared" si="128"/>
        <v/>
      </c>
      <c r="AB373" s="213"/>
      <c r="AC373" s="204"/>
    </row>
    <row r="374" spans="1:29" ht="11.4">
      <c r="A374" s="211" t="str">
        <f t="shared" si="140"/>
        <v/>
      </c>
      <c r="B374" s="211"/>
      <c r="C374" s="185"/>
      <c r="D374" s="186" t="str">
        <f t="shared" si="129"/>
        <v/>
      </c>
      <c r="E374" s="186" t="str">
        <f>IF(OR(C374="",C374=Data!$B$3),"",IF(C374=Data!$B$4,"L","S"))</f>
        <v/>
      </c>
      <c r="F374" s="186" t="str">
        <f t="shared" si="130"/>
        <v/>
      </c>
      <c r="G374" s="187" t="str">
        <f t="shared" si="121"/>
        <v/>
      </c>
      <c r="H374" s="188"/>
      <c r="I374" s="189" t="str">
        <f t="shared" si="131"/>
        <v/>
      </c>
      <c r="J374" s="189" t="str">
        <f t="shared" si="132"/>
        <v/>
      </c>
      <c r="K374" s="190" t="str">
        <f t="shared" si="133"/>
        <v/>
      </c>
      <c r="L374" s="190" t="str">
        <f t="shared" si="134"/>
        <v/>
      </c>
      <c r="M374" s="214"/>
      <c r="N374" s="214"/>
      <c r="O374" s="189" t="str">
        <f t="shared" si="135"/>
        <v/>
      </c>
      <c r="P374" s="191" t="str">
        <f t="shared" si="122"/>
        <v/>
      </c>
      <c r="Q374" s="192" t="str">
        <f t="shared" si="136"/>
        <v/>
      </c>
      <c r="R374" s="191" t="str">
        <f t="shared" si="123"/>
        <v/>
      </c>
      <c r="S374" s="193" t="str">
        <f t="shared" si="137"/>
        <v/>
      </c>
      <c r="T374" s="194" t="str">
        <f t="shared" si="124"/>
        <v/>
      </c>
      <c r="U374" s="192" t="str">
        <f t="shared" si="138"/>
        <v/>
      </c>
      <c r="V374" s="195" t="str">
        <f t="shared" si="125"/>
        <v/>
      </c>
      <c r="W374" s="195" t="str">
        <f t="shared" si="126"/>
        <v/>
      </c>
      <c r="X374" s="196" t="str">
        <f t="shared" si="139"/>
        <v/>
      </c>
      <c r="Y374" s="191" t="str">
        <f t="shared" si="141"/>
        <v/>
      </c>
      <c r="Z374" s="197" t="str">
        <f t="shared" si="127"/>
        <v/>
      </c>
      <c r="AA374" s="197" t="str">
        <f t="shared" si="128"/>
        <v/>
      </c>
      <c r="AB374" s="213"/>
      <c r="AC374" s="204"/>
    </row>
    <row r="375" spans="1:29" ht="11.4">
      <c r="A375" s="211" t="str">
        <f t="shared" si="140"/>
        <v/>
      </c>
      <c r="B375" s="211"/>
      <c r="C375" s="185"/>
      <c r="D375" s="186" t="str">
        <f t="shared" si="129"/>
        <v/>
      </c>
      <c r="E375" s="186" t="str">
        <f>IF(OR(C375="",C375=Data!$B$3),"",IF(C375=Data!$B$4,"L","S"))</f>
        <v/>
      </c>
      <c r="F375" s="186" t="str">
        <f t="shared" si="130"/>
        <v/>
      </c>
      <c r="G375" s="187" t="str">
        <f t="shared" si="121"/>
        <v/>
      </c>
      <c r="H375" s="188"/>
      <c r="I375" s="189" t="str">
        <f t="shared" si="131"/>
        <v/>
      </c>
      <c r="J375" s="189" t="str">
        <f t="shared" si="132"/>
        <v/>
      </c>
      <c r="K375" s="190" t="str">
        <f t="shared" si="133"/>
        <v/>
      </c>
      <c r="L375" s="190" t="str">
        <f t="shared" si="134"/>
        <v/>
      </c>
      <c r="M375" s="214"/>
      <c r="N375" s="214"/>
      <c r="O375" s="189" t="str">
        <f t="shared" si="135"/>
        <v/>
      </c>
      <c r="P375" s="191" t="str">
        <f t="shared" si="122"/>
        <v/>
      </c>
      <c r="Q375" s="192" t="str">
        <f t="shared" si="136"/>
        <v/>
      </c>
      <c r="R375" s="191" t="str">
        <f t="shared" si="123"/>
        <v/>
      </c>
      <c r="S375" s="193" t="str">
        <f t="shared" si="137"/>
        <v/>
      </c>
      <c r="T375" s="194" t="str">
        <f t="shared" si="124"/>
        <v/>
      </c>
      <c r="U375" s="192" t="str">
        <f t="shared" si="138"/>
        <v/>
      </c>
      <c r="V375" s="195" t="str">
        <f t="shared" si="125"/>
        <v/>
      </c>
      <c r="W375" s="195" t="str">
        <f t="shared" si="126"/>
        <v/>
      </c>
      <c r="X375" s="196" t="str">
        <f t="shared" si="139"/>
        <v/>
      </c>
      <c r="Y375" s="191" t="str">
        <f t="shared" si="141"/>
        <v/>
      </c>
      <c r="Z375" s="197" t="str">
        <f t="shared" si="127"/>
        <v/>
      </c>
      <c r="AA375" s="197" t="str">
        <f t="shared" si="128"/>
        <v/>
      </c>
      <c r="AB375" s="213"/>
      <c r="AC375" s="204"/>
    </row>
    <row r="376" spans="1:29" ht="11.4">
      <c r="A376" s="211" t="str">
        <f t="shared" si="140"/>
        <v/>
      </c>
      <c r="B376" s="211"/>
      <c r="C376" s="185"/>
      <c r="D376" s="186" t="str">
        <f t="shared" si="129"/>
        <v/>
      </c>
      <c r="E376" s="186" t="str">
        <f>IF(OR(C376="",C376=Data!$B$3),"",IF(C376=Data!$B$4,"L","S"))</f>
        <v/>
      </c>
      <c r="F376" s="186" t="str">
        <f t="shared" si="130"/>
        <v/>
      </c>
      <c r="G376" s="187" t="str">
        <f t="shared" si="121"/>
        <v/>
      </c>
      <c r="H376" s="188"/>
      <c r="I376" s="189" t="str">
        <f t="shared" si="131"/>
        <v/>
      </c>
      <c r="J376" s="189" t="str">
        <f t="shared" si="132"/>
        <v/>
      </c>
      <c r="K376" s="190" t="str">
        <f t="shared" si="133"/>
        <v/>
      </c>
      <c r="L376" s="190" t="str">
        <f t="shared" si="134"/>
        <v/>
      </c>
      <c r="M376" s="214"/>
      <c r="N376" s="214"/>
      <c r="O376" s="189" t="str">
        <f t="shared" si="135"/>
        <v/>
      </c>
      <c r="P376" s="191" t="str">
        <f t="shared" si="122"/>
        <v/>
      </c>
      <c r="Q376" s="192" t="str">
        <f t="shared" si="136"/>
        <v/>
      </c>
      <c r="R376" s="191" t="str">
        <f t="shared" si="123"/>
        <v/>
      </c>
      <c r="S376" s="193" t="str">
        <f t="shared" si="137"/>
        <v/>
      </c>
      <c r="T376" s="194" t="str">
        <f t="shared" si="124"/>
        <v/>
      </c>
      <c r="U376" s="192" t="str">
        <f t="shared" si="138"/>
        <v/>
      </c>
      <c r="V376" s="195" t="str">
        <f t="shared" si="125"/>
        <v/>
      </c>
      <c r="W376" s="195" t="str">
        <f t="shared" si="126"/>
        <v/>
      </c>
      <c r="X376" s="196" t="str">
        <f t="shared" si="139"/>
        <v/>
      </c>
      <c r="Y376" s="191" t="str">
        <f t="shared" si="141"/>
        <v/>
      </c>
      <c r="Z376" s="197" t="str">
        <f t="shared" si="127"/>
        <v/>
      </c>
      <c r="AA376" s="197" t="str">
        <f t="shared" si="128"/>
        <v/>
      </c>
      <c r="AB376" s="213"/>
      <c r="AC376" s="204"/>
    </row>
    <row r="377" spans="1:29" ht="11.4">
      <c r="A377" s="211" t="str">
        <f t="shared" si="140"/>
        <v/>
      </c>
      <c r="B377" s="211"/>
      <c r="C377" s="185"/>
      <c r="D377" s="186" t="str">
        <f t="shared" si="129"/>
        <v/>
      </c>
      <c r="E377" s="186" t="str">
        <f>IF(OR(C377="",C377=Data!$B$3),"",IF(C377=Data!$B$4,"L","S"))</f>
        <v/>
      </c>
      <c r="F377" s="186" t="str">
        <f t="shared" si="130"/>
        <v/>
      </c>
      <c r="G377" s="187" t="str">
        <f t="shared" si="121"/>
        <v/>
      </c>
      <c r="H377" s="188"/>
      <c r="I377" s="189" t="str">
        <f t="shared" si="131"/>
        <v/>
      </c>
      <c r="J377" s="189" t="str">
        <f t="shared" si="132"/>
        <v/>
      </c>
      <c r="K377" s="190" t="str">
        <f t="shared" si="133"/>
        <v/>
      </c>
      <c r="L377" s="190" t="str">
        <f t="shared" si="134"/>
        <v/>
      </c>
      <c r="M377" s="214"/>
      <c r="N377" s="214"/>
      <c r="O377" s="189" t="str">
        <f t="shared" si="135"/>
        <v/>
      </c>
      <c r="P377" s="191" t="str">
        <f t="shared" si="122"/>
        <v/>
      </c>
      <c r="Q377" s="192" t="str">
        <f t="shared" si="136"/>
        <v/>
      </c>
      <c r="R377" s="191" t="str">
        <f t="shared" si="123"/>
        <v/>
      </c>
      <c r="S377" s="193" t="str">
        <f t="shared" si="137"/>
        <v/>
      </c>
      <c r="T377" s="194" t="str">
        <f t="shared" si="124"/>
        <v/>
      </c>
      <c r="U377" s="192" t="str">
        <f t="shared" si="138"/>
        <v/>
      </c>
      <c r="V377" s="195" t="str">
        <f t="shared" si="125"/>
        <v/>
      </c>
      <c r="W377" s="195" t="str">
        <f t="shared" si="126"/>
        <v/>
      </c>
      <c r="X377" s="196" t="str">
        <f t="shared" si="139"/>
        <v/>
      </c>
      <c r="Y377" s="191" t="str">
        <f t="shared" si="141"/>
        <v/>
      </c>
      <c r="Z377" s="197" t="str">
        <f t="shared" si="127"/>
        <v/>
      </c>
      <c r="AA377" s="197" t="str">
        <f t="shared" si="128"/>
        <v/>
      </c>
      <c r="AB377" s="213"/>
      <c r="AC377" s="204"/>
    </row>
    <row r="378" spans="1:29" ht="11.4">
      <c r="A378" s="211" t="str">
        <f t="shared" si="140"/>
        <v/>
      </c>
      <c r="B378" s="211"/>
      <c r="C378" s="185"/>
      <c r="D378" s="186" t="str">
        <f t="shared" si="129"/>
        <v/>
      </c>
      <c r="E378" s="186" t="str">
        <f>IF(OR(C378="",C378=Data!$B$3),"",IF(C378=Data!$B$4,"L","S"))</f>
        <v/>
      </c>
      <c r="F378" s="186" t="str">
        <f t="shared" si="130"/>
        <v/>
      </c>
      <c r="G378" s="187" t="str">
        <f t="shared" si="121"/>
        <v/>
      </c>
      <c r="H378" s="188"/>
      <c r="I378" s="189" t="str">
        <f t="shared" si="131"/>
        <v/>
      </c>
      <c r="J378" s="189" t="str">
        <f t="shared" si="132"/>
        <v/>
      </c>
      <c r="K378" s="190" t="str">
        <f t="shared" si="133"/>
        <v/>
      </c>
      <c r="L378" s="190" t="str">
        <f t="shared" si="134"/>
        <v/>
      </c>
      <c r="M378" s="214"/>
      <c r="N378" s="214"/>
      <c r="O378" s="189" t="str">
        <f t="shared" si="135"/>
        <v/>
      </c>
      <c r="P378" s="191" t="str">
        <f t="shared" si="122"/>
        <v/>
      </c>
      <c r="Q378" s="192" t="str">
        <f t="shared" si="136"/>
        <v/>
      </c>
      <c r="R378" s="191" t="str">
        <f t="shared" si="123"/>
        <v/>
      </c>
      <c r="S378" s="193" t="str">
        <f t="shared" si="137"/>
        <v/>
      </c>
      <c r="T378" s="194" t="str">
        <f t="shared" si="124"/>
        <v/>
      </c>
      <c r="U378" s="192" t="str">
        <f t="shared" si="138"/>
        <v/>
      </c>
      <c r="V378" s="195" t="str">
        <f t="shared" si="125"/>
        <v/>
      </c>
      <c r="W378" s="195" t="str">
        <f t="shared" si="126"/>
        <v/>
      </c>
      <c r="X378" s="196" t="str">
        <f t="shared" si="139"/>
        <v/>
      </c>
      <c r="Y378" s="191" t="str">
        <f t="shared" si="141"/>
        <v/>
      </c>
      <c r="Z378" s="197" t="str">
        <f t="shared" si="127"/>
        <v/>
      </c>
      <c r="AA378" s="197" t="str">
        <f t="shared" si="128"/>
        <v/>
      </c>
      <c r="AB378" s="213"/>
      <c r="AC378" s="204"/>
    </row>
    <row r="379" spans="1:29" ht="11.4">
      <c r="A379" s="211" t="str">
        <f t="shared" si="140"/>
        <v/>
      </c>
      <c r="B379" s="211"/>
      <c r="C379" s="185"/>
      <c r="D379" s="186" t="str">
        <f t="shared" si="129"/>
        <v/>
      </c>
      <c r="E379" s="186" t="str">
        <f>IF(OR(C379="",C379=Data!$B$3),"",IF(C379=Data!$B$4,"L","S"))</f>
        <v/>
      </c>
      <c r="F379" s="186" t="str">
        <f t="shared" si="130"/>
        <v/>
      </c>
      <c r="G379" s="187" t="str">
        <f t="shared" si="121"/>
        <v/>
      </c>
      <c r="H379" s="188"/>
      <c r="I379" s="189" t="str">
        <f t="shared" si="131"/>
        <v/>
      </c>
      <c r="J379" s="189" t="str">
        <f t="shared" si="132"/>
        <v/>
      </c>
      <c r="K379" s="190" t="str">
        <f t="shared" si="133"/>
        <v/>
      </c>
      <c r="L379" s="190" t="str">
        <f t="shared" si="134"/>
        <v/>
      </c>
      <c r="M379" s="214"/>
      <c r="N379" s="214"/>
      <c r="O379" s="189" t="str">
        <f t="shared" si="135"/>
        <v/>
      </c>
      <c r="P379" s="191" t="str">
        <f t="shared" si="122"/>
        <v/>
      </c>
      <c r="Q379" s="192" t="str">
        <f t="shared" si="136"/>
        <v/>
      </c>
      <c r="R379" s="191" t="str">
        <f t="shared" si="123"/>
        <v/>
      </c>
      <c r="S379" s="193" t="str">
        <f t="shared" si="137"/>
        <v/>
      </c>
      <c r="T379" s="194" t="str">
        <f t="shared" si="124"/>
        <v/>
      </c>
      <c r="U379" s="192" t="str">
        <f t="shared" si="138"/>
        <v/>
      </c>
      <c r="V379" s="195" t="str">
        <f t="shared" si="125"/>
        <v/>
      </c>
      <c r="W379" s="195" t="str">
        <f t="shared" si="126"/>
        <v/>
      </c>
      <c r="X379" s="196" t="str">
        <f t="shared" si="139"/>
        <v/>
      </c>
      <c r="Y379" s="191" t="str">
        <f t="shared" si="141"/>
        <v/>
      </c>
      <c r="Z379" s="197" t="str">
        <f t="shared" si="127"/>
        <v/>
      </c>
      <c r="AA379" s="197" t="str">
        <f t="shared" si="128"/>
        <v/>
      </c>
      <c r="AB379" s="213"/>
      <c r="AC379" s="204"/>
    </row>
    <row r="380" spans="1:29" ht="11.4">
      <c r="A380" s="211" t="str">
        <f t="shared" si="140"/>
        <v/>
      </c>
      <c r="B380" s="211"/>
      <c r="C380" s="185"/>
      <c r="D380" s="186" t="str">
        <f t="shared" si="129"/>
        <v/>
      </c>
      <c r="E380" s="186" t="str">
        <f>IF(OR(C380="",C380=Data!$B$3),"",IF(C380=Data!$B$4,"L","S"))</f>
        <v/>
      </c>
      <c r="F380" s="186" t="str">
        <f t="shared" si="130"/>
        <v/>
      </c>
      <c r="G380" s="187" t="str">
        <f t="shared" si="121"/>
        <v/>
      </c>
      <c r="H380" s="188"/>
      <c r="I380" s="189" t="str">
        <f t="shared" si="131"/>
        <v/>
      </c>
      <c r="J380" s="189" t="str">
        <f t="shared" si="132"/>
        <v/>
      </c>
      <c r="K380" s="190" t="str">
        <f t="shared" si="133"/>
        <v/>
      </c>
      <c r="L380" s="190" t="str">
        <f t="shared" si="134"/>
        <v/>
      </c>
      <c r="M380" s="214"/>
      <c r="N380" s="214"/>
      <c r="O380" s="189" t="str">
        <f t="shared" si="135"/>
        <v/>
      </c>
      <c r="P380" s="191" t="str">
        <f t="shared" si="122"/>
        <v/>
      </c>
      <c r="Q380" s="192" t="str">
        <f t="shared" si="136"/>
        <v/>
      </c>
      <c r="R380" s="191" t="str">
        <f t="shared" si="123"/>
        <v/>
      </c>
      <c r="S380" s="193" t="str">
        <f t="shared" si="137"/>
        <v/>
      </c>
      <c r="T380" s="194" t="str">
        <f t="shared" si="124"/>
        <v/>
      </c>
      <c r="U380" s="192" t="str">
        <f t="shared" si="138"/>
        <v/>
      </c>
      <c r="V380" s="195" t="str">
        <f t="shared" si="125"/>
        <v/>
      </c>
      <c r="W380" s="195" t="str">
        <f t="shared" si="126"/>
        <v/>
      </c>
      <c r="X380" s="196" t="str">
        <f t="shared" si="139"/>
        <v/>
      </c>
      <c r="Y380" s="191" t="str">
        <f t="shared" si="141"/>
        <v/>
      </c>
      <c r="Z380" s="197" t="str">
        <f t="shared" si="127"/>
        <v/>
      </c>
      <c r="AA380" s="197" t="str">
        <f t="shared" si="128"/>
        <v/>
      </c>
      <c r="AB380" s="213"/>
      <c r="AC380" s="204"/>
    </row>
    <row r="381" spans="1:29" ht="11.4">
      <c r="A381" s="211" t="str">
        <f t="shared" si="140"/>
        <v/>
      </c>
      <c r="B381" s="211"/>
      <c r="C381" s="185"/>
      <c r="D381" s="186" t="str">
        <f t="shared" si="129"/>
        <v/>
      </c>
      <c r="E381" s="186" t="str">
        <f>IF(OR(C381="",C381=Data!$B$3),"",IF(C381=Data!$B$4,"L","S"))</f>
        <v/>
      </c>
      <c r="F381" s="186" t="str">
        <f t="shared" si="130"/>
        <v/>
      </c>
      <c r="G381" s="187" t="str">
        <f t="shared" si="121"/>
        <v/>
      </c>
      <c r="H381" s="188"/>
      <c r="I381" s="189" t="str">
        <f t="shared" si="131"/>
        <v/>
      </c>
      <c r="J381" s="189" t="str">
        <f t="shared" si="132"/>
        <v/>
      </c>
      <c r="K381" s="190" t="str">
        <f t="shared" si="133"/>
        <v/>
      </c>
      <c r="L381" s="190" t="str">
        <f t="shared" si="134"/>
        <v/>
      </c>
      <c r="M381" s="214"/>
      <c r="N381" s="214"/>
      <c r="O381" s="189" t="str">
        <f t="shared" si="135"/>
        <v/>
      </c>
      <c r="P381" s="191" t="str">
        <f t="shared" si="122"/>
        <v/>
      </c>
      <c r="Q381" s="192" t="str">
        <f t="shared" si="136"/>
        <v/>
      </c>
      <c r="R381" s="191" t="str">
        <f t="shared" si="123"/>
        <v/>
      </c>
      <c r="S381" s="193" t="str">
        <f t="shared" si="137"/>
        <v/>
      </c>
      <c r="T381" s="194" t="str">
        <f t="shared" si="124"/>
        <v/>
      </c>
      <c r="U381" s="192" t="str">
        <f t="shared" si="138"/>
        <v/>
      </c>
      <c r="V381" s="195" t="str">
        <f t="shared" si="125"/>
        <v/>
      </c>
      <c r="W381" s="195" t="str">
        <f t="shared" si="126"/>
        <v/>
      </c>
      <c r="X381" s="196" t="str">
        <f t="shared" si="139"/>
        <v/>
      </c>
      <c r="Y381" s="191" t="str">
        <f t="shared" si="141"/>
        <v/>
      </c>
      <c r="Z381" s="197" t="str">
        <f t="shared" si="127"/>
        <v/>
      </c>
      <c r="AA381" s="197" t="str">
        <f t="shared" si="128"/>
        <v/>
      </c>
      <c r="AB381" s="213"/>
      <c r="AC381" s="204"/>
    </row>
    <row r="382" spans="1:29" ht="11.4">
      <c r="A382" s="211" t="str">
        <f t="shared" si="140"/>
        <v/>
      </c>
      <c r="B382" s="211"/>
      <c r="C382" s="185"/>
      <c r="D382" s="186" t="str">
        <f t="shared" si="129"/>
        <v/>
      </c>
      <c r="E382" s="186" t="str">
        <f>IF(OR(C382="",C382=Data!$B$3),"",IF(C382=Data!$B$4,"L","S"))</f>
        <v/>
      </c>
      <c r="F382" s="186" t="str">
        <f t="shared" si="130"/>
        <v/>
      </c>
      <c r="G382" s="187" t="str">
        <f t="shared" si="121"/>
        <v/>
      </c>
      <c r="H382" s="188"/>
      <c r="I382" s="189" t="str">
        <f t="shared" si="131"/>
        <v/>
      </c>
      <c r="J382" s="189" t="str">
        <f t="shared" si="132"/>
        <v/>
      </c>
      <c r="K382" s="190" t="str">
        <f t="shared" si="133"/>
        <v/>
      </c>
      <c r="L382" s="190" t="str">
        <f t="shared" si="134"/>
        <v/>
      </c>
      <c r="M382" s="214"/>
      <c r="N382" s="214"/>
      <c r="O382" s="189" t="str">
        <f t="shared" si="135"/>
        <v/>
      </c>
      <c r="P382" s="191" t="str">
        <f t="shared" si="122"/>
        <v/>
      </c>
      <c r="Q382" s="192" t="str">
        <f t="shared" si="136"/>
        <v/>
      </c>
      <c r="R382" s="191" t="str">
        <f t="shared" si="123"/>
        <v/>
      </c>
      <c r="S382" s="193" t="str">
        <f t="shared" si="137"/>
        <v/>
      </c>
      <c r="T382" s="194" t="str">
        <f t="shared" si="124"/>
        <v/>
      </c>
      <c r="U382" s="192" t="str">
        <f t="shared" si="138"/>
        <v/>
      </c>
      <c r="V382" s="195" t="str">
        <f t="shared" si="125"/>
        <v/>
      </c>
      <c r="W382" s="195" t="str">
        <f t="shared" si="126"/>
        <v/>
      </c>
      <c r="X382" s="196" t="str">
        <f t="shared" si="139"/>
        <v/>
      </c>
      <c r="Y382" s="191" t="str">
        <f t="shared" si="141"/>
        <v/>
      </c>
      <c r="Z382" s="197" t="str">
        <f t="shared" si="127"/>
        <v/>
      </c>
      <c r="AA382" s="197" t="str">
        <f t="shared" si="128"/>
        <v/>
      </c>
      <c r="AB382" s="213"/>
      <c r="AC382" s="204"/>
    </row>
    <row r="383" spans="1:29" ht="11.4">
      <c r="A383" s="211" t="str">
        <f t="shared" si="140"/>
        <v/>
      </c>
      <c r="B383" s="211"/>
      <c r="C383" s="185"/>
      <c r="D383" s="186" t="str">
        <f t="shared" si="129"/>
        <v/>
      </c>
      <c r="E383" s="186" t="str">
        <f>IF(OR(C383="",C383=Data!$B$3),"",IF(C383=Data!$B$4,"L","S"))</f>
        <v/>
      </c>
      <c r="F383" s="186" t="str">
        <f t="shared" si="130"/>
        <v/>
      </c>
      <c r="G383" s="187" t="str">
        <f t="shared" si="121"/>
        <v/>
      </c>
      <c r="H383" s="188"/>
      <c r="I383" s="189" t="str">
        <f t="shared" si="131"/>
        <v/>
      </c>
      <c r="J383" s="189" t="str">
        <f t="shared" si="132"/>
        <v/>
      </c>
      <c r="K383" s="190" t="str">
        <f t="shared" si="133"/>
        <v/>
      </c>
      <c r="L383" s="190" t="str">
        <f t="shared" si="134"/>
        <v/>
      </c>
      <c r="M383" s="214"/>
      <c r="N383" s="214"/>
      <c r="O383" s="189" t="str">
        <f t="shared" si="135"/>
        <v/>
      </c>
      <c r="P383" s="191" t="str">
        <f t="shared" si="122"/>
        <v/>
      </c>
      <c r="Q383" s="192" t="str">
        <f t="shared" si="136"/>
        <v/>
      </c>
      <c r="R383" s="191" t="str">
        <f t="shared" si="123"/>
        <v/>
      </c>
      <c r="S383" s="193" t="str">
        <f t="shared" si="137"/>
        <v/>
      </c>
      <c r="T383" s="194" t="str">
        <f t="shared" si="124"/>
        <v/>
      </c>
      <c r="U383" s="192" t="str">
        <f t="shared" si="138"/>
        <v/>
      </c>
      <c r="V383" s="195" t="str">
        <f t="shared" si="125"/>
        <v/>
      </c>
      <c r="W383" s="195" t="str">
        <f t="shared" si="126"/>
        <v/>
      </c>
      <c r="X383" s="196" t="str">
        <f t="shared" si="139"/>
        <v/>
      </c>
      <c r="Y383" s="191" t="str">
        <f t="shared" si="141"/>
        <v/>
      </c>
      <c r="Z383" s="197" t="str">
        <f t="shared" si="127"/>
        <v/>
      </c>
      <c r="AA383" s="197" t="str">
        <f t="shared" si="128"/>
        <v/>
      </c>
      <c r="AB383" s="213"/>
      <c r="AC383" s="204"/>
    </row>
    <row r="384" spans="1:29" ht="11.4">
      <c r="A384" s="211" t="str">
        <f t="shared" si="140"/>
        <v/>
      </c>
      <c r="B384" s="211"/>
      <c r="C384" s="185"/>
      <c r="D384" s="186" t="str">
        <f t="shared" si="129"/>
        <v/>
      </c>
      <c r="E384" s="186" t="str">
        <f>IF(OR(C384="",C384=Data!$B$3),"",IF(C384=Data!$B$4,"L","S"))</f>
        <v/>
      </c>
      <c r="F384" s="186" t="str">
        <f t="shared" si="130"/>
        <v/>
      </c>
      <c r="G384" s="187" t="str">
        <f t="shared" si="121"/>
        <v/>
      </c>
      <c r="H384" s="188"/>
      <c r="I384" s="189" t="str">
        <f t="shared" si="131"/>
        <v/>
      </c>
      <c r="J384" s="189" t="str">
        <f t="shared" si="132"/>
        <v/>
      </c>
      <c r="K384" s="190" t="str">
        <f t="shared" si="133"/>
        <v/>
      </c>
      <c r="L384" s="190" t="str">
        <f t="shared" si="134"/>
        <v/>
      </c>
      <c r="M384" s="214"/>
      <c r="N384" s="214"/>
      <c r="O384" s="189" t="str">
        <f t="shared" si="135"/>
        <v/>
      </c>
      <c r="P384" s="191" t="str">
        <f t="shared" si="122"/>
        <v/>
      </c>
      <c r="Q384" s="192" t="str">
        <f t="shared" si="136"/>
        <v/>
      </c>
      <c r="R384" s="191" t="str">
        <f t="shared" si="123"/>
        <v/>
      </c>
      <c r="S384" s="193" t="str">
        <f t="shared" si="137"/>
        <v/>
      </c>
      <c r="T384" s="194" t="str">
        <f t="shared" si="124"/>
        <v/>
      </c>
      <c r="U384" s="192" t="str">
        <f t="shared" si="138"/>
        <v/>
      </c>
      <c r="V384" s="195" t="str">
        <f t="shared" si="125"/>
        <v/>
      </c>
      <c r="W384" s="195" t="str">
        <f t="shared" si="126"/>
        <v/>
      </c>
      <c r="X384" s="196" t="str">
        <f t="shared" si="139"/>
        <v/>
      </c>
      <c r="Y384" s="191" t="str">
        <f t="shared" si="141"/>
        <v/>
      </c>
      <c r="Z384" s="197" t="str">
        <f t="shared" si="127"/>
        <v/>
      </c>
      <c r="AA384" s="197" t="str">
        <f t="shared" si="128"/>
        <v/>
      </c>
      <c r="AB384" s="213"/>
      <c r="AC384" s="204"/>
    </row>
    <row r="385" spans="1:29" ht="11.4">
      <c r="A385" s="211" t="str">
        <f t="shared" si="140"/>
        <v/>
      </c>
      <c r="B385" s="211"/>
      <c r="C385" s="185"/>
      <c r="D385" s="186" t="str">
        <f t="shared" si="129"/>
        <v/>
      </c>
      <c r="E385" s="186" t="str">
        <f>IF(OR(C385="",C385=Data!$B$3),"",IF(C385=Data!$B$4,"L","S"))</f>
        <v/>
      </c>
      <c r="F385" s="186" t="str">
        <f t="shared" si="130"/>
        <v/>
      </c>
      <c r="G385" s="187" t="str">
        <f t="shared" si="121"/>
        <v/>
      </c>
      <c r="H385" s="188"/>
      <c r="I385" s="189" t="str">
        <f t="shared" si="131"/>
        <v/>
      </c>
      <c r="J385" s="189" t="str">
        <f t="shared" si="132"/>
        <v/>
      </c>
      <c r="K385" s="190" t="str">
        <f t="shared" si="133"/>
        <v/>
      </c>
      <c r="L385" s="190" t="str">
        <f t="shared" si="134"/>
        <v/>
      </c>
      <c r="M385" s="214"/>
      <c r="N385" s="214"/>
      <c r="O385" s="189" t="str">
        <f t="shared" si="135"/>
        <v/>
      </c>
      <c r="P385" s="191" t="str">
        <f t="shared" si="122"/>
        <v/>
      </c>
      <c r="Q385" s="192" t="str">
        <f t="shared" si="136"/>
        <v/>
      </c>
      <c r="R385" s="191" t="str">
        <f t="shared" si="123"/>
        <v/>
      </c>
      <c r="S385" s="193" t="str">
        <f t="shared" si="137"/>
        <v/>
      </c>
      <c r="T385" s="194" t="str">
        <f t="shared" si="124"/>
        <v/>
      </c>
      <c r="U385" s="192" t="str">
        <f t="shared" si="138"/>
        <v/>
      </c>
      <c r="V385" s="195" t="str">
        <f t="shared" si="125"/>
        <v/>
      </c>
      <c r="W385" s="195" t="str">
        <f t="shared" si="126"/>
        <v/>
      </c>
      <c r="X385" s="196" t="str">
        <f t="shared" si="139"/>
        <v/>
      </c>
      <c r="Y385" s="191" t="str">
        <f t="shared" si="141"/>
        <v/>
      </c>
      <c r="Z385" s="197" t="str">
        <f t="shared" si="127"/>
        <v/>
      </c>
      <c r="AA385" s="197" t="str">
        <f t="shared" si="128"/>
        <v/>
      </c>
      <c r="AB385" s="213"/>
      <c r="AC385" s="204"/>
    </row>
    <row r="386" spans="1:29" ht="11.4">
      <c r="A386" s="211" t="str">
        <f t="shared" si="140"/>
        <v/>
      </c>
      <c r="B386" s="211"/>
      <c r="C386" s="185"/>
      <c r="D386" s="186" t="str">
        <f t="shared" si="129"/>
        <v/>
      </c>
      <c r="E386" s="186" t="str">
        <f>IF(OR(C386="",C386=Data!$B$3),"",IF(C386=Data!$B$4,"L","S"))</f>
        <v/>
      </c>
      <c r="F386" s="186" t="str">
        <f t="shared" si="130"/>
        <v/>
      </c>
      <c r="G386" s="187" t="str">
        <f t="shared" si="121"/>
        <v/>
      </c>
      <c r="H386" s="188"/>
      <c r="I386" s="189" t="str">
        <f t="shared" si="131"/>
        <v/>
      </c>
      <c r="J386" s="189" t="str">
        <f t="shared" si="132"/>
        <v/>
      </c>
      <c r="K386" s="190" t="str">
        <f t="shared" si="133"/>
        <v/>
      </c>
      <c r="L386" s="190" t="str">
        <f t="shared" si="134"/>
        <v/>
      </c>
      <c r="M386" s="214"/>
      <c r="N386" s="214"/>
      <c r="O386" s="189" t="str">
        <f t="shared" si="135"/>
        <v/>
      </c>
      <c r="P386" s="191" t="str">
        <f t="shared" si="122"/>
        <v/>
      </c>
      <c r="Q386" s="192" t="str">
        <f t="shared" si="136"/>
        <v/>
      </c>
      <c r="R386" s="191" t="str">
        <f t="shared" si="123"/>
        <v/>
      </c>
      <c r="S386" s="193" t="str">
        <f t="shared" si="137"/>
        <v/>
      </c>
      <c r="T386" s="194" t="str">
        <f t="shared" si="124"/>
        <v/>
      </c>
      <c r="U386" s="192" t="str">
        <f t="shared" si="138"/>
        <v/>
      </c>
      <c r="V386" s="195" t="str">
        <f t="shared" si="125"/>
        <v/>
      </c>
      <c r="W386" s="195" t="str">
        <f t="shared" si="126"/>
        <v/>
      </c>
      <c r="X386" s="196" t="str">
        <f t="shared" si="139"/>
        <v/>
      </c>
      <c r="Y386" s="191" t="str">
        <f t="shared" si="141"/>
        <v/>
      </c>
      <c r="Z386" s="197" t="str">
        <f t="shared" si="127"/>
        <v/>
      </c>
      <c r="AA386" s="197" t="str">
        <f t="shared" si="128"/>
        <v/>
      </c>
      <c r="AB386" s="213"/>
      <c r="AC386" s="204"/>
    </row>
    <row r="387" spans="1:29" ht="11.4">
      <c r="A387" s="211" t="str">
        <f t="shared" si="140"/>
        <v/>
      </c>
      <c r="B387" s="211"/>
      <c r="C387" s="185"/>
      <c r="D387" s="186" t="str">
        <f t="shared" si="129"/>
        <v/>
      </c>
      <c r="E387" s="186" t="str">
        <f>IF(OR(C387="",C387=Data!$B$3),"",IF(C387=Data!$B$4,"L","S"))</f>
        <v/>
      </c>
      <c r="F387" s="186" t="str">
        <f t="shared" si="130"/>
        <v/>
      </c>
      <c r="G387" s="187" t="str">
        <f t="shared" si="121"/>
        <v/>
      </c>
      <c r="H387" s="188"/>
      <c r="I387" s="189" t="str">
        <f t="shared" si="131"/>
        <v/>
      </c>
      <c r="J387" s="189" t="str">
        <f t="shared" si="132"/>
        <v/>
      </c>
      <c r="K387" s="190" t="str">
        <f t="shared" si="133"/>
        <v/>
      </c>
      <c r="L387" s="190" t="str">
        <f t="shared" si="134"/>
        <v/>
      </c>
      <c r="M387" s="214"/>
      <c r="N387" s="214"/>
      <c r="O387" s="189" t="str">
        <f t="shared" si="135"/>
        <v/>
      </c>
      <c r="P387" s="191" t="str">
        <f t="shared" si="122"/>
        <v/>
      </c>
      <c r="Q387" s="192" t="str">
        <f t="shared" si="136"/>
        <v/>
      </c>
      <c r="R387" s="191" t="str">
        <f t="shared" si="123"/>
        <v/>
      </c>
      <c r="S387" s="193" t="str">
        <f t="shared" si="137"/>
        <v/>
      </c>
      <c r="T387" s="194" t="str">
        <f t="shared" si="124"/>
        <v/>
      </c>
      <c r="U387" s="192" t="str">
        <f t="shared" si="138"/>
        <v/>
      </c>
      <c r="V387" s="195" t="str">
        <f t="shared" si="125"/>
        <v/>
      </c>
      <c r="W387" s="195" t="str">
        <f t="shared" si="126"/>
        <v/>
      </c>
      <c r="X387" s="196" t="str">
        <f t="shared" si="139"/>
        <v/>
      </c>
      <c r="Y387" s="191" t="str">
        <f t="shared" si="141"/>
        <v/>
      </c>
      <c r="Z387" s="197" t="str">
        <f t="shared" si="127"/>
        <v/>
      </c>
      <c r="AA387" s="197" t="str">
        <f t="shared" si="128"/>
        <v/>
      </c>
      <c r="AB387" s="213"/>
      <c r="AC387" s="204"/>
    </row>
    <row r="388" spans="1:29" ht="11.4">
      <c r="A388" s="211" t="str">
        <f t="shared" si="140"/>
        <v/>
      </c>
      <c r="B388" s="211"/>
      <c r="C388" s="185"/>
      <c r="D388" s="186" t="str">
        <f t="shared" si="129"/>
        <v/>
      </c>
      <c r="E388" s="186" t="str">
        <f>IF(OR(C388="",C388=Data!$B$3),"",IF(C388=Data!$B$4,"L","S"))</f>
        <v/>
      </c>
      <c r="F388" s="186" t="str">
        <f t="shared" si="130"/>
        <v/>
      </c>
      <c r="G388" s="187" t="str">
        <f t="shared" si="121"/>
        <v/>
      </c>
      <c r="H388" s="188"/>
      <c r="I388" s="189" t="str">
        <f t="shared" si="131"/>
        <v/>
      </c>
      <c r="J388" s="189" t="str">
        <f t="shared" si="132"/>
        <v/>
      </c>
      <c r="K388" s="190" t="str">
        <f t="shared" si="133"/>
        <v/>
      </c>
      <c r="L388" s="190" t="str">
        <f t="shared" si="134"/>
        <v/>
      </c>
      <c r="M388" s="214"/>
      <c r="N388" s="214"/>
      <c r="O388" s="189" t="str">
        <f t="shared" si="135"/>
        <v/>
      </c>
      <c r="P388" s="191" t="str">
        <f t="shared" si="122"/>
        <v/>
      </c>
      <c r="Q388" s="192" t="str">
        <f t="shared" si="136"/>
        <v/>
      </c>
      <c r="R388" s="191" t="str">
        <f t="shared" si="123"/>
        <v/>
      </c>
      <c r="S388" s="193" t="str">
        <f t="shared" si="137"/>
        <v/>
      </c>
      <c r="T388" s="194" t="str">
        <f t="shared" si="124"/>
        <v/>
      </c>
      <c r="U388" s="192" t="str">
        <f t="shared" si="138"/>
        <v/>
      </c>
      <c r="V388" s="195" t="str">
        <f t="shared" si="125"/>
        <v/>
      </c>
      <c r="W388" s="195" t="str">
        <f t="shared" si="126"/>
        <v/>
      </c>
      <c r="X388" s="196" t="str">
        <f t="shared" si="139"/>
        <v/>
      </c>
      <c r="Y388" s="191" t="str">
        <f t="shared" si="141"/>
        <v/>
      </c>
      <c r="Z388" s="197" t="str">
        <f t="shared" si="127"/>
        <v/>
      </c>
      <c r="AA388" s="197" t="str">
        <f t="shared" si="128"/>
        <v/>
      </c>
      <c r="AB388" s="213"/>
      <c r="AC388" s="204"/>
    </row>
    <row r="389" spans="1:29" ht="11.4">
      <c r="A389" s="211" t="str">
        <f t="shared" si="140"/>
        <v/>
      </c>
      <c r="B389" s="211"/>
      <c r="C389" s="185"/>
      <c r="D389" s="186" t="str">
        <f t="shared" si="129"/>
        <v/>
      </c>
      <c r="E389" s="186" t="str">
        <f>IF(OR(C389="",C389=Data!$B$3),"",IF(C389=Data!$B$4,"L","S"))</f>
        <v/>
      </c>
      <c r="F389" s="186" t="str">
        <f t="shared" si="130"/>
        <v/>
      </c>
      <c r="G389" s="187" t="str">
        <f t="shared" si="121"/>
        <v/>
      </c>
      <c r="H389" s="188"/>
      <c r="I389" s="189" t="str">
        <f t="shared" si="131"/>
        <v/>
      </c>
      <c r="J389" s="189" t="str">
        <f t="shared" si="132"/>
        <v/>
      </c>
      <c r="K389" s="190" t="str">
        <f t="shared" si="133"/>
        <v/>
      </c>
      <c r="L389" s="190" t="str">
        <f t="shared" si="134"/>
        <v/>
      </c>
      <c r="M389" s="214"/>
      <c r="N389" s="214"/>
      <c r="O389" s="189" t="str">
        <f t="shared" si="135"/>
        <v/>
      </c>
      <c r="P389" s="191" t="str">
        <f t="shared" si="122"/>
        <v/>
      </c>
      <c r="Q389" s="192" t="str">
        <f t="shared" si="136"/>
        <v/>
      </c>
      <c r="R389" s="191" t="str">
        <f t="shared" si="123"/>
        <v/>
      </c>
      <c r="S389" s="193" t="str">
        <f t="shared" si="137"/>
        <v/>
      </c>
      <c r="T389" s="194" t="str">
        <f t="shared" si="124"/>
        <v/>
      </c>
      <c r="U389" s="192" t="str">
        <f t="shared" si="138"/>
        <v/>
      </c>
      <c r="V389" s="195" t="str">
        <f t="shared" si="125"/>
        <v/>
      </c>
      <c r="W389" s="195" t="str">
        <f t="shared" si="126"/>
        <v/>
      </c>
      <c r="X389" s="196" t="str">
        <f t="shared" si="139"/>
        <v/>
      </c>
      <c r="Y389" s="191" t="str">
        <f t="shared" si="141"/>
        <v/>
      </c>
      <c r="Z389" s="197" t="str">
        <f t="shared" si="127"/>
        <v/>
      </c>
      <c r="AA389" s="197" t="str">
        <f t="shared" si="128"/>
        <v/>
      </c>
      <c r="AB389" s="213"/>
      <c r="AC389" s="204"/>
    </row>
    <row r="390" spans="1:29" ht="11.4">
      <c r="A390" s="211" t="str">
        <f t="shared" si="140"/>
        <v/>
      </c>
      <c r="B390" s="211"/>
      <c r="C390" s="185"/>
      <c r="D390" s="186" t="str">
        <f t="shared" si="129"/>
        <v/>
      </c>
      <c r="E390" s="186" t="str">
        <f>IF(OR(C390="",C390=Data!$B$3),"",IF(C390=Data!$B$4,"L","S"))</f>
        <v/>
      </c>
      <c r="F390" s="186" t="str">
        <f t="shared" si="130"/>
        <v/>
      </c>
      <c r="G390" s="187" t="str">
        <f t="shared" si="121"/>
        <v/>
      </c>
      <c r="H390" s="188"/>
      <c r="I390" s="189" t="str">
        <f t="shared" si="131"/>
        <v/>
      </c>
      <c r="J390" s="189" t="str">
        <f t="shared" si="132"/>
        <v/>
      </c>
      <c r="K390" s="190" t="str">
        <f t="shared" si="133"/>
        <v/>
      </c>
      <c r="L390" s="190" t="str">
        <f t="shared" si="134"/>
        <v/>
      </c>
      <c r="M390" s="214"/>
      <c r="N390" s="214"/>
      <c r="O390" s="189" t="str">
        <f t="shared" si="135"/>
        <v/>
      </c>
      <c r="P390" s="191" t="str">
        <f t="shared" si="122"/>
        <v/>
      </c>
      <c r="Q390" s="192" t="str">
        <f t="shared" si="136"/>
        <v/>
      </c>
      <c r="R390" s="191" t="str">
        <f t="shared" si="123"/>
        <v/>
      </c>
      <c r="S390" s="193" t="str">
        <f t="shared" si="137"/>
        <v/>
      </c>
      <c r="T390" s="194" t="str">
        <f t="shared" si="124"/>
        <v/>
      </c>
      <c r="U390" s="192" t="str">
        <f t="shared" si="138"/>
        <v/>
      </c>
      <c r="V390" s="195" t="str">
        <f t="shared" si="125"/>
        <v/>
      </c>
      <c r="W390" s="195" t="str">
        <f t="shared" si="126"/>
        <v/>
      </c>
      <c r="X390" s="196" t="str">
        <f t="shared" si="139"/>
        <v/>
      </c>
      <c r="Y390" s="191" t="str">
        <f t="shared" si="141"/>
        <v/>
      </c>
      <c r="Z390" s="197" t="str">
        <f t="shared" si="127"/>
        <v/>
      </c>
      <c r="AA390" s="197" t="str">
        <f t="shared" si="128"/>
        <v/>
      </c>
      <c r="AB390" s="213"/>
      <c r="AC390" s="204"/>
    </row>
    <row r="391" spans="1:29" ht="11.4">
      <c r="A391" s="211" t="str">
        <f t="shared" si="140"/>
        <v/>
      </c>
      <c r="B391" s="211"/>
      <c r="C391" s="185"/>
      <c r="D391" s="186" t="str">
        <f t="shared" si="129"/>
        <v/>
      </c>
      <c r="E391" s="186" t="str">
        <f>IF(OR(C391="",C391=Data!$B$3),"",IF(C391=Data!$B$4,"L","S"))</f>
        <v/>
      </c>
      <c r="F391" s="186" t="str">
        <f t="shared" si="130"/>
        <v/>
      </c>
      <c r="G391" s="187" t="str">
        <f t="shared" si="121"/>
        <v/>
      </c>
      <c r="H391" s="188"/>
      <c r="I391" s="189" t="str">
        <f t="shared" si="131"/>
        <v/>
      </c>
      <c r="J391" s="189" t="str">
        <f t="shared" si="132"/>
        <v/>
      </c>
      <c r="K391" s="190" t="str">
        <f t="shared" si="133"/>
        <v/>
      </c>
      <c r="L391" s="190" t="str">
        <f t="shared" si="134"/>
        <v/>
      </c>
      <c r="M391" s="214"/>
      <c r="N391" s="214"/>
      <c r="O391" s="189" t="str">
        <f t="shared" si="135"/>
        <v/>
      </c>
      <c r="P391" s="191" t="str">
        <f t="shared" si="122"/>
        <v/>
      </c>
      <c r="Q391" s="192" t="str">
        <f t="shared" si="136"/>
        <v/>
      </c>
      <c r="R391" s="191" t="str">
        <f t="shared" si="123"/>
        <v/>
      </c>
      <c r="S391" s="193" t="str">
        <f t="shared" si="137"/>
        <v/>
      </c>
      <c r="T391" s="194" t="str">
        <f t="shared" si="124"/>
        <v/>
      </c>
      <c r="U391" s="192" t="str">
        <f t="shared" si="138"/>
        <v/>
      </c>
      <c r="V391" s="195" t="str">
        <f t="shared" si="125"/>
        <v/>
      </c>
      <c r="W391" s="195" t="str">
        <f t="shared" si="126"/>
        <v/>
      </c>
      <c r="X391" s="196" t="str">
        <f t="shared" si="139"/>
        <v/>
      </c>
      <c r="Y391" s="191" t="str">
        <f t="shared" si="141"/>
        <v/>
      </c>
      <c r="Z391" s="197" t="str">
        <f t="shared" si="127"/>
        <v/>
      </c>
      <c r="AA391" s="197" t="str">
        <f t="shared" si="128"/>
        <v/>
      </c>
      <c r="AB391" s="213"/>
      <c r="AC391" s="204"/>
    </row>
    <row r="392" spans="1:29" ht="11.4">
      <c r="A392" s="211" t="str">
        <f t="shared" si="140"/>
        <v/>
      </c>
      <c r="B392" s="211"/>
      <c r="C392" s="185"/>
      <c r="D392" s="186" t="str">
        <f t="shared" si="129"/>
        <v/>
      </c>
      <c r="E392" s="186" t="str">
        <f>IF(OR(C392="",C392=Data!$B$3),"",IF(C392=Data!$B$4,"L","S"))</f>
        <v/>
      </c>
      <c r="F392" s="186" t="str">
        <f t="shared" si="130"/>
        <v/>
      </c>
      <c r="G392" s="187" t="str">
        <f t="shared" si="121"/>
        <v/>
      </c>
      <c r="H392" s="188"/>
      <c r="I392" s="189" t="str">
        <f t="shared" si="131"/>
        <v/>
      </c>
      <c r="J392" s="189" t="str">
        <f t="shared" si="132"/>
        <v/>
      </c>
      <c r="K392" s="190" t="str">
        <f t="shared" si="133"/>
        <v/>
      </c>
      <c r="L392" s="190" t="str">
        <f t="shared" si="134"/>
        <v/>
      </c>
      <c r="M392" s="214"/>
      <c r="N392" s="214"/>
      <c r="O392" s="189" t="str">
        <f t="shared" si="135"/>
        <v/>
      </c>
      <c r="P392" s="191" t="str">
        <f t="shared" si="122"/>
        <v/>
      </c>
      <c r="Q392" s="192" t="str">
        <f t="shared" si="136"/>
        <v/>
      </c>
      <c r="R392" s="191" t="str">
        <f t="shared" si="123"/>
        <v/>
      </c>
      <c r="S392" s="193" t="str">
        <f t="shared" si="137"/>
        <v/>
      </c>
      <c r="T392" s="194" t="str">
        <f t="shared" si="124"/>
        <v/>
      </c>
      <c r="U392" s="192" t="str">
        <f t="shared" si="138"/>
        <v/>
      </c>
      <c r="V392" s="195" t="str">
        <f t="shared" si="125"/>
        <v/>
      </c>
      <c r="W392" s="195" t="str">
        <f t="shared" si="126"/>
        <v/>
      </c>
      <c r="X392" s="196" t="str">
        <f t="shared" si="139"/>
        <v/>
      </c>
      <c r="Y392" s="191" t="str">
        <f t="shared" si="141"/>
        <v/>
      </c>
      <c r="Z392" s="197" t="str">
        <f t="shared" si="127"/>
        <v/>
      </c>
      <c r="AA392" s="197" t="str">
        <f t="shared" si="128"/>
        <v/>
      </c>
      <c r="AB392" s="213"/>
      <c r="AC392" s="204"/>
    </row>
    <row r="393" spans="1:29" ht="11.4">
      <c r="A393" s="211" t="str">
        <f t="shared" si="140"/>
        <v/>
      </c>
      <c r="B393" s="211"/>
      <c r="C393" s="185"/>
      <c r="D393" s="186" t="str">
        <f t="shared" si="129"/>
        <v/>
      </c>
      <c r="E393" s="186" t="str">
        <f>IF(OR(C393="",C393=Data!$B$3),"",IF(C393=Data!$B$4,"L","S"))</f>
        <v/>
      </c>
      <c r="F393" s="186" t="str">
        <f t="shared" si="130"/>
        <v/>
      </c>
      <c r="G393" s="187" t="str">
        <f t="shared" si="121"/>
        <v/>
      </c>
      <c r="H393" s="188"/>
      <c r="I393" s="189" t="str">
        <f t="shared" si="131"/>
        <v/>
      </c>
      <c r="J393" s="189" t="str">
        <f t="shared" si="132"/>
        <v/>
      </c>
      <c r="K393" s="190" t="str">
        <f t="shared" si="133"/>
        <v/>
      </c>
      <c r="L393" s="190" t="str">
        <f t="shared" si="134"/>
        <v/>
      </c>
      <c r="M393" s="214"/>
      <c r="N393" s="214"/>
      <c r="O393" s="189" t="str">
        <f t="shared" si="135"/>
        <v/>
      </c>
      <c r="P393" s="191" t="str">
        <f t="shared" si="122"/>
        <v/>
      </c>
      <c r="Q393" s="192" t="str">
        <f t="shared" si="136"/>
        <v/>
      </c>
      <c r="R393" s="191" t="str">
        <f t="shared" si="123"/>
        <v/>
      </c>
      <c r="S393" s="193" t="str">
        <f t="shared" si="137"/>
        <v/>
      </c>
      <c r="T393" s="194" t="str">
        <f t="shared" si="124"/>
        <v/>
      </c>
      <c r="U393" s="192" t="str">
        <f t="shared" si="138"/>
        <v/>
      </c>
      <c r="V393" s="195" t="str">
        <f t="shared" si="125"/>
        <v/>
      </c>
      <c r="W393" s="195" t="str">
        <f t="shared" si="126"/>
        <v/>
      </c>
      <c r="X393" s="196" t="str">
        <f t="shared" si="139"/>
        <v/>
      </c>
      <c r="Y393" s="191" t="str">
        <f t="shared" si="141"/>
        <v/>
      </c>
      <c r="Z393" s="197" t="str">
        <f t="shared" si="127"/>
        <v/>
      </c>
      <c r="AA393" s="197" t="str">
        <f t="shared" si="128"/>
        <v/>
      </c>
      <c r="AB393" s="213"/>
      <c r="AC393" s="204"/>
    </row>
    <row r="394" spans="1:29" ht="11.4">
      <c r="A394" s="211" t="str">
        <f t="shared" si="140"/>
        <v/>
      </c>
      <c r="B394" s="211"/>
      <c r="C394" s="185"/>
      <c r="D394" s="186" t="str">
        <f t="shared" si="129"/>
        <v/>
      </c>
      <c r="E394" s="186" t="str">
        <f>IF(OR(C394="",C394=Data!$B$3),"",IF(C394=Data!$B$4,"L","S"))</f>
        <v/>
      </c>
      <c r="F394" s="186" t="str">
        <f t="shared" si="130"/>
        <v/>
      </c>
      <c r="G394" s="187" t="str">
        <f t="shared" si="121"/>
        <v/>
      </c>
      <c r="H394" s="188"/>
      <c r="I394" s="189" t="str">
        <f t="shared" si="131"/>
        <v/>
      </c>
      <c r="J394" s="189" t="str">
        <f t="shared" si="132"/>
        <v/>
      </c>
      <c r="K394" s="190" t="str">
        <f t="shared" si="133"/>
        <v/>
      </c>
      <c r="L394" s="190" t="str">
        <f t="shared" si="134"/>
        <v/>
      </c>
      <c r="M394" s="214"/>
      <c r="N394" s="214"/>
      <c r="O394" s="189" t="str">
        <f t="shared" si="135"/>
        <v/>
      </c>
      <c r="P394" s="191" t="str">
        <f t="shared" si="122"/>
        <v/>
      </c>
      <c r="Q394" s="192" t="str">
        <f t="shared" si="136"/>
        <v/>
      </c>
      <c r="R394" s="191" t="str">
        <f t="shared" si="123"/>
        <v/>
      </c>
      <c r="S394" s="193" t="str">
        <f t="shared" si="137"/>
        <v/>
      </c>
      <c r="T394" s="194" t="str">
        <f t="shared" si="124"/>
        <v/>
      </c>
      <c r="U394" s="192" t="str">
        <f t="shared" si="138"/>
        <v/>
      </c>
      <c r="V394" s="195" t="str">
        <f t="shared" si="125"/>
        <v/>
      </c>
      <c r="W394" s="195" t="str">
        <f t="shared" si="126"/>
        <v/>
      </c>
      <c r="X394" s="196" t="str">
        <f t="shared" si="139"/>
        <v/>
      </c>
      <c r="Y394" s="191" t="str">
        <f t="shared" si="141"/>
        <v/>
      </c>
      <c r="Z394" s="197" t="str">
        <f t="shared" si="127"/>
        <v/>
      </c>
      <c r="AA394" s="197" t="str">
        <f t="shared" si="128"/>
        <v/>
      </c>
      <c r="AB394" s="213"/>
      <c r="AC394" s="204"/>
    </row>
    <row r="395" spans="1:29" ht="11.4">
      <c r="A395" s="211" t="str">
        <f t="shared" si="140"/>
        <v/>
      </c>
      <c r="B395" s="211"/>
      <c r="C395" s="185"/>
      <c r="D395" s="186" t="str">
        <f t="shared" si="129"/>
        <v/>
      </c>
      <c r="E395" s="186" t="str">
        <f>IF(OR(C395="",C395=Data!$B$3),"",IF(C395=Data!$B$4,"L","S"))</f>
        <v/>
      </c>
      <c r="F395" s="186" t="str">
        <f t="shared" si="130"/>
        <v/>
      </c>
      <c r="G395" s="187" t="str">
        <f t="shared" si="121"/>
        <v/>
      </c>
      <c r="H395" s="188"/>
      <c r="I395" s="189" t="str">
        <f t="shared" si="131"/>
        <v/>
      </c>
      <c r="J395" s="189" t="str">
        <f t="shared" si="132"/>
        <v/>
      </c>
      <c r="K395" s="190" t="str">
        <f t="shared" si="133"/>
        <v/>
      </c>
      <c r="L395" s="190" t="str">
        <f t="shared" si="134"/>
        <v/>
      </c>
      <c r="M395" s="214"/>
      <c r="N395" s="214"/>
      <c r="O395" s="189" t="str">
        <f t="shared" si="135"/>
        <v/>
      </c>
      <c r="P395" s="191" t="str">
        <f t="shared" si="122"/>
        <v/>
      </c>
      <c r="Q395" s="192" t="str">
        <f t="shared" si="136"/>
        <v/>
      </c>
      <c r="R395" s="191" t="str">
        <f t="shared" si="123"/>
        <v/>
      </c>
      <c r="S395" s="193" t="str">
        <f t="shared" si="137"/>
        <v/>
      </c>
      <c r="T395" s="194" t="str">
        <f t="shared" si="124"/>
        <v/>
      </c>
      <c r="U395" s="192" t="str">
        <f t="shared" si="138"/>
        <v/>
      </c>
      <c r="V395" s="195" t="str">
        <f t="shared" si="125"/>
        <v/>
      </c>
      <c r="W395" s="195" t="str">
        <f t="shared" si="126"/>
        <v/>
      </c>
      <c r="X395" s="196" t="str">
        <f t="shared" si="139"/>
        <v/>
      </c>
      <c r="Y395" s="191" t="str">
        <f t="shared" si="141"/>
        <v/>
      </c>
      <c r="Z395" s="197" t="str">
        <f t="shared" si="127"/>
        <v/>
      </c>
      <c r="AA395" s="197" t="str">
        <f t="shared" si="128"/>
        <v/>
      </c>
      <c r="AB395" s="213"/>
      <c r="AC395" s="204"/>
    </row>
    <row r="396" spans="1:29" ht="11.4">
      <c r="A396" s="211" t="str">
        <f t="shared" si="140"/>
        <v/>
      </c>
      <c r="B396" s="211"/>
      <c r="C396" s="185"/>
      <c r="D396" s="186" t="str">
        <f t="shared" si="129"/>
        <v/>
      </c>
      <c r="E396" s="186" t="str">
        <f>IF(OR(C396="",C396=Data!$B$3),"",IF(C396=Data!$B$4,"L","S"))</f>
        <v/>
      </c>
      <c r="F396" s="186" t="str">
        <f t="shared" si="130"/>
        <v/>
      </c>
      <c r="G396" s="187" t="str">
        <f t="shared" ref="G396:G459" si="142">IF(A396="","",$D$3)</f>
        <v/>
      </c>
      <c r="H396" s="188"/>
      <c r="I396" s="189" t="str">
        <f t="shared" si="131"/>
        <v/>
      </c>
      <c r="J396" s="189" t="str">
        <f t="shared" si="132"/>
        <v/>
      </c>
      <c r="K396" s="190" t="str">
        <f t="shared" si="133"/>
        <v/>
      </c>
      <c r="L396" s="190" t="str">
        <f t="shared" si="134"/>
        <v/>
      </c>
      <c r="M396" s="214"/>
      <c r="N396" s="214"/>
      <c r="O396" s="189" t="str">
        <f t="shared" si="135"/>
        <v/>
      </c>
      <c r="P396" s="191" t="str">
        <f t="shared" ref="P396:P459" si="143">IF(O396="","",IF(L396*F396*G396=0,0,L396*F396*G396))</f>
        <v/>
      </c>
      <c r="Q396" s="192" t="str">
        <f t="shared" si="136"/>
        <v/>
      </c>
      <c r="R396" s="191" t="str">
        <f t="shared" ref="R396:R459" si="144">IF(O396&lt;&gt;"",IF(K396*F396*G396=0,"",K396*F396*G396),"")</f>
        <v/>
      </c>
      <c r="S396" s="193" t="str">
        <f t="shared" si="137"/>
        <v/>
      </c>
      <c r="T396" s="194" t="str">
        <f t="shared" ref="T396:T459" si="145">IF(X396="","",X396*F396*G396)</f>
        <v/>
      </c>
      <c r="U396" s="192" t="str">
        <f t="shared" si="138"/>
        <v/>
      </c>
      <c r="V396" s="195" t="str">
        <f t="shared" ref="V396:V459" si="146">IF(O396="","",IF(AND(O396&gt;I396,E396="L"),1, IF(AND(I396&gt;O396,E396="S"),1,0)))</f>
        <v/>
      </c>
      <c r="W396" s="195" t="str">
        <f t="shared" ref="W396:W459" si="147">IF(O396="","",IF(AND(O396&lt;I396,E396="L"),1, IF(AND(I396&lt;O396,E396="S"),1,0)))</f>
        <v/>
      </c>
      <c r="X396" s="196" t="str">
        <f t="shared" si="139"/>
        <v/>
      </c>
      <c r="Y396" s="191" t="str">
        <f t="shared" si="141"/>
        <v/>
      </c>
      <c r="Z396" s="197" t="str">
        <f t="shared" ref="Z396:Z459" si="148">IF(M396="","",MONTH(M396))</f>
        <v/>
      </c>
      <c r="AA396" s="197" t="str">
        <f t="shared" ref="AA396:AA459" si="149">IF(M396="","",YEAR(M396))</f>
        <v/>
      </c>
      <c r="AB396" s="213"/>
      <c r="AC396" s="204"/>
    </row>
    <row r="397" spans="1:29" ht="11.4">
      <c r="A397" s="211" t="str">
        <f t="shared" si="140"/>
        <v/>
      </c>
      <c r="B397" s="211"/>
      <c r="C397" s="185"/>
      <c r="D397" s="186" t="str">
        <f t="shared" ref="D397:D460" si="150">IF(A397&lt;&gt;"","GBPUSD","")</f>
        <v/>
      </c>
      <c r="E397" s="186" t="str">
        <f>IF(OR(C397="",C397=Data!$B$3),"",IF(C397=Data!$B$4,"L","S"))</f>
        <v/>
      </c>
      <c r="F397" s="186" t="str">
        <f t="shared" ref="F397:F460" si="151">IF(A397&lt;&gt;"",$D$2,"")</f>
        <v/>
      </c>
      <c r="G397" s="187" t="str">
        <f t="shared" si="142"/>
        <v/>
      </c>
      <c r="H397" s="188"/>
      <c r="I397" s="189" t="str">
        <f t="shared" ref="I397:I460" si="152">IF(H397="","",IF(E397="L",H397+$D$4*0.0001,H397-$D$4*0.0001))</f>
        <v/>
      </c>
      <c r="J397" s="189" t="str">
        <f t="shared" ref="J397:J460" si="153">IF(AND(H397&lt;&gt;"",I397&lt;&gt;""),IF(E397="L",I397+(I397-H397)*3,I397-(H397-I397)*3),"")</f>
        <v/>
      </c>
      <c r="K397" s="190" t="str">
        <f t="shared" ref="K397:K460" si="154">IF(AND(E397&lt;&gt;"",AND(I397&lt;&gt;"",J397&lt;&gt;"")),IF(E397="L",(J397-I397)*IF(I397&gt;10,IF(SEARCH("JPY",D397),10,100),10000),(I397-J397)*IF(I397&gt;10,IF(SEARCH("JPY",D397),10,100),10000)),"")</f>
        <v/>
      </c>
      <c r="L397" s="190" t="str">
        <f t="shared" ref="L397:L460" si="155">IF(AND(E397&lt;&gt;"",AND(H397&lt;&gt;"",I397&lt;&gt;"")),IF(E397="L",(I397-H397)*IF(I397&gt;10,IF(SEARCH("JPY",D397),10,100),10000),(H397-I397)*IF(I397&gt;10,IF(SEARCH("JPY",D397),10,100),10000)),"")</f>
        <v/>
      </c>
      <c r="M397" s="214"/>
      <c r="N397" s="214"/>
      <c r="O397" s="189" t="str">
        <f t="shared" ref="O397:O460" si="156">IF(H397&lt;&gt;"",H397, "")</f>
        <v/>
      </c>
      <c r="P397" s="191" t="str">
        <f t="shared" si="143"/>
        <v/>
      </c>
      <c r="Q397" s="192" t="str">
        <f t="shared" ref="Q397:Q460" si="157">IF(P397="","",IF(P397=0,0,P397/$I$4))</f>
        <v/>
      </c>
      <c r="R397" s="191" t="str">
        <f t="shared" si="144"/>
        <v/>
      </c>
      <c r="S397" s="193" t="str">
        <f t="shared" ref="S397:S460" si="158">IF(P397="","",IF(P397=0,0,R397/P397))</f>
        <v/>
      </c>
      <c r="T397" s="194" t="str">
        <f t="shared" si="145"/>
        <v/>
      </c>
      <c r="U397" s="192" t="str">
        <f t="shared" ref="U397:U460" si="159">IF(T397="","",IF($I$4="","",T397/$I$4))</f>
        <v/>
      </c>
      <c r="V397" s="195" t="str">
        <f t="shared" si="146"/>
        <v/>
      </c>
      <c r="W397" s="195" t="str">
        <f t="shared" si="147"/>
        <v/>
      </c>
      <c r="X397" s="196" t="str">
        <f t="shared" ref="X397:X460" si="160">IF((O397=""),"",IF(E397="L",1,-1)*(O397-I397)*IF(O397&gt;10,IF(SEARCH("JPY",D397),10,100),10000))</f>
        <v/>
      </c>
      <c r="Y397" s="191" t="str">
        <f t="shared" si="141"/>
        <v/>
      </c>
      <c r="Z397" s="197" t="str">
        <f t="shared" si="148"/>
        <v/>
      </c>
      <c r="AA397" s="197" t="str">
        <f t="shared" si="149"/>
        <v/>
      </c>
      <c r="AB397" s="213"/>
      <c r="AC397" s="204"/>
    </row>
    <row r="398" spans="1:29" ht="11.4">
      <c r="A398" s="211" t="str">
        <f t="shared" ref="A398:A461" si="161">IF(C398="","",A397+1)</f>
        <v/>
      </c>
      <c r="B398" s="211"/>
      <c r="C398" s="185"/>
      <c r="D398" s="186" t="str">
        <f t="shared" si="150"/>
        <v/>
      </c>
      <c r="E398" s="186" t="str">
        <f>IF(OR(C398="",C398=Data!$B$3),"",IF(C398=Data!$B$4,"L","S"))</f>
        <v/>
      </c>
      <c r="F398" s="186" t="str">
        <f t="shared" si="151"/>
        <v/>
      </c>
      <c r="G398" s="187" t="str">
        <f t="shared" si="142"/>
        <v/>
      </c>
      <c r="H398" s="188"/>
      <c r="I398" s="189" t="str">
        <f t="shared" si="152"/>
        <v/>
      </c>
      <c r="J398" s="189" t="str">
        <f t="shared" si="153"/>
        <v/>
      </c>
      <c r="K398" s="190" t="str">
        <f t="shared" si="154"/>
        <v/>
      </c>
      <c r="L398" s="190" t="str">
        <f t="shared" si="155"/>
        <v/>
      </c>
      <c r="M398" s="214"/>
      <c r="N398" s="214"/>
      <c r="O398" s="189" t="str">
        <f t="shared" si="156"/>
        <v/>
      </c>
      <c r="P398" s="191" t="str">
        <f t="shared" si="143"/>
        <v/>
      </c>
      <c r="Q398" s="192" t="str">
        <f t="shared" si="157"/>
        <v/>
      </c>
      <c r="R398" s="191" t="str">
        <f t="shared" si="144"/>
        <v/>
      </c>
      <c r="S398" s="193" t="str">
        <f t="shared" si="158"/>
        <v/>
      </c>
      <c r="T398" s="194" t="str">
        <f t="shared" si="145"/>
        <v/>
      </c>
      <c r="U398" s="192" t="str">
        <f t="shared" si="159"/>
        <v/>
      </c>
      <c r="V398" s="195" t="str">
        <f t="shared" si="146"/>
        <v/>
      </c>
      <c r="W398" s="195" t="str">
        <f t="shared" si="147"/>
        <v/>
      </c>
      <c r="X398" s="196" t="str">
        <f t="shared" si="160"/>
        <v/>
      </c>
      <c r="Y398" s="191" t="str">
        <f t="shared" si="141"/>
        <v/>
      </c>
      <c r="Z398" s="197" t="str">
        <f t="shared" si="148"/>
        <v/>
      </c>
      <c r="AA398" s="197" t="str">
        <f t="shared" si="149"/>
        <v/>
      </c>
      <c r="AB398" s="213"/>
      <c r="AC398" s="204"/>
    </row>
    <row r="399" spans="1:29" ht="11.4">
      <c r="A399" s="211" t="str">
        <f t="shared" si="161"/>
        <v/>
      </c>
      <c r="B399" s="211"/>
      <c r="C399" s="185"/>
      <c r="D399" s="186" t="str">
        <f t="shared" si="150"/>
        <v/>
      </c>
      <c r="E399" s="186" t="str">
        <f>IF(OR(C399="",C399=Data!$B$3),"",IF(C399=Data!$B$4,"L","S"))</f>
        <v/>
      </c>
      <c r="F399" s="186" t="str">
        <f t="shared" si="151"/>
        <v/>
      </c>
      <c r="G399" s="187" t="str">
        <f t="shared" si="142"/>
        <v/>
      </c>
      <c r="H399" s="188"/>
      <c r="I399" s="189" t="str">
        <f t="shared" si="152"/>
        <v/>
      </c>
      <c r="J399" s="189" t="str">
        <f t="shared" si="153"/>
        <v/>
      </c>
      <c r="K399" s="190" t="str">
        <f t="shared" si="154"/>
        <v/>
      </c>
      <c r="L399" s="190" t="str">
        <f t="shared" si="155"/>
        <v/>
      </c>
      <c r="M399" s="214"/>
      <c r="N399" s="214"/>
      <c r="O399" s="189" t="str">
        <f t="shared" si="156"/>
        <v/>
      </c>
      <c r="P399" s="191" t="str">
        <f t="shared" si="143"/>
        <v/>
      </c>
      <c r="Q399" s="192" t="str">
        <f t="shared" si="157"/>
        <v/>
      </c>
      <c r="R399" s="191" t="str">
        <f t="shared" si="144"/>
        <v/>
      </c>
      <c r="S399" s="193" t="str">
        <f t="shared" si="158"/>
        <v/>
      </c>
      <c r="T399" s="194" t="str">
        <f t="shared" si="145"/>
        <v/>
      </c>
      <c r="U399" s="192" t="str">
        <f t="shared" si="159"/>
        <v/>
      </c>
      <c r="V399" s="195" t="str">
        <f t="shared" si="146"/>
        <v/>
      </c>
      <c r="W399" s="195" t="str">
        <f t="shared" si="147"/>
        <v/>
      </c>
      <c r="X399" s="196" t="str">
        <f t="shared" si="160"/>
        <v/>
      </c>
      <c r="Y399" s="191" t="str">
        <f t="shared" si="141"/>
        <v/>
      </c>
      <c r="Z399" s="197" t="str">
        <f t="shared" si="148"/>
        <v/>
      </c>
      <c r="AA399" s="197" t="str">
        <f t="shared" si="149"/>
        <v/>
      </c>
      <c r="AB399" s="213"/>
      <c r="AC399" s="204"/>
    </row>
    <row r="400" spans="1:29" ht="11.4">
      <c r="A400" s="211" t="str">
        <f t="shared" si="161"/>
        <v/>
      </c>
      <c r="B400" s="211"/>
      <c r="C400" s="185"/>
      <c r="D400" s="186" t="str">
        <f t="shared" si="150"/>
        <v/>
      </c>
      <c r="E400" s="186" t="str">
        <f>IF(OR(C400="",C400=Data!$B$3),"",IF(C400=Data!$B$4,"L","S"))</f>
        <v/>
      </c>
      <c r="F400" s="186" t="str">
        <f t="shared" si="151"/>
        <v/>
      </c>
      <c r="G400" s="187" t="str">
        <f t="shared" si="142"/>
        <v/>
      </c>
      <c r="H400" s="188"/>
      <c r="I400" s="189" t="str">
        <f t="shared" si="152"/>
        <v/>
      </c>
      <c r="J400" s="189" t="str">
        <f t="shared" si="153"/>
        <v/>
      </c>
      <c r="K400" s="190" t="str">
        <f t="shared" si="154"/>
        <v/>
      </c>
      <c r="L400" s="190" t="str">
        <f t="shared" si="155"/>
        <v/>
      </c>
      <c r="M400" s="214"/>
      <c r="N400" s="214"/>
      <c r="O400" s="189" t="str">
        <f t="shared" si="156"/>
        <v/>
      </c>
      <c r="P400" s="191" t="str">
        <f t="shared" si="143"/>
        <v/>
      </c>
      <c r="Q400" s="192" t="str">
        <f t="shared" si="157"/>
        <v/>
      </c>
      <c r="R400" s="191" t="str">
        <f t="shared" si="144"/>
        <v/>
      </c>
      <c r="S400" s="193" t="str">
        <f t="shared" si="158"/>
        <v/>
      </c>
      <c r="T400" s="194" t="str">
        <f t="shared" si="145"/>
        <v/>
      </c>
      <c r="U400" s="192" t="str">
        <f t="shared" si="159"/>
        <v/>
      </c>
      <c r="V400" s="195" t="str">
        <f t="shared" si="146"/>
        <v/>
      </c>
      <c r="W400" s="195" t="str">
        <f t="shared" si="147"/>
        <v/>
      </c>
      <c r="X400" s="196" t="str">
        <f t="shared" si="160"/>
        <v/>
      </c>
      <c r="Y400" s="191" t="str">
        <f t="shared" si="141"/>
        <v/>
      </c>
      <c r="Z400" s="197" t="str">
        <f t="shared" si="148"/>
        <v/>
      </c>
      <c r="AA400" s="197" t="str">
        <f t="shared" si="149"/>
        <v/>
      </c>
      <c r="AB400" s="213"/>
      <c r="AC400" s="204"/>
    </row>
    <row r="401" spans="1:29" ht="11.4">
      <c r="A401" s="211" t="str">
        <f t="shared" si="161"/>
        <v/>
      </c>
      <c r="B401" s="211"/>
      <c r="C401" s="185"/>
      <c r="D401" s="186" t="str">
        <f t="shared" si="150"/>
        <v/>
      </c>
      <c r="E401" s="186" t="str">
        <f>IF(OR(C401="",C401=Data!$B$3),"",IF(C401=Data!$B$4,"L","S"))</f>
        <v/>
      </c>
      <c r="F401" s="186" t="str">
        <f t="shared" si="151"/>
        <v/>
      </c>
      <c r="G401" s="187" t="str">
        <f t="shared" si="142"/>
        <v/>
      </c>
      <c r="H401" s="188"/>
      <c r="I401" s="189" t="str">
        <f t="shared" si="152"/>
        <v/>
      </c>
      <c r="J401" s="189" t="str">
        <f t="shared" si="153"/>
        <v/>
      </c>
      <c r="K401" s="190" t="str">
        <f t="shared" si="154"/>
        <v/>
      </c>
      <c r="L401" s="190" t="str">
        <f t="shared" si="155"/>
        <v/>
      </c>
      <c r="M401" s="214"/>
      <c r="N401" s="214"/>
      <c r="O401" s="189" t="str">
        <f t="shared" si="156"/>
        <v/>
      </c>
      <c r="P401" s="191" t="str">
        <f t="shared" si="143"/>
        <v/>
      </c>
      <c r="Q401" s="192" t="str">
        <f t="shared" si="157"/>
        <v/>
      </c>
      <c r="R401" s="191" t="str">
        <f t="shared" si="144"/>
        <v/>
      </c>
      <c r="S401" s="193" t="str">
        <f t="shared" si="158"/>
        <v/>
      </c>
      <c r="T401" s="194" t="str">
        <f t="shared" si="145"/>
        <v/>
      </c>
      <c r="U401" s="192" t="str">
        <f t="shared" si="159"/>
        <v/>
      </c>
      <c r="V401" s="195" t="str">
        <f t="shared" si="146"/>
        <v/>
      </c>
      <c r="W401" s="195" t="str">
        <f t="shared" si="147"/>
        <v/>
      </c>
      <c r="X401" s="196" t="str">
        <f t="shared" si="160"/>
        <v/>
      </c>
      <c r="Y401" s="191" t="str">
        <f t="shared" si="141"/>
        <v/>
      </c>
      <c r="Z401" s="197" t="str">
        <f t="shared" si="148"/>
        <v/>
      </c>
      <c r="AA401" s="197" t="str">
        <f t="shared" si="149"/>
        <v/>
      </c>
      <c r="AB401" s="213"/>
      <c r="AC401" s="204"/>
    </row>
    <row r="402" spans="1:29" ht="11.4">
      <c r="A402" s="211" t="str">
        <f t="shared" si="161"/>
        <v/>
      </c>
      <c r="B402" s="211"/>
      <c r="C402" s="185"/>
      <c r="D402" s="186" t="str">
        <f t="shared" si="150"/>
        <v/>
      </c>
      <c r="E402" s="186" t="str">
        <f>IF(OR(C402="",C402=Data!$B$3),"",IF(C402=Data!$B$4,"L","S"))</f>
        <v/>
      </c>
      <c r="F402" s="186" t="str">
        <f t="shared" si="151"/>
        <v/>
      </c>
      <c r="G402" s="187" t="str">
        <f t="shared" si="142"/>
        <v/>
      </c>
      <c r="H402" s="188"/>
      <c r="I402" s="189" t="str">
        <f t="shared" si="152"/>
        <v/>
      </c>
      <c r="J402" s="189" t="str">
        <f t="shared" si="153"/>
        <v/>
      </c>
      <c r="K402" s="190" t="str">
        <f t="shared" si="154"/>
        <v/>
      </c>
      <c r="L402" s="190" t="str">
        <f t="shared" si="155"/>
        <v/>
      </c>
      <c r="M402" s="214"/>
      <c r="N402" s="214"/>
      <c r="O402" s="189" t="str">
        <f t="shared" si="156"/>
        <v/>
      </c>
      <c r="P402" s="191" t="str">
        <f t="shared" si="143"/>
        <v/>
      </c>
      <c r="Q402" s="192" t="str">
        <f t="shared" si="157"/>
        <v/>
      </c>
      <c r="R402" s="191" t="str">
        <f t="shared" si="144"/>
        <v/>
      </c>
      <c r="S402" s="193" t="str">
        <f t="shared" si="158"/>
        <v/>
      </c>
      <c r="T402" s="194" t="str">
        <f t="shared" si="145"/>
        <v/>
      </c>
      <c r="U402" s="192" t="str">
        <f t="shared" si="159"/>
        <v/>
      </c>
      <c r="V402" s="195" t="str">
        <f t="shared" si="146"/>
        <v/>
      </c>
      <c r="W402" s="195" t="str">
        <f t="shared" si="147"/>
        <v/>
      </c>
      <c r="X402" s="196" t="str">
        <f t="shared" si="160"/>
        <v/>
      </c>
      <c r="Y402" s="191" t="str">
        <f t="shared" si="141"/>
        <v/>
      </c>
      <c r="Z402" s="197" t="str">
        <f t="shared" si="148"/>
        <v/>
      </c>
      <c r="AA402" s="197" t="str">
        <f t="shared" si="149"/>
        <v/>
      </c>
      <c r="AB402" s="213"/>
      <c r="AC402" s="204"/>
    </row>
    <row r="403" spans="1:29" ht="11.4">
      <c r="A403" s="211" t="str">
        <f t="shared" si="161"/>
        <v/>
      </c>
      <c r="B403" s="211"/>
      <c r="C403" s="185"/>
      <c r="D403" s="186" t="str">
        <f t="shared" si="150"/>
        <v/>
      </c>
      <c r="E403" s="186" t="str">
        <f>IF(OR(C403="",C403=Data!$B$3),"",IF(C403=Data!$B$4,"L","S"))</f>
        <v/>
      </c>
      <c r="F403" s="186" t="str">
        <f t="shared" si="151"/>
        <v/>
      </c>
      <c r="G403" s="187" t="str">
        <f t="shared" si="142"/>
        <v/>
      </c>
      <c r="H403" s="188"/>
      <c r="I403" s="189" t="str">
        <f t="shared" si="152"/>
        <v/>
      </c>
      <c r="J403" s="189" t="str">
        <f t="shared" si="153"/>
        <v/>
      </c>
      <c r="K403" s="190" t="str">
        <f t="shared" si="154"/>
        <v/>
      </c>
      <c r="L403" s="190" t="str">
        <f t="shared" si="155"/>
        <v/>
      </c>
      <c r="M403" s="214"/>
      <c r="N403" s="214"/>
      <c r="O403" s="189" t="str">
        <f t="shared" si="156"/>
        <v/>
      </c>
      <c r="P403" s="191" t="str">
        <f t="shared" si="143"/>
        <v/>
      </c>
      <c r="Q403" s="192" t="str">
        <f t="shared" si="157"/>
        <v/>
      </c>
      <c r="R403" s="191" t="str">
        <f t="shared" si="144"/>
        <v/>
      </c>
      <c r="S403" s="193" t="str">
        <f t="shared" si="158"/>
        <v/>
      </c>
      <c r="T403" s="194" t="str">
        <f t="shared" si="145"/>
        <v/>
      </c>
      <c r="U403" s="192" t="str">
        <f t="shared" si="159"/>
        <v/>
      </c>
      <c r="V403" s="195" t="str">
        <f t="shared" si="146"/>
        <v/>
      </c>
      <c r="W403" s="195" t="str">
        <f t="shared" si="147"/>
        <v/>
      </c>
      <c r="X403" s="196" t="str">
        <f t="shared" si="160"/>
        <v/>
      </c>
      <c r="Y403" s="191" t="str">
        <f t="shared" si="141"/>
        <v/>
      </c>
      <c r="Z403" s="197" t="str">
        <f t="shared" si="148"/>
        <v/>
      </c>
      <c r="AA403" s="197" t="str">
        <f t="shared" si="149"/>
        <v/>
      </c>
      <c r="AB403" s="213"/>
      <c r="AC403" s="204"/>
    </row>
    <row r="404" spans="1:29" ht="11.4">
      <c r="A404" s="211" t="str">
        <f t="shared" si="161"/>
        <v/>
      </c>
      <c r="B404" s="211"/>
      <c r="C404" s="185"/>
      <c r="D404" s="186" t="str">
        <f t="shared" si="150"/>
        <v/>
      </c>
      <c r="E404" s="186" t="str">
        <f>IF(OR(C404="",C404=Data!$B$3),"",IF(C404=Data!$B$4,"L","S"))</f>
        <v/>
      </c>
      <c r="F404" s="186" t="str">
        <f t="shared" si="151"/>
        <v/>
      </c>
      <c r="G404" s="187" t="str">
        <f t="shared" si="142"/>
        <v/>
      </c>
      <c r="H404" s="188"/>
      <c r="I404" s="189" t="str">
        <f t="shared" si="152"/>
        <v/>
      </c>
      <c r="J404" s="189" t="str">
        <f t="shared" si="153"/>
        <v/>
      </c>
      <c r="K404" s="190" t="str">
        <f t="shared" si="154"/>
        <v/>
      </c>
      <c r="L404" s="190" t="str">
        <f t="shared" si="155"/>
        <v/>
      </c>
      <c r="M404" s="214"/>
      <c r="N404" s="214"/>
      <c r="O404" s="189" t="str">
        <f t="shared" si="156"/>
        <v/>
      </c>
      <c r="P404" s="191" t="str">
        <f t="shared" si="143"/>
        <v/>
      </c>
      <c r="Q404" s="192" t="str">
        <f t="shared" si="157"/>
        <v/>
      </c>
      <c r="R404" s="191" t="str">
        <f t="shared" si="144"/>
        <v/>
      </c>
      <c r="S404" s="193" t="str">
        <f t="shared" si="158"/>
        <v/>
      </c>
      <c r="T404" s="194" t="str">
        <f t="shared" si="145"/>
        <v/>
      </c>
      <c r="U404" s="192" t="str">
        <f t="shared" si="159"/>
        <v/>
      </c>
      <c r="V404" s="195" t="str">
        <f t="shared" si="146"/>
        <v/>
      </c>
      <c r="W404" s="195" t="str">
        <f t="shared" si="147"/>
        <v/>
      </c>
      <c r="X404" s="196" t="str">
        <f t="shared" si="160"/>
        <v/>
      </c>
      <c r="Y404" s="191" t="str">
        <f t="shared" ref="Y404:Y467" si="162">IF(Y403="","",IF(T404="","",Y403+T404))</f>
        <v/>
      </c>
      <c r="Z404" s="197" t="str">
        <f t="shared" si="148"/>
        <v/>
      </c>
      <c r="AA404" s="197" t="str">
        <f t="shared" si="149"/>
        <v/>
      </c>
      <c r="AB404" s="213"/>
      <c r="AC404" s="204"/>
    </row>
    <row r="405" spans="1:29" ht="11.4">
      <c r="A405" s="211" t="str">
        <f t="shared" si="161"/>
        <v/>
      </c>
      <c r="B405" s="211"/>
      <c r="C405" s="185"/>
      <c r="D405" s="186" t="str">
        <f t="shared" si="150"/>
        <v/>
      </c>
      <c r="E405" s="186" t="str">
        <f>IF(OR(C405="",C405=Data!$B$3),"",IF(C405=Data!$B$4,"L","S"))</f>
        <v/>
      </c>
      <c r="F405" s="186" t="str">
        <f t="shared" si="151"/>
        <v/>
      </c>
      <c r="G405" s="187" t="str">
        <f t="shared" si="142"/>
        <v/>
      </c>
      <c r="H405" s="188"/>
      <c r="I405" s="189" t="str">
        <f t="shared" si="152"/>
        <v/>
      </c>
      <c r="J405" s="189" t="str">
        <f t="shared" si="153"/>
        <v/>
      </c>
      <c r="K405" s="190" t="str">
        <f t="shared" si="154"/>
        <v/>
      </c>
      <c r="L405" s="190" t="str">
        <f t="shared" si="155"/>
        <v/>
      </c>
      <c r="M405" s="214"/>
      <c r="N405" s="214"/>
      <c r="O405" s="189" t="str">
        <f t="shared" si="156"/>
        <v/>
      </c>
      <c r="P405" s="191" t="str">
        <f t="shared" si="143"/>
        <v/>
      </c>
      <c r="Q405" s="192" t="str">
        <f t="shared" si="157"/>
        <v/>
      </c>
      <c r="R405" s="191" t="str">
        <f t="shared" si="144"/>
        <v/>
      </c>
      <c r="S405" s="193" t="str">
        <f t="shared" si="158"/>
        <v/>
      </c>
      <c r="T405" s="194" t="str">
        <f t="shared" si="145"/>
        <v/>
      </c>
      <c r="U405" s="192" t="str">
        <f t="shared" si="159"/>
        <v/>
      </c>
      <c r="V405" s="195" t="str">
        <f t="shared" si="146"/>
        <v/>
      </c>
      <c r="W405" s="195" t="str">
        <f t="shared" si="147"/>
        <v/>
      </c>
      <c r="X405" s="196" t="str">
        <f t="shared" si="160"/>
        <v/>
      </c>
      <c r="Y405" s="191" t="str">
        <f t="shared" si="162"/>
        <v/>
      </c>
      <c r="Z405" s="197" t="str">
        <f t="shared" si="148"/>
        <v/>
      </c>
      <c r="AA405" s="197" t="str">
        <f t="shared" si="149"/>
        <v/>
      </c>
      <c r="AB405" s="213"/>
      <c r="AC405" s="204"/>
    </row>
    <row r="406" spans="1:29" ht="11.4">
      <c r="A406" s="211" t="str">
        <f t="shared" si="161"/>
        <v/>
      </c>
      <c r="B406" s="211"/>
      <c r="C406" s="185"/>
      <c r="D406" s="186" t="str">
        <f t="shared" si="150"/>
        <v/>
      </c>
      <c r="E406" s="186" t="str">
        <f>IF(OR(C406="",C406=Data!$B$3),"",IF(C406=Data!$B$4,"L","S"))</f>
        <v/>
      </c>
      <c r="F406" s="186" t="str">
        <f t="shared" si="151"/>
        <v/>
      </c>
      <c r="G406" s="187" t="str">
        <f t="shared" si="142"/>
        <v/>
      </c>
      <c r="H406" s="188"/>
      <c r="I406" s="189" t="str">
        <f t="shared" si="152"/>
        <v/>
      </c>
      <c r="J406" s="189" t="str">
        <f t="shared" si="153"/>
        <v/>
      </c>
      <c r="K406" s="190" t="str">
        <f t="shared" si="154"/>
        <v/>
      </c>
      <c r="L406" s="190" t="str">
        <f t="shared" si="155"/>
        <v/>
      </c>
      <c r="M406" s="214"/>
      <c r="N406" s="214"/>
      <c r="O406" s="189" t="str">
        <f t="shared" si="156"/>
        <v/>
      </c>
      <c r="P406" s="191" t="str">
        <f t="shared" si="143"/>
        <v/>
      </c>
      <c r="Q406" s="192" t="str">
        <f t="shared" si="157"/>
        <v/>
      </c>
      <c r="R406" s="191" t="str">
        <f t="shared" si="144"/>
        <v/>
      </c>
      <c r="S406" s="193" t="str">
        <f t="shared" si="158"/>
        <v/>
      </c>
      <c r="T406" s="194" t="str">
        <f t="shared" si="145"/>
        <v/>
      </c>
      <c r="U406" s="192" t="str">
        <f t="shared" si="159"/>
        <v/>
      </c>
      <c r="V406" s="195" t="str">
        <f t="shared" si="146"/>
        <v/>
      </c>
      <c r="W406" s="195" t="str">
        <f t="shared" si="147"/>
        <v/>
      </c>
      <c r="X406" s="196" t="str">
        <f t="shared" si="160"/>
        <v/>
      </c>
      <c r="Y406" s="191" t="str">
        <f t="shared" si="162"/>
        <v/>
      </c>
      <c r="Z406" s="197" t="str">
        <f t="shared" si="148"/>
        <v/>
      </c>
      <c r="AA406" s="197" t="str">
        <f t="shared" si="149"/>
        <v/>
      </c>
      <c r="AB406" s="213"/>
      <c r="AC406" s="204"/>
    </row>
    <row r="407" spans="1:29" ht="11.4">
      <c r="A407" s="211" t="str">
        <f t="shared" si="161"/>
        <v/>
      </c>
      <c r="B407" s="211"/>
      <c r="C407" s="185"/>
      <c r="D407" s="186" t="str">
        <f t="shared" si="150"/>
        <v/>
      </c>
      <c r="E407" s="186" t="str">
        <f>IF(OR(C407="",C407=Data!$B$3),"",IF(C407=Data!$B$4,"L","S"))</f>
        <v/>
      </c>
      <c r="F407" s="186" t="str">
        <f t="shared" si="151"/>
        <v/>
      </c>
      <c r="G407" s="187" t="str">
        <f t="shared" si="142"/>
        <v/>
      </c>
      <c r="H407" s="188"/>
      <c r="I407" s="189" t="str">
        <f t="shared" si="152"/>
        <v/>
      </c>
      <c r="J407" s="189" t="str">
        <f t="shared" si="153"/>
        <v/>
      </c>
      <c r="K407" s="190" t="str">
        <f t="shared" si="154"/>
        <v/>
      </c>
      <c r="L407" s="190" t="str">
        <f t="shared" si="155"/>
        <v/>
      </c>
      <c r="M407" s="214"/>
      <c r="N407" s="214"/>
      <c r="O407" s="189" t="str">
        <f t="shared" si="156"/>
        <v/>
      </c>
      <c r="P407" s="191" t="str">
        <f t="shared" si="143"/>
        <v/>
      </c>
      <c r="Q407" s="192" t="str">
        <f t="shared" si="157"/>
        <v/>
      </c>
      <c r="R407" s="191" t="str">
        <f t="shared" si="144"/>
        <v/>
      </c>
      <c r="S407" s="193" t="str">
        <f t="shared" si="158"/>
        <v/>
      </c>
      <c r="T407" s="194" t="str">
        <f t="shared" si="145"/>
        <v/>
      </c>
      <c r="U407" s="192" t="str">
        <f t="shared" si="159"/>
        <v/>
      </c>
      <c r="V407" s="195" t="str">
        <f t="shared" si="146"/>
        <v/>
      </c>
      <c r="W407" s="195" t="str">
        <f t="shared" si="147"/>
        <v/>
      </c>
      <c r="X407" s="196" t="str">
        <f t="shared" si="160"/>
        <v/>
      </c>
      <c r="Y407" s="191" t="str">
        <f t="shared" si="162"/>
        <v/>
      </c>
      <c r="Z407" s="197" t="str">
        <f t="shared" si="148"/>
        <v/>
      </c>
      <c r="AA407" s="197" t="str">
        <f t="shared" si="149"/>
        <v/>
      </c>
      <c r="AB407" s="213"/>
      <c r="AC407" s="204"/>
    </row>
    <row r="408" spans="1:29" ht="11.4">
      <c r="A408" s="211" t="str">
        <f t="shared" si="161"/>
        <v/>
      </c>
      <c r="B408" s="211"/>
      <c r="C408" s="185"/>
      <c r="D408" s="186" t="str">
        <f t="shared" si="150"/>
        <v/>
      </c>
      <c r="E408" s="186" t="str">
        <f>IF(OR(C408="",C408=Data!$B$3),"",IF(C408=Data!$B$4,"L","S"))</f>
        <v/>
      </c>
      <c r="F408" s="186" t="str">
        <f t="shared" si="151"/>
        <v/>
      </c>
      <c r="G408" s="187" t="str">
        <f t="shared" si="142"/>
        <v/>
      </c>
      <c r="H408" s="188"/>
      <c r="I408" s="189" t="str">
        <f t="shared" si="152"/>
        <v/>
      </c>
      <c r="J408" s="189" t="str">
        <f t="shared" si="153"/>
        <v/>
      </c>
      <c r="K408" s="190" t="str">
        <f t="shared" si="154"/>
        <v/>
      </c>
      <c r="L408" s="190" t="str">
        <f t="shared" si="155"/>
        <v/>
      </c>
      <c r="M408" s="214"/>
      <c r="N408" s="214"/>
      <c r="O408" s="189" t="str">
        <f t="shared" si="156"/>
        <v/>
      </c>
      <c r="P408" s="191" t="str">
        <f t="shared" si="143"/>
        <v/>
      </c>
      <c r="Q408" s="192" t="str">
        <f t="shared" si="157"/>
        <v/>
      </c>
      <c r="R408" s="191" t="str">
        <f t="shared" si="144"/>
        <v/>
      </c>
      <c r="S408" s="193" t="str">
        <f t="shared" si="158"/>
        <v/>
      </c>
      <c r="T408" s="194" t="str">
        <f t="shared" si="145"/>
        <v/>
      </c>
      <c r="U408" s="192" t="str">
        <f t="shared" si="159"/>
        <v/>
      </c>
      <c r="V408" s="195" t="str">
        <f t="shared" si="146"/>
        <v/>
      </c>
      <c r="W408" s="195" t="str">
        <f t="shared" si="147"/>
        <v/>
      </c>
      <c r="X408" s="196" t="str">
        <f t="shared" si="160"/>
        <v/>
      </c>
      <c r="Y408" s="191" t="str">
        <f t="shared" si="162"/>
        <v/>
      </c>
      <c r="Z408" s="197" t="str">
        <f t="shared" si="148"/>
        <v/>
      </c>
      <c r="AA408" s="197" t="str">
        <f t="shared" si="149"/>
        <v/>
      </c>
      <c r="AB408" s="213"/>
      <c r="AC408" s="204"/>
    </row>
    <row r="409" spans="1:29" ht="11.4">
      <c r="A409" s="211" t="str">
        <f t="shared" si="161"/>
        <v/>
      </c>
      <c r="B409" s="211"/>
      <c r="C409" s="185"/>
      <c r="D409" s="186" t="str">
        <f t="shared" si="150"/>
        <v/>
      </c>
      <c r="E409" s="186" t="str">
        <f>IF(OR(C409="",C409=Data!$B$3),"",IF(C409=Data!$B$4,"L","S"))</f>
        <v/>
      </c>
      <c r="F409" s="186" t="str">
        <f t="shared" si="151"/>
        <v/>
      </c>
      <c r="G409" s="187" t="str">
        <f t="shared" si="142"/>
        <v/>
      </c>
      <c r="H409" s="188"/>
      <c r="I409" s="189" t="str">
        <f t="shared" si="152"/>
        <v/>
      </c>
      <c r="J409" s="189" t="str">
        <f t="shared" si="153"/>
        <v/>
      </c>
      <c r="K409" s="190" t="str">
        <f t="shared" si="154"/>
        <v/>
      </c>
      <c r="L409" s="190" t="str">
        <f t="shared" si="155"/>
        <v/>
      </c>
      <c r="M409" s="214"/>
      <c r="N409" s="214"/>
      <c r="O409" s="189" t="str">
        <f t="shared" si="156"/>
        <v/>
      </c>
      <c r="P409" s="191" t="str">
        <f t="shared" si="143"/>
        <v/>
      </c>
      <c r="Q409" s="192" t="str">
        <f t="shared" si="157"/>
        <v/>
      </c>
      <c r="R409" s="191" t="str">
        <f t="shared" si="144"/>
        <v/>
      </c>
      <c r="S409" s="193" t="str">
        <f t="shared" si="158"/>
        <v/>
      </c>
      <c r="T409" s="194" t="str">
        <f t="shared" si="145"/>
        <v/>
      </c>
      <c r="U409" s="192" t="str">
        <f t="shared" si="159"/>
        <v/>
      </c>
      <c r="V409" s="195" t="str">
        <f t="shared" si="146"/>
        <v/>
      </c>
      <c r="W409" s="195" t="str">
        <f t="shared" si="147"/>
        <v/>
      </c>
      <c r="X409" s="196" t="str">
        <f t="shared" si="160"/>
        <v/>
      </c>
      <c r="Y409" s="191" t="str">
        <f t="shared" si="162"/>
        <v/>
      </c>
      <c r="Z409" s="197" t="str">
        <f t="shared" si="148"/>
        <v/>
      </c>
      <c r="AA409" s="197" t="str">
        <f t="shared" si="149"/>
        <v/>
      </c>
      <c r="AB409" s="213"/>
      <c r="AC409" s="204"/>
    </row>
    <row r="410" spans="1:29" ht="11.4">
      <c r="A410" s="211" t="str">
        <f t="shared" si="161"/>
        <v/>
      </c>
      <c r="B410" s="211"/>
      <c r="C410" s="185"/>
      <c r="D410" s="186" t="str">
        <f t="shared" si="150"/>
        <v/>
      </c>
      <c r="E410" s="186" t="str">
        <f>IF(OR(C410="",C410=Data!$B$3),"",IF(C410=Data!$B$4,"L","S"))</f>
        <v/>
      </c>
      <c r="F410" s="186" t="str">
        <f t="shared" si="151"/>
        <v/>
      </c>
      <c r="G410" s="187" t="str">
        <f t="shared" si="142"/>
        <v/>
      </c>
      <c r="H410" s="188"/>
      <c r="I410" s="189" t="str">
        <f t="shared" si="152"/>
        <v/>
      </c>
      <c r="J410" s="189" t="str">
        <f t="shared" si="153"/>
        <v/>
      </c>
      <c r="K410" s="190" t="str">
        <f t="shared" si="154"/>
        <v/>
      </c>
      <c r="L410" s="190" t="str">
        <f t="shared" si="155"/>
        <v/>
      </c>
      <c r="M410" s="214"/>
      <c r="N410" s="214"/>
      <c r="O410" s="189" t="str">
        <f t="shared" si="156"/>
        <v/>
      </c>
      <c r="P410" s="191" t="str">
        <f t="shared" si="143"/>
        <v/>
      </c>
      <c r="Q410" s="192" t="str">
        <f t="shared" si="157"/>
        <v/>
      </c>
      <c r="R410" s="191" t="str">
        <f t="shared" si="144"/>
        <v/>
      </c>
      <c r="S410" s="193" t="str">
        <f t="shared" si="158"/>
        <v/>
      </c>
      <c r="T410" s="194" t="str">
        <f t="shared" si="145"/>
        <v/>
      </c>
      <c r="U410" s="192" t="str">
        <f t="shared" si="159"/>
        <v/>
      </c>
      <c r="V410" s="195" t="str">
        <f t="shared" si="146"/>
        <v/>
      </c>
      <c r="W410" s="195" t="str">
        <f t="shared" si="147"/>
        <v/>
      </c>
      <c r="X410" s="196" t="str">
        <f t="shared" si="160"/>
        <v/>
      </c>
      <c r="Y410" s="191" t="str">
        <f t="shared" si="162"/>
        <v/>
      </c>
      <c r="Z410" s="197" t="str">
        <f t="shared" si="148"/>
        <v/>
      </c>
      <c r="AA410" s="197" t="str">
        <f t="shared" si="149"/>
        <v/>
      </c>
      <c r="AB410" s="213"/>
      <c r="AC410" s="204"/>
    </row>
    <row r="411" spans="1:29" ht="11.4">
      <c r="A411" s="211" t="str">
        <f t="shared" si="161"/>
        <v/>
      </c>
      <c r="B411" s="211"/>
      <c r="C411" s="185"/>
      <c r="D411" s="186" t="str">
        <f t="shared" si="150"/>
        <v/>
      </c>
      <c r="E411" s="186" t="str">
        <f>IF(OR(C411="",C411=Data!$B$3),"",IF(C411=Data!$B$4,"L","S"))</f>
        <v/>
      </c>
      <c r="F411" s="186" t="str">
        <f t="shared" si="151"/>
        <v/>
      </c>
      <c r="G411" s="187" t="str">
        <f t="shared" si="142"/>
        <v/>
      </c>
      <c r="H411" s="188"/>
      <c r="I411" s="189" t="str">
        <f t="shared" si="152"/>
        <v/>
      </c>
      <c r="J411" s="189" t="str">
        <f t="shared" si="153"/>
        <v/>
      </c>
      <c r="K411" s="190" t="str">
        <f t="shared" si="154"/>
        <v/>
      </c>
      <c r="L411" s="190" t="str">
        <f t="shared" si="155"/>
        <v/>
      </c>
      <c r="M411" s="214"/>
      <c r="N411" s="214"/>
      <c r="O411" s="189" t="str">
        <f t="shared" si="156"/>
        <v/>
      </c>
      <c r="P411" s="191" t="str">
        <f t="shared" si="143"/>
        <v/>
      </c>
      <c r="Q411" s="192" t="str">
        <f t="shared" si="157"/>
        <v/>
      </c>
      <c r="R411" s="191" t="str">
        <f t="shared" si="144"/>
        <v/>
      </c>
      <c r="S411" s="193" t="str">
        <f t="shared" si="158"/>
        <v/>
      </c>
      <c r="T411" s="194" t="str">
        <f t="shared" si="145"/>
        <v/>
      </c>
      <c r="U411" s="192" t="str">
        <f t="shared" si="159"/>
        <v/>
      </c>
      <c r="V411" s="195" t="str">
        <f t="shared" si="146"/>
        <v/>
      </c>
      <c r="W411" s="195" t="str">
        <f t="shared" si="147"/>
        <v/>
      </c>
      <c r="X411" s="196" t="str">
        <f t="shared" si="160"/>
        <v/>
      </c>
      <c r="Y411" s="191" t="str">
        <f t="shared" si="162"/>
        <v/>
      </c>
      <c r="Z411" s="197" t="str">
        <f t="shared" si="148"/>
        <v/>
      </c>
      <c r="AA411" s="197" t="str">
        <f t="shared" si="149"/>
        <v/>
      </c>
      <c r="AB411" s="213"/>
      <c r="AC411" s="204"/>
    </row>
    <row r="412" spans="1:29" ht="11.4">
      <c r="A412" s="211" t="str">
        <f t="shared" si="161"/>
        <v/>
      </c>
      <c r="B412" s="211"/>
      <c r="C412" s="185"/>
      <c r="D412" s="186" t="str">
        <f t="shared" si="150"/>
        <v/>
      </c>
      <c r="E412" s="186" t="str">
        <f>IF(OR(C412="",C412=Data!$B$3),"",IF(C412=Data!$B$4,"L","S"))</f>
        <v/>
      </c>
      <c r="F412" s="186" t="str">
        <f t="shared" si="151"/>
        <v/>
      </c>
      <c r="G412" s="187" t="str">
        <f t="shared" si="142"/>
        <v/>
      </c>
      <c r="H412" s="188"/>
      <c r="I412" s="189" t="str">
        <f t="shared" si="152"/>
        <v/>
      </c>
      <c r="J412" s="189" t="str">
        <f t="shared" si="153"/>
        <v/>
      </c>
      <c r="K412" s="190" t="str">
        <f t="shared" si="154"/>
        <v/>
      </c>
      <c r="L412" s="190" t="str">
        <f t="shared" si="155"/>
        <v/>
      </c>
      <c r="M412" s="214"/>
      <c r="N412" s="214"/>
      <c r="O412" s="189" t="str">
        <f t="shared" si="156"/>
        <v/>
      </c>
      <c r="P412" s="191" t="str">
        <f t="shared" si="143"/>
        <v/>
      </c>
      <c r="Q412" s="192" t="str">
        <f t="shared" si="157"/>
        <v/>
      </c>
      <c r="R412" s="191" t="str">
        <f t="shared" si="144"/>
        <v/>
      </c>
      <c r="S412" s="193" t="str">
        <f t="shared" si="158"/>
        <v/>
      </c>
      <c r="T412" s="194" t="str">
        <f t="shared" si="145"/>
        <v/>
      </c>
      <c r="U412" s="192" t="str">
        <f t="shared" si="159"/>
        <v/>
      </c>
      <c r="V412" s="195" t="str">
        <f t="shared" si="146"/>
        <v/>
      </c>
      <c r="W412" s="195" t="str">
        <f t="shared" si="147"/>
        <v/>
      </c>
      <c r="X412" s="196" t="str">
        <f t="shared" si="160"/>
        <v/>
      </c>
      <c r="Y412" s="191" t="str">
        <f t="shared" si="162"/>
        <v/>
      </c>
      <c r="Z412" s="197" t="str">
        <f t="shared" si="148"/>
        <v/>
      </c>
      <c r="AA412" s="197" t="str">
        <f t="shared" si="149"/>
        <v/>
      </c>
      <c r="AB412" s="213"/>
      <c r="AC412" s="204"/>
    </row>
    <row r="413" spans="1:29" ht="11.4">
      <c r="A413" s="211" t="str">
        <f t="shared" si="161"/>
        <v/>
      </c>
      <c r="B413" s="211"/>
      <c r="C413" s="185"/>
      <c r="D413" s="186" t="str">
        <f t="shared" si="150"/>
        <v/>
      </c>
      <c r="E413" s="186" t="str">
        <f>IF(OR(C413="",C413=Data!$B$3),"",IF(C413=Data!$B$4,"L","S"))</f>
        <v/>
      </c>
      <c r="F413" s="186" t="str">
        <f t="shared" si="151"/>
        <v/>
      </c>
      <c r="G413" s="187" t="str">
        <f t="shared" si="142"/>
        <v/>
      </c>
      <c r="H413" s="188"/>
      <c r="I413" s="189" t="str">
        <f t="shared" si="152"/>
        <v/>
      </c>
      <c r="J413" s="189" t="str">
        <f t="shared" si="153"/>
        <v/>
      </c>
      <c r="K413" s="190" t="str">
        <f t="shared" si="154"/>
        <v/>
      </c>
      <c r="L413" s="190" t="str">
        <f t="shared" si="155"/>
        <v/>
      </c>
      <c r="M413" s="214"/>
      <c r="N413" s="214"/>
      <c r="O413" s="189" t="str">
        <f t="shared" si="156"/>
        <v/>
      </c>
      <c r="P413" s="191" t="str">
        <f t="shared" si="143"/>
        <v/>
      </c>
      <c r="Q413" s="192" t="str">
        <f t="shared" si="157"/>
        <v/>
      </c>
      <c r="R413" s="191" t="str">
        <f t="shared" si="144"/>
        <v/>
      </c>
      <c r="S413" s="193" t="str">
        <f t="shared" si="158"/>
        <v/>
      </c>
      <c r="T413" s="194" t="str">
        <f t="shared" si="145"/>
        <v/>
      </c>
      <c r="U413" s="192" t="str">
        <f t="shared" si="159"/>
        <v/>
      </c>
      <c r="V413" s="195" t="str">
        <f t="shared" si="146"/>
        <v/>
      </c>
      <c r="W413" s="195" t="str">
        <f t="shared" si="147"/>
        <v/>
      </c>
      <c r="X413" s="196" t="str">
        <f t="shared" si="160"/>
        <v/>
      </c>
      <c r="Y413" s="191" t="str">
        <f t="shared" si="162"/>
        <v/>
      </c>
      <c r="Z413" s="197" t="str">
        <f t="shared" si="148"/>
        <v/>
      </c>
      <c r="AA413" s="197" t="str">
        <f t="shared" si="149"/>
        <v/>
      </c>
      <c r="AB413" s="213"/>
      <c r="AC413" s="204"/>
    </row>
    <row r="414" spans="1:29" ht="11.4">
      <c r="A414" s="211" t="str">
        <f t="shared" si="161"/>
        <v/>
      </c>
      <c r="B414" s="211"/>
      <c r="C414" s="185"/>
      <c r="D414" s="186" t="str">
        <f t="shared" si="150"/>
        <v/>
      </c>
      <c r="E414" s="186" t="str">
        <f>IF(OR(C414="",C414=Data!$B$3),"",IF(C414=Data!$B$4,"L","S"))</f>
        <v/>
      </c>
      <c r="F414" s="186" t="str">
        <f t="shared" si="151"/>
        <v/>
      </c>
      <c r="G414" s="187" t="str">
        <f t="shared" si="142"/>
        <v/>
      </c>
      <c r="H414" s="188"/>
      <c r="I414" s="189" t="str">
        <f t="shared" si="152"/>
        <v/>
      </c>
      <c r="J414" s="189" t="str">
        <f t="shared" si="153"/>
        <v/>
      </c>
      <c r="K414" s="190" t="str">
        <f t="shared" si="154"/>
        <v/>
      </c>
      <c r="L414" s="190" t="str">
        <f t="shared" si="155"/>
        <v/>
      </c>
      <c r="M414" s="214"/>
      <c r="N414" s="214"/>
      <c r="O414" s="189" t="str">
        <f t="shared" si="156"/>
        <v/>
      </c>
      <c r="P414" s="191" t="str">
        <f t="shared" si="143"/>
        <v/>
      </c>
      <c r="Q414" s="192" t="str">
        <f t="shared" si="157"/>
        <v/>
      </c>
      <c r="R414" s="191" t="str">
        <f t="shared" si="144"/>
        <v/>
      </c>
      <c r="S414" s="193" t="str">
        <f t="shared" si="158"/>
        <v/>
      </c>
      <c r="T414" s="194" t="str">
        <f t="shared" si="145"/>
        <v/>
      </c>
      <c r="U414" s="192" t="str">
        <f t="shared" si="159"/>
        <v/>
      </c>
      <c r="V414" s="195" t="str">
        <f t="shared" si="146"/>
        <v/>
      </c>
      <c r="W414" s="195" t="str">
        <f t="shared" si="147"/>
        <v/>
      </c>
      <c r="X414" s="196" t="str">
        <f t="shared" si="160"/>
        <v/>
      </c>
      <c r="Y414" s="191" t="str">
        <f t="shared" si="162"/>
        <v/>
      </c>
      <c r="Z414" s="197" t="str">
        <f t="shared" si="148"/>
        <v/>
      </c>
      <c r="AA414" s="197" t="str">
        <f t="shared" si="149"/>
        <v/>
      </c>
      <c r="AB414" s="213"/>
      <c r="AC414" s="204"/>
    </row>
    <row r="415" spans="1:29" ht="11.4">
      <c r="A415" s="211" t="str">
        <f t="shared" si="161"/>
        <v/>
      </c>
      <c r="B415" s="211"/>
      <c r="C415" s="185"/>
      <c r="D415" s="186" t="str">
        <f t="shared" si="150"/>
        <v/>
      </c>
      <c r="E415" s="186" t="str">
        <f>IF(OR(C415="",C415=Data!$B$3),"",IF(C415=Data!$B$4,"L","S"))</f>
        <v/>
      </c>
      <c r="F415" s="186" t="str">
        <f t="shared" si="151"/>
        <v/>
      </c>
      <c r="G415" s="187" t="str">
        <f t="shared" si="142"/>
        <v/>
      </c>
      <c r="H415" s="188"/>
      <c r="I415" s="189" t="str">
        <f t="shared" si="152"/>
        <v/>
      </c>
      <c r="J415" s="189" t="str">
        <f t="shared" si="153"/>
        <v/>
      </c>
      <c r="K415" s="190" t="str">
        <f t="shared" si="154"/>
        <v/>
      </c>
      <c r="L415" s="190" t="str">
        <f t="shared" si="155"/>
        <v/>
      </c>
      <c r="M415" s="214"/>
      <c r="N415" s="214"/>
      <c r="O415" s="189" t="str">
        <f t="shared" si="156"/>
        <v/>
      </c>
      <c r="P415" s="191" t="str">
        <f t="shared" si="143"/>
        <v/>
      </c>
      <c r="Q415" s="192" t="str">
        <f t="shared" si="157"/>
        <v/>
      </c>
      <c r="R415" s="191" t="str">
        <f t="shared" si="144"/>
        <v/>
      </c>
      <c r="S415" s="193" t="str">
        <f t="shared" si="158"/>
        <v/>
      </c>
      <c r="T415" s="194" t="str">
        <f t="shared" si="145"/>
        <v/>
      </c>
      <c r="U415" s="192" t="str">
        <f t="shared" si="159"/>
        <v/>
      </c>
      <c r="V415" s="195" t="str">
        <f t="shared" si="146"/>
        <v/>
      </c>
      <c r="W415" s="195" t="str">
        <f t="shared" si="147"/>
        <v/>
      </c>
      <c r="X415" s="196" t="str">
        <f t="shared" si="160"/>
        <v/>
      </c>
      <c r="Y415" s="191" t="str">
        <f t="shared" si="162"/>
        <v/>
      </c>
      <c r="Z415" s="197" t="str">
        <f t="shared" si="148"/>
        <v/>
      </c>
      <c r="AA415" s="197" t="str">
        <f t="shared" si="149"/>
        <v/>
      </c>
      <c r="AB415" s="213"/>
      <c r="AC415" s="204"/>
    </row>
    <row r="416" spans="1:29" ht="11.4">
      <c r="A416" s="211" t="str">
        <f t="shared" si="161"/>
        <v/>
      </c>
      <c r="B416" s="211"/>
      <c r="C416" s="185"/>
      <c r="D416" s="186" t="str">
        <f t="shared" si="150"/>
        <v/>
      </c>
      <c r="E416" s="186" t="str">
        <f>IF(OR(C416="",C416=Data!$B$3),"",IF(C416=Data!$B$4,"L","S"))</f>
        <v/>
      </c>
      <c r="F416" s="186" t="str">
        <f t="shared" si="151"/>
        <v/>
      </c>
      <c r="G416" s="187" t="str">
        <f t="shared" si="142"/>
        <v/>
      </c>
      <c r="H416" s="188"/>
      <c r="I416" s="189" t="str">
        <f t="shared" si="152"/>
        <v/>
      </c>
      <c r="J416" s="189" t="str">
        <f t="shared" si="153"/>
        <v/>
      </c>
      <c r="K416" s="190" t="str">
        <f t="shared" si="154"/>
        <v/>
      </c>
      <c r="L416" s="190" t="str">
        <f t="shared" si="155"/>
        <v/>
      </c>
      <c r="M416" s="214"/>
      <c r="N416" s="214"/>
      <c r="O416" s="189" t="str">
        <f t="shared" si="156"/>
        <v/>
      </c>
      <c r="P416" s="191" t="str">
        <f t="shared" si="143"/>
        <v/>
      </c>
      <c r="Q416" s="192" t="str">
        <f t="shared" si="157"/>
        <v/>
      </c>
      <c r="R416" s="191" t="str">
        <f t="shared" si="144"/>
        <v/>
      </c>
      <c r="S416" s="193" t="str">
        <f t="shared" si="158"/>
        <v/>
      </c>
      <c r="T416" s="194" t="str">
        <f t="shared" si="145"/>
        <v/>
      </c>
      <c r="U416" s="192" t="str">
        <f t="shared" si="159"/>
        <v/>
      </c>
      <c r="V416" s="195" t="str">
        <f t="shared" si="146"/>
        <v/>
      </c>
      <c r="W416" s="195" t="str">
        <f t="shared" si="147"/>
        <v/>
      </c>
      <c r="X416" s="196" t="str">
        <f t="shared" si="160"/>
        <v/>
      </c>
      <c r="Y416" s="191" t="str">
        <f t="shared" si="162"/>
        <v/>
      </c>
      <c r="Z416" s="197" t="str">
        <f t="shared" si="148"/>
        <v/>
      </c>
      <c r="AA416" s="197" t="str">
        <f t="shared" si="149"/>
        <v/>
      </c>
      <c r="AB416" s="213"/>
      <c r="AC416" s="204"/>
    </row>
    <row r="417" spans="1:29" ht="11.4">
      <c r="A417" s="211" t="str">
        <f t="shared" si="161"/>
        <v/>
      </c>
      <c r="B417" s="211"/>
      <c r="C417" s="185"/>
      <c r="D417" s="186" t="str">
        <f t="shared" si="150"/>
        <v/>
      </c>
      <c r="E417" s="186" t="str">
        <f>IF(OR(C417="",C417=Data!$B$3),"",IF(C417=Data!$B$4,"L","S"))</f>
        <v/>
      </c>
      <c r="F417" s="186" t="str">
        <f t="shared" si="151"/>
        <v/>
      </c>
      <c r="G417" s="187" t="str">
        <f t="shared" si="142"/>
        <v/>
      </c>
      <c r="H417" s="188"/>
      <c r="I417" s="189" t="str">
        <f t="shared" si="152"/>
        <v/>
      </c>
      <c r="J417" s="189" t="str">
        <f t="shared" si="153"/>
        <v/>
      </c>
      <c r="K417" s="190" t="str">
        <f t="shared" si="154"/>
        <v/>
      </c>
      <c r="L417" s="190" t="str">
        <f t="shared" si="155"/>
        <v/>
      </c>
      <c r="M417" s="214"/>
      <c r="N417" s="214"/>
      <c r="O417" s="189" t="str">
        <f t="shared" si="156"/>
        <v/>
      </c>
      <c r="P417" s="191" t="str">
        <f t="shared" si="143"/>
        <v/>
      </c>
      <c r="Q417" s="192" t="str">
        <f t="shared" si="157"/>
        <v/>
      </c>
      <c r="R417" s="191" t="str">
        <f t="shared" si="144"/>
        <v/>
      </c>
      <c r="S417" s="193" t="str">
        <f t="shared" si="158"/>
        <v/>
      </c>
      <c r="T417" s="194" t="str">
        <f t="shared" si="145"/>
        <v/>
      </c>
      <c r="U417" s="192" t="str">
        <f t="shared" si="159"/>
        <v/>
      </c>
      <c r="V417" s="195" t="str">
        <f t="shared" si="146"/>
        <v/>
      </c>
      <c r="W417" s="195" t="str">
        <f t="shared" si="147"/>
        <v/>
      </c>
      <c r="X417" s="196" t="str">
        <f t="shared" si="160"/>
        <v/>
      </c>
      <c r="Y417" s="191" t="str">
        <f t="shared" si="162"/>
        <v/>
      </c>
      <c r="Z417" s="197" t="str">
        <f t="shared" si="148"/>
        <v/>
      </c>
      <c r="AA417" s="197" t="str">
        <f t="shared" si="149"/>
        <v/>
      </c>
      <c r="AB417" s="213"/>
      <c r="AC417" s="204"/>
    </row>
    <row r="418" spans="1:29" ht="11.4">
      <c r="A418" s="211" t="str">
        <f t="shared" si="161"/>
        <v/>
      </c>
      <c r="B418" s="211"/>
      <c r="C418" s="185"/>
      <c r="D418" s="186" t="str">
        <f t="shared" si="150"/>
        <v/>
      </c>
      <c r="E418" s="186" t="str">
        <f>IF(OR(C418="",C418=Data!$B$3),"",IF(C418=Data!$B$4,"L","S"))</f>
        <v/>
      </c>
      <c r="F418" s="186" t="str">
        <f t="shared" si="151"/>
        <v/>
      </c>
      <c r="G418" s="187" t="str">
        <f t="shared" si="142"/>
        <v/>
      </c>
      <c r="H418" s="188"/>
      <c r="I418" s="189" t="str">
        <f t="shared" si="152"/>
        <v/>
      </c>
      <c r="J418" s="189" t="str">
        <f t="shared" si="153"/>
        <v/>
      </c>
      <c r="K418" s="190" t="str">
        <f t="shared" si="154"/>
        <v/>
      </c>
      <c r="L418" s="190" t="str">
        <f t="shared" si="155"/>
        <v/>
      </c>
      <c r="M418" s="214"/>
      <c r="N418" s="214"/>
      <c r="O418" s="189" t="str">
        <f t="shared" si="156"/>
        <v/>
      </c>
      <c r="P418" s="191" t="str">
        <f t="shared" si="143"/>
        <v/>
      </c>
      <c r="Q418" s="192" t="str">
        <f t="shared" si="157"/>
        <v/>
      </c>
      <c r="R418" s="191" t="str">
        <f t="shared" si="144"/>
        <v/>
      </c>
      <c r="S418" s="193" t="str">
        <f t="shared" si="158"/>
        <v/>
      </c>
      <c r="T418" s="194" t="str">
        <f t="shared" si="145"/>
        <v/>
      </c>
      <c r="U418" s="192" t="str">
        <f t="shared" si="159"/>
        <v/>
      </c>
      <c r="V418" s="195" t="str">
        <f t="shared" si="146"/>
        <v/>
      </c>
      <c r="W418" s="195" t="str">
        <f t="shared" si="147"/>
        <v/>
      </c>
      <c r="X418" s="196" t="str">
        <f t="shared" si="160"/>
        <v/>
      </c>
      <c r="Y418" s="191" t="str">
        <f t="shared" si="162"/>
        <v/>
      </c>
      <c r="Z418" s="197" t="str">
        <f t="shared" si="148"/>
        <v/>
      </c>
      <c r="AA418" s="197" t="str">
        <f t="shared" si="149"/>
        <v/>
      </c>
      <c r="AB418" s="213"/>
      <c r="AC418" s="204"/>
    </row>
    <row r="419" spans="1:29" ht="11.4">
      <c r="A419" s="211" t="str">
        <f t="shared" si="161"/>
        <v/>
      </c>
      <c r="B419" s="211"/>
      <c r="C419" s="185"/>
      <c r="D419" s="186" t="str">
        <f t="shared" si="150"/>
        <v/>
      </c>
      <c r="E419" s="186" t="str">
        <f>IF(OR(C419="",C419=Data!$B$3),"",IF(C419=Data!$B$4,"L","S"))</f>
        <v/>
      </c>
      <c r="F419" s="186" t="str">
        <f t="shared" si="151"/>
        <v/>
      </c>
      <c r="G419" s="187" t="str">
        <f t="shared" si="142"/>
        <v/>
      </c>
      <c r="H419" s="188"/>
      <c r="I419" s="189" t="str">
        <f t="shared" si="152"/>
        <v/>
      </c>
      <c r="J419" s="189" t="str">
        <f t="shared" si="153"/>
        <v/>
      </c>
      <c r="K419" s="190" t="str">
        <f t="shared" si="154"/>
        <v/>
      </c>
      <c r="L419" s="190" t="str">
        <f t="shared" si="155"/>
        <v/>
      </c>
      <c r="M419" s="214"/>
      <c r="N419" s="214"/>
      <c r="O419" s="189" t="str">
        <f t="shared" si="156"/>
        <v/>
      </c>
      <c r="P419" s="191" t="str">
        <f t="shared" si="143"/>
        <v/>
      </c>
      <c r="Q419" s="192" t="str">
        <f t="shared" si="157"/>
        <v/>
      </c>
      <c r="R419" s="191" t="str">
        <f t="shared" si="144"/>
        <v/>
      </c>
      <c r="S419" s="193" t="str">
        <f t="shared" si="158"/>
        <v/>
      </c>
      <c r="T419" s="194" t="str">
        <f t="shared" si="145"/>
        <v/>
      </c>
      <c r="U419" s="192" t="str">
        <f t="shared" si="159"/>
        <v/>
      </c>
      <c r="V419" s="195" t="str">
        <f t="shared" si="146"/>
        <v/>
      </c>
      <c r="W419" s="195" t="str">
        <f t="shared" si="147"/>
        <v/>
      </c>
      <c r="X419" s="196" t="str">
        <f t="shared" si="160"/>
        <v/>
      </c>
      <c r="Y419" s="191" t="str">
        <f t="shared" si="162"/>
        <v/>
      </c>
      <c r="Z419" s="197" t="str">
        <f t="shared" si="148"/>
        <v/>
      </c>
      <c r="AA419" s="197" t="str">
        <f t="shared" si="149"/>
        <v/>
      </c>
      <c r="AB419" s="213"/>
      <c r="AC419" s="204"/>
    </row>
    <row r="420" spans="1:29" ht="11.4">
      <c r="A420" s="211" t="str">
        <f t="shared" si="161"/>
        <v/>
      </c>
      <c r="B420" s="211"/>
      <c r="C420" s="185"/>
      <c r="D420" s="186" t="str">
        <f t="shared" si="150"/>
        <v/>
      </c>
      <c r="E420" s="186" t="str">
        <f>IF(OR(C420="",C420=Data!$B$3),"",IF(C420=Data!$B$4,"L","S"))</f>
        <v/>
      </c>
      <c r="F420" s="186" t="str">
        <f t="shared" si="151"/>
        <v/>
      </c>
      <c r="G420" s="187" t="str">
        <f t="shared" si="142"/>
        <v/>
      </c>
      <c r="H420" s="188"/>
      <c r="I420" s="189" t="str">
        <f t="shared" si="152"/>
        <v/>
      </c>
      <c r="J420" s="189" t="str">
        <f t="shared" si="153"/>
        <v/>
      </c>
      <c r="K420" s="190" t="str">
        <f t="shared" si="154"/>
        <v/>
      </c>
      <c r="L420" s="190" t="str">
        <f t="shared" si="155"/>
        <v/>
      </c>
      <c r="M420" s="214"/>
      <c r="N420" s="214"/>
      <c r="O420" s="189" t="str">
        <f t="shared" si="156"/>
        <v/>
      </c>
      <c r="P420" s="191" t="str">
        <f t="shared" si="143"/>
        <v/>
      </c>
      <c r="Q420" s="192" t="str">
        <f t="shared" si="157"/>
        <v/>
      </c>
      <c r="R420" s="191" t="str">
        <f t="shared" si="144"/>
        <v/>
      </c>
      <c r="S420" s="193" t="str">
        <f t="shared" si="158"/>
        <v/>
      </c>
      <c r="T420" s="194" t="str">
        <f t="shared" si="145"/>
        <v/>
      </c>
      <c r="U420" s="192" t="str">
        <f t="shared" si="159"/>
        <v/>
      </c>
      <c r="V420" s="195" t="str">
        <f t="shared" si="146"/>
        <v/>
      </c>
      <c r="W420" s="195" t="str">
        <f t="shared" si="147"/>
        <v/>
      </c>
      <c r="X420" s="196" t="str">
        <f t="shared" si="160"/>
        <v/>
      </c>
      <c r="Y420" s="191" t="str">
        <f t="shared" si="162"/>
        <v/>
      </c>
      <c r="Z420" s="197" t="str">
        <f t="shared" si="148"/>
        <v/>
      </c>
      <c r="AA420" s="197" t="str">
        <f t="shared" si="149"/>
        <v/>
      </c>
      <c r="AB420" s="213"/>
      <c r="AC420" s="204"/>
    </row>
    <row r="421" spans="1:29" ht="11.4">
      <c r="A421" s="211" t="str">
        <f t="shared" si="161"/>
        <v/>
      </c>
      <c r="B421" s="211"/>
      <c r="C421" s="185"/>
      <c r="D421" s="186" t="str">
        <f t="shared" si="150"/>
        <v/>
      </c>
      <c r="E421" s="186" t="str">
        <f>IF(OR(C421="",C421=Data!$B$3),"",IF(C421=Data!$B$4,"L","S"))</f>
        <v/>
      </c>
      <c r="F421" s="186" t="str">
        <f t="shared" si="151"/>
        <v/>
      </c>
      <c r="G421" s="187" t="str">
        <f t="shared" si="142"/>
        <v/>
      </c>
      <c r="H421" s="188"/>
      <c r="I421" s="189" t="str">
        <f t="shared" si="152"/>
        <v/>
      </c>
      <c r="J421" s="189" t="str">
        <f t="shared" si="153"/>
        <v/>
      </c>
      <c r="K421" s="190" t="str">
        <f t="shared" si="154"/>
        <v/>
      </c>
      <c r="L421" s="190" t="str">
        <f t="shared" si="155"/>
        <v/>
      </c>
      <c r="M421" s="214"/>
      <c r="N421" s="214"/>
      <c r="O421" s="189" t="str">
        <f t="shared" si="156"/>
        <v/>
      </c>
      <c r="P421" s="191" t="str">
        <f t="shared" si="143"/>
        <v/>
      </c>
      <c r="Q421" s="192" t="str">
        <f t="shared" si="157"/>
        <v/>
      </c>
      <c r="R421" s="191" t="str">
        <f t="shared" si="144"/>
        <v/>
      </c>
      <c r="S421" s="193" t="str">
        <f t="shared" si="158"/>
        <v/>
      </c>
      <c r="T421" s="194" t="str">
        <f t="shared" si="145"/>
        <v/>
      </c>
      <c r="U421" s="192" t="str">
        <f t="shared" si="159"/>
        <v/>
      </c>
      <c r="V421" s="195" t="str">
        <f t="shared" si="146"/>
        <v/>
      </c>
      <c r="W421" s="195" t="str">
        <f t="shared" si="147"/>
        <v/>
      </c>
      <c r="X421" s="196" t="str">
        <f t="shared" si="160"/>
        <v/>
      </c>
      <c r="Y421" s="191" t="str">
        <f t="shared" si="162"/>
        <v/>
      </c>
      <c r="Z421" s="197" t="str">
        <f t="shared" si="148"/>
        <v/>
      </c>
      <c r="AA421" s="197" t="str">
        <f t="shared" si="149"/>
        <v/>
      </c>
      <c r="AB421" s="213"/>
      <c r="AC421" s="204"/>
    </row>
    <row r="422" spans="1:29" ht="11.4">
      <c r="A422" s="211" t="str">
        <f t="shared" si="161"/>
        <v/>
      </c>
      <c r="B422" s="211"/>
      <c r="C422" s="185"/>
      <c r="D422" s="186" t="str">
        <f t="shared" si="150"/>
        <v/>
      </c>
      <c r="E422" s="186" t="str">
        <f>IF(OR(C422="",C422=Data!$B$3),"",IF(C422=Data!$B$4,"L","S"))</f>
        <v/>
      </c>
      <c r="F422" s="186" t="str">
        <f t="shared" si="151"/>
        <v/>
      </c>
      <c r="G422" s="187" t="str">
        <f t="shared" si="142"/>
        <v/>
      </c>
      <c r="H422" s="188"/>
      <c r="I422" s="189" t="str">
        <f t="shared" si="152"/>
        <v/>
      </c>
      <c r="J422" s="189" t="str">
        <f t="shared" si="153"/>
        <v/>
      </c>
      <c r="K422" s="190" t="str">
        <f t="shared" si="154"/>
        <v/>
      </c>
      <c r="L422" s="190" t="str">
        <f t="shared" si="155"/>
        <v/>
      </c>
      <c r="M422" s="214"/>
      <c r="N422" s="214"/>
      <c r="O422" s="189" t="str">
        <f t="shared" si="156"/>
        <v/>
      </c>
      <c r="P422" s="191" t="str">
        <f t="shared" si="143"/>
        <v/>
      </c>
      <c r="Q422" s="192" t="str">
        <f t="shared" si="157"/>
        <v/>
      </c>
      <c r="R422" s="191" t="str">
        <f t="shared" si="144"/>
        <v/>
      </c>
      <c r="S422" s="193" t="str">
        <f t="shared" si="158"/>
        <v/>
      </c>
      <c r="T422" s="194" t="str">
        <f t="shared" si="145"/>
        <v/>
      </c>
      <c r="U422" s="192" t="str">
        <f t="shared" si="159"/>
        <v/>
      </c>
      <c r="V422" s="195" t="str">
        <f t="shared" si="146"/>
        <v/>
      </c>
      <c r="W422" s="195" t="str">
        <f t="shared" si="147"/>
        <v/>
      </c>
      <c r="X422" s="196" t="str">
        <f t="shared" si="160"/>
        <v/>
      </c>
      <c r="Y422" s="191" t="str">
        <f t="shared" si="162"/>
        <v/>
      </c>
      <c r="Z422" s="197" t="str">
        <f t="shared" si="148"/>
        <v/>
      </c>
      <c r="AA422" s="197" t="str">
        <f t="shared" si="149"/>
        <v/>
      </c>
      <c r="AB422" s="213"/>
      <c r="AC422" s="204"/>
    </row>
    <row r="423" spans="1:29" ht="11.4">
      <c r="A423" s="211" t="str">
        <f t="shared" si="161"/>
        <v/>
      </c>
      <c r="B423" s="211"/>
      <c r="C423" s="185"/>
      <c r="D423" s="186" t="str">
        <f t="shared" si="150"/>
        <v/>
      </c>
      <c r="E423" s="186" t="str">
        <f>IF(OR(C423="",C423=Data!$B$3),"",IF(C423=Data!$B$4,"L","S"))</f>
        <v/>
      </c>
      <c r="F423" s="186" t="str">
        <f t="shared" si="151"/>
        <v/>
      </c>
      <c r="G423" s="187" t="str">
        <f t="shared" si="142"/>
        <v/>
      </c>
      <c r="H423" s="188"/>
      <c r="I423" s="189" t="str">
        <f t="shared" si="152"/>
        <v/>
      </c>
      <c r="J423" s="189" t="str">
        <f t="shared" si="153"/>
        <v/>
      </c>
      <c r="K423" s="190" t="str">
        <f t="shared" si="154"/>
        <v/>
      </c>
      <c r="L423" s="190" t="str">
        <f t="shared" si="155"/>
        <v/>
      </c>
      <c r="M423" s="214"/>
      <c r="N423" s="214"/>
      <c r="O423" s="189" t="str">
        <f t="shared" si="156"/>
        <v/>
      </c>
      <c r="P423" s="191" t="str">
        <f t="shared" si="143"/>
        <v/>
      </c>
      <c r="Q423" s="192" t="str">
        <f t="shared" si="157"/>
        <v/>
      </c>
      <c r="R423" s="191" t="str">
        <f t="shared" si="144"/>
        <v/>
      </c>
      <c r="S423" s="193" t="str">
        <f t="shared" si="158"/>
        <v/>
      </c>
      <c r="T423" s="194" t="str">
        <f t="shared" si="145"/>
        <v/>
      </c>
      <c r="U423" s="192" t="str">
        <f t="shared" si="159"/>
        <v/>
      </c>
      <c r="V423" s="195" t="str">
        <f t="shared" si="146"/>
        <v/>
      </c>
      <c r="W423" s="195" t="str">
        <f t="shared" si="147"/>
        <v/>
      </c>
      <c r="X423" s="196" t="str">
        <f t="shared" si="160"/>
        <v/>
      </c>
      <c r="Y423" s="191" t="str">
        <f t="shared" si="162"/>
        <v/>
      </c>
      <c r="Z423" s="197" t="str">
        <f t="shared" si="148"/>
        <v/>
      </c>
      <c r="AA423" s="197" t="str">
        <f t="shared" si="149"/>
        <v/>
      </c>
      <c r="AB423" s="213"/>
      <c r="AC423" s="204"/>
    </row>
    <row r="424" spans="1:29" ht="11.4">
      <c r="A424" s="211" t="str">
        <f t="shared" si="161"/>
        <v/>
      </c>
      <c r="B424" s="211"/>
      <c r="C424" s="185"/>
      <c r="D424" s="186" t="str">
        <f t="shared" si="150"/>
        <v/>
      </c>
      <c r="E424" s="186" t="str">
        <f>IF(OR(C424="",C424=Data!$B$3),"",IF(C424=Data!$B$4,"L","S"))</f>
        <v/>
      </c>
      <c r="F424" s="186" t="str">
        <f t="shared" si="151"/>
        <v/>
      </c>
      <c r="G424" s="187" t="str">
        <f t="shared" si="142"/>
        <v/>
      </c>
      <c r="H424" s="188"/>
      <c r="I424" s="189" t="str">
        <f t="shared" si="152"/>
        <v/>
      </c>
      <c r="J424" s="189" t="str">
        <f t="shared" si="153"/>
        <v/>
      </c>
      <c r="K424" s="190" t="str">
        <f t="shared" si="154"/>
        <v/>
      </c>
      <c r="L424" s="190" t="str">
        <f t="shared" si="155"/>
        <v/>
      </c>
      <c r="M424" s="214"/>
      <c r="N424" s="214"/>
      <c r="O424" s="189" t="str">
        <f t="shared" si="156"/>
        <v/>
      </c>
      <c r="P424" s="191" t="str">
        <f t="shared" si="143"/>
        <v/>
      </c>
      <c r="Q424" s="192" t="str">
        <f t="shared" si="157"/>
        <v/>
      </c>
      <c r="R424" s="191" t="str">
        <f t="shared" si="144"/>
        <v/>
      </c>
      <c r="S424" s="193" t="str">
        <f t="shared" si="158"/>
        <v/>
      </c>
      <c r="T424" s="194" t="str">
        <f t="shared" si="145"/>
        <v/>
      </c>
      <c r="U424" s="192" t="str">
        <f t="shared" si="159"/>
        <v/>
      </c>
      <c r="V424" s="195" t="str">
        <f t="shared" si="146"/>
        <v/>
      </c>
      <c r="W424" s="195" t="str">
        <f t="shared" si="147"/>
        <v/>
      </c>
      <c r="X424" s="196" t="str">
        <f t="shared" si="160"/>
        <v/>
      </c>
      <c r="Y424" s="191" t="str">
        <f t="shared" si="162"/>
        <v/>
      </c>
      <c r="Z424" s="197" t="str">
        <f t="shared" si="148"/>
        <v/>
      </c>
      <c r="AA424" s="197" t="str">
        <f t="shared" si="149"/>
        <v/>
      </c>
      <c r="AB424" s="213"/>
      <c r="AC424" s="204"/>
    </row>
    <row r="425" spans="1:29" ht="11.4">
      <c r="A425" s="211" t="str">
        <f t="shared" si="161"/>
        <v/>
      </c>
      <c r="B425" s="211"/>
      <c r="C425" s="185"/>
      <c r="D425" s="186" t="str">
        <f t="shared" si="150"/>
        <v/>
      </c>
      <c r="E425" s="186" t="str">
        <f>IF(OR(C425="",C425=Data!$B$3),"",IF(C425=Data!$B$4,"L","S"))</f>
        <v/>
      </c>
      <c r="F425" s="186" t="str">
        <f t="shared" si="151"/>
        <v/>
      </c>
      <c r="G425" s="187" t="str">
        <f t="shared" si="142"/>
        <v/>
      </c>
      <c r="H425" s="188"/>
      <c r="I425" s="189" t="str">
        <f t="shared" si="152"/>
        <v/>
      </c>
      <c r="J425" s="189" t="str">
        <f t="shared" si="153"/>
        <v/>
      </c>
      <c r="K425" s="190" t="str">
        <f t="shared" si="154"/>
        <v/>
      </c>
      <c r="L425" s="190" t="str">
        <f t="shared" si="155"/>
        <v/>
      </c>
      <c r="M425" s="214"/>
      <c r="N425" s="214"/>
      <c r="O425" s="189" t="str">
        <f t="shared" si="156"/>
        <v/>
      </c>
      <c r="P425" s="191" t="str">
        <f t="shared" si="143"/>
        <v/>
      </c>
      <c r="Q425" s="192" t="str">
        <f t="shared" si="157"/>
        <v/>
      </c>
      <c r="R425" s="191" t="str">
        <f t="shared" si="144"/>
        <v/>
      </c>
      <c r="S425" s="193" t="str">
        <f t="shared" si="158"/>
        <v/>
      </c>
      <c r="T425" s="194" t="str">
        <f t="shared" si="145"/>
        <v/>
      </c>
      <c r="U425" s="192" t="str">
        <f t="shared" si="159"/>
        <v/>
      </c>
      <c r="V425" s="195" t="str">
        <f t="shared" si="146"/>
        <v/>
      </c>
      <c r="W425" s="195" t="str">
        <f t="shared" si="147"/>
        <v/>
      </c>
      <c r="X425" s="196" t="str">
        <f t="shared" si="160"/>
        <v/>
      </c>
      <c r="Y425" s="191" t="str">
        <f t="shared" si="162"/>
        <v/>
      </c>
      <c r="Z425" s="197" t="str">
        <f t="shared" si="148"/>
        <v/>
      </c>
      <c r="AA425" s="197" t="str">
        <f t="shared" si="149"/>
        <v/>
      </c>
      <c r="AB425" s="213"/>
      <c r="AC425" s="204"/>
    </row>
    <row r="426" spans="1:29" ht="11.4">
      <c r="A426" s="211" t="str">
        <f t="shared" si="161"/>
        <v/>
      </c>
      <c r="B426" s="211"/>
      <c r="C426" s="185"/>
      <c r="D426" s="186" t="str">
        <f t="shared" si="150"/>
        <v/>
      </c>
      <c r="E426" s="186" t="str">
        <f>IF(OR(C426="",C426=Data!$B$3),"",IF(C426=Data!$B$4,"L","S"))</f>
        <v/>
      </c>
      <c r="F426" s="186" t="str">
        <f t="shared" si="151"/>
        <v/>
      </c>
      <c r="G426" s="187" t="str">
        <f t="shared" si="142"/>
        <v/>
      </c>
      <c r="H426" s="188"/>
      <c r="I426" s="189" t="str">
        <f t="shared" si="152"/>
        <v/>
      </c>
      <c r="J426" s="189" t="str">
        <f t="shared" si="153"/>
        <v/>
      </c>
      <c r="K426" s="190" t="str">
        <f t="shared" si="154"/>
        <v/>
      </c>
      <c r="L426" s="190" t="str">
        <f t="shared" si="155"/>
        <v/>
      </c>
      <c r="M426" s="214"/>
      <c r="N426" s="214"/>
      <c r="O426" s="189" t="str">
        <f t="shared" si="156"/>
        <v/>
      </c>
      <c r="P426" s="191" t="str">
        <f t="shared" si="143"/>
        <v/>
      </c>
      <c r="Q426" s="192" t="str">
        <f t="shared" si="157"/>
        <v/>
      </c>
      <c r="R426" s="191" t="str">
        <f t="shared" si="144"/>
        <v/>
      </c>
      <c r="S426" s="193" t="str">
        <f t="shared" si="158"/>
        <v/>
      </c>
      <c r="T426" s="194" t="str">
        <f t="shared" si="145"/>
        <v/>
      </c>
      <c r="U426" s="192" t="str">
        <f t="shared" si="159"/>
        <v/>
      </c>
      <c r="V426" s="195" t="str">
        <f t="shared" si="146"/>
        <v/>
      </c>
      <c r="W426" s="195" t="str">
        <f t="shared" si="147"/>
        <v/>
      </c>
      <c r="X426" s="196" t="str">
        <f t="shared" si="160"/>
        <v/>
      </c>
      <c r="Y426" s="191" t="str">
        <f t="shared" si="162"/>
        <v/>
      </c>
      <c r="Z426" s="197" t="str">
        <f t="shared" si="148"/>
        <v/>
      </c>
      <c r="AA426" s="197" t="str">
        <f t="shared" si="149"/>
        <v/>
      </c>
      <c r="AB426" s="213"/>
      <c r="AC426" s="204"/>
    </row>
    <row r="427" spans="1:29" ht="11.4">
      <c r="A427" s="211" t="str">
        <f t="shared" si="161"/>
        <v/>
      </c>
      <c r="B427" s="211"/>
      <c r="C427" s="185"/>
      <c r="D427" s="186" t="str">
        <f t="shared" si="150"/>
        <v/>
      </c>
      <c r="E427" s="186" t="str">
        <f>IF(OR(C427="",C427=Data!$B$3),"",IF(C427=Data!$B$4,"L","S"))</f>
        <v/>
      </c>
      <c r="F427" s="186" t="str">
        <f t="shared" si="151"/>
        <v/>
      </c>
      <c r="G427" s="187" t="str">
        <f t="shared" si="142"/>
        <v/>
      </c>
      <c r="H427" s="188"/>
      <c r="I427" s="189" t="str">
        <f t="shared" si="152"/>
        <v/>
      </c>
      <c r="J427" s="189" t="str">
        <f t="shared" si="153"/>
        <v/>
      </c>
      <c r="K427" s="190" t="str">
        <f t="shared" si="154"/>
        <v/>
      </c>
      <c r="L427" s="190" t="str">
        <f t="shared" si="155"/>
        <v/>
      </c>
      <c r="M427" s="214"/>
      <c r="N427" s="214"/>
      <c r="O427" s="189" t="str">
        <f t="shared" si="156"/>
        <v/>
      </c>
      <c r="P427" s="191" t="str">
        <f t="shared" si="143"/>
        <v/>
      </c>
      <c r="Q427" s="192" t="str">
        <f t="shared" si="157"/>
        <v/>
      </c>
      <c r="R427" s="191" t="str">
        <f t="shared" si="144"/>
        <v/>
      </c>
      <c r="S427" s="193" t="str">
        <f t="shared" si="158"/>
        <v/>
      </c>
      <c r="T427" s="194" t="str">
        <f t="shared" si="145"/>
        <v/>
      </c>
      <c r="U427" s="192" t="str">
        <f t="shared" si="159"/>
        <v/>
      </c>
      <c r="V427" s="195" t="str">
        <f t="shared" si="146"/>
        <v/>
      </c>
      <c r="W427" s="195" t="str">
        <f t="shared" si="147"/>
        <v/>
      </c>
      <c r="X427" s="196" t="str">
        <f t="shared" si="160"/>
        <v/>
      </c>
      <c r="Y427" s="191" t="str">
        <f t="shared" si="162"/>
        <v/>
      </c>
      <c r="Z427" s="197" t="str">
        <f t="shared" si="148"/>
        <v/>
      </c>
      <c r="AA427" s="197" t="str">
        <f t="shared" si="149"/>
        <v/>
      </c>
      <c r="AB427" s="213"/>
      <c r="AC427" s="204"/>
    </row>
    <row r="428" spans="1:29" ht="11.4">
      <c r="A428" s="211" t="str">
        <f t="shared" si="161"/>
        <v/>
      </c>
      <c r="B428" s="211"/>
      <c r="C428" s="185"/>
      <c r="D428" s="186" t="str">
        <f t="shared" si="150"/>
        <v/>
      </c>
      <c r="E428" s="186" t="str">
        <f>IF(OR(C428="",C428=Data!$B$3),"",IF(C428=Data!$B$4,"L","S"))</f>
        <v/>
      </c>
      <c r="F428" s="186" t="str">
        <f t="shared" si="151"/>
        <v/>
      </c>
      <c r="G428" s="187" t="str">
        <f t="shared" si="142"/>
        <v/>
      </c>
      <c r="H428" s="188"/>
      <c r="I428" s="189" t="str">
        <f t="shared" si="152"/>
        <v/>
      </c>
      <c r="J428" s="189" t="str">
        <f t="shared" si="153"/>
        <v/>
      </c>
      <c r="K428" s="190" t="str">
        <f t="shared" si="154"/>
        <v/>
      </c>
      <c r="L428" s="190" t="str">
        <f t="shared" si="155"/>
        <v/>
      </c>
      <c r="M428" s="214"/>
      <c r="N428" s="214"/>
      <c r="O428" s="189" t="str">
        <f t="shared" si="156"/>
        <v/>
      </c>
      <c r="P428" s="191" t="str">
        <f t="shared" si="143"/>
        <v/>
      </c>
      <c r="Q428" s="192" t="str">
        <f t="shared" si="157"/>
        <v/>
      </c>
      <c r="R428" s="191" t="str">
        <f t="shared" si="144"/>
        <v/>
      </c>
      <c r="S428" s="193" t="str">
        <f t="shared" si="158"/>
        <v/>
      </c>
      <c r="T428" s="194" t="str">
        <f t="shared" si="145"/>
        <v/>
      </c>
      <c r="U428" s="192" t="str">
        <f t="shared" si="159"/>
        <v/>
      </c>
      <c r="V428" s="195" t="str">
        <f t="shared" si="146"/>
        <v/>
      </c>
      <c r="W428" s="195" t="str">
        <f t="shared" si="147"/>
        <v/>
      </c>
      <c r="X428" s="196" t="str">
        <f t="shared" si="160"/>
        <v/>
      </c>
      <c r="Y428" s="191" t="str">
        <f t="shared" si="162"/>
        <v/>
      </c>
      <c r="Z428" s="197" t="str">
        <f t="shared" si="148"/>
        <v/>
      </c>
      <c r="AA428" s="197" t="str">
        <f t="shared" si="149"/>
        <v/>
      </c>
      <c r="AB428" s="213"/>
      <c r="AC428" s="204"/>
    </row>
    <row r="429" spans="1:29" ht="11.4">
      <c r="A429" s="211" t="str">
        <f t="shared" si="161"/>
        <v/>
      </c>
      <c r="B429" s="211"/>
      <c r="C429" s="185"/>
      <c r="D429" s="186" t="str">
        <f t="shared" si="150"/>
        <v/>
      </c>
      <c r="E429" s="186" t="str">
        <f>IF(OR(C429="",C429=Data!$B$3),"",IF(C429=Data!$B$4,"L","S"))</f>
        <v/>
      </c>
      <c r="F429" s="186" t="str">
        <f t="shared" si="151"/>
        <v/>
      </c>
      <c r="G429" s="187" t="str">
        <f t="shared" si="142"/>
        <v/>
      </c>
      <c r="H429" s="188"/>
      <c r="I429" s="189" t="str">
        <f t="shared" si="152"/>
        <v/>
      </c>
      <c r="J429" s="189" t="str">
        <f t="shared" si="153"/>
        <v/>
      </c>
      <c r="K429" s="190" t="str">
        <f t="shared" si="154"/>
        <v/>
      </c>
      <c r="L429" s="190" t="str">
        <f t="shared" si="155"/>
        <v/>
      </c>
      <c r="M429" s="214"/>
      <c r="N429" s="214"/>
      <c r="O429" s="189" t="str">
        <f t="shared" si="156"/>
        <v/>
      </c>
      <c r="P429" s="191" t="str">
        <f t="shared" si="143"/>
        <v/>
      </c>
      <c r="Q429" s="192" t="str">
        <f t="shared" si="157"/>
        <v/>
      </c>
      <c r="R429" s="191" t="str">
        <f t="shared" si="144"/>
        <v/>
      </c>
      <c r="S429" s="193" t="str">
        <f t="shared" si="158"/>
        <v/>
      </c>
      <c r="T429" s="194" t="str">
        <f t="shared" si="145"/>
        <v/>
      </c>
      <c r="U429" s="192" t="str">
        <f t="shared" si="159"/>
        <v/>
      </c>
      <c r="V429" s="195" t="str">
        <f t="shared" si="146"/>
        <v/>
      </c>
      <c r="W429" s="195" t="str">
        <f t="shared" si="147"/>
        <v/>
      </c>
      <c r="X429" s="196" t="str">
        <f t="shared" si="160"/>
        <v/>
      </c>
      <c r="Y429" s="191" t="str">
        <f t="shared" si="162"/>
        <v/>
      </c>
      <c r="Z429" s="197" t="str">
        <f t="shared" si="148"/>
        <v/>
      </c>
      <c r="AA429" s="197" t="str">
        <f t="shared" si="149"/>
        <v/>
      </c>
      <c r="AB429" s="213"/>
      <c r="AC429" s="204"/>
    </row>
    <row r="430" spans="1:29" ht="11.4">
      <c r="A430" s="211" t="str">
        <f t="shared" si="161"/>
        <v/>
      </c>
      <c r="B430" s="211"/>
      <c r="C430" s="185"/>
      <c r="D430" s="186" t="str">
        <f t="shared" si="150"/>
        <v/>
      </c>
      <c r="E430" s="186" t="str">
        <f>IF(OR(C430="",C430=Data!$B$3),"",IF(C430=Data!$B$4,"L","S"))</f>
        <v/>
      </c>
      <c r="F430" s="186" t="str">
        <f t="shared" si="151"/>
        <v/>
      </c>
      <c r="G430" s="187" t="str">
        <f t="shared" si="142"/>
        <v/>
      </c>
      <c r="H430" s="188"/>
      <c r="I430" s="189" t="str">
        <f t="shared" si="152"/>
        <v/>
      </c>
      <c r="J430" s="189" t="str">
        <f t="shared" si="153"/>
        <v/>
      </c>
      <c r="K430" s="190" t="str">
        <f t="shared" si="154"/>
        <v/>
      </c>
      <c r="L430" s="190" t="str">
        <f t="shared" si="155"/>
        <v/>
      </c>
      <c r="M430" s="214"/>
      <c r="N430" s="214"/>
      <c r="O430" s="189" t="str">
        <f t="shared" si="156"/>
        <v/>
      </c>
      <c r="P430" s="191" t="str">
        <f t="shared" si="143"/>
        <v/>
      </c>
      <c r="Q430" s="192" t="str">
        <f t="shared" si="157"/>
        <v/>
      </c>
      <c r="R430" s="191" t="str">
        <f t="shared" si="144"/>
        <v/>
      </c>
      <c r="S430" s="193" t="str">
        <f t="shared" si="158"/>
        <v/>
      </c>
      <c r="T430" s="194" t="str">
        <f t="shared" si="145"/>
        <v/>
      </c>
      <c r="U430" s="192" t="str">
        <f t="shared" si="159"/>
        <v/>
      </c>
      <c r="V430" s="195" t="str">
        <f t="shared" si="146"/>
        <v/>
      </c>
      <c r="W430" s="195" t="str">
        <f t="shared" si="147"/>
        <v/>
      </c>
      <c r="X430" s="196" t="str">
        <f t="shared" si="160"/>
        <v/>
      </c>
      <c r="Y430" s="191" t="str">
        <f t="shared" si="162"/>
        <v/>
      </c>
      <c r="Z430" s="197" t="str">
        <f t="shared" si="148"/>
        <v/>
      </c>
      <c r="AA430" s="197" t="str">
        <f t="shared" si="149"/>
        <v/>
      </c>
      <c r="AB430" s="213"/>
      <c r="AC430" s="204"/>
    </row>
    <row r="431" spans="1:29" ht="11.4">
      <c r="A431" s="211" t="str">
        <f t="shared" si="161"/>
        <v/>
      </c>
      <c r="B431" s="211"/>
      <c r="C431" s="185"/>
      <c r="D431" s="186" t="str">
        <f t="shared" si="150"/>
        <v/>
      </c>
      <c r="E431" s="186" t="str">
        <f>IF(OR(C431="",C431=Data!$B$3),"",IF(C431=Data!$B$4,"L","S"))</f>
        <v/>
      </c>
      <c r="F431" s="186" t="str">
        <f t="shared" si="151"/>
        <v/>
      </c>
      <c r="G431" s="187" t="str">
        <f t="shared" si="142"/>
        <v/>
      </c>
      <c r="H431" s="188"/>
      <c r="I431" s="189" t="str">
        <f t="shared" si="152"/>
        <v/>
      </c>
      <c r="J431" s="189" t="str">
        <f t="shared" si="153"/>
        <v/>
      </c>
      <c r="K431" s="190" t="str">
        <f t="shared" si="154"/>
        <v/>
      </c>
      <c r="L431" s="190" t="str">
        <f t="shared" si="155"/>
        <v/>
      </c>
      <c r="M431" s="214"/>
      <c r="N431" s="214"/>
      <c r="O431" s="189" t="str">
        <f t="shared" si="156"/>
        <v/>
      </c>
      <c r="P431" s="191" t="str">
        <f t="shared" si="143"/>
        <v/>
      </c>
      <c r="Q431" s="192" t="str">
        <f t="shared" si="157"/>
        <v/>
      </c>
      <c r="R431" s="191" t="str">
        <f t="shared" si="144"/>
        <v/>
      </c>
      <c r="S431" s="193" t="str">
        <f t="shared" si="158"/>
        <v/>
      </c>
      <c r="T431" s="194" t="str">
        <f t="shared" si="145"/>
        <v/>
      </c>
      <c r="U431" s="192" t="str">
        <f t="shared" si="159"/>
        <v/>
      </c>
      <c r="V431" s="195" t="str">
        <f t="shared" si="146"/>
        <v/>
      </c>
      <c r="W431" s="195" t="str">
        <f t="shared" si="147"/>
        <v/>
      </c>
      <c r="X431" s="196" t="str">
        <f t="shared" si="160"/>
        <v/>
      </c>
      <c r="Y431" s="191" t="str">
        <f t="shared" si="162"/>
        <v/>
      </c>
      <c r="Z431" s="197" t="str">
        <f t="shared" si="148"/>
        <v/>
      </c>
      <c r="AA431" s="197" t="str">
        <f t="shared" si="149"/>
        <v/>
      </c>
      <c r="AB431" s="213"/>
      <c r="AC431" s="204"/>
    </row>
    <row r="432" spans="1:29" ht="11.4">
      <c r="A432" s="211" t="str">
        <f t="shared" si="161"/>
        <v/>
      </c>
      <c r="B432" s="211"/>
      <c r="C432" s="185"/>
      <c r="D432" s="186" t="str">
        <f t="shared" si="150"/>
        <v/>
      </c>
      <c r="E432" s="186" t="str">
        <f>IF(OR(C432="",C432=Data!$B$3),"",IF(C432=Data!$B$4,"L","S"))</f>
        <v/>
      </c>
      <c r="F432" s="186" t="str">
        <f t="shared" si="151"/>
        <v/>
      </c>
      <c r="G432" s="187" t="str">
        <f t="shared" si="142"/>
        <v/>
      </c>
      <c r="H432" s="188"/>
      <c r="I432" s="189" t="str">
        <f t="shared" si="152"/>
        <v/>
      </c>
      <c r="J432" s="189" t="str">
        <f t="shared" si="153"/>
        <v/>
      </c>
      <c r="K432" s="190" t="str">
        <f t="shared" si="154"/>
        <v/>
      </c>
      <c r="L432" s="190" t="str">
        <f t="shared" si="155"/>
        <v/>
      </c>
      <c r="M432" s="214"/>
      <c r="N432" s="214"/>
      <c r="O432" s="189" t="str">
        <f t="shared" si="156"/>
        <v/>
      </c>
      <c r="P432" s="191" t="str">
        <f t="shared" si="143"/>
        <v/>
      </c>
      <c r="Q432" s="192" t="str">
        <f t="shared" si="157"/>
        <v/>
      </c>
      <c r="R432" s="191" t="str">
        <f t="shared" si="144"/>
        <v/>
      </c>
      <c r="S432" s="193" t="str">
        <f t="shared" si="158"/>
        <v/>
      </c>
      <c r="T432" s="194" t="str">
        <f t="shared" si="145"/>
        <v/>
      </c>
      <c r="U432" s="192" t="str">
        <f t="shared" si="159"/>
        <v/>
      </c>
      <c r="V432" s="195" t="str">
        <f t="shared" si="146"/>
        <v/>
      </c>
      <c r="W432" s="195" t="str">
        <f t="shared" si="147"/>
        <v/>
      </c>
      <c r="X432" s="196" t="str">
        <f t="shared" si="160"/>
        <v/>
      </c>
      <c r="Y432" s="191" t="str">
        <f t="shared" si="162"/>
        <v/>
      </c>
      <c r="Z432" s="197" t="str">
        <f t="shared" si="148"/>
        <v/>
      </c>
      <c r="AA432" s="197" t="str">
        <f t="shared" si="149"/>
        <v/>
      </c>
      <c r="AB432" s="213"/>
      <c r="AC432" s="204"/>
    </row>
    <row r="433" spans="1:29" ht="11.4">
      <c r="A433" s="211" t="str">
        <f t="shared" si="161"/>
        <v/>
      </c>
      <c r="B433" s="211"/>
      <c r="C433" s="185"/>
      <c r="D433" s="186" t="str">
        <f t="shared" si="150"/>
        <v/>
      </c>
      <c r="E433" s="186" t="str">
        <f>IF(OR(C433="",C433=Data!$B$3),"",IF(C433=Data!$B$4,"L","S"))</f>
        <v/>
      </c>
      <c r="F433" s="186" t="str">
        <f t="shared" si="151"/>
        <v/>
      </c>
      <c r="G433" s="187" t="str">
        <f t="shared" si="142"/>
        <v/>
      </c>
      <c r="H433" s="188"/>
      <c r="I433" s="189" t="str">
        <f t="shared" si="152"/>
        <v/>
      </c>
      <c r="J433" s="189" t="str">
        <f t="shared" si="153"/>
        <v/>
      </c>
      <c r="K433" s="190" t="str">
        <f t="shared" si="154"/>
        <v/>
      </c>
      <c r="L433" s="190" t="str">
        <f t="shared" si="155"/>
        <v/>
      </c>
      <c r="M433" s="214"/>
      <c r="N433" s="214"/>
      <c r="O433" s="189" t="str">
        <f t="shared" si="156"/>
        <v/>
      </c>
      <c r="P433" s="191" t="str">
        <f t="shared" si="143"/>
        <v/>
      </c>
      <c r="Q433" s="192" t="str">
        <f t="shared" si="157"/>
        <v/>
      </c>
      <c r="R433" s="191" t="str">
        <f t="shared" si="144"/>
        <v/>
      </c>
      <c r="S433" s="193" t="str">
        <f t="shared" si="158"/>
        <v/>
      </c>
      <c r="T433" s="194" t="str">
        <f t="shared" si="145"/>
        <v/>
      </c>
      <c r="U433" s="192" t="str">
        <f t="shared" si="159"/>
        <v/>
      </c>
      <c r="V433" s="195" t="str">
        <f t="shared" si="146"/>
        <v/>
      </c>
      <c r="W433" s="195" t="str">
        <f t="shared" si="147"/>
        <v/>
      </c>
      <c r="X433" s="196" t="str">
        <f t="shared" si="160"/>
        <v/>
      </c>
      <c r="Y433" s="191" t="str">
        <f t="shared" si="162"/>
        <v/>
      </c>
      <c r="Z433" s="197" t="str">
        <f t="shared" si="148"/>
        <v/>
      </c>
      <c r="AA433" s="197" t="str">
        <f t="shared" si="149"/>
        <v/>
      </c>
      <c r="AB433" s="213"/>
      <c r="AC433" s="204"/>
    </row>
    <row r="434" spans="1:29" ht="11.4">
      <c r="A434" s="211" t="str">
        <f t="shared" si="161"/>
        <v/>
      </c>
      <c r="B434" s="211"/>
      <c r="C434" s="185"/>
      <c r="D434" s="186" t="str">
        <f t="shared" si="150"/>
        <v/>
      </c>
      <c r="E434" s="186" t="str">
        <f>IF(OR(C434="",C434=Data!$B$3),"",IF(C434=Data!$B$4,"L","S"))</f>
        <v/>
      </c>
      <c r="F434" s="186" t="str">
        <f t="shared" si="151"/>
        <v/>
      </c>
      <c r="G434" s="187" t="str">
        <f t="shared" si="142"/>
        <v/>
      </c>
      <c r="H434" s="188"/>
      <c r="I434" s="189" t="str">
        <f t="shared" si="152"/>
        <v/>
      </c>
      <c r="J434" s="189" t="str">
        <f t="shared" si="153"/>
        <v/>
      </c>
      <c r="K434" s="190" t="str">
        <f t="shared" si="154"/>
        <v/>
      </c>
      <c r="L434" s="190" t="str">
        <f t="shared" si="155"/>
        <v/>
      </c>
      <c r="M434" s="214"/>
      <c r="N434" s="214"/>
      <c r="O434" s="189" t="str">
        <f t="shared" si="156"/>
        <v/>
      </c>
      <c r="P434" s="191" t="str">
        <f t="shared" si="143"/>
        <v/>
      </c>
      <c r="Q434" s="192" t="str">
        <f t="shared" si="157"/>
        <v/>
      </c>
      <c r="R434" s="191" t="str">
        <f t="shared" si="144"/>
        <v/>
      </c>
      <c r="S434" s="193" t="str">
        <f t="shared" si="158"/>
        <v/>
      </c>
      <c r="T434" s="194" t="str">
        <f t="shared" si="145"/>
        <v/>
      </c>
      <c r="U434" s="192" t="str">
        <f t="shared" si="159"/>
        <v/>
      </c>
      <c r="V434" s="195" t="str">
        <f t="shared" si="146"/>
        <v/>
      </c>
      <c r="W434" s="195" t="str">
        <f t="shared" si="147"/>
        <v/>
      </c>
      <c r="X434" s="196" t="str">
        <f t="shared" si="160"/>
        <v/>
      </c>
      <c r="Y434" s="191" t="str">
        <f t="shared" si="162"/>
        <v/>
      </c>
      <c r="Z434" s="197" t="str">
        <f t="shared" si="148"/>
        <v/>
      </c>
      <c r="AA434" s="197" t="str">
        <f t="shared" si="149"/>
        <v/>
      </c>
      <c r="AB434" s="213"/>
      <c r="AC434" s="204"/>
    </row>
    <row r="435" spans="1:29" ht="11.4">
      <c r="A435" s="211" t="str">
        <f t="shared" si="161"/>
        <v/>
      </c>
      <c r="B435" s="211"/>
      <c r="C435" s="185"/>
      <c r="D435" s="186" t="str">
        <f t="shared" si="150"/>
        <v/>
      </c>
      <c r="E435" s="186" t="str">
        <f>IF(OR(C435="",C435=Data!$B$3),"",IF(C435=Data!$B$4,"L","S"))</f>
        <v/>
      </c>
      <c r="F435" s="186" t="str">
        <f t="shared" si="151"/>
        <v/>
      </c>
      <c r="G435" s="187" t="str">
        <f t="shared" si="142"/>
        <v/>
      </c>
      <c r="H435" s="188"/>
      <c r="I435" s="189" t="str">
        <f t="shared" si="152"/>
        <v/>
      </c>
      <c r="J435" s="189" t="str">
        <f t="shared" si="153"/>
        <v/>
      </c>
      <c r="K435" s="190" t="str">
        <f t="shared" si="154"/>
        <v/>
      </c>
      <c r="L435" s="190" t="str">
        <f t="shared" si="155"/>
        <v/>
      </c>
      <c r="M435" s="214"/>
      <c r="N435" s="214"/>
      <c r="O435" s="189" t="str">
        <f t="shared" si="156"/>
        <v/>
      </c>
      <c r="P435" s="191" t="str">
        <f t="shared" si="143"/>
        <v/>
      </c>
      <c r="Q435" s="192" t="str">
        <f t="shared" si="157"/>
        <v/>
      </c>
      <c r="R435" s="191" t="str">
        <f t="shared" si="144"/>
        <v/>
      </c>
      <c r="S435" s="193" t="str">
        <f t="shared" si="158"/>
        <v/>
      </c>
      <c r="T435" s="194" t="str">
        <f t="shared" si="145"/>
        <v/>
      </c>
      <c r="U435" s="192" t="str">
        <f t="shared" si="159"/>
        <v/>
      </c>
      <c r="V435" s="195" t="str">
        <f t="shared" si="146"/>
        <v/>
      </c>
      <c r="W435" s="195" t="str">
        <f t="shared" si="147"/>
        <v/>
      </c>
      <c r="X435" s="196" t="str">
        <f t="shared" si="160"/>
        <v/>
      </c>
      <c r="Y435" s="191" t="str">
        <f t="shared" si="162"/>
        <v/>
      </c>
      <c r="Z435" s="197" t="str">
        <f t="shared" si="148"/>
        <v/>
      </c>
      <c r="AA435" s="197" t="str">
        <f t="shared" si="149"/>
        <v/>
      </c>
      <c r="AB435" s="213"/>
      <c r="AC435" s="204"/>
    </row>
    <row r="436" spans="1:29" ht="11.4">
      <c r="A436" s="211" t="str">
        <f t="shared" si="161"/>
        <v/>
      </c>
      <c r="B436" s="211"/>
      <c r="C436" s="185"/>
      <c r="D436" s="186" t="str">
        <f t="shared" si="150"/>
        <v/>
      </c>
      <c r="E436" s="186" t="str">
        <f>IF(OR(C436="",C436=Data!$B$3),"",IF(C436=Data!$B$4,"L","S"))</f>
        <v/>
      </c>
      <c r="F436" s="186" t="str">
        <f t="shared" si="151"/>
        <v/>
      </c>
      <c r="G436" s="187" t="str">
        <f t="shared" si="142"/>
        <v/>
      </c>
      <c r="H436" s="188"/>
      <c r="I436" s="189" t="str">
        <f t="shared" si="152"/>
        <v/>
      </c>
      <c r="J436" s="189" t="str">
        <f t="shared" si="153"/>
        <v/>
      </c>
      <c r="K436" s="190" t="str">
        <f t="shared" si="154"/>
        <v/>
      </c>
      <c r="L436" s="190" t="str">
        <f t="shared" si="155"/>
        <v/>
      </c>
      <c r="M436" s="214"/>
      <c r="N436" s="214"/>
      <c r="O436" s="189" t="str">
        <f t="shared" si="156"/>
        <v/>
      </c>
      <c r="P436" s="191" t="str">
        <f t="shared" si="143"/>
        <v/>
      </c>
      <c r="Q436" s="192" t="str">
        <f t="shared" si="157"/>
        <v/>
      </c>
      <c r="R436" s="191" t="str">
        <f t="shared" si="144"/>
        <v/>
      </c>
      <c r="S436" s="193" t="str">
        <f t="shared" si="158"/>
        <v/>
      </c>
      <c r="T436" s="194" t="str">
        <f t="shared" si="145"/>
        <v/>
      </c>
      <c r="U436" s="192" t="str">
        <f t="shared" si="159"/>
        <v/>
      </c>
      <c r="V436" s="195" t="str">
        <f t="shared" si="146"/>
        <v/>
      </c>
      <c r="W436" s="195" t="str">
        <f t="shared" si="147"/>
        <v/>
      </c>
      <c r="X436" s="196" t="str">
        <f t="shared" si="160"/>
        <v/>
      </c>
      <c r="Y436" s="191" t="str">
        <f t="shared" si="162"/>
        <v/>
      </c>
      <c r="Z436" s="197" t="str">
        <f t="shared" si="148"/>
        <v/>
      </c>
      <c r="AA436" s="197" t="str">
        <f t="shared" si="149"/>
        <v/>
      </c>
      <c r="AB436" s="213"/>
      <c r="AC436" s="204"/>
    </row>
    <row r="437" spans="1:29" ht="11.4">
      <c r="A437" s="211" t="str">
        <f t="shared" si="161"/>
        <v/>
      </c>
      <c r="B437" s="211"/>
      <c r="C437" s="185"/>
      <c r="D437" s="186" t="str">
        <f t="shared" si="150"/>
        <v/>
      </c>
      <c r="E437" s="186" t="str">
        <f>IF(OR(C437="",C437=Data!$B$3),"",IF(C437=Data!$B$4,"L","S"))</f>
        <v/>
      </c>
      <c r="F437" s="186" t="str">
        <f t="shared" si="151"/>
        <v/>
      </c>
      <c r="G437" s="187" t="str">
        <f t="shared" si="142"/>
        <v/>
      </c>
      <c r="H437" s="188"/>
      <c r="I437" s="189" t="str">
        <f t="shared" si="152"/>
        <v/>
      </c>
      <c r="J437" s="189" t="str">
        <f t="shared" si="153"/>
        <v/>
      </c>
      <c r="K437" s="190" t="str">
        <f t="shared" si="154"/>
        <v/>
      </c>
      <c r="L437" s="190" t="str">
        <f t="shared" si="155"/>
        <v/>
      </c>
      <c r="M437" s="214"/>
      <c r="N437" s="214"/>
      <c r="O437" s="189" t="str">
        <f t="shared" si="156"/>
        <v/>
      </c>
      <c r="P437" s="191" t="str">
        <f t="shared" si="143"/>
        <v/>
      </c>
      <c r="Q437" s="192" t="str">
        <f t="shared" si="157"/>
        <v/>
      </c>
      <c r="R437" s="191" t="str">
        <f t="shared" si="144"/>
        <v/>
      </c>
      <c r="S437" s="193" t="str">
        <f t="shared" si="158"/>
        <v/>
      </c>
      <c r="T437" s="194" t="str">
        <f t="shared" si="145"/>
        <v/>
      </c>
      <c r="U437" s="192" t="str">
        <f t="shared" si="159"/>
        <v/>
      </c>
      <c r="V437" s="195" t="str">
        <f t="shared" si="146"/>
        <v/>
      </c>
      <c r="W437" s="195" t="str">
        <f t="shared" si="147"/>
        <v/>
      </c>
      <c r="X437" s="196" t="str">
        <f t="shared" si="160"/>
        <v/>
      </c>
      <c r="Y437" s="191" t="str">
        <f t="shared" si="162"/>
        <v/>
      </c>
      <c r="Z437" s="197" t="str">
        <f t="shared" si="148"/>
        <v/>
      </c>
      <c r="AA437" s="197" t="str">
        <f t="shared" si="149"/>
        <v/>
      </c>
      <c r="AB437" s="213"/>
      <c r="AC437" s="204"/>
    </row>
    <row r="438" spans="1:29" ht="11.4">
      <c r="A438" s="211" t="str">
        <f t="shared" si="161"/>
        <v/>
      </c>
      <c r="B438" s="211"/>
      <c r="C438" s="185"/>
      <c r="D438" s="186" t="str">
        <f t="shared" si="150"/>
        <v/>
      </c>
      <c r="E438" s="186" t="str">
        <f>IF(OR(C438="",C438=Data!$B$3),"",IF(C438=Data!$B$4,"L","S"))</f>
        <v/>
      </c>
      <c r="F438" s="186" t="str">
        <f t="shared" si="151"/>
        <v/>
      </c>
      <c r="G438" s="187" t="str">
        <f t="shared" si="142"/>
        <v/>
      </c>
      <c r="H438" s="188"/>
      <c r="I438" s="189" t="str">
        <f t="shared" si="152"/>
        <v/>
      </c>
      <c r="J438" s="189" t="str">
        <f t="shared" si="153"/>
        <v/>
      </c>
      <c r="K438" s="190" t="str">
        <f t="shared" si="154"/>
        <v/>
      </c>
      <c r="L438" s="190" t="str">
        <f t="shared" si="155"/>
        <v/>
      </c>
      <c r="M438" s="214"/>
      <c r="N438" s="214"/>
      <c r="O438" s="189" t="str">
        <f t="shared" si="156"/>
        <v/>
      </c>
      <c r="P438" s="191" t="str">
        <f t="shared" si="143"/>
        <v/>
      </c>
      <c r="Q438" s="192" t="str">
        <f t="shared" si="157"/>
        <v/>
      </c>
      <c r="R438" s="191" t="str">
        <f t="shared" si="144"/>
        <v/>
      </c>
      <c r="S438" s="193" t="str">
        <f t="shared" si="158"/>
        <v/>
      </c>
      <c r="T438" s="194" t="str">
        <f t="shared" si="145"/>
        <v/>
      </c>
      <c r="U438" s="192" t="str">
        <f t="shared" si="159"/>
        <v/>
      </c>
      <c r="V438" s="195" t="str">
        <f t="shared" si="146"/>
        <v/>
      </c>
      <c r="W438" s="195" t="str">
        <f t="shared" si="147"/>
        <v/>
      </c>
      <c r="X438" s="196" t="str">
        <f t="shared" si="160"/>
        <v/>
      </c>
      <c r="Y438" s="191" t="str">
        <f t="shared" si="162"/>
        <v/>
      </c>
      <c r="Z438" s="197" t="str">
        <f t="shared" si="148"/>
        <v/>
      </c>
      <c r="AA438" s="197" t="str">
        <f t="shared" si="149"/>
        <v/>
      </c>
      <c r="AB438" s="213"/>
      <c r="AC438" s="204"/>
    </row>
    <row r="439" spans="1:29" ht="11.4">
      <c r="A439" s="211" t="str">
        <f t="shared" si="161"/>
        <v/>
      </c>
      <c r="B439" s="211"/>
      <c r="C439" s="185"/>
      <c r="D439" s="186" t="str">
        <f t="shared" si="150"/>
        <v/>
      </c>
      <c r="E439" s="186" t="str">
        <f>IF(OR(C439="",C439=Data!$B$3),"",IF(C439=Data!$B$4,"L","S"))</f>
        <v/>
      </c>
      <c r="F439" s="186" t="str">
        <f t="shared" si="151"/>
        <v/>
      </c>
      <c r="G439" s="187" t="str">
        <f t="shared" si="142"/>
        <v/>
      </c>
      <c r="H439" s="188"/>
      <c r="I439" s="189" t="str">
        <f t="shared" si="152"/>
        <v/>
      </c>
      <c r="J439" s="189" t="str">
        <f t="shared" si="153"/>
        <v/>
      </c>
      <c r="K439" s="190" t="str">
        <f t="shared" si="154"/>
        <v/>
      </c>
      <c r="L439" s="190" t="str">
        <f t="shared" si="155"/>
        <v/>
      </c>
      <c r="M439" s="214"/>
      <c r="N439" s="214"/>
      <c r="O439" s="189" t="str">
        <f t="shared" si="156"/>
        <v/>
      </c>
      <c r="P439" s="191" t="str">
        <f t="shared" si="143"/>
        <v/>
      </c>
      <c r="Q439" s="192" t="str">
        <f t="shared" si="157"/>
        <v/>
      </c>
      <c r="R439" s="191" t="str">
        <f t="shared" si="144"/>
        <v/>
      </c>
      <c r="S439" s="193" t="str">
        <f t="shared" si="158"/>
        <v/>
      </c>
      <c r="T439" s="194" t="str">
        <f t="shared" si="145"/>
        <v/>
      </c>
      <c r="U439" s="192" t="str">
        <f t="shared" si="159"/>
        <v/>
      </c>
      <c r="V439" s="195" t="str">
        <f t="shared" si="146"/>
        <v/>
      </c>
      <c r="W439" s="195" t="str">
        <f t="shared" si="147"/>
        <v/>
      </c>
      <c r="X439" s="196" t="str">
        <f t="shared" si="160"/>
        <v/>
      </c>
      <c r="Y439" s="191" t="str">
        <f t="shared" si="162"/>
        <v/>
      </c>
      <c r="Z439" s="197" t="str">
        <f t="shared" si="148"/>
        <v/>
      </c>
      <c r="AA439" s="197" t="str">
        <f t="shared" si="149"/>
        <v/>
      </c>
      <c r="AB439" s="213"/>
      <c r="AC439" s="204"/>
    </row>
    <row r="440" spans="1:29" ht="11.4">
      <c r="A440" s="211" t="str">
        <f t="shared" si="161"/>
        <v/>
      </c>
      <c r="B440" s="211"/>
      <c r="C440" s="185"/>
      <c r="D440" s="186" t="str">
        <f t="shared" si="150"/>
        <v/>
      </c>
      <c r="E440" s="186" t="str">
        <f>IF(OR(C440="",C440=Data!$B$3),"",IF(C440=Data!$B$4,"L","S"))</f>
        <v/>
      </c>
      <c r="F440" s="186" t="str">
        <f t="shared" si="151"/>
        <v/>
      </c>
      <c r="G440" s="187" t="str">
        <f t="shared" si="142"/>
        <v/>
      </c>
      <c r="H440" s="188"/>
      <c r="I440" s="189" t="str">
        <f t="shared" si="152"/>
        <v/>
      </c>
      <c r="J440" s="189" t="str">
        <f t="shared" si="153"/>
        <v/>
      </c>
      <c r="K440" s="190" t="str">
        <f t="shared" si="154"/>
        <v/>
      </c>
      <c r="L440" s="190" t="str">
        <f t="shared" si="155"/>
        <v/>
      </c>
      <c r="M440" s="214"/>
      <c r="N440" s="214"/>
      <c r="O440" s="189" t="str">
        <f t="shared" si="156"/>
        <v/>
      </c>
      <c r="P440" s="191" t="str">
        <f t="shared" si="143"/>
        <v/>
      </c>
      <c r="Q440" s="192" t="str">
        <f t="shared" si="157"/>
        <v/>
      </c>
      <c r="R440" s="191" t="str">
        <f t="shared" si="144"/>
        <v/>
      </c>
      <c r="S440" s="193" t="str">
        <f t="shared" si="158"/>
        <v/>
      </c>
      <c r="T440" s="194" t="str">
        <f t="shared" si="145"/>
        <v/>
      </c>
      <c r="U440" s="192" t="str">
        <f t="shared" si="159"/>
        <v/>
      </c>
      <c r="V440" s="195" t="str">
        <f t="shared" si="146"/>
        <v/>
      </c>
      <c r="W440" s="195" t="str">
        <f t="shared" si="147"/>
        <v/>
      </c>
      <c r="X440" s="196" t="str">
        <f t="shared" si="160"/>
        <v/>
      </c>
      <c r="Y440" s="191" t="str">
        <f t="shared" si="162"/>
        <v/>
      </c>
      <c r="Z440" s="197" t="str">
        <f t="shared" si="148"/>
        <v/>
      </c>
      <c r="AA440" s="197" t="str">
        <f t="shared" si="149"/>
        <v/>
      </c>
      <c r="AB440" s="213"/>
      <c r="AC440" s="204"/>
    </row>
    <row r="441" spans="1:29" ht="11.4">
      <c r="A441" s="211" t="str">
        <f t="shared" si="161"/>
        <v/>
      </c>
      <c r="B441" s="211"/>
      <c r="C441" s="185"/>
      <c r="D441" s="186" t="str">
        <f t="shared" si="150"/>
        <v/>
      </c>
      <c r="E441" s="186" t="str">
        <f>IF(OR(C441="",C441=Data!$B$3),"",IF(C441=Data!$B$4,"L","S"))</f>
        <v/>
      </c>
      <c r="F441" s="186" t="str">
        <f t="shared" si="151"/>
        <v/>
      </c>
      <c r="G441" s="187" t="str">
        <f t="shared" si="142"/>
        <v/>
      </c>
      <c r="H441" s="188"/>
      <c r="I441" s="189" t="str">
        <f t="shared" si="152"/>
        <v/>
      </c>
      <c r="J441" s="189" t="str">
        <f t="shared" si="153"/>
        <v/>
      </c>
      <c r="K441" s="190" t="str">
        <f t="shared" si="154"/>
        <v/>
      </c>
      <c r="L441" s="190" t="str">
        <f t="shared" si="155"/>
        <v/>
      </c>
      <c r="M441" s="214"/>
      <c r="N441" s="214"/>
      <c r="O441" s="189" t="str">
        <f t="shared" si="156"/>
        <v/>
      </c>
      <c r="P441" s="191" t="str">
        <f t="shared" si="143"/>
        <v/>
      </c>
      <c r="Q441" s="192" t="str">
        <f t="shared" si="157"/>
        <v/>
      </c>
      <c r="R441" s="191" t="str">
        <f t="shared" si="144"/>
        <v/>
      </c>
      <c r="S441" s="193" t="str">
        <f t="shared" si="158"/>
        <v/>
      </c>
      <c r="T441" s="194" t="str">
        <f t="shared" si="145"/>
        <v/>
      </c>
      <c r="U441" s="192" t="str">
        <f t="shared" si="159"/>
        <v/>
      </c>
      <c r="V441" s="195" t="str">
        <f t="shared" si="146"/>
        <v/>
      </c>
      <c r="W441" s="195" t="str">
        <f t="shared" si="147"/>
        <v/>
      </c>
      <c r="X441" s="196" t="str">
        <f t="shared" si="160"/>
        <v/>
      </c>
      <c r="Y441" s="191" t="str">
        <f t="shared" si="162"/>
        <v/>
      </c>
      <c r="Z441" s="197" t="str">
        <f t="shared" si="148"/>
        <v/>
      </c>
      <c r="AA441" s="197" t="str">
        <f t="shared" si="149"/>
        <v/>
      </c>
      <c r="AB441" s="213"/>
      <c r="AC441" s="204"/>
    </row>
    <row r="442" spans="1:29" ht="11.4">
      <c r="A442" s="211" t="str">
        <f t="shared" si="161"/>
        <v/>
      </c>
      <c r="B442" s="211"/>
      <c r="C442" s="185"/>
      <c r="D442" s="186" t="str">
        <f t="shared" si="150"/>
        <v/>
      </c>
      <c r="E442" s="186" t="str">
        <f>IF(OR(C442="",C442=Data!$B$3),"",IF(C442=Data!$B$4,"L","S"))</f>
        <v/>
      </c>
      <c r="F442" s="186" t="str">
        <f t="shared" si="151"/>
        <v/>
      </c>
      <c r="G442" s="187" t="str">
        <f t="shared" si="142"/>
        <v/>
      </c>
      <c r="H442" s="188"/>
      <c r="I442" s="189" t="str">
        <f t="shared" si="152"/>
        <v/>
      </c>
      <c r="J442" s="189" t="str">
        <f t="shared" si="153"/>
        <v/>
      </c>
      <c r="K442" s="190" t="str">
        <f t="shared" si="154"/>
        <v/>
      </c>
      <c r="L442" s="190" t="str">
        <f t="shared" si="155"/>
        <v/>
      </c>
      <c r="M442" s="214"/>
      <c r="N442" s="214"/>
      <c r="O442" s="189" t="str">
        <f t="shared" si="156"/>
        <v/>
      </c>
      <c r="P442" s="191" t="str">
        <f t="shared" si="143"/>
        <v/>
      </c>
      <c r="Q442" s="192" t="str">
        <f t="shared" si="157"/>
        <v/>
      </c>
      <c r="R442" s="191" t="str">
        <f t="shared" si="144"/>
        <v/>
      </c>
      <c r="S442" s="193" t="str">
        <f t="shared" si="158"/>
        <v/>
      </c>
      <c r="T442" s="194" t="str">
        <f t="shared" si="145"/>
        <v/>
      </c>
      <c r="U442" s="192" t="str">
        <f t="shared" si="159"/>
        <v/>
      </c>
      <c r="V442" s="195" t="str">
        <f t="shared" si="146"/>
        <v/>
      </c>
      <c r="W442" s="195" t="str">
        <f t="shared" si="147"/>
        <v/>
      </c>
      <c r="X442" s="196" t="str">
        <f t="shared" si="160"/>
        <v/>
      </c>
      <c r="Y442" s="191" t="str">
        <f t="shared" si="162"/>
        <v/>
      </c>
      <c r="Z442" s="197" t="str">
        <f t="shared" si="148"/>
        <v/>
      </c>
      <c r="AA442" s="197" t="str">
        <f t="shared" si="149"/>
        <v/>
      </c>
      <c r="AB442" s="213"/>
      <c r="AC442" s="204"/>
    </row>
    <row r="443" spans="1:29" ht="11.4">
      <c r="A443" s="211" t="str">
        <f t="shared" si="161"/>
        <v/>
      </c>
      <c r="B443" s="211"/>
      <c r="C443" s="185"/>
      <c r="D443" s="186" t="str">
        <f t="shared" si="150"/>
        <v/>
      </c>
      <c r="E443" s="186" t="str">
        <f>IF(OR(C443="",C443=Data!$B$3),"",IF(C443=Data!$B$4,"L","S"))</f>
        <v/>
      </c>
      <c r="F443" s="186" t="str">
        <f t="shared" si="151"/>
        <v/>
      </c>
      <c r="G443" s="187" t="str">
        <f t="shared" si="142"/>
        <v/>
      </c>
      <c r="H443" s="188"/>
      <c r="I443" s="189" t="str">
        <f t="shared" si="152"/>
        <v/>
      </c>
      <c r="J443" s="189" t="str">
        <f t="shared" si="153"/>
        <v/>
      </c>
      <c r="K443" s="190" t="str">
        <f t="shared" si="154"/>
        <v/>
      </c>
      <c r="L443" s="190" t="str">
        <f t="shared" si="155"/>
        <v/>
      </c>
      <c r="M443" s="214"/>
      <c r="N443" s="214"/>
      <c r="O443" s="189" t="str">
        <f t="shared" si="156"/>
        <v/>
      </c>
      <c r="P443" s="191" t="str">
        <f t="shared" si="143"/>
        <v/>
      </c>
      <c r="Q443" s="192" t="str">
        <f t="shared" si="157"/>
        <v/>
      </c>
      <c r="R443" s="191" t="str">
        <f t="shared" si="144"/>
        <v/>
      </c>
      <c r="S443" s="193" t="str">
        <f t="shared" si="158"/>
        <v/>
      </c>
      <c r="T443" s="194" t="str">
        <f t="shared" si="145"/>
        <v/>
      </c>
      <c r="U443" s="192" t="str">
        <f t="shared" si="159"/>
        <v/>
      </c>
      <c r="V443" s="195" t="str">
        <f t="shared" si="146"/>
        <v/>
      </c>
      <c r="W443" s="195" t="str">
        <f t="shared" si="147"/>
        <v/>
      </c>
      <c r="X443" s="196" t="str">
        <f t="shared" si="160"/>
        <v/>
      </c>
      <c r="Y443" s="191" t="str">
        <f t="shared" si="162"/>
        <v/>
      </c>
      <c r="Z443" s="197" t="str">
        <f t="shared" si="148"/>
        <v/>
      </c>
      <c r="AA443" s="197" t="str">
        <f t="shared" si="149"/>
        <v/>
      </c>
      <c r="AB443" s="213"/>
      <c r="AC443" s="204"/>
    </row>
    <row r="444" spans="1:29" ht="11.4">
      <c r="A444" s="211" t="str">
        <f t="shared" si="161"/>
        <v/>
      </c>
      <c r="B444" s="211"/>
      <c r="C444" s="185"/>
      <c r="D444" s="186" t="str">
        <f t="shared" si="150"/>
        <v/>
      </c>
      <c r="E444" s="186" t="str">
        <f>IF(OR(C444="",C444=Data!$B$3),"",IF(C444=Data!$B$4,"L","S"))</f>
        <v/>
      </c>
      <c r="F444" s="186" t="str">
        <f t="shared" si="151"/>
        <v/>
      </c>
      <c r="G444" s="187" t="str">
        <f t="shared" si="142"/>
        <v/>
      </c>
      <c r="H444" s="188"/>
      <c r="I444" s="189" t="str">
        <f t="shared" si="152"/>
        <v/>
      </c>
      <c r="J444" s="189" t="str">
        <f t="shared" si="153"/>
        <v/>
      </c>
      <c r="K444" s="190" t="str">
        <f t="shared" si="154"/>
        <v/>
      </c>
      <c r="L444" s="190" t="str">
        <f t="shared" si="155"/>
        <v/>
      </c>
      <c r="M444" s="214"/>
      <c r="N444" s="214"/>
      <c r="O444" s="189" t="str">
        <f t="shared" si="156"/>
        <v/>
      </c>
      <c r="P444" s="191" t="str">
        <f t="shared" si="143"/>
        <v/>
      </c>
      <c r="Q444" s="192" t="str">
        <f t="shared" si="157"/>
        <v/>
      </c>
      <c r="R444" s="191" t="str">
        <f t="shared" si="144"/>
        <v/>
      </c>
      <c r="S444" s="193" t="str">
        <f t="shared" si="158"/>
        <v/>
      </c>
      <c r="T444" s="194" t="str">
        <f t="shared" si="145"/>
        <v/>
      </c>
      <c r="U444" s="192" t="str">
        <f t="shared" si="159"/>
        <v/>
      </c>
      <c r="V444" s="195" t="str">
        <f t="shared" si="146"/>
        <v/>
      </c>
      <c r="W444" s="195" t="str">
        <f t="shared" si="147"/>
        <v/>
      </c>
      <c r="X444" s="196" t="str">
        <f t="shared" si="160"/>
        <v/>
      </c>
      <c r="Y444" s="191" t="str">
        <f t="shared" si="162"/>
        <v/>
      </c>
      <c r="Z444" s="197" t="str">
        <f t="shared" si="148"/>
        <v/>
      </c>
      <c r="AA444" s="197" t="str">
        <f t="shared" si="149"/>
        <v/>
      </c>
      <c r="AB444" s="213"/>
      <c r="AC444" s="204"/>
    </row>
    <row r="445" spans="1:29" ht="11.4">
      <c r="A445" s="211" t="str">
        <f t="shared" si="161"/>
        <v/>
      </c>
      <c r="B445" s="211"/>
      <c r="C445" s="185"/>
      <c r="D445" s="186" t="str">
        <f t="shared" si="150"/>
        <v/>
      </c>
      <c r="E445" s="186" t="str">
        <f>IF(OR(C445="",C445=Data!$B$3),"",IF(C445=Data!$B$4,"L","S"))</f>
        <v/>
      </c>
      <c r="F445" s="186" t="str">
        <f t="shared" si="151"/>
        <v/>
      </c>
      <c r="G445" s="187" t="str">
        <f t="shared" si="142"/>
        <v/>
      </c>
      <c r="H445" s="188"/>
      <c r="I445" s="189" t="str">
        <f t="shared" si="152"/>
        <v/>
      </c>
      <c r="J445" s="189" t="str">
        <f t="shared" si="153"/>
        <v/>
      </c>
      <c r="K445" s="190" t="str">
        <f t="shared" si="154"/>
        <v/>
      </c>
      <c r="L445" s="190" t="str">
        <f t="shared" si="155"/>
        <v/>
      </c>
      <c r="M445" s="214"/>
      <c r="N445" s="214"/>
      <c r="O445" s="189" t="str">
        <f t="shared" si="156"/>
        <v/>
      </c>
      <c r="P445" s="191" t="str">
        <f t="shared" si="143"/>
        <v/>
      </c>
      <c r="Q445" s="192" t="str">
        <f t="shared" si="157"/>
        <v/>
      </c>
      <c r="R445" s="191" t="str">
        <f t="shared" si="144"/>
        <v/>
      </c>
      <c r="S445" s="193" t="str">
        <f t="shared" si="158"/>
        <v/>
      </c>
      <c r="T445" s="194" t="str">
        <f t="shared" si="145"/>
        <v/>
      </c>
      <c r="U445" s="192" t="str">
        <f t="shared" si="159"/>
        <v/>
      </c>
      <c r="V445" s="195" t="str">
        <f t="shared" si="146"/>
        <v/>
      </c>
      <c r="W445" s="195" t="str">
        <f t="shared" si="147"/>
        <v/>
      </c>
      <c r="X445" s="196" t="str">
        <f t="shared" si="160"/>
        <v/>
      </c>
      <c r="Y445" s="191" t="str">
        <f t="shared" si="162"/>
        <v/>
      </c>
      <c r="Z445" s="197" t="str">
        <f t="shared" si="148"/>
        <v/>
      </c>
      <c r="AA445" s="197" t="str">
        <f t="shared" si="149"/>
        <v/>
      </c>
      <c r="AB445" s="213"/>
      <c r="AC445" s="204"/>
    </row>
    <row r="446" spans="1:29" ht="11.4">
      <c r="A446" s="211" t="str">
        <f t="shared" si="161"/>
        <v/>
      </c>
      <c r="B446" s="211"/>
      <c r="C446" s="185"/>
      <c r="D446" s="186" t="str">
        <f t="shared" si="150"/>
        <v/>
      </c>
      <c r="E446" s="186" t="str">
        <f>IF(OR(C446="",C446=Data!$B$3),"",IF(C446=Data!$B$4,"L","S"))</f>
        <v/>
      </c>
      <c r="F446" s="186" t="str">
        <f t="shared" si="151"/>
        <v/>
      </c>
      <c r="G446" s="187" t="str">
        <f t="shared" si="142"/>
        <v/>
      </c>
      <c r="H446" s="188"/>
      <c r="I446" s="189" t="str">
        <f t="shared" si="152"/>
        <v/>
      </c>
      <c r="J446" s="189" t="str">
        <f t="shared" si="153"/>
        <v/>
      </c>
      <c r="K446" s="190" t="str">
        <f t="shared" si="154"/>
        <v/>
      </c>
      <c r="L446" s="190" t="str">
        <f t="shared" si="155"/>
        <v/>
      </c>
      <c r="M446" s="214"/>
      <c r="N446" s="214"/>
      <c r="O446" s="189" t="str">
        <f t="shared" si="156"/>
        <v/>
      </c>
      <c r="P446" s="191" t="str">
        <f t="shared" si="143"/>
        <v/>
      </c>
      <c r="Q446" s="192" t="str">
        <f t="shared" si="157"/>
        <v/>
      </c>
      <c r="R446" s="191" t="str">
        <f t="shared" si="144"/>
        <v/>
      </c>
      <c r="S446" s="193" t="str">
        <f t="shared" si="158"/>
        <v/>
      </c>
      <c r="T446" s="194" t="str">
        <f t="shared" si="145"/>
        <v/>
      </c>
      <c r="U446" s="192" t="str">
        <f t="shared" si="159"/>
        <v/>
      </c>
      <c r="V446" s="195" t="str">
        <f t="shared" si="146"/>
        <v/>
      </c>
      <c r="W446" s="195" t="str">
        <f t="shared" si="147"/>
        <v/>
      </c>
      <c r="X446" s="196" t="str">
        <f t="shared" si="160"/>
        <v/>
      </c>
      <c r="Y446" s="191" t="str">
        <f t="shared" si="162"/>
        <v/>
      </c>
      <c r="Z446" s="197" t="str">
        <f t="shared" si="148"/>
        <v/>
      </c>
      <c r="AA446" s="197" t="str">
        <f t="shared" si="149"/>
        <v/>
      </c>
      <c r="AB446" s="213"/>
      <c r="AC446" s="204"/>
    </row>
    <row r="447" spans="1:29" ht="11.4">
      <c r="A447" s="211" t="str">
        <f t="shared" si="161"/>
        <v/>
      </c>
      <c r="B447" s="211"/>
      <c r="C447" s="185"/>
      <c r="D447" s="186" t="str">
        <f t="shared" si="150"/>
        <v/>
      </c>
      <c r="E447" s="186" t="str">
        <f>IF(OR(C447="",C447=Data!$B$3),"",IF(C447=Data!$B$4,"L","S"))</f>
        <v/>
      </c>
      <c r="F447" s="186" t="str">
        <f t="shared" si="151"/>
        <v/>
      </c>
      <c r="G447" s="187" t="str">
        <f t="shared" si="142"/>
        <v/>
      </c>
      <c r="H447" s="188"/>
      <c r="I447" s="189" t="str">
        <f t="shared" si="152"/>
        <v/>
      </c>
      <c r="J447" s="189" t="str">
        <f t="shared" si="153"/>
        <v/>
      </c>
      <c r="K447" s="190" t="str">
        <f t="shared" si="154"/>
        <v/>
      </c>
      <c r="L447" s="190" t="str">
        <f t="shared" si="155"/>
        <v/>
      </c>
      <c r="M447" s="214"/>
      <c r="N447" s="214"/>
      <c r="O447" s="189" t="str">
        <f t="shared" si="156"/>
        <v/>
      </c>
      <c r="P447" s="191" t="str">
        <f t="shared" si="143"/>
        <v/>
      </c>
      <c r="Q447" s="192" t="str">
        <f t="shared" si="157"/>
        <v/>
      </c>
      <c r="R447" s="191" t="str">
        <f t="shared" si="144"/>
        <v/>
      </c>
      <c r="S447" s="193" t="str">
        <f t="shared" si="158"/>
        <v/>
      </c>
      <c r="T447" s="194" t="str">
        <f t="shared" si="145"/>
        <v/>
      </c>
      <c r="U447" s="192" t="str">
        <f t="shared" si="159"/>
        <v/>
      </c>
      <c r="V447" s="195" t="str">
        <f t="shared" si="146"/>
        <v/>
      </c>
      <c r="W447" s="195" t="str">
        <f t="shared" si="147"/>
        <v/>
      </c>
      <c r="X447" s="196" t="str">
        <f t="shared" si="160"/>
        <v/>
      </c>
      <c r="Y447" s="191" t="str">
        <f t="shared" si="162"/>
        <v/>
      </c>
      <c r="Z447" s="197" t="str">
        <f t="shared" si="148"/>
        <v/>
      </c>
      <c r="AA447" s="197" t="str">
        <f t="shared" si="149"/>
        <v/>
      </c>
      <c r="AB447" s="213"/>
      <c r="AC447" s="204"/>
    </row>
    <row r="448" spans="1:29" ht="11.4">
      <c r="A448" s="211" t="str">
        <f t="shared" si="161"/>
        <v/>
      </c>
      <c r="B448" s="211"/>
      <c r="C448" s="185"/>
      <c r="D448" s="186" t="str">
        <f t="shared" si="150"/>
        <v/>
      </c>
      <c r="E448" s="186" t="str">
        <f>IF(OR(C448="",C448=Data!$B$3),"",IF(C448=Data!$B$4,"L","S"))</f>
        <v/>
      </c>
      <c r="F448" s="186" t="str">
        <f t="shared" si="151"/>
        <v/>
      </c>
      <c r="G448" s="187" t="str">
        <f t="shared" si="142"/>
        <v/>
      </c>
      <c r="H448" s="188"/>
      <c r="I448" s="189" t="str">
        <f t="shared" si="152"/>
        <v/>
      </c>
      <c r="J448" s="189" t="str">
        <f t="shared" si="153"/>
        <v/>
      </c>
      <c r="K448" s="190" t="str">
        <f t="shared" si="154"/>
        <v/>
      </c>
      <c r="L448" s="190" t="str">
        <f t="shared" si="155"/>
        <v/>
      </c>
      <c r="M448" s="214"/>
      <c r="N448" s="214"/>
      <c r="O448" s="189" t="str">
        <f t="shared" si="156"/>
        <v/>
      </c>
      <c r="P448" s="191" t="str">
        <f t="shared" si="143"/>
        <v/>
      </c>
      <c r="Q448" s="192" t="str">
        <f t="shared" si="157"/>
        <v/>
      </c>
      <c r="R448" s="191" t="str">
        <f t="shared" si="144"/>
        <v/>
      </c>
      <c r="S448" s="193" t="str">
        <f t="shared" si="158"/>
        <v/>
      </c>
      <c r="T448" s="194" t="str">
        <f t="shared" si="145"/>
        <v/>
      </c>
      <c r="U448" s="192" t="str">
        <f t="shared" si="159"/>
        <v/>
      </c>
      <c r="V448" s="195" t="str">
        <f t="shared" si="146"/>
        <v/>
      </c>
      <c r="W448" s="195" t="str">
        <f t="shared" si="147"/>
        <v/>
      </c>
      <c r="X448" s="196" t="str">
        <f t="shared" si="160"/>
        <v/>
      </c>
      <c r="Y448" s="191" t="str">
        <f t="shared" si="162"/>
        <v/>
      </c>
      <c r="Z448" s="197" t="str">
        <f t="shared" si="148"/>
        <v/>
      </c>
      <c r="AA448" s="197" t="str">
        <f t="shared" si="149"/>
        <v/>
      </c>
      <c r="AB448" s="213"/>
      <c r="AC448" s="204"/>
    </row>
    <row r="449" spans="1:29" ht="11.4">
      <c r="A449" s="211" t="str">
        <f t="shared" si="161"/>
        <v/>
      </c>
      <c r="B449" s="211"/>
      <c r="C449" s="185"/>
      <c r="D449" s="186" t="str">
        <f t="shared" si="150"/>
        <v/>
      </c>
      <c r="E449" s="186" t="str">
        <f>IF(OR(C449="",C449=Data!$B$3),"",IF(C449=Data!$B$4,"L","S"))</f>
        <v/>
      </c>
      <c r="F449" s="186" t="str">
        <f t="shared" si="151"/>
        <v/>
      </c>
      <c r="G449" s="187" t="str">
        <f t="shared" si="142"/>
        <v/>
      </c>
      <c r="H449" s="188"/>
      <c r="I449" s="189" t="str">
        <f t="shared" si="152"/>
        <v/>
      </c>
      <c r="J449" s="189" t="str">
        <f t="shared" si="153"/>
        <v/>
      </c>
      <c r="K449" s="190" t="str">
        <f t="shared" si="154"/>
        <v/>
      </c>
      <c r="L449" s="190" t="str">
        <f t="shared" si="155"/>
        <v/>
      </c>
      <c r="M449" s="214"/>
      <c r="N449" s="214"/>
      <c r="O449" s="189" t="str">
        <f t="shared" si="156"/>
        <v/>
      </c>
      <c r="P449" s="191" t="str">
        <f t="shared" si="143"/>
        <v/>
      </c>
      <c r="Q449" s="192" t="str">
        <f t="shared" si="157"/>
        <v/>
      </c>
      <c r="R449" s="191" t="str">
        <f t="shared" si="144"/>
        <v/>
      </c>
      <c r="S449" s="193" t="str">
        <f t="shared" si="158"/>
        <v/>
      </c>
      <c r="T449" s="194" t="str">
        <f t="shared" si="145"/>
        <v/>
      </c>
      <c r="U449" s="192" t="str">
        <f t="shared" si="159"/>
        <v/>
      </c>
      <c r="V449" s="195" t="str">
        <f t="shared" si="146"/>
        <v/>
      </c>
      <c r="W449" s="195" t="str">
        <f t="shared" si="147"/>
        <v/>
      </c>
      <c r="X449" s="196" t="str">
        <f t="shared" si="160"/>
        <v/>
      </c>
      <c r="Y449" s="191" t="str">
        <f t="shared" si="162"/>
        <v/>
      </c>
      <c r="Z449" s="197" t="str">
        <f t="shared" si="148"/>
        <v/>
      </c>
      <c r="AA449" s="197" t="str">
        <f t="shared" si="149"/>
        <v/>
      </c>
      <c r="AB449" s="213"/>
      <c r="AC449" s="204"/>
    </row>
    <row r="450" spans="1:29" ht="11.4">
      <c r="A450" s="211" t="str">
        <f t="shared" si="161"/>
        <v/>
      </c>
      <c r="B450" s="211"/>
      <c r="C450" s="185"/>
      <c r="D450" s="186" t="str">
        <f t="shared" si="150"/>
        <v/>
      </c>
      <c r="E450" s="186" t="str">
        <f>IF(OR(C450="",C450=Data!$B$3),"",IF(C450=Data!$B$4,"L","S"))</f>
        <v/>
      </c>
      <c r="F450" s="186" t="str">
        <f t="shared" si="151"/>
        <v/>
      </c>
      <c r="G450" s="187" t="str">
        <f t="shared" si="142"/>
        <v/>
      </c>
      <c r="H450" s="188"/>
      <c r="I450" s="189" t="str">
        <f t="shared" si="152"/>
        <v/>
      </c>
      <c r="J450" s="189" t="str">
        <f t="shared" si="153"/>
        <v/>
      </c>
      <c r="K450" s="190" t="str">
        <f t="shared" si="154"/>
        <v/>
      </c>
      <c r="L450" s="190" t="str">
        <f t="shared" si="155"/>
        <v/>
      </c>
      <c r="M450" s="214"/>
      <c r="N450" s="214"/>
      <c r="O450" s="189" t="str">
        <f t="shared" si="156"/>
        <v/>
      </c>
      <c r="P450" s="191" t="str">
        <f t="shared" si="143"/>
        <v/>
      </c>
      <c r="Q450" s="192" t="str">
        <f t="shared" si="157"/>
        <v/>
      </c>
      <c r="R450" s="191" t="str">
        <f t="shared" si="144"/>
        <v/>
      </c>
      <c r="S450" s="193" t="str">
        <f t="shared" si="158"/>
        <v/>
      </c>
      <c r="T450" s="194" t="str">
        <f t="shared" si="145"/>
        <v/>
      </c>
      <c r="U450" s="192" t="str">
        <f t="shared" si="159"/>
        <v/>
      </c>
      <c r="V450" s="195" t="str">
        <f t="shared" si="146"/>
        <v/>
      </c>
      <c r="W450" s="195" t="str">
        <f t="shared" si="147"/>
        <v/>
      </c>
      <c r="X450" s="196" t="str">
        <f t="shared" si="160"/>
        <v/>
      </c>
      <c r="Y450" s="191" t="str">
        <f t="shared" si="162"/>
        <v/>
      </c>
      <c r="Z450" s="197" t="str">
        <f t="shared" si="148"/>
        <v/>
      </c>
      <c r="AA450" s="197" t="str">
        <f t="shared" si="149"/>
        <v/>
      </c>
      <c r="AB450" s="213"/>
      <c r="AC450" s="204"/>
    </row>
    <row r="451" spans="1:29" ht="11.4">
      <c r="A451" s="211" t="str">
        <f t="shared" si="161"/>
        <v/>
      </c>
      <c r="B451" s="211"/>
      <c r="C451" s="185"/>
      <c r="D451" s="186" t="str">
        <f t="shared" si="150"/>
        <v/>
      </c>
      <c r="E451" s="186" t="str">
        <f>IF(OR(C451="",C451=Data!$B$3),"",IF(C451=Data!$B$4,"L","S"))</f>
        <v/>
      </c>
      <c r="F451" s="186" t="str">
        <f t="shared" si="151"/>
        <v/>
      </c>
      <c r="G451" s="187" t="str">
        <f t="shared" si="142"/>
        <v/>
      </c>
      <c r="H451" s="188"/>
      <c r="I451" s="189" t="str">
        <f t="shared" si="152"/>
        <v/>
      </c>
      <c r="J451" s="189" t="str">
        <f t="shared" si="153"/>
        <v/>
      </c>
      <c r="K451" s="190" t="str">
        <f t="shared" si="154"/>
        <v/>
      </c>
      <c r="L451" s="190" t="str">
        <f t="shared" si="155"/>
        <v/>
      </c>
      <c r="M451" s="214"/>
      <c r="N451" s="214"/>
      <c r="O451" s="189" t="str">
        <f t="shared" si="156"/>
        <v/>
      </c>
      <c r="P451" s="191" t="str">
        <f t="shared" si="143"/>
        <v/>
      </c>
      <c r="Q451" s="192" t="str">
        <f t="shared" si="157"/>
        <v/>
      </c>
      <c r="R451" s="191" t="str">
        <f t="shared" si="144"/>
        <v/>
      </c>
      <c r="S451" s="193" t="str">
        <f t="shared" si="158"/>
        <v/>
      </c>
      <c r="T451" s="194" t="str">
        <f t="shared" si="145"/>
        <v/>
      </c>
      <c r="U451" s="192" t="str">
        <f t="shared" si="159"/>
        <v/>
      </c>
      <c r="V451" s="195" t="str">
        <f t="shared" si="146"/>
        <v/>
      </c>
      <c r="W451" s="195" t="str">
        <f t="shared" si="147"/>
        <v/>
      </c>
      <c r="X451" s="196" t="str">
        <f t="shared" si="160"/>
        <v/>
      </c>
      <c r="Y451" s="191" t="str">
        <f t="shared" si="162"/>
        <v/>
      </c>
      <c r="Z451" s="197" t="str">
        <f t="shared" si="148"/>
        <v/>
      </c>
      <c r="AA451" s="197" t="str">
        <f t="shared" si="149"/>
        <v/>
      </c>
      <c r="AB451" s="213"/>
      <c r="AC451" s="204"/>
    </row>
    <row r="452" spans="1:29" ht="11.4">
      <c r="A452" s="211" t="str">
        <f t="shared" si="161"/>
        <v/>
      </c>
      <c r="B452" s="211"/>
      <c r="C452" s="185"/>
      <c r="D452" s="186" t="str">
        <f t="shared" si="150"/>
        <v/>
      </c>
      <c r="E452" s="186" t="str">
        <f>IF(OR(C452="",C452=Data!$B$3),"",IF(C452=Data!$B$4,"L","S"))</f>
        <v/>
      </c>
      <c r="F452" s="186" t="str">
        <f t="shared" si="151"/>
        <v/>
      </c>
      <c r="G452" s="187" t="str">
        <f t="shared" si="142"/>
        <v/>
      </c>
      <c r="H452" s="188"/>
      <c r="I452" s="189" t="str">
        <f t="shared" si="152"/>
        <v/>
      </c>
      <c r="J452" s="189" t="str">
        <f t="shared" si="153"/>
        <v/>
      </c>
      <c r="K452" s="190" t="str">
        <f t="shared" si="154"/>
        <v/>
      </c>
      <c r="L452" s="190" t="str">
        <f t="shared" si="155"/>
        <v/>
      </c>
      <c r="M452" s="214"/>
      <c r="N452" s="214"/>
      <c r="O452" s="189" t="str">
        <f t="shared" si="156"/>
        <v/>
      </c>
      <c r="P452" s="191" t="str">
        <f t="shared" si="143"/>
        <v/>
      </c>
      <c r="Q452" s="192" t="str">
        <f t="shared" si="157"/>
        <v/>
      </c>
      <c r="R452" s="191" t="str">
        <f t="shared" si="144"/>
        <v/>
      </c>
      <c r="S452" s="193" t="str">
        <f t="shared" si="158"/>
        <v/>
      </c>
      <c r="T452" s="194" t="str">
        <f t="shared" si="145"/>
        <v/>
      </c>
      <c r="U452" s="192" t="str">
        <f t="shared" si="159"/>
        <v/>
      </c>
      <c r="V452" s="195" t="str">
        <f t="shared" si="146"/>
        <v/>
      </c>
      <c r="W452" s="195" t="str">
        <f t="shared" si="147"/>
        <v/>
      </c>
      <c r="X452" s="196" t="str">
        <f t="shared" si="160"/>
        <v/>
      </c>
      <c r="Y452" s="191" t="str">
        <f t="shared" si="162"/>
        <v/>
      </c>
      <c r="Z452" s="197" t="str">
        <f t="shared" si="148"/>
        <v/>
      </c>
      <c r="AA452" s="197" t="str">
        <f t="shared" si="149"/>
        <v/>
      </c>
      <c r="AB452" s="213"/>
      <c r="AC452" s="204"/>
    </row>
    <row r="453" spans="1:29" ht="11.4">
      <c r="A453" s="211" t="str">
        <f t="shared" si="161"/>
        <v/>
      </c>
      <c r="B453" s="211"/>
      <c r="C453" s="185"/>
      <c r="D453" s="186" t="str">
        <f t="shared" si="150"/>
        <v/>
      </c>
      <c r="E453" s="186" t="str">
        <f>IF(OR(C453="",C453=Data!$B$3),"",IF(C453=Data!$B$4,"L","S"))</f>
        <v/>
      </c>
      <c r="F453" s="186" t="str">
        <f t="shared" si="151"/>
        <v/>
      </c>
      <c r="G453" s="187" t="str">
        <f t="shared" si="142"/>
        <v/>
      </c>
      <c r="H453" s="188"/>
      <c r="I453" s="189" t="str">
        <f t="shared" si="152"/>
        <v/>
      </c>
      <c r="J453" s="189" t="str">
        <f t="shared" si="153"/>
        <v/>
      </c>
      <c r="K453" s="190" t="str">
        <f t="shared" si="154"/>
        <v/>
      </c>
      <c r="L453" s="190" t="str">
        <f t="shared" si="155"/>
        <v/>
      </c>
      <c r="M453" s="214"/>
      <c r="N453" s="214"/>
      <c r="O453" s="189" t="str">
        <f t="shared" si="156"/>
        <v/>
      </c>
      <c r="P453" s="191" t="str">
        <f t="shared" si="143"/>
        <v/>
      </c>
      <c r="Q453" s="192" t="str">
        <f t="shared" si="157"/>
        <v/>
      </c>
      <c r="R453" s="191" t="str">
        <f t="shared" si="144"/>
        <v/>
      </c>
      <c r="S453" s="193" t="str">
        <f t="shared" si="158"/>
        <v/>
      </c>
      <c r="T453" s="194" t="str">
        <f t="shared" si="145"/>
        <v/>
      </c>
      <c r="U453" s="192" t="str">
        <f t="shared" si="159"/>
        <v/>
      </c>
      <c r="V453" s="195" t="str">
        <f t="shared" si="146"/>
        <v/>
      </c>
      <c r="W453" s="195" t="str">
        <f t="shared" si="147"/>
        <v/>
      </c>
      <c r="X453" s="196" t="str">
        <f t="shared" si="160"/>
        <v/>
      </c>
      <c r="Y453" s="191" t="str">
        <f t="shared" si="162"/>
        <v/>
      </c>
      <c r="Z453" s="197" t="str">
        <f t="shared" si="148"/>
        <v/>
      </c>
      <c r="AA453" s="197" t="str">
        <f t="shared" si="149"/>
        <v/>
      </c>
      <c r="AB453" s="213"/>
      <c r="AC453" s="204"/>
    </row>
    <row r="454" spans="1:29" ht="11.4">
      <c r="A454" s="211" t="str">
        <f t="shared" si="161"/>
        <v/>
      </c>
      <c r="B454" s="211"/>
      <c r="C454" s="185"/>
      <c r="D454" s="186" t="str">
        <f t="shared" si="150"/>
        <v/>
      </c>
      <c r="E454" s="186" t="str">
        <f>IF(OR(C454="",C454=Data!$B$3),"",IF(C454=Data!$B$4,"L","S"))</f>
        <v/>
      </c>
      <c r="F454" s="186" t="str">
        <f t="shared" si="151"/>
        <v/>
      </c>
      <c r="G454" s="187" t="str">
        <f t="shared" si="142"/>
        <v/>
      </c>
      <c r="H454" s="188"/>
      <c r="I454" s="189" t="str">
        <f t="shared" si="152"/>
        <v/>
      </c>
      <c r="J454" s="189" t="str">
        <f t="shared" si="153"/>
        <v/>
      </c>
      <c r="K454" s="190" t="str">
        <f t="shared" si="154"/>
        <v/>
      </c>
      <c r="L454" s="190" t="str">
        <f t="shared" si="155"/>
        <v/>
      </c>
      <c r="M454" s="214"/>
      <c r="N454" s="214"/>
      <c r="O454" s="189" t="str">
        <f t="shared" si="156"/>
        <v/>
      </c>
      <c r="P454" s="191" t="str">
        <f t="shared" si="143"/>
        <v/>
      </c>
      <c r="Q454" s="192" t="str">
        <f t="shared" si="157"/>
        <v/>
      </c>
      <c r="R454" s="191" t="str">
        <f t="shared" si="144"/>
        <v/>
      </c>
      <c r="S454" s="193" t="str">
        <f t="shared" si="158"/>
        <v/>
      </c>
      <c r="T454" s="194" t="str">
        <f t="shared" si="145"/>
        <v/>
      </c>
      <c r="U454" s="192" t="str">
        <f t="shared" si="159"/>
        <v/>
      </c>
      <c r="V454" s="195" t="str">
        <f t="shared" si="146"/>
        <v/>
      </c>
      <c r="W454" s="195" t="str">
        <f t="shared" si="147"/>
        <v/>
      </c>
      <c r="X454" s="196" t="str">
        <f t="shared" si="160"/>
        <v/>
      </c>
      <c r="Y454" s="191" t="str">
        <f t="shared" si="162"/>
        <v/>
      </c>
      <c r="Z454" s="197" t="str">
        <f t="shared" si="148"/>
        <v/>
      </c>
      <c r="AA454" s="197" t="str">
        <f t="shared" si="149"/>
        <v/>
      </c>
      <c r="AB454" s="213"/>
      <c r="AC454" s="204"/>
    </row>
    <row r="455" spans="1:29" ht="11.4">
      <c r="A455" s="211" t="str">
        <f t="shared" si="161"/>
        <v/>
      </c>
      <c r="B455" s="211"/>
      <c r="C455" s="185"/>
      <c r="D455" s="186" t="str">
        <f t="shared" si="150"/>
        <v/>
      </c>
      <c r="E455" s="186" t="str">
        <f>IF(OR(C455="",C455=Data!$B$3),"",IF(C455=Data!$B$4,"L","S"))</f>
        <v/>
      </c>
      <c r="F455" s="186" t="str">
        <f t="shared" si="151"/>
        <v/>
      </c>
      <c r="G455" s="187" t="str">
        <f t="shared" si="142"/>
        <v/>
      </c>
      <c r="H455" s="188"/>
      <c r="I455" s="189" t="str">
        <f t="shared" si="152"/>
        <v/>
      </c>
      <c r="J455" s="189" t="str">
        <f t="shared" si="153"/>
        <v/>
      </c>
      <c r="K455" s="190" t="str">
        <f t="shared" si="154"/>
        <v/>
      </c>
      <c r="L455" s="190" t="str">
        <f t="shared" si="155"/>
        <v/>
      </c>
      <c r="M455" s="214"/>
      <c r="N455" s="214"/>
      <c r="O455" s="189" t="str">
        <f t="shared" si="156"/>
        <v/>
      </c>
      <c r="P455" s="191" t="str">
        <f t="shared" si="143"/>
        <v/>
      </c>
      <c r="Q455" s="192" t="str">
        <f t="shared" si="157"/>
        <v/>
      </c>
      <c r="R455" s="191" t="str">
        <f t="shared" si="144"/>
        <v/>
      </c>
      <c r="S455" s="193" t="str">
        <f t="shared" si="158"/>
        <v/>
      </c>
      <c r="T455" s="194" t="str">
        <f t="shared" si="145"/>
        <v/>
      </c>
      <c r="U455" s="192" t="str">
        <f t="shared" si="159"/>
        <v/>
      </c>
      <c r="V455" s="195" t="str">
        <f t="shared" si="146"/>
        <v/>
      </c>
      <c r="W455" s="195" t="str">
        <f t="shared" si="147"/>
        <v/>
      </c>
      <c r="X455" s="196" t="str">
        <f t="shared" si="160"/>
        <v/>
      </c>
      <c r="Y455" s="191" t="str">
        <f t="shared" si="162"/>
        <v/>
      </c>
      <c r="Z455" s="197" t="str">
        <f t="shared" si="148"/>
        <v/>
      </c>
      <c r="AA455" s="197" t="str">
        <f t="shared" si="149"/>
        <v/>
      </c>
      <c r="AB455" s="213"/>
      <c r="AC455" s="204"/>
    </row>
    <row r="456" spans="1:29" ht="11.4">
      <c r="A456" s="211" t="str">
        <f t="shared" si="161"/>
        <v/>
      </c>
      <c r="B456" s="211"/>
      <c r="C456" s="185"/>
      <c r="D456" s="186" t="str">
        <f t="shared" si="150"/>
        <v/>
      </c>
      <c r="E456" s="186" t="str">
        <f>IF(OR(C456="",C456=Data!$B$3),"",IF(C456=Data!$B$4,"L","S"))</f>
        <v/>
      </c>
      <c r="F456" s="186" t="str">
        <f t="shared" si="151"/>
        <v/>
      </c>
      <c r="G456" s="187" t="str">
        <f t="shared" si="142"/>
        <v/>
      </c>
      <c r="H456" s="188"/>
      <c r="I456" s="189" t="str">
        <f t="shared" si="152"/>
        <v/>
      </c>
      <c r="J456" s="189" t="str">
        <f t="shared" si="153"/>
        <v/>
      </c>
      <c r="K456" s="190" t="str">
        <f t="shared" si="154"/>
        <v/>
      </c>
      <c r="L456" s="190" t="str">
        <f t="shared" si="155"/>
        <v/>
      </c>
      <c r="M456" s="214"/>
      <c r="N456" s="214"/>
      <c r="O456" s="189" t="str">
        <f t="shared" si="156"/>
        <v/>
      </c>
      <c r="P456" s="191" t="str">
        <f t="shared" si="143"/>
        <v/>
      </c>
      <c r="Q456" s="192" t="str">
        <f t="shared" si="157"/>
        <v/>
      </c>
      <c r="R456" s="191" t="str">
        <f t="shared" si="144"/>
        <v/>
      </c>
      <c r="S456" s="193" t="str">
        <f t="shared" si="158"/>
        <v/>
      </c>
      <c r="T456" s="194" t="str">
        <f t="shared" si="145"/>
        <v/>
      </c>
      <c r="U456" s="192" t="str">
        <f t="shared" si="159"/>
        <v/>
      </c>
      <c r="V456" s="195" t="str">
        <f t="shared" si="146"/>
        <v/>
      </c>
      <c r="W456" s="195" t="str">
        <f t="shared" si="147"/>
        <v/>
      </c>
      <c r="X456" s="196" t="str">
        <f t="shared" si="160"/>
        <v/>
      </c>
      <c r="Y456" s="191" t="str">
        <f t="shared" si="162"/>
        <v/>
      </c>
      <c r="Z456" s="197" t="str">
        <f t="shared" si="148"/>
        <v/>
      </c>
      <c r="AA456" s="197" t="str">
        <f t="shared" si="149"/>
        <v/>
      </c>
      <c r="AB456" s="213"/>
      <c r="AC456" s="204"/>
    </row>
    <row r="457" spans="1:29" ht="11.4">
      <c r="A457" s="211" t="str">
        <f t="shared" si="161"/>
        <v/>
      </c>
      <c r="B457" s="211"/>
      <c r="C457" s="185"/>
      <c r="D457" s="186" t="str">
        <f t="shared" si="150"/>
        <v/>
      </c>
      <c r="E457" s="186" t="str">
        <f>IF(OR(C457="",C457=Data!$B$3),"",IF(C457=Data!$B$4,"L","S"))</f>
        <v/>
      </c>
      <c r="F457" s="186" t="str">
        <f t="shared" si="151"/>
        <v/>
      </c>
      <c r="G457" s="187" t="str">
        <f t="shared" si="142"/>
        <v/>
      </c>
      <c r="H457" s="188"/>
      <c r="I457" s="189" t="str">
        <f t="shared" si="152"/>
        <v/>
      </c>
      <c r="J457" s="189" t="str">
        <f t="shared" si="153"/>
        <v/>
      </c>
      <c r="K457" s="190" t="str">
        <f t="shared" si="154"/>
        <v/>
      </c>
      <c r="L457" s="190" t="str">
        <f t="shared" si="155"/>
        <v/>
      </c>
      <c r="M457" s="214"/>
      <c r="N457" s="214"/>
      <c r="O457" s="189" t="str">
        <f t="shared" si="156"/>
        <v/>
      </c>
      <c r="P457" s="191" t="str">
        <f t="shared" si="143"/>
        <v/>
      </c>
      <c r="Q457" s="192" t="str">
        <f t="shared" si="157"/>
        <v/>
      </c>
      <c r="R457" s="191" t="str">
        <f t="shared" si="144"/>
        <v/>
      </c>
      <c r="S457" s="193" t="str">
        <f t="shared" si="158"/>
        <v/>
      </c>
      <c r="T457" s="194" t="str">
        <f t="shared" si="145"/>
        <v/>
      </c>
      <c r="U457" s="192" t="str">
        <f t="shared" si="159"/>
        <v/>
      </c>
      <c r="V457" s="195" t="str">
        <f t="shared" si="146"/>
        <v/>
      </c>
      <c r="W457" s="195" t="str">
        <f t="shared" si="147"/>
        <v/>
      </c>
      <c r="X457" s="196" t="str">
        <f t="shared" si="160"/>
        <v/>
      </c>
      <c r="Y457" s="191" t="str">
        <f t="shared" si="162"/>
        <v/>
      </c>
      <c r="Z457" s="197" t="str">
        <f t="shared" si="148"/>
        <v/>
      </c>
      <c r="AA457" s="197" t="str">
        <f t="shared" si="149"/>
        <v/>
      </c>
      <c r="AB457" s="213"/>
      <c r="AC457" s="204"/>
    </row>
    <row r="458" spans="1:29" ht="11.4">
      <c r="A458" s="211" t="str">
        <f t="shared" si="161"/>
        <v/>
      </c>
      <c r="B458" s="211"/>
      <c r="C458" s="185"/>
      <c r="D458" s="186" t="str">
        <f t="shared" si="150"/>
        <v/>
      </c>
      <c r="E458" s="186" t="str">
        <f>IF(OR(C458="",C458=Data!$B$3),"",IF(C458=Data!$B$4,"L","S"))</f>
        <v/>
      </c>
      <c r="F458" s="186" t="str">
        <f t="shared" si="151"/>
        <v/>
      </c>
      <c r="G458" s="187" t="str">
        <f t="shared" si="142"/>
        <v/>
      </c>
      <c r="H458" s="188"/>
      <c r="I458" s="189" t="str">
        <f t="shared" si="152"/>
        <v/>
      </c>
      <c r="J458" s="189" t="str">
        <f t="shared" si="153"/>
        <v/>
      </c>
      <c r="K458" s="190" t="str">
        <f t="shared" si="154"/>
        <v/>
      </c>
      <c r="L458" s="190" t="str">
        <f t="shared" si="155"/>
        <v/>
      </c>
      <c r="M458" s="214"/>
      <c r="N458" s="214"/>
      <c r="O458" s="189" t="str">
        <f t="shared" si="156"/>
        <v/>
      </c>
      <c r="P458" s="191" t="str">
        <f t="shared" si="143"/>
        <v/>
      </c>
      <c r="Q458" s="192" t="str">
        <f t="shared" si="157"/>
        <v/>
      </c>
      <c r="R458" s="191" t="str">
        <f t="shared" si="144"/>
        <v/>
      </c>
      <c r="S458" s="193" t="str">
        <f t="shared" si="158"/>
        <v/>
      </c>
      <c r="T458" s="194" t="str">
        <f t="shared" si="145"/>
        <v/>
      </c>
      <c r="U458" s="192" t="str">
        <f t="shared" si="159"/>
        <v/>
      </c>
      <c r="V458" s="195" t="str">
        <f t="shared" si="146"/>
        <v/>
      </c>
      <c r="W458" s="195" t="str">
        <f t="shared" si="147"/>
        <v/>
      </c>
      <c r="X458" s="196" t="str">
        <f t="shared" si="160"/>
        <v/>
      </c>
      <c r="Y458" s="191" t="str">
        <f t="shared" si="162"/>
        <v/>
      </c>
      <c r="Z458" s="197" t="str">
        <f t="shared" si="148"/>
        <v/>
      </c>
      <c r="AA458" s="197" t="str">
        <f t="shared" si="149"/>
        <v/>
      </c>
      <c r="AB458" s="213"/>
      <c r="AC458" s="204"/>
    </row>
    <row r="459" spans="1:29" ht="11.4">
      <c r="A459" s="211" t="str">
        <f t="shared" si="161"/>
        <v/>
      </c>
      <c r="B459" s="211"/>
      <c r="C459" s="185"/>
      <c r="D459" s="186" t="str">
        <f t="shared" si="150"/>
        <v/>
      </c>
      <c r="E459" s="186" t="str">
        <f>IF(OR(C459="",C459=Data!$B$3),"",IF(C459=Data!$B$4,"L","S"))</f>
        <v/>
      </c>
      <c r="F459" s="186" t="str">
        <f t="shared" si="151"/>
        <v/>
      </c>
      <c r="G459" s="187" t="str">
        <f t="shared" si="142"/>
        <v/>
      </c>
      <c r="H459" s="188"/>
      <c r="I459" s="189" t="str">
        <f t="shared" si="152"/>
        <v/>
      </c>
      <c r="J459" s="189" t="str">
        <f t="shared" si="153"/>
        <v/>
      </c>
      <c r="K459" s="190" t="str">
        <f t="shared" si="154"/>
        <v/>
      </c>
      <c r="L459" s="190" t="str">
        <f t="shared" si="155"/>
        <v/>
      </c>
      <c r="M459" s="214"/>
      <c r="N459" s="214"/>
      <c r="O459" s="189" t="str">
        <f t="shared" si="156"/>
        <v/>
      </c>
      <c r="P459" s="191" t="str">
        <f t="shared" si="143"/>
        <v/>
      </c>
      <c r="Q459" s="192" t="str">
        <f t="shared" si="157"/>
        <v/>
      </c>
      <c r="R459" s="191" t="str">
        <f t="shared" si="144"/>
        <v/>
      </c>
      <c r="S459" s="193" t="str">
        <f t="shared" si="158"/>
        <v/>
      </c>
      <c r="T459" s="194" t="str">
        <f t="shared" si="145"/>
        <v/>
      </c>
      <c r="U459" s="192" t="str">
        <f t="shared" si="159"/>
        <v/>
      </c>
      <c r="V459" s="195" t="str">
        <f t="shared" si="146"/>
        <v/>
      </c>
      <c r="W459" s="195" t="str">
        <f t="shared" si="147"/>
        <v/>
      </c>
      <c r="X459" s="196" t="str">
        <f t="shared" si="160"/>
        <v/>
      </c>
      <c r="Y459" s="191" t="str">
        <f t="shared" si="162"/>
        <v/>
      </c>
      <c r="Z459" s="197" t="str">
        <f t="shared" si="148"/>
        <v/>
      </c>
      <c r="AA459" s="197" t="str">
        <f t="shared" si="149"/>
        <v/>
      </c>
      <c r="AB459" s="213"/>
      <c r="AC459" s="204"/>
    </row>
    <row r="460" spans="1:29" ht="11.4">
      <c r="A460" s="211" t="str">
        <f t="shared" si="161"/>
        <v/>
      </c>
      <c r="B460" s="211"/>
      <c r="C460" s="185"/>
      <c r="D460" s="186" t="str">
        <f t="shared" si="150"/>
        <v/>
      </c>
      <c r="E460" s="186" t="str">
        <f>IF(OR(C460="",C460=Data!$B$3),"",IF(C460=Data!$B$4,"L","S"))</f>
        <v/>
      </c>
      <c r="F460" s="186" t="str">
        <f t="shared" si="151"/>
        <v/>
      </c>
      <c r="G460" s="187" t="str">
        <f t="shared" ref="G460:G523" si="163">IF(A460="","",$D$3)</f>
        <v/>
      </c>
      <c r="H460" s="188"/>
      <c r="I460" s="189" t="str">
        <f t="shared" si="152"/>
        <v/>
      </c>
      <c r="J460" s="189" t="str">
        <f t="shared" si="153"/>
        <v/>
      </c>
      <c r="K460" s="190" t="str">
        <f t="shared" si="154"/>
        <v/>
      </c>
      <c r="L460" s="190" t="str">
        <f t="shared" si="155"/>
        <v/>
      </c>
      <c r="M460" s="214"/>
      <c r="N460" s="214"/>
      <c r="O460" s="189" t="str">
        <f t="shared" si="156"/>
        <v/>
      </c>
      <c r="P460" s="191" t="str">
        <f t="shared" ref="P460:P523" si="164">IF(O460="","",IF(L460*F460*G460=0,0,L460*F460*G460))</f>
        <v/>
      </c>
      <c r="Q460" s="192" t="str">
        <f t="shared" si="157"/>
        <v/>
      </c>
      <c r="R460" s="191" t="str">
        <f t="shared" ref="R460:R523" si="165">IF(O460&lt;&gt;"",IF(K460*F460*G460=0,"",K460*F460*G460),"")</f>
        <v/>
      </c>
      <c r="S460" s="193" t="str">
        <f t="shared" si="158"/>
        <v/>
      </c>
      <c r="T460" s="194" t="str">
        <f t="shared" ref="T460:T523" si="166">IF(X460="","",X460*F460*G460)</f>
        <v/>
      </c>
      <c r="U460" s="192" t="str">
        <f t="shared" si="159"/>
        <v/>
      </c>
      <c r="V460" s="195" t="str">
        <f t="shared" ref="V460:V523" si="167">IF(O460="","",IF(AND(O460&gt;I460,E460="L"),1, IF(AND(I460&gt;O460,E460="S"),1,0)))</f>
        <v/>
      </c>
      <c r="W460" s="195" t="str">
        <f t="shared" ref="W460:W523" si="168">IF(O460="","",IF(AND(O460&lt;I460,E460="L"),1, IF(AND(I460&lt;O460,E460="S"),1,0)))</f>
        <v/>
      </c>
      <c r="X460" s="196" t="str">
        <f t="shared" si="160"/>
        <v/>
      </c>
      <c r="Y460" s="191" t="str">
        <f t="shared" si="162"/>
        <v/>
      </c>
      <c r="Z460" s="197" t="str">
        <f t="shared" ref="Z460:Z523" si="169">IF(M460="","",MONTH(M460))</f>
        <v/>
      </c>
      <c r="AA460" s="197" t="str">
        <f t="shared" ref="AA460:AA523" si="170">IF(M460="","",YEAR(M460))</f>
        <v/>
      </c>
      <c r="AB460" s="213"/>
      <c r="AC460" s="204"/>
    </row>
    <row r="461" spans="1:29" ht="11.4">
      <c r="A461" s="211" t="str">
        <f t="shared" si="161"/>
        <v/>
      </c>
      <c r="B461" s="211"/>
      <c r="C461" s="185"/>
      <c r="D461" s="186" t="str">
        <f t="shared" ref="D461:D524" si="171">IF(A461&lt;&gt;"","GBPUSD","")</f>
        <v/>
      </c>
      <c r="E461" s="186" t="str">
        <f>IF(OR(C461="",C461=Data!$B$3),"",IF(C461=Data!$B$4,"L","S"))</f>
        <v/>
      </c>
      <c r="F461" s="186" t="str">
        <f t="shared" ref="F461:F524" si="172">IF(A461&lt;&gt;"",$D$2,"")</f>
        <v/>
      </c>
      <c r="G461" s="187" t="str">
        <f t="shared" si="163"/>
        <v/>
      </c>
      <c r="H461" s="188"/>
      <c r="I461" s="189" t="str">
        <f t="shared" ref="I461:I524" si="173">IF(H461="","",IF(E461="L",H461+$D$4*0.0001,H461-$D$4*0.0001))</f>
        <v/>
      </c>
      <c r="J461" s="189" t="str">
        <f t="shared" ref="J461:J524" si="174">IF(AND(H461&lt;&gt;"",I461&lt;&gt;""),IF(E461="L",I461+(I461-H461)*3,I461-(H461-I461)*3),"")</f>
        <v/>
      </c>
      <c r="K461" s="190" t="str">
        <f t="shared" ref="K461:K524" si="175">IF(AND(E461&lt;&gt;"",AND(I461&lt;&gt;"",J461&lt;&gt;"")),IF(E461="L",(J461-I461)*IF(I461&gt;10,IF(SEARCH("JPY",D461),10,100),10000),(I461-J461)*IF(I461&gt;10,IF(SEARCH("JPY",D461),10,100),10000)),"")</f>
        <v/>
      </c>
      <c r="L461" s="190" t="str">
        <f t="shared" ref="L461:L524" si="176">IF(AND(E461&lt;&gt;"",AND(H461&lt;&gt;"",I461&lt;&gt;"")),IF(E461="L",(I461-H461)*IF(I461&gt;10,IF(SEARCH("JPY",D461),10,100),10000),(H461-I461)*IF(I461&gt;10,IF(SEARCH("JPY",D461),10,100),10000)),"")</f>
        <v/>
      </c>
      <c r="M461" s="214"/>
      <c r="N461" s="214"/>
      <c r="O461" s="189" t="str">
        <f t="shared" ref="O461:O524" si="177">IF(H461&lt;&gt;"",H461, "")</f>
        <v/>
      </c>
      <c r="P461" s="191" t="str">
        <f t="shared" si="164"/>
        <v/>
      </c>
      <c r="Q461" s="192" t="str">
        <f t="shared" ref="Q461:Q524" si="178">IF(P461="","",IF(P461=0,0,P461/$I$4))</f>
        <v/>
      </c>
      <c r="R461" s="191" t="str">
        <f t="shared" si="165"/>
        <v/>
      </c>
      <c r="S461" s="193" t="str">
        <f t="shared" ref="S461:S524" si="179">IF(P461="","",IF(P461=0,0,R461/P461))</f>
        <v/>
      </c>
      <c r="T461" s="194" t="str">
        <f t="shared" si="166"/>
        <v/>
      </c>
      <c r="U461" s="192" t="str">
        <f t="shared" ref="U461:U524" si="180">IF(T461="","",IF($I$4="","",T461/$I$4))</f>
        <v/>
      </c>
      <c r="V461" s="195" t="str">
        <f t="shared" si="167"/>
        <v/>
      </c>
      <c r="W461" s="195" t="str">
        <f t="shared" si="168"/>
        <v/>
      </c>
      <c r="X461" s="196" t="str">
        <f t="shared" ref="X461:X524" si="181">IF((O461=""),"",IF(E461="L",1,-1)*(O461-I461)*IF(O461&gt;10,IF(SEARCH("JPY",D461),10,100),10000))</f>
        <v/>
      </c>
      <c r="Y461" s="191" t="str">
        <f t="shared" si="162"/>
        <v/>
      </c>
      <c r="Z461" s="197" t="str">
        <f t="shared" si="169"/>
        <v/>
      </c>
      <c r="AA461" s="197" t="str">
        <f t="shared" si="170"/>
        <v/>
      </c>
      <c r="AB461" s="213"/>
      <c r="AC461" s="204"/>
    </row>
    <row r="462" spans="1:29" ht="11.4">
      <c r="A462" s="211" t="str">
        <f t="shared" ref="A462:A525" si="182">IF(C462="","",A461+1)</f>
        <v/>
      </c>
      <c r="B462" s="211"/>
      <c r="C462" s="185"/>
      <c r="D462" s="186" t="str">
        <f t="shared" si="171"/>
        <v/>
      </c>
      <c r="E462" s="186" t="str">
        <f>IF(OR(C462="",C462=Data!$B$3),"",IF(C462=Data!$B$4,"L","S"))</f>
        <v/>
      </c>
      <c r="F462" s="186" t="str">
        <f t="shared" si="172"/>
        <v/>
      </c>
      <c r="G462" s="187" t="str">
        <f t="shared" si="163"/>
        <v/>
      </c>
      <c r="H462" s="188"/>
      <c r="I462" s="189" t="str">
        <f t="shared" si="173"/>
        <v/>
      </c>
      <c r="J462" s="189" t="str">
        <f t="shared" si="174"/>
        <v/>
      </c>
      <c r="K462" s="190" t="str">
        <f t="shared" si="175"/>
        <v/>
      </c>
      <c r="L462" s="190" t="str">
        <f t="shared" si="176"/>
        <v/>
      </c>
      <c r="M462" s="214"/>
      <c r="N462" s="214"/>
      <c r="O462" s="189" t="str">
        <f t="shared" si="177"/>
        <v/>
      </c>
      <c r="P462" s="191" t="str">
        <f t="shared" si="164"/>
        <v/>
      </c>
      <c r="Q462" s="192" t="str">
        <f t="shared" si="178"/>
        <v/>
      </c>
      <c r="R462" s="191" t="str">
        <f t="shared" si="165"/>
        <v/>
      </c>
      <c r="S462" s="193" t="str">
        <f t="shared" si="179"/>
        <v/>
      </c>
      <c r="T462" s="194" t="str">
        <f t="shared" si="166"/>
        <v/>
      </c>
      <c r="U462" s="192" t="str">
        <f t="shared" si="180"/>
        <v/>
      </c>
      <c r="V462" s="195" t="str">
        <f t="shared" si="167"/>
        <v/>
      </c>
      <c r="W462" s="195" t="str">
        <f t="shared" si="168"/>
        <v/>
      </c>
      <c r="X462" s="196" t="str">
        <f t="shared" si="181"/>
        <v/>
      </c>
      <c r="Y462" s="191" t="str">
        <f t="shared" si="162"/>
        <v/>
      </c>
      <c r="Z462" s="197" t="str">
        <f t="shared" si="169"/>
        <v/>
      </c>
      <c r="AA462" s="197" t="str">
        <f t="shared" si="170"/>
        <v/>
      </c>
      <c r="AB462" s="213"/>
      <c r="AC462" s="204"/>
    </row>
    <row r="463" spans="1:29" ht="11.4">
      <c r="A463" s="211" t="str">
        <f t="shared" si="182"/>
        <v/>
      </c>
      <c r="B463" s="211"/>
      <c r="C463" s="185"/>
      <c r="D463" s="186" t="str">
        <f t="shared" si="171"/>
        <v/>
      </c>
      <c r="E463" s="186" t="str">
        <f>IF(OR(C463="",C463=Data!$B$3),"",IF(C463=Data!$B$4,"L","S"))</f>
        <v/>
      </c>
      <c r="F463" s="186" t="str">
        <f t="shared" si="172"/>
        <v/>
      </c>
      <c r="G463" s="187" t="str">
        <f t="shared" si="163"/>
        <v/>
      </c>
      <c r="H463" s="188"/>
      <c r="I463" s="189" t="str">
        <f t="shared" si="173"/>
        <v/>
      </c>
      <c r="J463" s="189" t="str">
        <f t="shared" si="174"/>
        <v/>
      </c>
      <c r="K463" s="190" t="str">
        <f t="shared" si="175"/>
        <v/>
      </c>
      <c r="L463" s="190" t="str">
        <f t="shared" si="176"/>
        <v/>
      </c>
      <c r="M463" s="214"/>
      <c r="N463" s="214"/>
      <c r="O463" s="189" t="str">
        <f t="shared" si="177"/>
        <v/>
      </c>
      <c r="P463" s="191" t="str">
        <f t="shared" si="164"/>
        <v/>
      </c>
      <c r="Q463" s="192" t="str">
        <f t="shared" si="178"/>
        <v/>
      </c>
      <c r="R463" s="191" t="str">
        <f t="shared" si="165"/>
        <v/>
      </c>
      <c r="S463" s="193" t="str">
        <f t="shared" si="179"/>
        <v/>
      </c>
      <c r="T463" s="194" t="str">
        <f t="shared" si="166"/>
        <v/>
      </c>
      <c r="U463" s="192" t="str">
        <f t="shared" si="180"/>
        <v/>
      </c>
      <c r="V463" s="195" t="str">
        <f t="shared" si="167"/>
        <v/>
      </c>
      <c r="W463" s="195" t="str">
        <f t="shared" si="168"/>
        <v/>
      </c>
      <c r="X463" s="196" t="str">
        <f t="shared" si="181"/>
        <v/>
      </c>
      <c r="Y463" s="191" t="str">
        <f t="shared" si="162"/>
        <v/>
      </c>
      <c r="Z463" s="197" t="str">
        <f t="shared" si="169"/>
        <v/>
      </c>
      <c r="AA463" s="197" t="str">
        <f t="shared" si="170"/>
        <v/>
      </c>
      <c r="AB463" s="213"/>
      <c r="AC463" s="204"/>
    </row>
    <row r="464" spans="1:29" ht="11.4">
      <c r="A464" s="211" t="str">
        <f t="shared" si="182"/>
        <v/>
      </c>
      <c r="B464" s="211"/>
      <c r="C464" s="185"/>
      <c r="D464" s="186" t="str">
        <f t="shared" si="171"/>
        <v/>
      </c>
      <c r="E464" s="186" t="str">
        <f>IF(OR(C464="",C464=Data!$B$3),"",IF(C464=Data!$B$4,"L","S"))</f>
        <v/>
      </c>
      <c r="F464" s="186" t="str">
        <f t="shared" si="172"/>
        <v/>
      </c>
      <c r="G464" s="187" t="str">
        <f t="shared" si="163"/>
        <v/>
      </c>
      <c r="H464" s="188"/>
      <c r="I464" s="189" t="str">
        <f t="shared" si="173"/>
        <v/>
      </c>
      <c r="J464" s="189" t="str">
        <f t="shared" si="174"/>
        <v/>
      </c>
      <c r="K464" s="190" t="str">
        <f t="shared" si="175"/>
        <v/>
      </c>
      <c r="L464" s="190" t="str">
        <f t="shared" si="176"/>
        <v/>
      </c>
      <c r="M464" s="214"/>
      <c r="N464" s="214"/>
      <c r="O464" s="189" t="str">
        <f t="shared" si="177"/>
        <v/>
      </c>
      <c r="P464" s="191" t="str">
        <f t="shared" si="164"/>
        <v/>
      </c>
      <c r="Q464" s="192" t="str">
        <f t="shared" si="178"/>
        <v/>
      </c>
      <c r="R464" s="191" t="str">
        <f t="shared" si="165"/>
        <v/>
      </c>
      <c r="S464" s="193" t="str">
        <f t="shared" si="179"/>
        <v/>
      </c>
      <c r="T464" s="194" t="str">
        <f t="shared" si="166"/>
        <v/>
      </c>
      <c r="U464" s="192" t="str">
        <f t="shared" si="180"/>
        <v/>
      </c>
      <c r="V464" s="195" t="str">
        <f t="shared" si="167"/>
        <v/>
      </c>
      <c r="W464" s="195" t="str">
        <f t="shared" si="168"/>
        <v/>
      </c>
      <c r="X464" s="196" t="str">
        <f t="shared" si="181"/>
        <v/>
      </c>
      <c r="Y464" s="191" t="str">
        <f t="shared" si="162"/>
        <v/>
      </c>
      <c r="Z464" s="197" t="str">
        <f t="shared" si="169"/>
        <v/>
      </c>
      <c r="AA464" s="197" t="str">
        <f t="shared" si="170"/>
        <v/>
      </c>
      <c r="AB464" s="213"/>
      <c r="AC464" s="204"/>
    </row>
    <row r="465" spans="1:29" ht="11.4">
      <c r="A465" s="211" t="str">
        <f t="shared" si="182"/>
        <v/>
      </c>
      <c r="B465" s="211"/>
      <c r="C465" s="185"/>
      <c r="D465" s="186" t="str">
        <f t="shared" si="171"/>
        <v/>
      </c>
      <c r="E465" s="186" t="str">
        <f>IF(OR(C465="",C465=Data!$B$3),"",IF(C465=Data!$B$4,"L","S"))</f>
        <v/>
      </c>
      <c r="F465" s="186" t="str">
        <f t="shared" si="172"/>
        <v/>
      </c>
      <c r="G465" s="187" t="str">
        <f t="shared" si="163"/>
        <v/>
      </c>
      <c r="H465" s="188"/>
      <c r="I465" s="189" t="str">
        <f t="shared" si="173"/>
        <v/>
      </c>
      <c r="J465" s="189" t="str">
        <f t="shared" si="174"/>
        <v/>
      </c>
      <c r="K465" s="190" t="str">
        <f t="shared" si="175"/>
        <v/>
      </c>
      <c r="L465" s="190" t="str">
        <f t="shared" si="176"/>
        <v/>
      </c>
      <c r="M465" s="214"/>
      <c r="N465" s="214"/>
      <c r="O465" s="189" t="str">
        <f t="shared" si="177"/>
        <v/>
      </c>
      <c r="P465" s="191" t="str">
        <f t="shared" si="164"/>
        <v/>
      </c>
      <c r="Q465" s="192" t="str">
        <f t="shared" si="178"/>
        <v/>
      </c>
      <c r="R465" s="191" t="str">
        <f t="shared" si="165"/>
        <v/>
      </c>
      <c r="S465" s="193" t="str">
        <f t="shared" si="179"/>
        <v/>
      </c>
      <c r="T465" s="194" t="str">
        <f t="shared" si="166"/>
        <v/>
      </c>
      <c r="U465" s="192" t="str">
        <f t="shared" si="180"/>
        <v/>
      </c>
      <c r="V465" s="195" t="str">
        <f t="shared" si="167"/>
        <v/>
      </c>
      <c r="W465" s="195" t="str">
        <f t="shared" si="168"/>
        <v/>
      </c>
      <c r="X465" s="196" t="str">
        <f t="shared" si="181"/>
        <v/>
      </c>
      <c r="Y465" s="191" t="str">
        <f t="shared" si="162"/>
        <v/>
      </c>
      <c r="Z465" s="197" t="str">
        <f t="shared" si="169"/>
        <v/>
      </c>
      <c r="AA465" s="197" t="str">
        <f t="shared" si="170"/>
        <v/>
      </c>
      <c r="AB465" s="213"/>
      <c r="AC465" s="204"/>
    </row>
    <row r="466" spans="1:29" ht="11.4">
      <c r="A466" s="211" t="str">
        <f t="shared" si="182"/>
        <v/>
      </c>
      <c r="B466" s="211"/>
      <c r="C466" s="185"/>
      <c r="D466" s="186" t="str">
        <f t="shared" si="171"/>
        <v/>
      </c>
      <c r="E466" s="186" t="str">
        <f>IF(OR(C466="",C466=Data!$B$3),"",IF(C466=Data!$B$4,"L","S"))</f>
        <v/>
      </c>
      <c r="F466" s="186" t="str">
        <f t="shared" si="172"/>
        <v/>
      </c>
      <c r="G466" s="187" t="str">
        <f t="shared" si="163"/>
        <v/>
      </c>
      <c r="H466" s="188"/>
      <c r="I466" s="189" t="str">
        <f t="shared" si="173"/>
        <v/>
      </c>
      <c r="J466" s="189" t="str">
        <f t="shared" si="174"/>
        <v/>
      </c>
      <c r="K466" s="190" t="str">
        <f t="shared" si="175"/>
        <v/>
      </c>
      <c r="L466" s="190" t="str">
        <f t="shared" si="176"/>
        <v/>
      </c>
      <c r="M466" s="214"/>
      <c r="N466" s="214"/>
      <c r="O466" s="189" t="str">
        <f t="shared" si="177"/>
        <v/>
      </c>
      <c r="P466" s="191" t="str">
        <f t="shared" si="164"/>
        <v/>
      </c>
      <c r="Q466" s="192" t="str">
        <f t="shared" si="178"/>
        <v/>
      </c>
      <c r="R466" s="191" t="str">
        <f t="shared" si="165"/>
        <v/>
      </c>
      <c r="S466" s="193" t="str">
        <f t="shared" si="179"/>
        <v/>
      </c>
      <c r="T466" s="194" t="str">
        <f t="shared" si="166"/>
        <v/>
      </c>
      <c r="U466" s="192" t="str">
        <f t="shared" si="180"/>
        <v/>
      </c>
      <c r="V466" s="195" t="str">
        <f t="shared" si="167"/>
        <v/>
      </c>
      <c r="W466" s="195" t="str">
        <f t="shared" si="168"/>
        <v/>
      </c>
      <c r="X466" s="196" t="str">
        <f t="shared" si="181"/>
        <v/>
      </c>
      <c r="Y466" s="191" t="str">
        <f t="shared" si="162"/>
        <v/>
      </c>
      <c r="Z466" s="197" t="str">
        <f t="shared" si="169"/>
        <v/>
      </c>
      <c r="AA466" s="197" t="str">
        <f t="shared" si="170"/>
        <v/>
      </c>
      <c r="AB466" s="213"/>
      <c r="AC466" s="204"/>
    </row>
    <row r="467" spans="1:29" ht="11.4">
      <c r="A467" s="211" t="str">
        <f t="shared" si="182"/>
        <v/>
      </c>
      <c r="B467" s="211"/>
      <c r="C467" s="185"/>
      <c r="D467" s="186" t="str">
        <f t="shared" si="171"/>
        <v/>
      </c>
      <c r="E467" s="186" t="str">
        <f>IF(OR(C467="",C467=Data!$B$3),"",IF(C467=Data!$B$4,"L","S"))</f>
        <v/>
      </c>
      <c r="F467" s="186" t="str">
        <f t="shared" si="172"/>
        <v/>
      </c>
      <c r="G467" s="187" t="str">
        <f t="shared" si="163"/>
        <v/>
      </c>
      <c r="H467" s="188"/>
      <c r="I467" s="189" t="str">
        <f t="shared" si="173"/>
        <v/>
      </c>
      <c r="J467" s="189" t="str">
        <f t="shared" si="174"/>
        <v/>
      </c>
      <c r="K467" s="190" t="str">
        <f t="shared" si="175"/>
        <v/>
      </c>
      <c r="L467" s="190" t="str">
        <f t="shared" si="176"/>
        <v/>
      </c>
      <c r="M467" s="214"/>
      <c r="N467" s="214"/>
      <c r="O467" s="189" t="str">
        <f t="shared" si="177"/>
        <v/>
      </c>
      <c r="P467" s="191" t="str">
        <f t="shared" si="164"/>
        <v/>
      </c>
      <c r="Q467" s="192" t="str">
        <f t="shared" si="178"/>
        <v/>
      </c>
      <c r="R467" s="191" t="str">
        <f t="shared" si="165"/>
        <v/>
      </c>
      <c r="S467" s="193" t="str">
        <f t="shared" si="179"/>
        <v/>
      </c>
      <c r="T467" s="194" t="str">
        <f t="shared" si="166"/>
        <v/>
      </c>
      <c r="U467" s="192" t="str">
        <f t="shared" si="180"/>
        <v/>
      </c>
      <c r="V467" s="195" t="str">
        <f t="shared" si="167"/>
        <v/>
      </c>
      <c r="W467" s="195" t="str">
        <f t="shared" si="168"/>
        <v/>
      </c>
      <c r="X467" s="196" t="str">
        <f t="shared" si="181"/>
        <v/>
      </c>
      <c r="Y467" s="191" t="str">
        <f t="shared" si="162"/>
        <v/>
      </c>
      <c r="Z467" s="197" t="str">
        <f t="shared" si="169"/>
        <v/>
      </c>
      <c r="AA467" s="197" t="str">
        <f t="shared" si="170"/>
        <v/>
      </c>
      <c r="AB467" s="213"/>
      <c r="AC467" s="204"/>
    </row>
    <row r="468" spans="1:29" ht="11.4">
      <c r="A468" s="211" t="str">
        <f t="shared" si="182"/>
        <v/>
      </c>
      <c r="B468" s="211"/>
      <c r="C468" s="185"/>
      <c r="D468" s="186" t="str">
        <f t="shared" si="171"/>
        <v/>
      </c>
      <c r="E468" s="186" t="str">
        <f>IF(OR(C468="",C468=Data!$B$3),"",IF(C468=Data!$B$4,"L","S"))</f>
        <v/>
      </c>
      <c r="F468" s="186" t="str">
        <f t="shared" si="172"/>
        <v/>
      </c>
      <c r="G468" s="187" t="str">
        <f t="shared" si="163"/>
        <v/>
      </c>
      <c r="H468" s="188"/>
      <c r="I468" s="189" t="str">
        <f t="shared" si="173"/>
        <v/>
      </c>
      <c r="J468" s="189" t="str">
        <f t="shared" si="174"/>
        <v/>
      </c>
      <c r="K468" s="190" t="str">
        <f t="shared" si="175"/>
        <v/>
      </c>
      <c r="L468" s="190" t="str">
        <f t="shared" si="176"/>
        <v/>
      </c>
      <c r="M468" s="214"/>
      <c r="N468" s="214"/>
      <c r="O468" s="189" t="str">
        <f t="shared" si="177"/>
        <v/>
      </c>
      <c r="P468" s="191" t="str">
        <f t="shared" si="164"/>
        <v/>
      </c>
      <c r="Q468" s="192" t="str">
        <f t="shared" si="178"/>
        <v/>
      </c>
      <c r="R468" s="191" t="str">
        <f t="shared" si="165"/>
        <v/>
      </c>
      <c r="S468" s="193" t="str">
        <f t="shared" si="179"/>
        <v/>
      </c>
      <c r="T468" s="194" t="str">
        <f t="shared" si="166"/>
        <v/>
      </c>
      <c r="U468" s="192" t="str">
        <f t="shared" si="180"/>
        <v/>
      </c>
      <c r="V468" s="195" t="str">
        <f t="shared" si="167"/>
        <v/>
      </c>
      <c r="W468" s="195" t="str">
        <f t="shared" si="168"/>
        <v/>
      </c>
      <c r="X468" s="196" t="str">
        <f t="shared" si="181"/>
        <v/>
      </c>
      <c r="Y468" s="191" t="str">
        <f t="shared" ref="Y468:Y531" si="183">IF(Y467="","",IF(T468="","",Y467+T468))</f>
        <v/>
      </c>
      <c r="Z468" s="197" t="str">
        <f t="shared" si="169"/>
        <v/>
      </c>
      <c r="AA468" s="197" t="str">
        <f t="shared" si="170"/>
        <v/>
      </c>
      <c r="AB468" s="213"/>
      <c r="AC468" s="204"/>
    </row>
    <row r="469" spans="1:29" ht="11.4">
      <c r="A469" s="211" t="str">
        <f t="shared" si="182"/>
        <v/>
      </c>
      <c r="B469" s="211"/>
      <c r="C469" s="185"/>
      <c r="D469" s="186" t="str">
        <f t="shared" si="171"/>
        <v/>
      </c>
      <c r="E469" s="186" t="str">
        <f>IF(OR(C469="",C469=Data!$B$3),"",IF(C469=Data!$B$4,"L","S"))</f>
        <v/>
      </c>
      <c r="F469" s="186" t="str">
        <f t="shared" si="172"/>
        <v/>
      </c>
      <c r="G469" s="187" t="str">
        <f t="shared" si="163"/>
        <v/>
      </c>
      <c r="H469" s="188"/>
      <c r="I469" s="189" t="str">
        <f t="shared" si="173"/>
        <v/>
      </c>
      <c r="J469" s="189" t="str">
        <f t="shared" si="174"/>
        <v/>
      </c>
      <c r="K469" s="190" t="str">
        <f t="shared" si="175"/>
        <v/>
      </c>
      <c r="L469" s="190" t="str">
        <f t="shared" si="176"/>
        <v/>
      </c>
      <c r="M469" s="214"/>
      <c r="N469" s="214"/>
      <c r="O469" s="189" t="str">
        <f t="shared" si="177"/>
        <v/>
      </c>
      <c r="P469" s="191" t="str">
        <f t="shared" si="164"/>
        <v/>
      </c>
      <c r="Q469" s="192" t="str">
        <f t="shared" si="178"/>
        <v/>
      </c>
      <c r="R469" s="191" t="str">
        <f t="shared" si="165"/>
        <v/>
      </c>
      <c r="S469" s="193" t="str">
        <f t="shared" si="179"/>
        <v/>
      </c>
      <c r="T469" s="194" t="str">
        <f t="shared" si="166"/>
        <v/>
      </c>
      <c r="U469" s="192" t="str">
        <f t="shared" si="180"/>
        <v/>
      </c>
      <c r="V469" s="195" t="str">
        <f t="shared" si="167"/>
        <v/>
      </c>
      <c r="W469" s="195" t="str">
        <f t="shared" si="168"/>
        <v/>
      </c>
      <c r="X469" s="196" t="str">
        <f t="shared" si="181"/>
        <v/>
      </c>
      <c r="Y469" s="191" t="str">
        <f t="shared" si="183"/>
        <v/>
      </c>
      <c r="Z469" s="197" t="str">
        <f t="shared" si="169"/>
        <v/>
      </c>
      <c r="AA469" s="197" t="str">
        <f t="shared" si="170"/>
        <v/>
      </c>
      <c r="AB469" s="213"/>
      <c r="AC469" s="204"/>
    </row>
    <row r="470" spans="1:29" ht="11.4">
      <c r="A470" s="211" t="str">
        <f t="shared" si="182"/>
        <v/>
      </c>
      <c r="B470" s="211"/>
      <c r="C470" s="185"/>
      <c r="D470" s="186" t="str">
        <f t="shared" si="171"/>
        <v/>
      </c>
      <c r="E470" s="186" t="str">
        <f>IF(OR(C470="",C470=Data!$B$3),"",IF(C470=Data!$B$4,"L","S"))</f>
        <v/>
      </c>
      <c r="F470" s="186" t="str">
        <f t="shared" si="172"/>
        <v/>
      </c>
      <c r="G470" s="187" t="str">
        <f t="shared" si="163"/>
        <v/>
      </c>
      <c r="H470" s="188"/>
      <c r="I470" s="189" t="str">
        <f t="shared" si="173"/>
        <v/>
      </c>
      <c r="J470" s="189" t="str">
        <f t="shared" si="174"/>
        <v/>
      </c>
      <c r="K470" s="190" t="str">
        <f t="shared" si="175"/>
        <v/>
      </c>
      <c r="L470" s="190" t="str">
        <f t="shared" si="176"/>
        <v/>
      </c>
      <c r="M470" s="214"/>
      <c r="N470" s="214"/>
      <c r="O470" s="189" t="str">
        <f t="shared" si="177"/>
        <v/>
      </c>
      <c r="P470" s="191" t="str">
        <f t="shared" si="164"/>
        <v/>
      </c>
      <c r="Q470" s="192" t="str">
        <f t="shared" si="178"/>
        <v/>
      </c>
      <c r="R470" s="191" t="str">
        <f t="shared" si="165"/>
        <v/>
      </c>
      <c r="S470" s="193" t="str">
        <f t="shared" si="179"/>
        <v/>
      </c>
      <c r="T470" s="194" t="str">
        <f t="shared" si="166"/>
        <v/>
      </c>
      <c r="U470" s="192" t="str">
        <f t="shared" si="180"/>
        <v/>
      </c>
      <c r="V470" s="195" t="str">
        <f t="shared" si="167"/>
        <v/>
      </c>
      <c r="W470" s="195" t="str">
        <f t="shared" si="168"/>
        <v/>
      </c>
      <c r="X470" s="196" t="str">
        <f t="shared" si="181"/>
        <v/>
      </c>
      <c r="Y470" s="191" t="str">
        <f t="shared" si="183"/>
        <v/>
      </c>
      <c r="Z470" s="197" t="str">
        <f t="shared" si="169"/>
        <v/>
      </c>
      <c r="AA470" s="197" t="str">
        <f t="shared" si="170"/>
        <v/>
      </c>
      <c r="AB470" s="213"/>
      <c r="AC470" s="204"/>
    </row>
    <row r="471" spans="1:29" ht="11.4">
      <c r="A471" s="211" t="str">
        <f t="shared" si="182"/>
        <v/>
      </c>
      <c r="B471" s="211"/>
      <c r="C471" s="185"/>
      <c r="D471" s="186" t="str">
        <f t="shared" si="171"/>
        <v/>
      </c>
      <c r="E471" s="186" t="str">
        <f>IF(OR(C471="",C471=Data!$B$3),"",IF(C471=Data!$B$4,"L","S"))</f>
        <v/>
      </c>
      <c r="F471" s="186" t="str">
        <f t="shared" si="172"/>
        <v/>
      </c>
      <c r="G471" s="187" t="str">
        <f t="shared" si="163"/>
        <v/>
      </c>
      <c r="H471" s="188"/>
      <c r="I471" s="189" t="str">
        <f t="shared" si="173"/>
        <v/>
      </c>
      <c r="J471" s="189" t="str">
        <f t="shared" si="174"/>
        <v/>
      </c>
      <c r="K471" s="190" t="str">
        <f t="shared" si="175"/>
        <v/>
      </c>
      <c r="L471" s="190" t="str">
        <f t="shared" si="176"/>
        <v/>
      </c>
      <c r="M471" s="214"/>
      <c r="N471" s="214"/>
      <c r="O471" s="189" t="str">
        <f t="shared" si="177"/>
        <v/>
      </c>
      <c r="P471" s="191" t="str">
        <f t="shared" si="164"/>
        <v/>
      </c>
      <c r="Q471" s="192" t="str">
        <f t="shared" si="178"/>
        <v/>
      </c>
      <c r="R471" s="191" t="str">
        <f t="shared" si="165"/>
        <v/>
      </c>
      <c r="S471" s="193" t="str">
        <f t="shared" si="179"/>
        <v/>
      </c>
      <c r="T471" s="194" t="str">
        <f t="shared" si="166"/>
        <v/>
      </c>
      <c r="U471" s="192" t="str">
        <f t="shared" si="180"/>
        <v/>
      </c>
      <c r="V471" s="195" t="str">
        <f t="shared" si="167"/>
        <v/>
      </c>
      <c r="W471" s="195" t="str">
        <f t="shared" si="168"/>
        <v/>
      </c>
      <c r="X471" s="196" t="str">
        <f t="shared" si="181"/>
        <v/>
      </c>
      <c r="Y471" s="191" t="str">
        <f t="shared" si="183"/>
        <v/>
      </c>
      <c r="Z471" s="197" t="str">
        <f t="shared" si="169"/>
        <v/>
      </c>
      <c r="AA471" s="197" t="str">
        <f t="shared" si="170"/>
        <v/>
      </c>
      <c r="AB471" s="213"/>
      <c r="AC471" s="204"/>
    </row>
    <row r="472" spans="1:29" ht="11.4">
      <c r="A472" s="211" t="str">
        <f t="shared" si="182"/>
        <v/>
      </c>
      <c r="B472" s="211"/>
      <c r="C472" s="185"/>
      <c r="D472" s="186" t="str">
        <f t="shared" si="171"/>
        <v/>
      </c>
      <c r="E472" s="186" t="str">
        <f>IF(OR(C472="",C472=Data!$B$3),"",IF(C472=Data!$B$4,"L","S"))</f>
        <v/>
      </c>
      <c r="F472" s="186" t="str">
        <f t="shared" si="172"/>
        <v/>
      </c>
      <c r="G472" s="187" t="str">
        <f t="shared" si="163"/>
        <v/>
      </c>
      <c r="H472" s="188"/>
      <c r="I472" s="189" t="str">
        <f t="shared" si="173"/>
        <v/>
      </c>
      <c r="J472" s="189" t="str">
        <f t="shared" si="174"/>
        <v/>
      </c>
      <c r="K472" s="190" t="str">
        <f t="shared" si="175"/>
        <v/>
      </c>
      <c r="L472" s="190" t="str">
        <f t="shared" si="176"/>
        <v/>
      </c>
      <c r="M472" s="214"/>
      <c r="N472" s="214"/>
      <c r="O472" s="189" t="str">
        <f t="shared" si="177"/>
        <v/>
      </c>
      <c r="P472" s="191" t="str">
        <f t="shared" si="164"/>
        <v/>
      </c>
      <c r="Q472" s="192" t="str">
        <f t="shared" si="178"/>
        <v/>
      </c>
      <c r="R472" s="191" t="str">
        <f t="shared" si="165"/>
        <v/>
      </c>
      <c r="S472" s="193" t="str">
        <f t="shared" si="179"/>
        <v/>
      </c>
      <c r="T472" s="194" t="str">
        <f t="shared" si="166"/>
        <v/>
      </c>
      <c r="U472" s="192" t="str">
        <f t="shared" si="180"/>
        <v/>
      </c>
      <c r="V472" s="195" t="str">
        <f t="shared" si="167"/>
        <v/>
      </c>
      <c r="W472" s="195" t="str">
        <f t="shared" si="168"/>
        <v/>
      </c>
      <c r="X472" s="196" t="str">
        <f t="shared" si="181"/>
        <v/>
      </c>
      <c r="Y472" s="191" t="str">
        <f t="shared" si="183"/>
        <v/>
      </c>
      <c r="Z472" s="197" t="str">
        <f t="shared" si="169"/>
        <v/>
      </c>
      <c r="AA472" s="197" t="str">
        <f t="shared" si="170"/>
        <v/>
      </c>
      <c r="AB472" s="213"/>
      <c r="AC472" s="204"/>
    </row>
    <row r="473" spans="1:29" ht="11.4">
      <c r="A473" s="211" t="str">
        <f t="shared" si="182"/>
        <v/>
      </c>
      <c r="B473" s="211"/>
      <c r="C473" s="185"/>
      <c r="D473" s="186" t="str">
        <f t="shared" si="171"/>
        <v/>
      </c>
      <c r="E473" s="186" t="str">
        <f>IF(OR(C473="",C473=Data!$B$3),"",IF(C473=Data!$B$4,"L","S"))</f>
        <v/>
      </c>
      <c r="F473" s="186" t="str">
        <f t="shared" si="172"/>
        <v/>
      </c>
      <c r="G473" s="187" t="str">
        <f t="shared" si="163"/>
        <v/>
      </c>
      <c r="H473" s="188"/>
      <c r="I473" s="189" t="str">
        <f t="shared" si="173"/>
        <v/>
      </c>
      <c r="J473" s="189" t="str">
        <f t="shared" si="174"/>
        <v/>
      </c>
      <c r="K473" s="190" t="str">
        <f t="shared" si="175"/>
        <v/>
      </c>
      <c r="L473" s="190" t="str">
        <f t="shared" si="176"/>
        <v/>
      </c>
      <c r="M473" s="214"/>
      <c r="N473" s="214"/>
      <c r="O473" s="189" t="str">
        <f t="shared" si="177"/>
        <v/>
      </c>
      <c r="P473" s="191" t="str">
        <f t="shared" si="164"/>
        <v/>
      </c>
      <c r="Q473" s="192" t="str">
        <f t="shared" si="178"/>
        <v/>
      </c>
      <c r="R473" s="191" t="str">
        <f t="shared" si="165"/>
        <v/>
      </c>
      <c r="S473" s="193" t="str">
        <f t="shared" si="179"/>
        <v/>
      </c>
      <c r="T473" s="194" t="str">
        <f t="shared" si="166"/>
        <v/>
      </c>
      <c r="U473" s="192" t="str">
        <f t="shared" si="180"/>
        <v/>
      </c>
      <c r="V473" s="195" t="str">
        <f t="shared" si="167"/>
        <v/>
      </c>
      <c r="W473" s="195" t="str">
        <f t="shared" si="168"/>
        <v/>
      </c>
      <c r="X473" s="196" t="str">
        <f t="shared" si="181"/>
        <v/>
      </c>
      <c r="Y473" s="191" t="str">
        <f t="shared" si="183"/>
        <v/>
      </c>
      <c r="Z473" s="197" t="str">
        <f t="shared" si="169"/>
        <v/>
      </c>
      <c r="AA473" s="197" t="str">
        <f t="shared" si="170"/>
        <v/>
      </c>
      <c r="AB473" s="213"/>
      <c r="AC473" s="204"/>
    </row>
    <row r="474" spans="1:29" ht="11.4">
      <c r="A474" s="211" t="str">
        <f t="shared" si="182"/>
        <v/>
      </c>
      <c r="B474" s="211"/>
      <c r="C474" s="185"/>
      <c r="D474" s="186" t="str">
        <f t="shared" si="171"/>
        <v/>
      </c>
      <c r="E474" s="186" t="str">
        <f>IF(OR(C474="",C474=Data!$B$3),"",IF(C474=Data!$B$4,"L","S"))</f>
        <v/>
      </c>
      <c r="F474" s="186" t="str">
        <f t="shared" si="172"/>
        <v/>
      </c>
      <c r="G474" s="187" t="str">
        <f t="shared" si="163"/>
        <v/>
      </c>
      <c r="H474" s="188"/>
      <c r="I474" s="189" t="str">
        <f t="shared" si="173"/>
        <v/>
      </c>
      <c r="J474" s="189" t="str">
        <f t="shared" si="174"/>
        <v/>
      </c>
      <c r="K474" s="190" t="str">
        <f t="shared" si="175"/>
        <v/>
      </c>
      <c r="L474" s="190" t="str">
        <f t="shared" si="176"/>
        <v/>
      </c>
      <c r="M474" s="214"/>
      <c r="N474" s="214"/>
      <c r="O474" s="189" t="str">
        <f t="shared" si="177"/>
        <v/>
      </c>
      <c r="P474" s="191" t="str">
        <f t="shared" si="164"/>
        <v/>
      </c>
      <c r="Q474" s="192" t="str">
        <f t="shared" si="178"/>
        <v/>
      </c>
      <c r="R474" s="191" t="str">
        <f t="shared" si="165"/>
        <v/>
      </c>
      <c r="S474" s="193" t="str">
        <f t="shared" si="179"/>
        <v/>
      </c>
      <c r="T474" s="194" t="str">
        <f t="shared" si="166"/>
        <v/>
      </c>
      <c r="U474" s="192" t="str">
        <f t="shared" si="180"/>
        <v/>
      </c>
      <c r="V474" s="195" t="str">
        <f t="shared" si="167"/>
        <v/>
      </c>
      <c r="W474" s="195" t="str">
        <f t="shared" si="168"/>
        <v/>
      </c>
      <c r="X474" s="196" t="str">
        <f t="shared" si="181"/>
        <v/>
      </c>
      <c r="Y474" s="191" t="str">
        <f t="shared" si="183"/>
        <v/>
      </c>
      <c r="Z474" s="197" t="str">
        <f t="shared" si="169"/>
        <v/>
      </c>
      <c r="AA474" s="197" t="str">
        <f t="shared" si="170"/>
        <v/>
      </c>
      <c r="AB474" s="213"/>
      <c r="AC474" s="204"/>
    </row>
    <row r="475" spans="1:29" ht="11.4">
      <c r="A475" s="211" t="str">
        <f t="shared" si="182"/>
        <v/>
      </c>
      <c r="B475" s="211"/>
      <c r="C475" s="185"/>
      <c r="D475" s="186" t="str">
        <f t="shared" si="171"/>
        <v/>
      </c>
      <c r="E475" s="186" t="str">
        <f>IF(OR(C475="",C475=Data!$B$3),"",IF(C475=Data!$B$4,"L","S"))</f>
        <v/>
      </c>
      <c r="F475" s="186" t="str">
        <f t="shared" si="172"/>
        <v/>
      </c>
      <c r="G475" s="187" t="str">
        <f t="shared" si="163"/>
        <v/>
      </c>
      <c r="H475" s="188"/>
      <c r="I475" s="189" t="str">
        <f t="shared" si="173"/>
        <v/>
      </c>
      <c r="J475" s="189" t="str">
        <f t="shared" si="174"/>
        <v/>
      </c>
      <c r="K475" s="190" t="str">
        <f t="shared" si="175"/>
        <v/>
      </c>
      <c r="L475" s="190" t="str">
        <f t="shared" si="176"/>
        <v/>
      </c>
      <c r="M475" s="214"/>
      <c r="N475" s="214"/>
      <c r="O475" s="189" t="str">
        <f t="shared" si="177"/>
        <v/>
      </c>
      <c r="P475" s="191" t="str">
        <f t="shared" si="164"/>
        <v/>
      </c>
      <c r="Q475" s="192" t="str">
        <f t="shared" si="178"/>
        <v/>
      </c>
      <c r="R475" s="191" t="str">
        <f t="shared" si="165"/>
        <v/>
      </c>
      <c r="S475" s="193" t="str">
        <f t="shared" si="179"/>
        <v/>
      </c>
      <c r="T475" s="194" t="str">
        <f t="shared" si="166"/>
        <v/>
      </c>
      <c r="U475" s="192" t="str">
        <f t="shared" si="180"/>
        <v/>
      </c>
      <c r="V475" s="195" t="str">
        <f t="shared" si="167"/>
        <v/>
      </c>
      <c r="W475" s="195" t="str">
        <f t="shared" si="168"/>
        <v/>
      </c>
      <c r="X475" s="196" t="str">
        <f t="shared" si="181"/>
        <v/>
      </c>
      <c r="Y475" s="191" t="str">
        <f t="shared" si="183"/>
        <v/>
      </c>
      <c r="Z475" s="197" t="str">
        <f t="shared" si="169"/>
        <v/>
      </c>
      <c r="AA475" s="197" t="str">
        <f t="shared" si="170"/>
        <v/>
      </c>
      <c r="AB475" s="213"/>
      <c r="AC475" s="204"/>
    </row>
    <row r="476" spans="1:29" ht="11.4">
      <c r="A476" s="211" t="str">
        <f t="shared" si="182"/>
        <v/>
      </c>
      <c r="B476" s="211"/>
      <c r="C476" s="185"/>
      <c r="D476" s="186" t="str">
        <f t="shared" si="171"/>
        <v/>
      </c>
      <c r="E476" s="186" t="str">
        <f>IF(OR(C476="",C476=Data!$B$3),"",IF(C476=Data!$B$4,"L","S"))</f>
        <v/>
      </c>
      <c r="F476" s="186" t="str">
        <f t="shared" si="172"/>
        <v/>
      </c>
      <c r="G476" s="187" t="str">
        <f t="shared" si="163"/>
        <v/>
      </c>
      <c r="H476" s="188"/>
      <c r="I476" s="189" t="str">
        <f t="shared" si="173"/>
        <v/>
      </c>
      <c r="J476" s="189" t="str">
        <f t="shared" si="174"/>
        <v/>
      </c>
      <c r="K476" s="190" t="str">
        <f t="shared" si="175"/>
        <v/>
      </c>
      <c r="L476" s="190" t="str">
        <f t="shared" si="176"/>
        <v/>
      </c>
      <c r="M476" s="214"/>
      <c r="N476" s="214"/>
      <c r="O476" s="189" t="str">
        <f t="shared" si="177"/>
        <v/>
      </c>
      <c r="P476" s="191" t="str">
        <f t="shared" si="164"/>
        <v/>
      </c>
      <c r="Q476" s="192" t="str">
        <f t="shared" si="178"/>
        <v/>
      </c>
      <c r="R476" s="191" t="str">
        <f t="shared" si="165"/>
        <v/>
      </c>
      <c r="S476" s="193" t="str">
        <f t="shared" si="179"/>
        <v/>
      </c>
      <c r="T476" s="194" t="str">
        <f t="shared" si="166"/>
        <v/>
      </c>
      <c r="U476" s="192" t="str">
        <f t="shared" si="180"/>
        <v/>
      </c>
      <c r="V476" s="195" t="str">
        <f t="shared" si="167"/>
        <v/>
      </c>
      <c r="W476" s="195" t="str">
        <f t="shared" si="168"/>
        <v/>
      </c>
      <c r="X476" s="196" t="str">
        <f t="shared" si="181"/>
        <v/>
      </c>
      <c r="Y476" s="191" t="str">
        <f t="shared" si="183"/>
        <v/>
      </c>
      <c r="Z476" s="197" t="str">
        <f t="shared" si="169"/>
        <v/>
      </c>
      <c r="AA476" s="197" t="str">
        <f t="shared" si="170"/>
        <v/>
      </c>
      <c r="AB476" s="213"/>
      <c r="AC476" s="204"/>
    </row>
    <row r="477" spans="1:29" ht="11.4">
      <c r="A477" s="211" t="str">
        <f t="shared" si="182"/>
        <v/>
      </c>
      <c r="B477" s="211"/>
      <c r="C477" s="185"/>
      <c r="D477" s="186" t="str">
        <f t="shared" si="171"/>
        <v/>
      </c>
      <c r="E477" s="186" t="str">
        <f>IF(OR(C477="",C477=Data!$B$3),"",IF(C477=Data!$B$4,"L","S"))</f>
        <v/>
      </c>
      <c r="F477" s="186" t="str">
        <f t="shared" si="172"/>
        <v/>
      </c>
      <c r="G477" s="187" t="str">
        <f t="shared" si="163"/>
        <v/>
      </c>
      <c r="H477" s="188"/>
      <c r="I477" s="189" t="str">
        <f t="shared" si="173"/>
        <v/>
      </c>
      <c r="J477" s="189" t="str">
        <f t="shared" si="174"/>
        <v/>
      </c>
      <c r="K477" s="190" t="str">
        <f t="shared" si="175"/>
        <v/>
      </c>
      <c r="L477" s="190" t="str">
        <f t="shared" si="176"/>
        <v/>
      </c>
      <c r="M477" s="214"/>
      <c r="N477" s="214"/>
      <c r="O477" s="189" t="str">
        <f t="shared" si="177"/>
        <v/>
      </c>
      <c r="P477" s="191" t="str">
        <f t="shared" si="164"/>
        <v/>
      </c>
      <c r="Q477" s="192" t="str">
        <f t="shared" si="178"/>
        <v/>
      </c>
      <c r="R477" s="191" t="str">
        <f t="shared" si="165"/>
        <v/>
      </c>
      <c r="S477" s="193" t="str">
        <f t="shared" si="179"/>
        <v/>
      </c>
      <c r="T477" s="194" t="str">
        <f t="shared" si="166"/>
        <v/>
      </c>
      <c r="U477" s="192" t="str">
        <f t="shared" si="180"/>
        <v/>
      </c>
      <c r="V477" s="195" t="str">
        <f t="shared" si="167"/>
        <v/>
      </c>
      <c r="W477" s="195" t="str">
        <f t="shared" si="168"/>
        <v/>
      </c>
      <c r="X477" s="196" t="str">
        <f t="shared" si="181"/>
        <v/>
      </c>
      <c r="Y477" s="191" t="str">
        <f t="shared" si="183"/>
        <v/>
      </c>
      <c r="Z477" s="197" t="str">
        <f t="shared" si="169"/>
        <v/>
      </c>
      <c r="AA477" s="197" t="str">
        <f t="shared" si="170"/>
        <v/>
      </c>
      <c r="AB477" s="213"/>
      <c r="AC477" s="204"/>
    </row>
    <row r="478" spans="1:29" ht="11.4">
      <c r="A478" s="211" t="str">
        <f t="shared" si="182"/>
        <v/>
      </c>
      <c r="B478" s="211"/>
      <c r="C478" s="185"/>
      <c r="D478" s="186" t="str">
        <f t="shared" si="171"/>
        <v/>
      </c>
      <c r="E478" s="186" t="str">
        <f>IF(OR(C478="",C478=Data!$B$3),"",IF(C478=Data!$B$4,"L","S"))</f>
        <v/>
      </c>
      <c r="F478" s="186" t="str">
        <f t="shared" si="172"/>
        <v/>
      </c>
      <c r="G478" s="187" t="str">
        <f t="shared" si="163"/>
        <v/>
      </c>
      <c r="H478" s="188"/>
      <c r="I478" s="189" t="str">
        <f t="shared" si="173"/>
        <v/>
      </c>
      <c r="J478" s="189" t="str">
        <f t="shared" si="174"/>
        <v/>
      </c>
      <c r="K478" s="190" t="str">
        <f t="shared" si="175"/>
        <v/>
      </c>
      <c r="L478" s="190" t="str">
        <f t="shared" si="176"/>
        <v/>
      </c>
      <c r="M478" s="214"/>
      <c r="N478" s="214"/>
      <c r="O478" s="189" t="str">
        <f t="shared" si="177"/>
        <v/>
      </c>
      <c r="P478" s="191" t="str">
        <f t="shared" si="164"/>
        <v/>
      </c>
      <c r="Q478" s="192" t="str">
        <f t="shared" si="178"/>
        <v/>
      </c>
      <c r="R478" s="191" t="str">
        <f t="shared" si="165"/>
        <v/>
      </c>
      <c r="S478" s="193" t="str">
        <f t="shared" si="179"/>
        <v/>
      </c>
      <c r="T478" s="194" t="str">
        <f t="shared" si="166"/>
        <v/>
      </c>
      <c r="U478" s="192" t="str">
        <f t="shared" si="180"/>
        <v/>
      </c>
      <c r="V478" s="195" t="str">
        <f t="shared" si="167"/>
        <v/>
      </c>
      <c r="W478" s="195" t="str">
        <f t="shared" si="168"/>
        <v/>
      </c>
      <c r="X478" s="196" t="str">
        <f t="shared" si="181"/>
        <v/>
      </c>
      <c r="Y478" s="191" t="str">
        <f t="shared" si="183"/>
        <v/>
      </c>
      <c r="Z478" s="197" t="str">
        <f t="shared" si="169"/>
        <v/>
      </c>
      <c r="AA478" s="197" t="str">
        <f t="shared" si="170"/>
        <v/>
      </c>
      <c r="AB478" s="213"/>
      <c r="AC478" s="204"/>
    </row>
    <row r="479" spans="1:29" ht="11.4">
      <c r="A479" s="211" t="str">
        <f t="shared" si="182"/>
        <v/>
      </c>
      <c r="B479" s="211"/>
      <c r="C479" s="185"/>
      <c r="D479" s="186" t="str">
        <f t="shared" si="171"/>
        <v/>
      </c>
      <c r="E479" s="186" t="str">
        <f>IF(OR(C479="",C479=Data!$B$3),"",IF(C479=Data!$B$4,"L","S"))</f>
        <v/>
      </c>
      <c r="F479" s="186" t="str">
        <f t="shared" si="172"/>
        <v/>
      </c>
      <c r="G479" s="187" t="str">
        <f t="shared" si="163"/>
        <v/>
      </c>
      <c r="H479" s="188"/>
      <c r="I479" s="189" t="str">
        <f t="shared" si="173"/>
        <v/>
      </c>
      <c r="J479" s="189" t="str">
        <f t="shared" si="174"/>
        <v/>
      </c>
      <c r="K479" s="190" t="str">
        <f t="shared" si="175"/>
        <v/>
      </c>
      <c r="L479" s="190" t="str">
        <f t="shared" si="176"/>
        <v/>
      </c>
      <c r="M479" s="214"/>
      <c r="N479" s="214"/>
      <c r="O479" s="189" t="str">
        <f t="shared" si="177"/>
        <v/>
      </c>
      <c r="P479" s="191" t="str">
        <f t="shared" si="164"/>
        <v/>
      </c>
      <c r="Q479" s="192" t="str">
        <f t="shared" si="178"/>
        <v/>
      </c>
      <c r="R479" s="191" t="str">
        <f t="shared" si="165"/>
        <v/>
      </c>
      <c r="S479" s="193" t="str">
        <f t="shared" si="179"/>
        <v/>
      </c>
      <c r="T479" s="194" t="str">
        <f t="shared" si="166"/>
        <v/>
      </c>
      <c r="U479" s="192" t="str">
        <f t="shared" si="180"/>
        <v/>
      </c>
      <c r="V479" s="195" t="str">
        <f t="shared" si="167"/>
        <v/>
      </c>
      <c r="W479" s="195" t="str">
        <f t="shared" si="168"/>
        <v/>
      </c>
      <c r="X479" s="196" t="str">
        <f t="shared" si="181"/>
        <v/>
      </c>
      <c r="Y479" s="191" t="str">
        <f t="shared" si="183"/>
        <v/>
      </c>
      <c r="Z479" s="197" t="str">
        <f t="shared" si="169"/>
        <v/>
      </c>
      <c r="AA479" s="197" t="str">
        <f t="shared" si="170"/>
        <v/>
      </c>
      <c r="AB479" s="213"/>
      <c r="AC479" s="204"/>
    </row>
    <row r="480" spans="1:29" ht="11.4">
      <c r="A480" s="211" t="str">
        <f t="shared" si="182"/>
        <v/>
      </c>
      <c r="B480" s="211"/>
      <c r="C480" s="185"/>
      <c r="D480" s="186" t="str">
        <f t="shared" si="171"/>
        <v/>
      </c>
      <c r="E480" s="186" t="str">
        <f>IF(OR(C480="",C480=Data!$B$3),"",IF(C480=Data!$B$4,"L","S"))</f>
        <v/>
      </c>
      <c r="F480" s="186" t="str">
        <f t="shared" si="172"/>
        <v/>
      </c>
      <c r="G480" s="187" t="str">
        <f t="shared" si="163"/>
        <v/>
      </c>
      <c r="H480" s="188"/>
      <c r="I480" s="189" t="str">
        <f t="shared" si="173"/>
        <v/>
      </c>
      <c r="J480" s="189" t="str">
        <f t="shared" si="174"/>
        <v/>
      </c>
      <c r="K480" s="190" t="str">
        <f t="shared" si="175"/>
        <v/>
      </c>
      <c r="L480" s="190" t="str">
        <f t="shared" si="176"/>
        <v/>
      </c>
      <c r="M480" s="214"/>
      <c r="N480" s="214"/>
      <c r="O480" s="189" t="str">
        <f t="shared" si="177"/>
        <v/>
      </c>
      <c r="P480" s="191" t="str">
        <f t="shared" si="164"/>
        <v/>
      </c>
      <c r="Q480" s="192" t="str">
        <f t="shared" si="178"/>
        <v/>
      </c>
      <c r="R480" s="191" t="str">
        <f t="shared" si="165"/>
        <v/>
      </c>
      <c r="S480" s="193" t="str">
        <f t="shared" si="179"/>
        <v/>
      </c>
      <c r="T480" s="194" t="str">
        <f t="shared" si="166"/>
        <v/>
      </c>
      <c r="U480" s="192" t="str">
        <f t="shared" si="180"/>
        <v/>
      </c>
      <c r="V480" s="195" t="str">
        <f t="shared" si="167"/>
        <v/>
      </c>
      <c r="W480" s="195" t="str">
        <f t="shared" si="168"/>
        <v/>
      </c>
      <c r="X480" s="196" t="str">
        <f t="shared" si="181"/>
        <v/>
      </c>
      <c r="Y480" s="191" t="str">
        <f t="shared" si="183"/>
        <v/>
      </c>
      <c r="Z480" s="197" t="str">
        <f t="shared" si="169"/>
        <v/>
      </c>
      <c r="AA480" s="197" t="str">
        <f t="shared" si="170"/>
        <v/>
      </c>
      <c r="AB480" s="213"/>
      <c r="AC480" s="204"/>
    </row>
    <row r="481" spans="1:29" ht="11.4">
      <c r="A481" s="211" t="str">
        <f t="shared" si="182"/>
        <v/>
      </c>
      <c r="B481" s="211"/>
      <c r="C481" s="185"/>
      <c r="D481" s="186" t="str">
        <f t="shared" si="171"/>
        <v/>
      </c>
      <c r="E481" s="186" t="str">
        <f>IF(OR(C481="",C481=Data!$B$3),"",IF(C481=Data!$B$4,"L","S"))</f>
        <v/>
      </c>
      <c r="F481" s="186" t="str">
        <f t="shared" si="172"/>
        <v/>
      </c>
      <c r="G481" s="187" t="str">
        <f t="shared" si="163"/>
        <v/>
      </c>
      <c r="H481" s="188"/>
      <c r="I481" s="189" t="str">
        <f t="shared" si="173"/>
        <v/>
      </c>
      <c r="J481" s="189" t="str">
        <f t="shared" si="174"/>
        <v/>
      </c>
      <c r="K481" s="190" t="str">
        <f t="shared" si="175"/>
        <v/>
      </c>
      <c r="L481" s="190" t="str">
        <f t="shared" si="176"/>
        <v/>
      </c>
      <c r="M481" s="214"/>
      <c r="N481" s="214"/>
      <c r="O481" s="189" t="str">
        <f t="shared" si="177"/>
        <v/>
      </c>
      <c r="P481" s="191" t="str">
        <f t="shared" si="164"/>
        <v/>
      </c>
      <c r="Q481" s="192" t="str">
        <f t="shared" si="178"/>
        <v/>
      </c>
      <c r="R481" s="191" t="str">
        <f t="shared" si="165"/>
        <v/>
      </c>
      <c r="S481" s="193" t="str">
        <f t="shared" si="179"/>
        <v/>
      </c>
      <c r="T481" s="194" t="str">
        <f t="shared" si="166"/>
        <v/>
      </c>
      <c r="U481" s="192" t="str">
        <f t="shared" si="180"/>
        <v/>
      </c>
      <c r="V481" s="195" t="str">
        <f t="shared" si="167"/>
        <v/>
      </c>
      <c r="W481" s="195" t="str">
        <f t="shared" si="168"/>
        <v/>
      </c>
      <c r="X481" s="196" t="str">
        <f t="shared" si="181"/>
        <v/>
      </c>
      <c r="Y481" s="191" t="str">
        <f t="shared" si="183"/>
        <v/>
      </c>
      <c r="Z481" s="197" t="str">
        <f t="shared" si="169"/>
        <v/>
      </c>
      <c r="AA481" s="197" t="str">
        <f t="shared" si="170"/>
        <v/>
      </c>
      <c r="AB481" s="213"/>
      <c r="AC481" s="204"/>
    </row>
    <row r="482" spans="1:29" ht="11.4">
      <c r="A482" s="211" t="str">
        <f t="shared" si="182"/>
        <v/>
      </c>
      <c r="B482" s="211"/>
      <c r="C482" s="185"/>
      <c r="D482" s="186" t="str">
        <f t="shared" si="171"/>
        <v/>
      </c>
      <c r="E482" s="186" t="str">
        <f>IF(OR(C482="",C482=Data!$B$3),"",IF(C482=Data!$B$4,"L","S"))</f>
        <v/>
      </c>
      <c r="F482" s="186" t="str">
        <f t="shared" si="172"/>
        <v/>
      </c>
      <c r="G482" s="187" t="str">
        <f t="shared" si="163"/>
        <v/>
      </c>
      <c r="H482" s="188"/>
      <c r="I482" s="189" t="str">
        <f t="shared" si="173"/>
        <v/>
      </c>
      <c r="J482" s="189" t="str">
        <f t="shared" si="174"/>
        <v/>
      </c>
      <c r="K482" s="190" t="str">
        <f t="shared" si="175"/>
        <v/>
      </c>
      <c r="L482" s="190" t="str">
        <f t="shared" si="176"/>
        <v/>
      </c>
      <c r="M482" s="214"/>
      <c r="N482" s="214"/>
      <c r="O482" s="189" t="str">
        <f t="shared" si="177"/>
        <v/>
      </c>
      <c r="P482" s="191" t="str">
        <f t="shared" si="164"/>
        <v/>
      </c>
      <c r="Q482" s="192" t="str">
        <f t="shared" si="178"/>
        <v/>
      </c>
      <c r="R482" s="191" t="str">
        <f t="shared" si="165"/>
        <v/>
      </c>
      <c r="S482" s="193" t="str">
        <f t="shared" si="179"/>
        <v/>
      </c>
      <c r="T482" s="194" t="str">
        <f t="shared" si="166"/>
        <v/>
      </c>
      <c r="U482" s="192" t="str">
        <f t="shared" si="180"/>
        <v/>
      </c>
      <c r="V482" s="195" t="str">
        <f t="shared" si="167"/>
        <v/>
      </c>
      <c r="W482" s="195" t="str">
        <f t="shared" si="168"/>
        <v/>
      </c>
      <c r="X482" s="196" t="str">
        <f t="shared" si="181"/>
        <v/>
      </c>
      <c r="Y482" s="191" t="str">
        <f t="shared" si="183"/>
        <v/>
      </c>
      <c r="Z482" s="197" t="str">
        <f t="shared" si="169"/>
        <v/>
      </c>
      <c r="AA482" s="197" t="str">
        <f t="shared" si="170"/>
        <v/>
      </c>
      <c r="AB482" s="213"/>
      <c r="AC482" s="204"/>
    </row>
    <row r="483" spans="1:29" ht="11.4">
      <c r="A483" s="211" t="str">
        <f t="shared" si="182"/>
        <v/>
      </c>
      <c r="B483" s="211"/>
      <c r="C483" s="185"/>
      <c r="D483" s="186" t="str">
        <f t="shared" si="171"/>
        <v/>
      </c>
      <c r="E483" s="186" t="str">
        <f>IF(OR(C483="",C483=Data!$B$3),"",IF(C483=Data!$B$4,"L","S"))</f>
        <v/>
      </c>
      <c r="F483" s="186" t="str">
        <f t="shared" si="172"/>
        <v/>
      </c>
      <c r="G483" s="187" t="str">
        <f t="shared" si="163"/>
        <v/>
      </c>
      <c r="H483" s="188"/>
      <c r="I483" s="189" t="str">
        <f t="shared" si="173"/>
        <v/>
      </c>
      <c r="J483" s="189" t="str">
        <f t="shared" si="174"/>
        <v/>
      </c>
      <c r="K483" s="190" t="str">
        <f t="shared" si="175"/>
        <v/>
      </c>
      <c r="L483" s="190" t="str">
        <f t="shared" si="176"/>
        <v/>
      </c>
      <c r="M483" s="214"/>
      <c r="N483" s="214"/>
      <c r="O483" s="189" t="str">
        <f t="shared" si="177"/>
        <v/>
      </c>
      <c r="P483" s="191" t="str">
        <f t="shared" si="164"/>
        <v/>
      </c>
      <c r="Q483" s="192" t="str">
        <f t="shared" si="178"/>
        <v/>
      </c>
      <c r="R483" s="191" t="str">
        <f t="shared" si="165"/>
        <v/>
      </c>
      <c r="S483" s="193" t="str">
        <f t="shared" si="179"/>
        <v/>
      </c>
      <c r="T483" s="194" t="str">
        <f t="shared" si="166"/>
        <v/>
      </c>
      <c r="U483" s="192" t="str">
        <f t="shared" si="180"/>
        <v/>
      </c>
      <c r="V483" s="195" t="str">
        <f t="shared" si="167"/>
        <v/>
      </c>
      <c r="W483" s="195" t="str">
        <f t="shared" si="168"/>
        <v/>
      </c>
      <c r="X483" s="196" t="str">
        <f t="shared" si="181"/>
        <v/>
      </c>
      <c r="Y483" s="191" t="str">
        <f t="shared" si="183"/>
        <v/>
      </c>
      <c r="Z483" s="197" t="str">
        <f t="shared" si="169"/>
        <v/>
      </c>
      <c r="AA483" s="197" t="str">
        <f t="shared" si="170"/>
        <v/>
      </c>
      <c r="AB483" s="213"/>
      <c r="AC483" s="204"/>
    </row>
    <row r="484" spans="1:29" ht="11.4">
      <c r="A484" s="211" t="str">
        <f t="shared" si="182"/>
        <v/>
      </c>
      <c r="B484" s="211"/>
      <c r="C484" s="185"/>
      <c r="D484" s="186" t="str">
        <f t="shared" si="171"/>
        <v/>
      </c>
      <c r="E484" s="186" t="str">
        <f>IF(OR(C484="",C484=Data!$B$3),"",IF(C484=Data!$B$4,"L","S"))</f>
        <v/>
      </c>
      <c r="F484" s="186" t="str">
        <f t="shared" si="172"/>
        <v/>
      </c>
      <c r="G484" s="187" t="str">
        <f t="shared" si="163"/>
        <v/>
      </c>
      <c r="H484" s="188"/>
      <c r="I484" s="189" t="str">
        <f t="shared" si="173"/>
        <v/>
      </c>
      <c r="J484" s="189" t="str">
        <f t="shared" si="174"/>
        <v/>
      </c>
      <c r="K484" s="190" t="str">
        <f t="shared" si="175"/>
        <v/>
      </c>
      <c r="L484" s="190" t="str">
        <f t="shared" si="176"/>
        <v/>
      </c>
      <c r="M484" s="214"/>
      <c r="N484" s="214"/>
      <c r="O484" s="189" t="str">
        <f t="shared" si="177"/>
        <v/>
      </c>
      <c r="P484" s="191" t="str">
        <f t="shared" si="164"/>
        <v/>
      </c>
      <c r="Q484" s="192" t="str">
        <f t="shared" si="178"/>
        <v/>
      </c>
      <c r="R484" s="191" t="str">
        <f t="shared" si="165"/>
        <v/>
      </c>
      <c r="S484" s="193" t="str">
        <f t="shared" si="179"/>
        <v/>
      </c>
      <c r="T484" s="194" t="str">
        <f t="shared" si="166"/>
        <v/>
      </c>
      <c r="U484" s="192" t="str">
        <f t="shared" si="180"/>
        <v/>
      </c>
      <c r="V484" s="195" t="str">
        <f t="shared" si="167"/>
        <v/>
      </c>
      <c r="W484" s="195" t="str">
        <f t="shared" si="168"/>
        <v/>
      </c>
      <c r="X484" s="196" t="str">
        <f t="shared" si="181"/>
        <v/>
      </c>
      <c r="Y484" s="191" t="str">
        <f t="shared" si="183"/>
        <v/>
      </c>
      <c r="Z484" s="197" t="str">
        <f t="shared" si="169"/>
        <v/>
      </c>
      <c r="AA484" s="197" t="str">
        <f t="shared" si="170"/>
        <v/>
      </c>
      <c r="AB484" s="213"/>
      <c r="AC484" s="204"/>
    </row>
    <row r="485" spans="1:29" ht="11.4">
      <c r="A485" s="211" t="str">
        <f t="shared" si="182"/>
        <v/>
      </c>
      <c r="B485" s="211"/>
      <c r="C485" s="185"/>
      <c r="D485" s="186" t="str">
        <f t="shared" si="171"/>
        <v/>
      </c>
      <c r="E485" s="186" t="str">
        <f>IF(OR(C485="",C485=Data!$B$3),"",IF(C485=Data!$B$4,"L","S"))</f>
        <v/>
      </c>
      <c r="F485" s="186" t="str">
        <f t="shared" si="172"/>
        <v/>
      </c>
      <c r="G485" s="187" t="str">
        <f t="shared" si="163"/>
        <v/>
      </c>
      <c r="H485" s="188"/>
      <c r="I485" s="189" t="str">
        <f t="shared" si="173"/>
        <v/>
      </c>
      <c r="J485" s="189" t="str">
        <f t="shared" si="174"/>
        <v/>
      </c>
      <c r="K485" s="190" t="str">
        <f t="shared" si="175"/>
        <v/>
      </c>
      <c r="L485" s="190" t="str">
        <f t="shared" si="176"/>
        <v/>
      </c>
      <c r="M485" s="214"/>
      <c r="N485" s="214"/>
      <c r="O485" s="189" t="str">
        <f t="shared" si="177"/>
        <v/>
      </c>
      <c r="P485" s="191" t="str">
        <f t="shared" si="164"/>
        <v/>
      </c>
      <c r="Q485" s="192" t="str">
        <f t="shared" si="178"/>
        <v/>
      </c>
      <c r="R485" s="191" t="str">
        <f t="shared" si="165"/>
        <v/>
      </c>
      <c r="S485" s="193" t="str">
        <f t="shared" si="179"/>
        <v/>
      </c>
      <c r="T485" s="194" t="str">
        <f t="shared" si="166"/>
        <v/>
      </c>
      <c r="U485" s="192" t="str">
        <f t="shared" si="180"/>
        <v/>
      </c>
      <c r="V485" s="195" t="str">
        <f t="shared" si="167"/>
        <v/>
      </c>
      <c r="W485" s="195" t="str">
        <f t="shared" si="168"/>
        <v/>
      </c>
      <c r="X485" s="196" t="str">
        <f t="shared" si="181"/>
        <v/>
      </c>
      <c r="Y485" s="191" t="str">
        <f t="shared" si="183"/>
        <v/>
      </c>
      <c r="Z485" s="197" t="str">
        <f t="shared" si="169"/>
        <v/>
      </c>
      <c r="AA485" s="197" t="str">
        <f t="shared" si="170"/>
        <v/>
      </c>
      <c r="AB485" s="213"/>
      <c r="AC485" s="204"/>
    </row>
    <row r="486" spans="1:29" ht="11.4">
      <c r="A486" s="211" t="str">
        <f t="shared" si="182"/>
        <v/>
      </c>
      <c r="B486" s="211"/>
      <c r="C486" s="185"/>
      <c r="D486" s="186" t="str">
        <f t="shared" si="171"/>
        <v/>
      </c>
      <c r="E486" s="186" t="str">
        <f>IF(OR(C486="",C486=Data!$B$3),"",IF(C486=Data!$B$4,"L","S"))</f>
        <v/>
      </c>
      <c r="F486" s="186" t="str">
        <f t="shared" si="172"/>
        <v/>
      </c>
      <c r="G486" s="187" t="str">
        <f t="shared" si="163"/>
        <v/>
      </c>
      <c r="H486" s="188"/>
      <c r="I486" s="189" t="str">
        <f t="shared" si="173"/>
        <v/>
      </c>
      <c r="J486" s="189" t="str">
        <f t="shared" si="174"/>
        <v/>
      </c>
      <c r="K486" s="190" t="str">
        <f t="shared" si="175"/>
        <v/>
      </c>
      <c r="L486" s="190" t="str">
        <f t="shared" si="176"/>
        <v/>
      </c>
      <c r="M486" s="214"/>
      <c r="N486" s="214"/>
      <c r="O486" s="189" t="str">
        <f t="shared" si="177"/>
        <v/>
      </c>
      <c r="P486" s="191" t="str">
        <f t="shared" si="164"/>
        <v/>
      </c>
      <c r="Q486" s="192" t="str">
        <f t="shared" si="178"/>
        <v/>
      </c>
      <c r="R486" s="191" t="str">
        <f t="shared" si="165"/>
        <v/>
      </c>
      <c r="S486" s="193" t="str">
        <f t="shared" si="179"/>
        <v/>
      </c>
      <c r="T486" s="194" t="str">
        <f t="shared" si="166"/>
        <v/>
      </c>
      <c r="U486" s="192" t="str">
        <f t="shared" si="180"/>
        <v/>
      </c>
      <c r="V486" s="195" t="str">
        <f t="shared" si="167"/>
        <v/>
      </c>
      <c r="W486" s="195" t="str">
        <f t="shared" si="168"/>
        <v/>
      </c>
      <c r="X486" s="196" t="str">
        <f t="shared" si="181"/>
        <v/>
      </c>
      <c r="Y486" s="191" t="str">
        <f t="shared" si="183"/>
        <v/>
      </c>
      <c r="Z486" s="197" t="str">
        <f t="shared" si="169"/>
        <v/>
      </c>
      <c r="AA486" s="197" t="str">
        <f t="shared" si="170"/>
        <v/>
      </c>
      <c r="AB486" s="213"/>
      <c r="AC486" s="204"/>
    </row>
    <row r="487" spans="1:29" ht="11.4">
      <c r="A487" s="211" t="str">
        <f t="shared" si="182"/>
        <v/>
      </c>
      <c r="B487" s="211"/>
      <c r="C487" s="185"/>
      <c r="D487" s="186" t="str">
        <f t="shared" si="171"/>
        <v/>
      </c>
      <c r="E487" s="186" t="str">
        <f>IF(OR(C487="",C487=Data!$B$3),"",IF(C487=Data!$B$4,"L","S"))</f>
        <v/>
      </c>
      <c r="F487" s="186" t="str">
        <f t="shared" si="172"/>
        <v/>
      </c>
      <c r="G487" s="187" t="str">
        <f t="shared" si="163"/>
        <v/>
      </c>
      <c r="H487" s="188"/>
      <c r="I487" s="189" t="str">
        <f t="shared" si="173"/>
        <v/>
      </c>
      <c r="J487" s="189" t="str">
        <f t="shared" si="174"/>
        <v/>
      </c>
      <c r="K487" s="190" t="str">
        <f t="shared" si="175"/>
        <v/>
      </c>
      <c r="L487" s="190" t="str">
        <f t="shared" si="176"/>
        <v/>
      </c>
      <c r="M487" s="214"/>
      <c r="N487" s="214"/>
      <c r="O487" s="189" t="str">
        <f t="shared" si="177"/>
        <v/>
      </c>
      <c r="P487" s="191" t="str">
        <f t="shared" si="164"/>
        <v/>
      </c>
      <c r="Q487" s="192" t="str">
        <f t="shared" si="178"/>
        <v/>
      </c>
      <c r="R487" s="191" t="str">
        <f t="shared" si="165"/>
        <v/>
      </c>
      <c r="S487" s="193" t="str">
        <f t="shared" si="179"/>
        <v/>
      </c>
      <c r="T487" s="194" t="str">
        <f t="shared" si="166"/>
        <v/>
      </c>
      <c r="U487" s="192" t="str">
        <f t="shared" si="180"/>
        <v/>
      </c>
      <c r="V487" s="195" t="str">
        <f t="shared" si="167"/>
        <v/>
      </c>
      <c r="W487" s="195" t="str">
        <f t="shared" si="168"/>
        <v/>
      </c>
      <c r="X487" s="196" t="str">
        <f t="shared" si="181"/>
        <v/>
      </c>
      <c r="Y487" s="191" t="str">
        <f t="shared" si="183"/>
        <v/>
      </c>
      <c r="Z487" s="197" t="str">
        <f t="shared" si="169"/>
        <v/>
      </c>
      <c r="AA487" s="197" t="str">
        <f t="shared" si="170"/>
        <v/>
      </c>
      <c r="AB487" s="213"/>
      <c r="AC487" s="204"/>
    </row>
    <row r="488" spans="1:29" ht="11.4">
      <c r="A488" s="211" t="str">
        <f t="shared" si="182"/>
        <v/>
      </c>
      <c r="B488" s="211"/>
      <c r="C488" s="185"/>
      <c r="D488" s="186" t="str">
        <f t="shared" si="171"/>
        <v/>
      </c>
      <c r="E488" s="186" t="str">
        <f>IF(OR(C488="",C488=Data!$B$3),"",IF(C488=Data!$B$4,"L","S"))</f>
        <v/>
      </c>
      <c r="F488" s="186" t="str">
        <f t="shared" si="172"/>
        <v/>
      </c>
      <c r="G488" s="187" t="str">
        <f t="shared" si="163"/>
        <v/>
      </c>
      <c r="H488" s="188"/>
      <c r="I488" s="189" t="str">
        <f t="shared" si="173"/>
        <v/>
      </c>
      <c r="J488" s="189" t="str">
        <f t="shared" si="174"/>
        <v/>
      </c>
      <c r="K488" s="190" t="str">
        <f t="shared" si="175"/>
        <v/>
      </c>
      <c r="L488" s="190" t="str">
        <f t="shared" si="176"/>
        <v/>
      </c>
      <c r="M488" s="214"/>
      <c r="N488" s="214"/>
      <c r="O488" s="189" t="str">
        <f t="shared" si="177"/>
        <v/>
      </c>
      <c r="P488" s="191" t="str">
        <f t="shared" si="164"/>
        <v/>
      </c>
      <c r="Q488" s="192" t="str">
        <f t="shared" si="178"/>
        <v/>
      </c>
      <c r="R488" s="191" t="str">
        <f t="shared" si="165"/>
        <v/>
      </c>
      <c r="S488" s="193" t="str">
        <f t="shared" si="179"/>
        <v/>
      </c>
      <c r="T488" s="194" t="str">
        <f t="shared" si="166"/>
        <v/>
      </c>
      <c r="U488" s="192" t="str">
        <f t="shared" si="180"/>
        <v/>
      </c>
      <c r="V488" s="195" t="str">
        <f t="shared" si="167"/>
        <v/>
      </c>
      <c r="W488" s="195" t="str">
        <f t="shared" si="168"/>
        <v/>
      </c>
      <c r="X488" s="196" t="str">
        <f t="shared" si="181"/>
        <v/>
      </c>
      <c r="Y488" s="191" t="str">
        <f t="shared" si="183"/>
        <v/>
      </c>
      <c r="Z488" s="197" t="str">
        <f t="shared" si="169"/>
        <v/>
      </c>
      <c r="AA488" s="197" t="str">
        <f t="shared" si="170"/>
        <v/>
      </c>
      <c r="AB488" s="213"/>
      <c r="AC488" s="204"/>
    </row>
    <row r="489" spans="1:29" ht="11.4">
      <c r="A489" s="211" t="str">
        <f t="shared" si="182"/>
        <v/>
      </c>
      <c r="B489" s="211"/>
      <c r="C489" s="185"/>
      <c r="D489" s="186" t="str">
        <f t="shared" si="171"/>
        <v/>
      </c>
      <c r="E489" s="186" t="str">
        <f>IF(OR(C489="",C489=Data!$B$3),"",IF(C489=Data!$B$4,"L","S"))</f>
        <v/>
      </c>
      <c r="F489" s="186" t="str">
        <f t="shared" si="172"/>
        <v/>
      </c>
      <c r="G489" s="187" t="str">
        <f t="shared" si="163"/>
        <v/>
      </c>
      <c r="H489" s="188"/>
      <c r="I489" s="189" t="str">
        <f t="shared" si="173"/>
        <v/>
      </c>
      <c r="J489" s="189" t="str">
        <f t="shared" si="174"/>
        <v/>
      </c>
      <c r="K489" s="190" t="str">
        <f t="shared" si="175"/>
        <v/>
      </c>
      <c r="L489" s="190" t="str">
        <f t="shared" si="176"/>
        <v/>
      </c>
      <c r="M489" s="214"/>
      <c r="N489" s="214"/>
      <c r="O489" s="189" t="str">
        <f t="shared" si="177"/>
        <v/>
      </c>
      <c r="P489" s="191" t="str">
        <f t="shared" si="164"/>
        <v/>
      </c>
      <c r="Q489" s="192" t="str">
        <f t="shared" si="178"/>
        <v/>
      </c>
      <c r="R489" s="191" t="str">
        <f t="shared" si="165"/>
        <v/>
      </c>
      <c r="S489" s="193" t="str">
        <f t="shared" si="179"/>
        <v/>
      </c>
      <c r="T489" s="194" t="str">
        <f t="shared" si="166"/>
        <v/>
      </c>
      <c r="U489" s="192" t="str">
        <f t="shared" si="180"/>
        <v/>
      </c>
      <c r="V489" s="195" t="str">
        <f t="shared" si="167"/>
        <v/>
      </c>
      <c r="W489" s="195" t="str">
        <f t="shared" si="168"/>
        <v/>
      </c>
      <c r="X489" s="196" t="str">
        <f t="shared" si="181"/>
        <v/>
      </c>
      <c r="Y489" s="191" t="str">
        <f t="shared" si="183"/>
        <v/>
      </c>
      <c r="Z489" s="197" t="str">
        <f t="shared" si="169"/>
        <v/>
      </c>
      <c r="AA489" s="197" t="str">
        <f t="shared" si="170"/>
        <v/>
      </c>
      <c r="AB489" s="213"/>
      <c r="AC489" s="204"/>
    </row>
    <row r="490" spans="1:29" ht="11.4">
      <c r="A490" s="211" t="str">
        <f t="shared" si="182"/>
        <v/>
      </c>
      <c r="B490" s="211"/>
      <c r="C490" s="185"/>
      <c r="D490" s="186" t="str">
        <f t="shared" si="171"/>
        <v/>
      </c>
      <c r="E490" s="186" t="str">
        <f>IF(OR(C490="",C490=Data!$B$3),"",IF(C490=Data!$B$4,"L","S"))</f>
        <v/>
      </c>
      <c r="F490" s="186" t="str">
        <f t="shared" si="172"/>
        <v/>
      </c>
      <c r="G490" s="187" t="str">
        <f t="shared" si="163"/>
        <v/>
      </c>
      <c r="H490" s="188"/>
      <c r="I490" s="189" t="str">
        <f t="shared" si="173"/>
        <v/>
      </c>
      <c r="J490" s="189" t="str">
        <f t="shared" si="174"/>
        <v/>
      </c>
      <c r="K490" s="190" t="str">
        <f t="shared" si="175"/>
        <v/>
      </c>
      <c r="L490" s="190" t="str">
        <f t="shared" si="176"/>
        <v/>
      </c>
      <c r="M490" s="214"/>
      <c r="N490" s="214"/>
      <c r="O490" s="189" t="str">
        <f t="shared" si="177"/>
        <v/>
      </c>
      <c r="P490" s="191" t="str">
        <f t="shared" si="164"/>
        <v/>
      </c>
      <c r="Q490" s="192" t="str">
        <f t="shared" si="178"/>
        <v/>
      </c>
      <c r="R490" s="191" t="str">
        <f t="shared" si="165"/>
        <v/>
      </c>
      <c r="S490" s="193" t="str">
        <f t="shared" si="179"/>
        <v/>
      </c>
      <c r="T490" s="194" t="str">
        <f t="shared" si="166"/>
        <v/>
      </c>
      <c r="U490" s="192" t="str">
        <f t="shared" si="180"/>
        <v/>
      </c>
      <c r="V490" s="195" t="str">
        <f t="shared" si="167"/>
        <v/>
      </c>
      <c r="W490" s="195" t="str">
        <f t="shared" si="168"/>
        <v/>
      </c>
      <c r="X490" s="196" t="str">
        <f t="shared" si="181"/>
        <v/>
      </c>
      <c r="Y490" s="191" t="str">
        <f t="shared" si="183"/>
        <v/>
      </c>
      <c r="Z490" s="197" t="str">
        <f t="shared" si="169"/>
        <v/>
      </c>
      <c r="AA490" s="197" t="str">
        <f t="shared" si="170"/>
        <v/>
      </c>
      <c r="AB490" s="213"/>
      <c r="AC490" s="204"/>
    </row>
    <row r="491" spans="1:29" ht="11.4">
      <c r="A491" s="211" t="str">
        <f t="shared" si="182"/>
        <v/>
      </c>
      <c r="B491" s="211"/>
      <c r="C491" s="185"/>
      <c r="D491" s="186" t="str">
        <f t="shared" si="171"/>
        <v/>
      </c>
      <c r="E491" s="186" t="str">
        <f>IF(OR(C491="",C491=Data!$B$3),"",IF(C491=Data!$B$4,"L","S"))</f>
        <v/>
      </c>
      <c r="F491" s="186" t="str">
        <f t="shared" si="172"/>
        <v/>
      </c>
      <c r="G491" s="187" t="str">
        <f t="shared" si="163"/>
        <v/>
      </c>
      <c r="H491" s="188"/>
      <c r="I491" s="189" t="str">
        <f t="shared" si="173"/>
        <v/>
      </c>
      <c r="J491" s="189" t="str">
        <f t="shared" si="174"/>
        <v/>
      </c>
      <c r="K491" s="190" t="str">
        <f t="shared" si="175"/>
        <v/>
      </c>
      <c r="L491" s="190" t="str">
        <f t="shared" si="176"/>
        <v/>
      </c>
      <c r="M491" s="214"/>
      <c r="N491" s="214"/>
      <c r="O491" s="189" t="str">
        <f t="shared" si="177"/>
        <v/>
      </c>
      <c r="P491" s="191" t="str">
        <f t="shared" si="164"/>
        <v/>
      </c>
      <c r="Q491" s="192" t="str">
        <f t="shared" si="178"/>
        <v/>
      </c>
      <c r="R491" s="191" t="str">
        <f t="shared" si="165"/>
        <v/>
      </c>
      <c r="S491" s="193" t="str">
        <f t="shared" si="179"/>
        <v/>
      </c>
      <c r="T491" s="194" t="str">
        <f t="shared" si="166"/>
        <v/>
      </c>
      <c r="U491" s="192" t="str">
        <f t="shared" si="180"/>
        <v/>
      </c>
      <c r="V491" s="195" t="str">
        <f t="shared" si="167"/>
        <v/>
      </c>
      <c r="W491" s="195" t="str">
        <f t="shared" si="168"/>
        <v/>
      </c>
      <c r="X491" s="196" t="str">
        <f t="shared" si="181"/>
        <v/>
      </c>
      <c r="Y491" s="191" t="str">
        <f t="shared" si="183"/>
        <v/>
      </c>
      <c r="Z491" s="197" t="str">
        <f t="shared" si="169"/>
        <v/>
      </c>
      <c r="AA491" s="197" t="str">
        <f t="shared" si="170"/>
        <v/>
      </c>
      <c r="AB491" s="213"/>
      <c r="AC491" s="204"/>
    </row>
    <row r="492" spans="1:29" ht="11.4">
      <c r="A492" s="211" t="str">
        <f t="shared" si="182"/>
        <v/>
      </c>
      <c r="B492" s="211"/>
      <c r="C492" s="185"/>
      <c r="D492" s="186" t="str">
        <f t="shared" si="171"/>
        <v/>
      </c>
      <c r="E492" s="186" t="str">
        <f>IF(OR(C492="",C492=Data!$B$3),"",IF(C492=Data!$B$4,"L","S"))</f>
        <v/>
      </c>
      <c r="F492" s="186" t="str">
        <f t="shared" si="172"/>
        <v/>
      </c>
      <c r="G492" s="187" t="str">
        <f t="shared" si="163"/>
        <v/>
      </c>
      <c r="H492" s="188"/>
      <c r="I492" s="189" t="str">
        <f t="shared" si="173"/>
        <v/>
      </c>
      <c r="J492" s="189" t="str">
        <f t="shared" si="174"/>
        <v/>
      </c>
      <c r="K492" s="190" t="str">
        <f t="shared" si="175"/>
        <v/>
      </c>
      <c r="L492" s="190" t="str">
        <f t="shared" si="176"/>
        <v/>
      </c>
      <c r="M492" s="214"/>
      <c r="N492" s="214"/>
      <c r="O492" s="189" t="str">
        <f t="shared" si="177"/>
        <v/>
      </c>
      <c r="P492" s="191" t="str">
        <f t="shared" si="164"/>
        <v/>
      </c>
      <c r="Q492" s="192" t="str">
        <f t="shared" si="178"/>
        <v/>
      </c>
      <c r="R492" s="191" t="str">
        <f t="shared" si="165"/>
        <v/>
      </c>
      <c r="S492" s="193" t="str">
        <f t="shared" si="179"/>
        <v/>
      </c>
      <c r="T492" s="194" t="str">
        <f t="shared" si="166"/>
        <v/>
      </c>
      <c r="U492" s="192" t="str">
        <f t="shared" si="180"/>
        <v/>
      </c>
      <c r="V492" s="195" t="str">
        <f t="shared" si="167"/>
        <v/>
      </c>
      <c r="W492" s="195" t="str">
        <f t="shared" si="168"/>
        <v/>
      </c>
      <c r="X492" s="196" t="str">
        <f t="shared" si="181"/>
        <v/>
      </c>
      <c r="Y492" s="191" t="str">
        <f t="shared" si="183"/>
        <v/>
      </c>
      <c r="Z492" s="197" t="str">
        <f t="shared" si="169"/>
        <v/>
      </c>
      <c r="AA492" s="197" t="str">
        <f t="shared" si="170"/>
        <v/>
      </c>
      <c r="AB492" s="213"/>
      <c r="AC492" s="204"/>
    </row>
    <row r="493" spans="1:29" ht="11.4">
      <c r="A493" s="211" t="str">
        <f t="shared" si="182"/>
        <v/>
      </c>
      <c r="B493" s="211"/>
      <c r="C493" s="185"/>
      <c r="D493" s="186" t="str">
        <f t="shared" si="171"/>
        <v/>
      </c>
      <c r="E493" s="186" t="str">
        <f>IF(OR(C493="",C493=Data!$B$3),"",IF(C493=Data!$B$4,"L","S"))</f>
        <v/>
      </c>
      <c r="F493" s="186" t="str">
        <f t="shared" si="172"/>
        <v/>
      </c>
      <c r="G493" s="187" t="str">
        <f t="shared" si="163"/>
        <v/>
      </c>
      <c r="H493" s="188"/>
      <c r="I493" s="189" t="str">
        <f t="shared" si="173"/>
        <v/>
      </c>
      <c r="J493" s="189" t="str">
        <f t="shared" si="174"/>
        <v/>
      </c>
      <c r="K493" s="190" t="str">
        <f t="shared" si="175"/>
        <v/>
      </c>
      <c r="L493" s="190" t="str">
        <f t="shared" si="176"/>
        <v/>
      </c>
      <c r="M493" s="214"/>
      <c r="N493" s="214"/>
      <c r="O493" s="189" t="str">
        <f t="shared" si="177"/>
        <v/>
      </c>
      <c r="P493" s="191" t="str">
        <f t="shared" si="164"/>
        <v/>
      </c>
      <c r="Q493" s="192" t="str">
        <f t="shared" si="178"/>
        <v/>
      </c>
      <c r="R493" s="191" t="str">
        <f t="shared" si="165"/>
        <v/>
      </c>
      <c r="S493" s="193" t="str">
        <f t="shared" si="179"/>
        <v/>
      </c>
      <c r="T493" s="194" t="str">
        <f t="shared" si="166"/>
        <v/>
      </c>
      <c r="U493" s="192" t="str">
        <f t="shared" si="180"/>
        <v/>
      </c>
      <c r="V493" s="195" t="str">
        <f t="shared" si="167"/>
        <v/>
      </c>
      <c r="W493" s="195" t="str">
        <f t="shared" si="168"/>
        <v/>
      </c>
      <c r="X493" s="196" t="str">
        <f t="shared" si="181"/>
        <v/>
      </c>
      <c r="Y493" s="191" t="str">
        <f t="shared" si="183"/>
        <v/>
      </c>
      <c r="Z493" s="197" t="str">
        <f t="shared" si="169"/>
        <v/>
      </c>
      <c r="AA493" s="197" t="str">
        <f t="shared" si="170"/>
        <v/>
      </c>
      <c r="AB493" s="213"/>
      <c r="AC493" s="204"/>
    </row>
    <row r="494" spans="1:29" ht="11.4">
      <c r="A494" s="211" t="str">
        <f t="shared" si="182"/>
        <v/>
      </c>
      <c r="B494" s="211"/>
      <c r="C494" s="185"/>
      <c r="D494" s="186" t="str">
        <f t="shared" si="171"/>
        <v/>
      </c>
      <c r="E494" s="186" t="str">
        <f>IF(OR(C494="",C494=Data!$B$3),"",IF(C494=Data!$B$4,"L","S"))</f>
        <v/>
      </c>
      <c r="F494" s="186" t="str">
        <f t="shared" si="172"/>
        <v/>
      </c>
      <c r="G494" s="187" t="str">
        <f t="shared" si="163"/>
        <v/>
      </c>
      <c r="H494" s="188"/>
      <c r="I494" s="189" t="str">
        <f t="shared" si="173"/>
        <v/>
      </c>
      <c r="J494" s="189" t="str">
        <f t="shared" si="174"/>
        <v/>
      </c>
      <c r="K494" s="190" t="str">
        <f t="shared" si="175"/>
        <v/>
      </c>
      <c r="L494" s="190" t="str">
        <f t="shared" si="176"/>
        <v/>
      </c>
      <c r="M494" s="214"/>
      <c r="N494" s="214"/>
      <c r="O494" s="189" t="str">
        <f t="shared" si="177"/>
        <v/>
      </c>
      <c r="P494" s="191" t="str">
        <f t="shared" si="164"/>
        <v/>
      </c>
      <c r="Q494" s="192" t="str">
        <f t="shared" si="178"/>
        <v/>
      </c>
      <c r="R494" s="191" t="str">
        <f t="shared" si="165"/>
        <v/>
      </c>
      <c r="S494" s="193" t="str">
        <f t="shared" si="179"/>
        <v/>
      </c>
      <c r="T494" s="194" t="str">
        <f t="shared" si="166"/>
        <v/>
      </c>
      <c r="U494" s="192" t="str">
        <f t="shared" si="180"/>
        <v/>
      </c>
      <c r="V494" s="195" t="str">
        <f t="shared" si="167"/>
        <v/>
      </c>
      <c r="W494" s="195" t="str">
        <f t="shared" si="168"/>
        <v/>
      </c>
      <c r="X494" s="196" t="str">
        <f t="shared" si="181"/>
        <v/>
      </c>
      <c r="Y494" s="191" t="str">
        <f t="shared" si="183"/>
        <v/>
      </c>
      <c r="Z494" s="197" t="str">
        <f t="shared" si="169"/>
        <v/>
      </c>
      <c r="AA494" s="197" t="str">
        <f t="shared" si="170"/>
        <v/>
      </c>
      <c r="AB494" s="213"/>
      <c r="AC494" s="204"/>
    </row>
    <row r="495" spans="1:29" ht="11.4">
      <c r="A495" s="211" t="str">
        <f t="shared" si="182"/>
        <v/>
      </c>
      <c r="B495" s="211"/>
      <c r="C495" s="185"/>
      <c r="D495" s="186" t="str">
        <f t="shared" si="171"/>
        <v/>
      </c>
      <c r="E495" s="186" t="str">
        <f>IF(OR(C495="",C495=Data!$B$3),"",IF(C495=Data!$B$4,"L","S"))</f>
        <v/>
      </c>
      <c r="F495" s="186" t="str">
        <f t="shared" si="172"/>
        <v/>
      </c>
      <c r="G495" s="187" t="str">
        <f t="shared" si="163"/>
        <v/>
      </c>
      <c r="H495" s="188"/>
      <c r="I495" s="189" t="str">
        <f t="shared" si="173"/>
        <v/>
      </c>
      <c r="J495" s="189" t="str">
        <f t="shared" si="174"/>
        <v/>
      </c>
      <c r="K495" s="190" t="str">
        <f t="shared" si="175"/>
        <v/>
      </c>
      <c r="L495" s="190" t="str">
        <f t="shared" si="176"/>
        <v/>
      </c>
      <c r="M495" s="214"/>
      <c r="N495" s="214"/>
      <c r="O495" s="189" t="str">
        <f t="shared" si="177"/>
        <v/>
      </c>
      <c r="P495" s="191" t="str">
        <f t="shared" si="164"/>
        <v/>
      </c>
      <c r="Q495" s="192" t="str">
        <f t="shared" si="178"/>
        <v/>
      </c>
      <c r="R495" s="191" t="str">
        <f t="shared" si="165"/>
        <v/>
      </c>
      <c r="S495" s="193" t="str">
        <f t="shared" si="179"/>
        <v/>
      </c>
      <c r="T495" s="194" t="str">
        <f t="shared" si="166"/>
        <v/>
      </c>
      <c r="U495" s="192" t="str">
        <f t="shared" si="180"/>
        <v/>
      </c>
      <c r="V495" s="195" t="str">
        <f t="shared" si="167"/>
        <v/>
      </c>
      <c r="W495" s="195" t="str">
        <f t="shared" si="168"/>
        <v/>
      </c>
      <c r="X495" s="196" t="str">
        <f t="shared" si="181"/>
        <v/>
      </c>
      <c r="Y495" s="191" t="str">
        <f t="shared" si="183"/>
        <v/>
      </c>
      <c r="Z495" s="197" t="str">
        <f t="shared" si="169"/>
        <v/>
      </c>
      <c r="AA495" s="197" t="str">
        <f t="shared" si="170"/>
        <v/>
      </c>
      <c r="AB495" s="213"/>
      <c r="AC495" s="204"/>
    </row>
    <row r="496" spans="1:29" ht="11.4">
      <c r="A496" s="211" t="str">
        <f t="shared" si="182"/>
        <v/>
      </c>
      <c r="B496" s="211"/>
      <c r="C496" s="185"/>
      <c r="D496" s="186" t="str">
        <f t="shared" si="171"/>
        <v/>
      </c>
      <c r="E496" s="186" t="str">
        <f>IF(OR(C496="",C496=Data!$B$3),"",IF(C496=Data!$B$4,"L","S"))</f>
        <v/>
      </c>
      <c r="F496" s="186" t="str">
        <f t="shared" si="172"/>
        <v/>
      </c>
      <c r="G496" s="187" t="str">
        <f t="shared" si="163"/>
        <v/>
      </c>
      <c r="H496" s="188"/>
      <c r="I496" s="189" t="str">
        <f t="shared" si="173"/>
        <v/>
      </c>
      <c r="J496" s="189" t="str">
        <f t="shared" si="174"/>
        <v/>
      </c>
      <c r="K496" s="190" t="str">
        <f t="shared" si="175"/>
        <v/>
      </c>
      <c r="L496" s="190" t="str">
        <f t="shared" si="176"/>
        <v/>
      </c>
      <c r="M496" s="214"/>
      <c r="N496" s="214"/>
      <c r="O496" s="189" t="str">
        <f t="shared" si="177"/>
        <v/>
      </c>
      <c r="P496" s="191" t="str">
        <f t="shared" si="164"/>
        <v/>
      </c>
      <c r="Q496" s="192" t="str">
        <f t="shared" si="178"/>
        <v/>
      </c>
      <c r="R496" s="191" t="str">
        <f t="shared" si="165"/>
        <v/>
      </c>
      <c r="S496" s="193" t="str">
        <f t="shared" si="179"/>
        <v/>
      </c>
      <c r="T496" s="194" t="str">
        <f t="shared" si="166"/>
        <v/>
      </c>
      <c r="U496" s="192" t="str">
        <f t="shared" si="180"/>
        <v/>
      </c>
      <c r="V496" s="195" t="str">
        <f t="shared" si="167"/>
        <v/>
      </c>
      <c r="W496" s="195" t="str">
        <f t="shared" si="168"/>
        <v/>
      </c>
      <c r="X496" s="196" t="str">
        <f t="shared" si="181"/>
        <v/>
      </c>
      <c r="Y496" s="191" t="str">
        <f t="shared" si="183"/>
        <v/>
      </c>
      <c r="Z496" s="197" t="str">
        <f t="shared" si="169"/>
        <v/>
      </c>
      <c r="AA496" s="197" t="str">
        <f t="shared" si="170"/>
        <v/>
      </c>
      <c r="AB496" s="213"/>
      <c r="AC496" s="204"/>
    </row>
    <row r="497" spans="1:29" ht="11.4">
      <c r="A497" s="211" t="str">
        <f t="shared" si="182"/>
        <v/>
      </c>
      <c r="B497" s="211"/>
      <c r="C497" s="185"/>
      <c r="D497" s="186" t="str">
        <f t="shared" si="171"/>
        <v/>
      </c>
      <c r="E497" s="186" t="str">
        <f>IF(OR(C497="",C497=Data!$B$3),"",IF(C497=Data!$B$4,"L","S"))</f>
        <v/>
      </c>
      <c r="F497" s="186" t="str">
        <f t="shared" si="172"/>
        <v/>
      </c>
      <c r="G497" s="187" t="str">
        <f t="shared" si="163"/>
        <v/>
      </c>
      <c r="H497" s="188"/>
      <c r="I497" s="189" t="str">
        <f t="shared" si="173"/>
        <v/>
      </c>
      <c r="J497" s="189" t="str">
        <f t="shared" si="174"/>
        <v/>
      </c>
      <c r="K497" s="190" t="str">
        <f t="shared" si="175"/>
        <v/>
      </c>
      <c r="L497" s="190" t="str">
        <f t="shared" si="176"/>
        <v/>
      </c>
      <c r="M497" s="214"/>
      <c r="N497" s="214"/>
      <c r="O497" s="189" t="str">
        <f t="shared" si="177"/>
        <v/>
      </c>
      <c r="P497" s="191" t="str">
        <f t="shared" si="164"/>
        <v/>
      </c>
      <c r="Q497" s="192" t="str">
        <f t="shared" si="178"/>
        <v/>
      </c>
      <c r="R497" s="191" t="str">
        <f t="shared" si="165"/>
        <v/>
      </c>
      <c r="S497" s="193" t="str">
        <f t="shared" si="179"/>
        <v/>
      </c>
      <c r="T497" s="194" t="str">
        <f t="shared" si="166"/>
        <v/>
      </c>
      <c r="U497" s="192" t="str">
        <f t="shared" si="180"/>
        <v/>
      </c>
      <c r="V497" s="195" t="str">
        <f t="shared" si="167"/>
        <v/>
      </c>
      <c r="W497" s="195" t="str">
        <f t="shared" si="168"/>
        <v/>
      </c>
      <c r="X497" s="196" t="str">
        <f t="shared" si="181"/>
        <v/>
      </c>
      <c r="Y497" s="191" t="str">
        <f t="shared" si="183"/>
        <v/>
      </c>
      <c r="Z497" s="197" t="str">
        <f t="shared" si="169"/>
        <v/>
      </c>
      <c r="AA497" s="197" t="str">
        <f t="shared" si="170"/>
        <v/>
      </c>
      <c r="AB497" s="213"/>
      <c r="AC497" s="204"/>
    </row>
    <row r="498" spans="1:29" ht="11.4">
      <c r="A498" s="211" t="str">
        <f t="shared" si="182"/>
        <v/>
      </c>
      <c r="B498" s="211"/>
      <c r="C498" s="185"/>
      <c r="D498" s="186" t="str">
        <f t="shared" si="171"/>
        <v/>
      </c>
      <c r="E498" s="186" t="str">
        <f>IF(OR(C498="",C498=Data!$B$3),"",IF(C498=Data!$B$4,"L","S"))</f>
        <v/>
      </c>
      <c r="F498" s="186" t="str">
        <f t="shared" si="172"/>
        <v/>
      </c>
      <c r="G498" s="187" t="str">
        <f t="shared" si="163"/>
        <v/>
      </c>
      <c r="H498" s="188"/>
      <c r="I498" s="189" t="str">
        <f t="shared" si="173"/>
        <v/>
      </c>
      <c r="J498" s="189" t="str">
        <f t="shared" si="174"/>
        <v/>
      </c>
      <c r="K498" s="190" t="str">
        <f t="shared" si="175"/>
        <v/>
      </c>
      <c r="L498" s="190" t="str">
        <f t="shared" si="176"/>
        <v/>
      </c>
      <c r="M498" s="214"/>
      <c r="N498" s="214"/>
      <c r="O498" s="189" t="str">
        <f t="shared" si="177"/>
        <v/>
      </c>
      <c r="P498" s="191" t="str">
        <f t="shared" si="164"/>
        <v/>
      </c>
      <c r="Q498" s="192" t="str">
        <f t="shared" si="178"/>
        <v/>
      </c>
      <c r="R498" s="191" t="str">
        <f t="shared" si="165"/>
        <v/>
      </c>
      <c r="S498" s="193" t="str">
        <f t="shared" si="179"/>
        <v/>
      </c>
      <c r="T498" s="194" t="str">
        <f t="shared" si="166"/>
        <v/>
      </c>
      <c r="U498" s="192" t="str">
        <f t="shared" si="180"/>
        <v/>
      </c>
      <c r="V498" s="195" t="str">
        <f t="shared" si="167"/>
        <v/>
      </c>
      <c r="W498" s="195" t="str">
        <f t="shared" si="168"/>
        <v/>
      </c>
      <c r="X498" s="196" t="str">
        <f t="shared" si="181"/>
        <v/>
      </c>
      <c r="Y498" s="191" t="str">
        <f t="shared" si="183"/>
        <v/>
      </c>
      <c r="Z498" s="197" t="str">
        <f t="shared" si="169"/>
        <v/>
      </c>
      <c r="AA498" s="197" t="str">
        <f t="shared" si="170"/>
        <v/>
      </c>
      <c r="AB498" s="213"/>
      <c r="AC498" s="204"/>
    </row>
    <row r="499" spans="1:29" ht="11.4">
      <c r="A499" s="211" t="str">
        <f t="shared" si="182"/>
        <v/>
      </c>
      <c r="B499" s="211"/>
      <c r="C499" s="185"/>
      <c r="D499" s="186" t="str">
        <f t="shared" si="171"/>
        <v/>
      </c>
      <c r="E499" s="186" t="str">
        <f>IF(OR(C499="",C499=Data!$B$3),"",IF(C499=Data!$B$4,"L","S"))</f>
        <v/>
      </c>
      <c r="F499" s="186" t="str">
        <f t="shared" si="172"/>
        <v/>
      </c>
      <c r="G499" s="187" t="str">
        <f t="shared" si="163"/>
        <v/>
      </c>
      <c r="H499" s="188"/>
      <c r="I499" s="189" t="str">
        <f t="shared" si="173"/>
        <v/>
      </c>
      <c r="J499" s="189" t="str">
        <f t="shared" si="174"/>
        <v/>
      </c>
      <c r="K499" s="190" t="str">
        <f t="shared" si="175"/>
        <v/>
      </c>
      <c r="L499" s="190" t="str">
        <f t="shared" si="176"/>
        <v/>
      </c>
      <c r="M499" s="214"/>
      <c r="N499" s="214"/>
      <c r="O499" s="189" t="str">
        <f t="shared" si="177"/>
        <v/>
      </c>
      <c r="P499" s="191" t="str">
        <f t="shared" si="164"/>
        <v/>
      </c>
      <c r="Q499" s="192" t="str">
        <f t="shared" si="178"/>
        <v/>
      </c>
      <c r="R499" s="191" t="str">
        <f t="shared" si="165"/>
        <v/>
      </c>
      <c r="S499" s="193" t="str">
        <f t="shared" si="179"/>
        <v/>
      </c>
      <c r="T499" s="194" t="str">
        <f t="shared" si="166"/>
        <v/>
      </c>
      <c r="U499" s="192" t="str">
        <f t="shared" si="180"/>
        <v/>
      </c>
      <c r="V499" s="195" t="str">
        <f t="shared" si="167"/>
        <v/>
      </c>
      <c r="W499" s="195" t="str">
        <f t="shared" si="168"/>
        <v/>
      </c>
      <c r="X499" s="196" t="str">
        <f t="shared" si="181"/>
        <v/>
      </c>
      <c r="Y499" s="191" t="str">
        <f t="shared" si="183"/>
        <v/>
      </c>
      <c r="Z499" s="197" t="str">
        <f t="shared" si="169"/>
        <v/>
      </c>
      <c r="AA499" s="197" t="str">
        <f t="shared" si="170"/>
        <v/>
      </c>
      <c r="AB499" s="213"/>
      <c r="AC499" s="204"/>
    </row>
    <row r="500" spans="1:29" ht="11.4">
      <c r="A500" s="211" t="str">
        <f t="shared" si="182"/>
        <v/>
      </c>
      <c r="B500" s="211"/>
      <c r="C500" s="185"/>
      <c r="D500" s="186" t="str">
        <f t="shared" si="171"/>
        <v/>
      </c>
      <c r="E500" s="186" t="str">
        <f>IF(OR(C500="",C500=Data!$B$3),"",IF(C500=Data!$B$4,"L","S"))</f>
        <v/>
      </c>
      <c r="F500" s="186" t="str">
        <f t="shared" si="172"/>
        <v/>
      </c>
      <c r="G500" s="187" t="str">
        <f t="shared" si="163"/>
        <v/>
      </c>
      <c r="H500" s="188"/>
      <c r="I500" s="189" t="str">
        <f t="shared" si="173"/>
        <v/>
      </c>
      <c r="J500" s="189" t="str">
        <f t="shared" si="174"/>
        <v/>
      </c>
      <c r="K500" s="190" t="str">
        <f t="shared" si="175"/>
        <v/>
      </c>
      <c r="L500" s="190" t="str">
        <f t="shared" si="176"/>
        <v/>
      </c>
      <c r="M500" s="214"/>
      <c r="N500" s="214"/>
      <c r="O500" s="189" t="str">
        <f t="shared" si="177"/>
        <v/>
      </c>
      <c r="P500" s="191" t="str">
        <f t="shared" si="164"/>
        <v/>
      </c>
      <c r="Q500" s="192" t="str">
        <f t="shared" si="178"/>
        <v/>
      </c>
      <c r="R500" s="191" t="str">
        <f t="shared" si="165"/>
        <v/>
      </c>
      <c r="S500" s="193" t="str">
        <f t="shared" si="179"/>
        <v/>
      </c>
      <c r="T500" s="194" t="str">
        <f t="shared" si="166"/>
        <v/>
      </c>
      <c r="U500" s="192" t="str">
        <f t="shared" si="180"/>
        <v/>
      </c>
      <c r="V500" s="195" t="str">
        <f t="shared" si="167"/>
        <v/>
      </c>
      <c r="W500" s="195" t="str">
        <f t="shared" si="168"/>
        <v/>
      </c>
      <c r="X500" s="196" t="str">
        <f t="shared" si="181"/>
        <v/>
      </c>
      <c r="Y500" s="191" t="str">
        <f t="shared" si="183"/>
        <v/>
      </c>
      <c r="Z500" s="197" t="str">
        <f t="shared" si="169"/>
        <v/>
      </c>
      <c r="AA500" s="197" t="str">
        <f t="shared" si="170"/>
        <v/>
      </c>
      <c r="AB500" s="213"/>
      <c r="AC500" s="204"/>
    </row>
    <row r="501" spans="1:29" ht="11.4">
      <c r="A501" s="211" t="str">
        <f t="shared" si="182"/>
        <v/>
      </c>
      <c r="B501" s="211"/>
      <c r="C501" s="185"/>
      <c r="D501" s="186" t="str">
        <f t="shared" si="171"/>
        <v/>
      </c>
      <c r="E501" s="186" t="str">
        <f>IF(OR(C501="",C501=Data!$B$3),"",IF(C501=Data!$B$4,"L","S"))</f>
        <v/>
      </c>
      <c r="F501" s="186" t="str">
        <f t="shared" si="172"/>
        <v/>
      </c>
      <c r="G501" s="187" t="str">
        <f t="shared" si="163"/>
        <v/>
      </c>
      <c r="H501" s="188"/>
      <c r="I501" s="189" t="str">
        <f t="shared" si="173"/>
        <v/>
      </c>
      <c r="J501" s="189" t="str">
        <f t="shared" si="174"/>
        <v/>
      </c>
      <c r="K501" s="190" t="str">
        <f t="shared" si="175"/>
        <v/>
      </c>
      <c r="L501" s="190" t="str">
        <f t="shared" si="176"/>
        <v/>
      </c>
      <c r="M501" s="214"/>
      <c r="N501" s="214"/>
      <c r="O501" s="189" t="str">
        <f t="shared" si="177"/>
        <v/>
      </c>
      <c r="P501" s="191" t="str">
        <f t="shared" si="164"/>
        <v/>
      </c>
      <c r="Q501" s="192" t="str">
        <f t="shared" si="178"/>
        <v/>
      </c>
      <c r="R501" s="191" t="str">
        <f t="shared" si="165"/>
        <v/>
      </c>
      <c r="S501" s="193" t="str">
        <f t="shared" si="179"/>
        <v/>
      </c>
      <c r="T501" s="194" t="str">
        <f t="shared" si="166"/>
        <v/>
      </c>
      <c r="U501" s="192" t="str">
        <f t="shared" si="180"/>
        <v/>
      </c>
      <c r="V501" s="195" t="str">
        <f t="shared" si="167"/>
        <v/>
      </c>
      <c r="W501" s="195" t="str">
        <f t="shared" si="168"/>
        <v/>
      </c>
      <c r="X501" s="196" t="str">
        <f t="shared" si="181"/>
        <v/>
      </c>
      <c r="Y501" s="191" t="str">
        <f t="shared" si="183"/>
        <v/>
      </c>
      <c r="Z501" s="197" t="str">
        <f t="shared" si="169"/>
        <v/>
      </c>
      <c r="AA501" s="197" t="str">
        <f t="shared" si="170"/>
        <v/>
      </c>
      <c r="AB501" s="213"/>
      <c r="AC501" s="204"/>
    </row>
    <row r="502" spans="1:29" ht="11.4">
      <c r="A502" s="211" t="str">
        <f t="shared" si="182"/>
        <v/>
      </c>
      <c r="B502" s="211"/>
      <c r="C502" s="185"/>
      <c r="D502" s="186" t="str">
        <f t="shared" si="171"/>
        <v/>
      </c>
      <c r="E502" s="186" t="str">
        <f>IF(OR(C502="",C502=Data!$B$3),"",IF(C502=Data!$B$4,"L","S"))</f>
        <v/>
      </c>
      <c r="F502" s="186" t="str">
        <f t="shared" si="172"/>
        <v/>
      </c>
      <c r="G502" s="187" t="str">
        <f t="shared" si="163"/>
        <v/>
      </c>
      <c r="H502" s="188"/>
      <c r="I502" s="189" t="str">
        <f t="shared" si="173"/>
        <v/>
      </c>
      <c r="J502" s="189" t="str">
        <f t="shared" si="174"/>
        <v/>
      </c>
      <c r="K502" s="190" t="str">
        <f t="shared" si="175"/>
        <v/>
      </c>
      <c r="L502" s="190" t="str">
        <f t="shared" si="176"/>
        <v/>
      </c>
      <c r="M502" s="214"/>
      <c r="N502" s="214"/>
      <c r="O502" s="189" t="str">
        <f t="shared" si="177"/>
        <v/>
      </c>
      <c r="P502" s="191" t="str">
        <f t="shared" si="164"/>
        <v/>
      </c>
      <c r="Q502" s="192" t="str">
        <f t="shared" si="178"/>
        <v/>
      </c>
      <c r="R502" s="191" t="str">
        <f t="shared" si="165"/>
        <v/>
      </c>
      <c r="S502" s="193" t="str">
        <f t="shared" si="179"/>
        <v/>
      </c>
      <c r="T502" s="194" t="str">
        <f t="shared" si="166"/>
        <v/>
      </c>
      <c r="U502" s="192" t="str">
        <f t="shared" si="180"/>
        <v/>
      </c>
      <c r="V502" s="195" t="str">
        <f t="shared" si="167"/>
        <v/>
      </c>
      <c r="W502" s="195" t="str">
        <f t="shared" si="168"/>
        <v/>
      </c>
      <c r="X502" s="196" t="str">
        <f t="shared" si="181"/>
        <v/>
      </c>
      <c r="Y502" s="191" t="str">
        <f t="shared" si="183"/>
        <v/>
      </c>
      <c r="Z502" s="197" t="str">
        <f t="shared" si="169"/>
        <v/>
      </c>
      <c r="AA502" s="197" t="str">
        <f t="shared" si="170"/>
        <v/>
      </c>
      <c r="AB502" s="213"/>
      <c r="AC502" s="204"/>
    </row>
    <row r="503" spans="1:29" ht="11.4">
      <c r="A503" s="211" t="str">
        <f t="shared" si="182"/>
        <v/>
      </c>
      <c r="B503" s="211"/>
      <c r="C503" s="185"/>
      <c r="D503" s="186" t="str">
        <f t="shared" si="171"/>
        <v/>
      </c>
      <c r="E503" s="186" t="str">
        <f>IF(OR(C503="",C503=Data!$B$3),"",IF(C503=Data!$B$4,"L","S"))</f>
        <v/>
      </c>
      <c r="F503" s="186" t="str">
        <f t="shared" si="172"/>
        <v/>
      </c>
      <c r="G503" s="187" t="str">
        <f t="shared" si="163"/>
        <v/>
      </c>
      <c r="H503" s="188"/>
      <c r="I503" s="189" t="str">
        <f t="shared" si="173"/>
        <v/>
      </c>
      <c r="J503" s="189" t="str">
        <f t="shared" si="174"/>
        <v/>
      </c>
      <c r="K503" s="190" t="str">
        <f t="shared" si="175"/>
        <v/>
      </c>
      <c r="L503" s="190" t="str">
        <f t="shared" si="176"/>
        <v/>
      </c>
      <c r="M503" s="214"/>
      <c r="N503" s="214"/>
      <c r="O503" s="189" t="str">
        <f t="shared" si="177"/>
        <v/>
      </c>
      <c r="P503" s="191" t="str">
        <f t="shared" si="164"/>
        <v/>
      </c>
      <c r="Q503" s="192" t="str">
        <f t="shared" si="178"/>
        <v/>
      </c>
      <c r="R503" s="191" t="str">
        <f t="shared" si="165"/>
        <v/>
      </c>
      <c r="S503" s="193" t="str">
        <f t="shared" si="179"/>
        <v/>
      </c>
      <c r="T503" s="194" t="str">
        <f t="shared" si="166"/>
        <v/>
      </c>
      <c r="U503" s="192" t="str">
        <f t="shared" si="180"/>
        <v/>
      </c>
      <c r="V503" s="195" t="str">
        <f t="shared" si="167"/>
        <v/>
      </c>
      <c r="W503" s="195" t="str">
        <f t="shared" si="168"/>
        <v/>
      </c>
      <c r="X503" s="196" t="str">
        <f t="shared" si="181"/>
        <v/>
      </c>
      <c r="Y503" s="191" t="str">
        <f t="shared" si="183"/>
        <v/>
      </c>
      <c r="Z503" s="197" t="str">
        <f t="shared" si="169"/>
        <v/>
      </c>
      <c r="AA503" s="197" t="str">
        <f t="shared" si="170"/>
        <v/>
      </c>
      <c r="AB503" s="213"/>
      <c r="AC503" s="204"/>
    </row>
    <row r="504" spans="1:29" ht="11.4">
      <c r="A504" s="211" t="str">
        <f t="shared" si="182"/>
        <v/>
      </c>
      <c r="B504" s="211"/>
      <c r="C504" s="185"/>
      <c r="D504" s="186" t="str">
        <f t="shared" si="171"/>
        <v/>
      </c>
      <c r="E504" s="186" t="str">
        <f>IF(OR(C504="",C504=Data!$B$3),"",IF(C504=Data!$B$4,"L","S"))</f>
        <v/>
      </c>
      <c r="F504" s="186" t="str">
        <f t="shared" si="172"/>
        <v/>
      </c>
      <c r="G504" s="187" t="str">
        <f t="shared" si="163"/>
        <v/>
      </c>
      <c r="H504" s="188"/>
      <c r="I504" s="189" t="str">
        <f t="shared" si="173"/>
        <v/>
      </c>
      <c r="J504" s="189" t="str">
        <f t="shared" si="174"/>
        <v/>
      </c>
      <c r="K504" s="190" t="str">
        <f t="shared" si="175"/>
        <v/>
      </c>
      <c r="L504" s="190" t="str">
        <f t="shared" si="176"/>
        <v/>
      </c>
      <c r="M504" s="214"/>
      <c r="N504" s="214"/>
      <c r="O504" s="189" t="str">
        <f t="shared" si="177"/>
        <v/>
      </c>
      <c r="P504" s="191" t="str">
        <f t="shared" si="164"/>
        <v/>
      </c>
      <c r="Q504" s="192" t="str">
        <f t="shared" si="178"/>
        <v/>
      </c>
      <c r="R504" s="191" t="str">
        <f t="shared" si="165"/>
        <v/>
      </c>
      <c r="S504" s="193" t="str">
        <f t="shared" si="179"/>
        <v/>
      </c>
      <c r="T504" s="194" t="str">
        <f t="shared" si="166"/>
        <v/>
      </c>
      <c r="U504" s="192" t="str">
        <f t="shared" si="180"/>
        <v/>
      </c>
      <c r="V504" s="195" t="str">
        <f t="shared" si="167"/>
        <v/>
      </c>
      <c r="W504" s="195" t="str">
        <f t="shared" si="168"/>
        <v/>
      </c>
      <c r="X504" s="196" t="str">
        <f t="shared" si="181"/>
        <v/>
      </c>
      <c r="Y504" s="191" t="str">
        <f t="shared" si="183"/>
        <v/>
      </c>
      <c r="Z504" s="197" t="str">
        <f t="shared" si="169"/>
        <v/>
      </c>
      <c r="AA504" s="197" t="str">
        <f t="shared" si="170"/>
        <v/>
      </c>
      <c r="AB504" s="213"/>
      <c r="AC504" s="204"/>
    </row>
    <row r="505" spans="1:29" ht="11.4">
      <c r="A505" s="211" t="str">
        <f t="shared" si="182"/>
        <v/>
      </c>
      <c r="B505" s="211"/>
      <c r="C505" s="185"/>
      <c r="D505" s="186" t="str">
        <f t="shared" si="171"/>
        <v/>
      </c>
      <c r="E505" s="186" t="str">
        <f>IF(OR(C505="",C505=Data!$B$3),"",IF(C505=Data!$B$4,"L","S"))</f>
        <v/>
      </c>
      <c r="F505" s="186" t="str">
        <f t="shared" si="172"/>
        <v/>
      </c>
      <c r="G505" s="187" t="str">
        <f t="shared" si="163"/>
        <v/>
      </c>
      <c r="H505" s="188"/>
      <c r="I505" s="189" t="str">
        <f t="shared" si="173"/>
        <v/>
      </c>
      <c r="J505" s="189" t="str">
        <f t="shared" si="174"/>
        <v/>
      </c>
      <c r="K505" s="190" t="str">
        <f t="shared" si="175"/>
        <v/>
      </c>
      <c r="L505" s="190" t="str">
        <f t="shared" si="176"/>
        <v/>
      </c>
      <c r="M505" s="214"/>
      <c r="N505" s="214"/>
      <c r="O505" s="189" t="str">
        <f t="shared" si="177"/>
        <v/>
      </c>
      <c r="P505" s="191" t="str">
        <f t="shared" si="164"/>
        <v/>
      </c>
      <c r="Q505" s="192" t="str">
        <f t="shared" si="178"/>
        <v/>
      </c>
      <c r="R505" s="191" t="str">
        <f t="shared" si="165"/>
        <v/>
      </c>
      <c r="S505" s="193" t="str">
        <f t="shared" si="179"/>
        <v/>
      </c>
      <c r="T505" s="194" t="str">
        <f t="shared" si="166"/>
        <v/>
      </c>
      <c r="U505" s="192" t="str">
        <f t="shared" si="180"/>
        <v/>
      </c>
      <c r="V505" s="195" t="str">
        <f t="shared" si="167"/>
        <v/>
      </c>
      <c r="W505" s="195" t="str">
        <f t="shared" si="168"/>
        <v/>
      </c>
      <c r="X505" s="196" t="str">
        <f t="shared" si="181"/>
        <v/>
      </c>
      <c r="Y505" s="191" t="str">
        <f t="shared" si="183"/>
        <v/>
      </c>
      <c r="Z505" s="197" t="str">
        <f t="shared" si="169"/>
        <v/>
      </c>
      <c r="AA505" s="197" t="str">
        <f t="shared" si="170"/>
        <v/>
      </c>
      <c r="AB505" s="213"/>
      <c r="AC505" s="204"/>
    </row>
    <row r="506" spans="1:29" ht="11.4">
      <c r="A506" s="211" t="str">
        <f t="shared" si="182"/>
        <v/>
      </c>
      <c r="B506" s="211"/>
      <c r="C506" s="185"/>
      <c r="D506" s="186" t="str">
        <f t="shared" si="171"/>
        <v/>
      </c>
      <c r="E506" s="186" t="str">
        <f>IF(OR(C506="",C506=Data!$B$3),"",IF(C506=Data!$B$4,"L","S"))</f>
        <v/>
      </c>
      <c r="F506" s="186" t="str">
        <f t="shared" si="172"/>
        <v/>
      </c>
      <c r="G506" s="187" t="str">
        <f t="shared" si="163"/>
        <v/>
      </c>
      <c r="H506" s="188"/>
      <c r="I506" s="189" t="str">
        <f t="shared" si="173"/>
        <v/>
      </c>
      <c r="J506" s="189" t="str">
        <f t="shared" si="174"/>
        <v/>
      </c>
      <c r="K506" s="190" t="str">
        <f t="shared" si="175"/>
        <v/>
      </c>
      <c r="L506" s="190" t="str">
        <f t="shared" si="176"/>
        <v/>
      </c>
      <c r="M506" s="214"/>
      <c r="N506" s="214"/>
      <c r="O506" s="189" t="str">
        <f t="shared" si="177"/>
        <v/>
      </c>
      <c r="P506" s="191" t="str">
        <f t="shared" si="164"/>
        <v/>
      </c>
      <c r="Q506" s="192" t="str">
        <f t="shared" si="178"/>
        <v/>
      </c>
      <c r="R506" s="191" t="str">
        <f t="shared" si="165"/>
        <v/>
      </c>
      <c r="S506" s="193" t="str">
        <f t="shared" si="179"/>
        <v/>
      </c>
      <c r="T506" s="194" t="str">
        <f t="shared" si="166"/>
        <v/>
      </c>
      <c r="U506" s="192" t="str">
        <f t="shared" si="180"/>
        <v/>
      </c>
      <c r="V506" s="195" t="str">
        <f t="shared" si="167"/>
        <v/>
      </c>
      <c r="W506" s="195" t="str">
        <f t="shared" si="168"/>
        <v/>
      </c>
      <c r="X506" s="196" t="str">
        <f t="shared" si="181"/>
        <v/>
      </c>
      <c r="Y506" s="191" t="str">
        <f t="shared" si="183"/>
        <v/>
      </c>
      <c r="Z506" s="197" t="str">
        <f t="shared" si="169"/>
        <v/>
      </c>
      <c r="AA506" s="197" t="str">
        <f t="shared" si="170"/>
        <v/>
      </c>
      <c r="AB506" s="213"/>
      <c r="AC506" s="204"/>
    </row>
    <row r="507" spans="1:29" ht="11.4">
      <c r="A507" s="211" t="str">
        <f t="shared" si="182"/>
        <v/>
      </c>
      <c r="B507" s="211"/>
      <c r="C507" s="185"/>
      <c r="D507" s="186" t="str">
        <f t="shared" si="171"/>
        <v/>
      </c>
      <c r="E507" s="186" t="str">
        <f>IF(OR(C507="",C507=Data!$B$3),"",IF(C507=Data!$B$4,"L","S"))</f>
        <v/>
      </c>
      <c r="F507" s="186" t="str">
        <f t="shared" si="172"/>
        <v/>
      </c>
      <c r="G507" s="187" t="str">
        <f t="shared" si="163"/>
        <v/>
      </c>
      <c r="H507" s="188"/>
      <c r="I507" s="189" t="str">
        <f t="shared" si="173"/>
        <v/>
      </c>
      <c r="J507" s="189" t="str">
        <f t="shared" si="174"/>
        <v/>
      </c>
      <c r="K507" s="190" t="str">
        <f t="shared" si="175"/>
        <v/>
      </c>
      <c r="L507" s="190" t="str">
        <f t="shared" si="176"/>
        <v/>
      </c>
      <c r="M507" s="214"/>
      <c r="N507" s="214"/>
      <c r="O507" s="189" t="str">
        <f t="shared" si="177"/>
        <v/>
      </c>
      <c r="P507" s="191" t="str">
        <f t="shared" si="164"/>
        <v/>
      </c>
      <c r="Q507" s="192" t="str">
        <f t="shared" si="178"/>
        <v/>
      </c>
      <c r="R507" s="191" t="str">
        <f t="shared" si="165"/>
        <v/>
      </c>
      <c r="S507" s="193" t="str">
        <f t="shared" si="179"/>
        <v/>
      </c>
      <c r="T507" s="194" t="str">
        <f t="shared" si="166"/>
        <v/>
      </c>
      <c r="U507" s="192" t="str">
        <f t="shared" si="180"/>
        <v/>
      </c>
      <c r="V507" s="195" t="str">
        <f t="shared" si="167"/>
        <v/>
      </c>
      <c r="W507" s="195" t="str">
        <f t="shared" si="168"/>
        <v/>
      </c>
      <c r="X507" s="196" t="str">
        <f t="shared" si="181"/>
        <v/>
      </c>
      <c r="Y507" s="191" t="str">
        <f t="shared" si="183"/>
        <v/>
      </c>
      <c r="Z507" s="197" t="str">
        <f t="shared" si="169"/>
        <v/>
      </c>
      <c r="AA507" s="197" t="str">
        <f t="shared" si="170"/>
        <v/>
      </c>
      <c r="AB507" s="213"/>
      <c r="AC507" s="204"/>
    </row>
    <row r="508" spans="1:29" ht="11.4">
      <c r="A508" s="211" t="str">
        <f t="shared" si="182"/>
        <v/>
      </c>
      <c r="B508" s="211"/>
      <c r="C508" s="185"/>
      <c r="D508" s="186" t="str">
        <f t="shared" si="171"/>
        <v/>
      </c>
      <c r="E508" s="186" t="str">
        <f>IF(OR(C508="",C508=Data!$B$3),"",IF(C508=Data!$B$4,"L","S"))</f>
        <v/>
      </c>
      <c r="F508" s="186" t="str">
        <f t="shared" si="172"/>
        <v/>
      </c>
      <c r="G508" s="187" t="str">
        <f t="shared" si="163"/>
        <v/>
      </c>
      <c r="H508" s="188"/>
      <c r="I508" s="189" t="str">
        <f t="shared" si="173"/>
        <v/>
      </c>
      <c r="J508" s="189" t="str">
        <f t="shared" si="174"/>
        <v/>
      </c>
      <c r="K508" s="190" t="str">
        <f t="shared" si="175"/>
        <v/>
      </c>
      <c r="L508" s="190" t="str">
        <f t="shared" si="176"/>
        <v/>
      </c>
      <c r="M508" s="214"/>
      <c r="N508" s="214"/>
      <c r="O508" s="189" t="str">
        <f t="shared" si="177"/>
        <v/>
      </c>
      <c r="P508" s="191" t="str">
        <f t="shared" si="164"/>
        <v/>
      </c>
      <c r="Q508" s="192" t="str">
        <f t="shared" si="178"/>
        <v/>
      </c>
      <c r="R508" s="191" t="str">
        <f t="shared" si="165"/>
        <v/>
      </c>
      <c r="S508" s="193" t="str">
        <f t="shared" si="179"/>
        <v/>
      </c>
      <c r="T508" s="194" t="str">
        <f t="shared" si="166"/>
        <v/>
      </c>
      <c r="U508" s="192" t="str">
        <f t="shared" si="180"/>
        <v/>
      </c>
      <c r="V508" s="195" t="str">
        <f t="shared" si="167"/>
        <v/>
      </c>
      <c r="W508" s="195" t="str">
        <f t="shared" si="168"/>
        <v/>
      </c>
      <c r="X508" s="196" t="str">
        <f t="shared" si="181"/>
        <v/>
      </c>
      <c r="Y508" s="191" t="str">
        <f t="shared" si="183"/>
        <v/>
      </c>
      <c r="Z508" s="197" t="str">
        <f t="shared" si="169"/>
        <v/>
      </c>
      <c r="AA508" s="197" t="str">
        <f t="shared" si="170"/>
        <v/>
      </c>
      <c r="AB508" s="213"/>
      <c r="AC508" s="204"/>
    </row>
    <row r="509" spans="1:29" ht="11.4">
      <c r="A509" s="211" t="str">
        <f t="shared" si="182"/>
        <v/>
      </c>
      <c r="B509" s="211"/>
      <c r="C509" s="185"/>
      <c r="D509" s="186" t="str">
        <f t="shared" si="171"/>
        <v/>
      </c>
      <c r="E509" s="186" t="str">
        <f>IF(OR(C509="",C509=Data!$B$3),"",IF(C509=Data!$B$4,"L","S"))</f>
        <v/>
      </c>
      <c r="F509" s="186" t="str">
        <f t="shared" si="172"/>
        <v/>
      </c>
      <c r="G509" s="187" t="str">
        <f t="shared" si="163"/>
        <v/>
      </c>
      <c r="H509" s="188"/>
      <c r="I509" s="189" t="str">
        <f t="shared" si="173"/>
        <v/>
      </c>
      <c r="J509" s="189" t="str">
        <f t="shared" si="174"/>
        <v/>
      </c>
      <c r="K509" s="190" t="str">
        <f t="shared" si="175"/>
        <v/>
      </c>
      <c r="L509" s="190" t="str">
        <f t="shared" si="176"/>
        <v/>
      </c>
      <c r="M509" s="214"/>
      <c r="N509" s="214"/>
      <c r="O509" s="189" t="str">
        <f t="shared" si="177"/>
        <v/>
      </c>
      <c r="P509" s="191" t="str">
        <f t="shared" si="164"/>
        <v/>
      </c>
      <c r="Q509" s="192" t="str">
        <f t="shared" si="178"/>
        <v/>
      </c>
      <c r="R509" s="191" t="str">
        <f t="shared" si="165"/>
        <v/>
      </c>
      <c r="S509" s="193" t="str">
        <f t="shared" si="179"/>
        <v/>
      </c>
      <c r="T509" s="194" t="str">
        <f t="shared" si="166"/>
        <v/>
      </c>
      <c r="U509" s="192" t="str">
        <f t="shared" si="180"/>
        <v/>
      </c>
      <c r="V509" s="195" t="str">
        <f t="shared" si="167"/>
        <v/>
      </c>
      <c r="W509" s="195" t="str">
        <f t="shared" si="168"/>
        <v/>
      </c>
      <c r="X509" s="196" t="str">
        <f t="shared" si="181"/>
        <v/>
      </c>
      <c r="Y509" s="191" t="str">
        <f t="shared" si="183"/>
        <v/>
      </c>
      <c r="Z509" s="197" t="str">
        <f t="shared" si="169"/>
        <v/>
      </c>
      <c r="AA509" s="197" t="str">
        <f t="shared" si="170"/>
        <v/>
      </c>
      <c r="AB509" s="213"/>
      <c r="AC509" s="204"/>
    </row>
    <row r="510" spans="1:29" ht="11.4">
      <c r="A510" s="211" t="str">
        <f t="shared" si="182"/>
        <v/>
      </c>
      <c r="B510" s="211"/>
      <c r="C510" s="185"/>
      <c r="D510" s="186" t="str">
        <f t="shared" si="171"/>
        <v/>
      </c>
      <c r="E510" s="186" t="str">
        <f>IF(OR(C510="",C510=Data!$B$3),"",IF(C510=Data!$B$4,"L","S"))</f>
        <v/>
      </c>
      <c r="F510" s="186" t="str">
        <f t="shared" si="172"/>
        <v/>
      </c>
      <c r="G510" s="187" t="str">
        <f t="shared" si="163"/>
        <v/>
      </c>
      <c r="H510" s="188"/>
      <c r="I510" s="189" t="str">
        <f t="shared" si="173"/>
        <v/>
      </c>
      <c r="J510" s="189" t="str">
        <f t="shared" si="174"/>
        <v/>
      </c>
      <c r="K510" s="190" t="str">
        <f t="shared" si="175"/>
        <v/>
      </c>
      <c r="L510" s="190" t="str">
        <f t="shared" si="176"/>
        <v/>
      </c>
      <c r="M510" s="214"/>
      <c r="N510" s="214"/>
      <c r="O510" s="189" t="str">
        <f t="shared" si="177"/>
        <v/>
      </c>
      <c r="P510" s="191" t="str">
        <f t="shared" si="164"/>
        <v/>
      </c>
      <c r="Q510" s="192" t="str">
        <f t="shared" si="178"/>
        <v/>
      </c>
      <c r="R510" s="191" t="str">
        <f t="shared" si="165"/>
        <v/>
      </c>
      <c r="S510" s="193" t="str">
        <f t="shared" si="179"/>
        <v/>
      </c>
      <c r="T510" s="194" t="str">
        <f t="shared" si="166"/>
        <v/>
      </c>
      <c r="U510" s="192" t="str">
        <f t="shared" si="180"/>
        <v/>
      </c>
      <c r="V510" s="195" t="str">
        <f t="shared" si="167"/>
        <v/>
      </c>
      <c r="W510" s="195" t="str">
        <f t="shared" si="168"/>
        <v/>
      </c>
      <c r="X510" s="196" t="str">
        <f t="shared" si="181"/>
        <v/>
      </c>
      <c r="Y510" s="191" t="str">
        <f t="shared" si="183"/>
        <v/>
      </c>
      <c r="Z510" s="197" t="str">
        <f t="shared" si="169"/>
        <v/>
      </c>
      <c r="AA510" s="197" t="str">
        <f t="shared" si="170"/>
        <v/>
      </c>
      <c r="AB510" s="213"/>
      <c r="AC510" s="204"/>
    </row>
    <row r="511" spans="1:29" ht="11.4">
      <c r="A511" s="211" t="str">
        <f t="shared" si="182"/>
        <v/>
      </c>
      <c r="B511" s="211"/>
      <c r="C511" s="185"/>
      <c r="D511" s="186" t="str">
        <f t="shared" si="171"/>
        <v/>
      </c>
      <c r="E511" s="186" t="str">
        <f>IF(OR(C511="",C511=Data!$B$3),"",IF(C511=Data!$B$4,"L","S"))</f>
        <v/>
      </c>
      <c r="F511" s="186" t="str">
        <f t="shared" si="172"/>
        <v/>
      </c>
      <c r="G511" s="187" t="str">
        <f t="shared" si="163"/>
        <v/>
      </c>
      <c r="H511" s="188"/>
      <c r="I511" s="189" t="str">
        <f t="shared" si="173"/>
        <v/>
      </c>
      <c r="J511" s="189" t="str">
        <f t="shared" si="174"/>
        <v/>
      </c>
      <c r="K511" s="190" t="str">
        <f t="shared" si="175"/>
        <v/>
      </c>
      <c r="L511" s="190" t="str">
        <f t="shared" si="176"/>
        <v/>
      </c>
      <c r="M511" s="214"/>
      <c r="N511" s="214"/>
      <c r="O511" s="189" t="str">
        <f t="shared" si="177"/>
        <v/>
      </c>
      <c r="P511" s="191" t="str">
        <f t="shared" si="164"/>
        <v/>
      </c>
      <c r="Q511" s="192" t="str">
        <f t="shared" si="178"/>
        <v/>
      </c>
      <c r="R511" s="191" t="str">
        <f t="shared" si="165"/>
        <v/>
      </c>
      <c r="S511" s="193" t="str">
        <f t="shared" si="179"/>
        <v/>
      </c>
      <c r="T511" s="194" t="str">
        <f t="shared" si="166"/>
        <v/>
      </c>
      <c r="U511" s="192" t="str">
        <f t="shared" si="180"/>
        <v/>
      </c>
      <c r="V511" s="195" t="str">
        <f t="shared" si="167"/>
        <v/>
      </c>
      <c r="W511" s="195" t="str">
        <f t="shared" si="168"/>
        <v/>
      </c>
      <c r="X511" s="196" t="str">
        <f t="shared" si="181"/>
        <v/>
      </c>
      <c r="Y511" s="191" t="str">
        <f t="shared" si="183"/>
        <v/>
      </c>
      <c r="Z511" s="197" t="str">
        <f t="shared" si="169"/>
        <v/>
      </c>
      <c r="AA511" s="197" t="str">
        <f t="shared" si="170"/>
        <v/>
      </c>
      <c r="AB511" s="213"/>
      <c r="AC511" s="204"/>
    </row>
    <row r="512" spans="1:29" ht="11.4">
      <c r="A512" s="211" t="str">
        <f t="shared" si="182"/>
        <v/>
      </c>
      <c r="B512" s="211"/>
      <c r="C512" s="185"/>
      <c r="D512" s="186" t="str">
        <f t="shared" si="171"/>
        <v/>
      </c>
      <c r="E512" s="186" t="str">
        <f>IF(OR(C512="",C512=Data!$B$3),"",IF(C512=Data!$B$4,"L","S"))</f>
        <v/>
      </c>
      <c r="F512" s="186" t="str">
        <f t="shared" si="172"/>
        <v/>
      </c>
      <c r="G512" s="187" t="str">
        <f t="shared" si="163"/>
        <v/>
      </c>
      <c r="H512" s="188"/>
      <c r="I512" s="189" t="str">
        <f t="shared" si="173"/>
        <v/>
      </c>
      <c r="J512" s="189" t="str">
        <f t="shared" si="174"/>
        <v/>
      </c>
      <c r="K512" s="190" t="str">
        <f t="shared" si="175"/>
        <v/>
      </c>
      <c r="L512" s="190" t="str">
        <f t="shared" si="176"/>
        <v/>
      </c>
      <c r="M512" s="214"/>
      <c r="N512" s="214"/>
      <c r="O512" s="189" t="str">
        <f t="shared" si="177"/>
        <v/>
      </c>
      <c r="P512" s="191" t="str">
        <f t="shared" si="164"/>
        <v/>
      </c>
      <c r="Q512" s="192" t="str">
        <f t="shared" si="178"/>
        <v/>
      </c>
      <c r="R512" s="191" t="str">
        <f t="shared" si="165"/>
        <v/>
      </c>
      <c r="S512" s="193" t="str">
        <f t="shared" si="179"/>
        <v/>
      </c>
      <c r="T512" s="194" t="str">
        <f t="shared" si="166"/>
        <v/>
      </c>
      <c r="U512" s="192" t="str">
        <f t="shared" si="180"/>
        <v/>
      </c>
      <c r="V512" s="195" t="str">
        <f t="shared" si="167"/>
        <v/>
      </c>
      <c r="W512" s="195" t="str">
        <f t="shared" si="168"/>
        <v/>
      </c>
      <c r="X512" s="196" t="str">
        <f t="shared" si="181"/>
        <v/>
      </c>
      <c r="Y512" s="191" t="str">
        <f t="shared" si="183"/>
        <v/>
      </c>
      <c r="Z512" s="197" t="str">
        <f t="shared" si="169"/>
        <v/>
      </c>
      <c r="AA512" s="197" t="str">
        <f t="shared" si="170"/>
        <v/>
      </c>
      <c r="AB512" s="213"/>
      <c r="AC512" s="204"/>
    </row>
    <row r="513" spans="1:29" ht="11.4">
      <c r="A513" s="211" t="str">
        <f t="shared" si="182"/>
        <v/>
      </c>
      <c r="B513" s="211"/>
      <c r="C513" s="185"/>
      <c r="D513" s="186" t="str">
        <f t="shared" si="171"/>
        <v/>
      </c>
      <c r="E513" s="186" t="str">
        <f>IF(OR(C513="",C513=Data!$B$3),"",IF(C513=Data!$B$4,"L","S"))</f>
        <v/>
      </c>
      <c r="F513" s="186" t="str">
        <f t="shared" si="172"/>
        <v/>
      </c>
      <c r="G513" s="187" t="str">
        <f t="shared" si="163"/>
        <v/>
      </c>
      <c r="H513" s="188"/>
      <c r="I513" s="189" t="str">
        <f t="shared" si="173"/>
        <v/>
      </c>
      <c r="J513" s="189" t="str">
        <f t="shared" si="174"/>
        <v/>
      </c>
      <c r="K513" s="190" t="str">
        <f t="shared" si="175"/>
        <v/>
      </c>
      <c r="L513" s="190" t="str">
        <f t="shared" si="176"/>
        <v/>
      </c>
      <c r="M513" s="214"/>
      <c r="N513" s="214"/>
      <c r="O513" s="189" t="str">
        <f t="shared" si="177"/>
        <v/>
      </c>
      <c r="P513" s="191" t="str">
        <f t="shared" si="164"/>
        <v/>
      </c>
      <c r="Q513" s="192" t="str">
        <f t="shared" si="178"/>
        <v/>
      </c>
      <c r="R513" s="191" t="str">
        <f t="shared" si="165"/>
        <v/>
      </c>
      <c r="S513" s="193" t="str">
        <f t="shared" si="179"/>
        <v/>
      </c>
      <c r="T513" s="194" t="str">
        <f t="shared" si="166"/>
        <v/>
      </c>
      <c r="U513" s="192" t="str">
        <f t="shared" si="180"/>
        <v/>
      </c>
      <c r="V513" s="195" t="str">
        <f t="shared" si="167"/>
        <v/>
      </c>
      <c r="W513" s="195" t="str">
        <f t="shared" si="168"/>
        <v/>
      </c>
      <c r="X513" s="196" t="str">
        <f t="shared" si="181"/>
        <v/>
      </c>
      <c r="Y513" s="191" t="str">
        <f t="shared" si="183"/>
        <v/>
      </c>
      <c r="Z513" s="197" t="str">
        <f t="shared" si="169"/>
        <v/>
      </c>
      <c r="AA513" s="197" t="str">
        <f t="shared" si="170"/>
        <v/>
      </c>
      <c r="AB513" s="213"/>
      <c r="AC513" s="204"/>
    </row>
    <row r="514" spans="1:29" ht="11.4">
      <c r="A514" s="211" t="str">
        <f t="shared" si="182"/>
        <v/>
      </c>
      <c r="B514" s="211"/>
      <c r="C514" s="185"/>
      <c r="D514" s="186" t="str">
        <f t="shared" si="171"/>
        <v/>
      </c>
      <c r="E514" s="186" t="str">
        <f>IF(OR(C514="",C514=Data!$B$3),"",IF(C514=Data!$B$4,"L","S"))</f>
        <v/>
      </c>
      <c r="F514" s="186" t="str">
        <f t="shared" si="172"/>
        <v/>
      </c>
      <c r="G514" s="187" t="str">
        <f t="shared" si="163"/>
        <v/>
      </c>
      <c r="H514" s="188"/>
      <c r="I514" s="189" t="str">
        <f t="shared" si="173"/>
        <v/>
      </c>
      <c r="J514" s="189" t="str">
        <f t="shared" si="174"/>
        <v/>
      </c>
      <c r="K514" s="190" t="str">
        <f t="shared" si="175"/>
        <v/>
      </c>
      <c r="L514" s="190" t="str">
        <f t="shared" si="176"/>
        <v/>
      </c>
      <c r="M514" s="214"/>
      <c r="N514" s="214"/>
      <c r="O514" s="189" t="str">
        <f t="shared" si="177"/>
        <v/>
      </c>
      <c r="P514" s="191" t="str">
        <f t="shared" si="164"/>
        <v/>
      </c>
      <c r="Q514" s="192" t="str">
        <f t="shared" si="178"/>
        <v/>
      </c>
      <c r="R514" s="191" t="str">
        <f t="shared" si="165"/>
        <v/>
      </c>
      <c r="S514" s="193" t="str">
        <f t="shared" si="179"/>
        <v/>
      </c>
      <c r="T514" s="194" t="str">
        <f t="shared" si="166"/>
        <v/>
      </c>
      <c r="U514" s="192" t="str">
        <f t="shared" si="180"/>
        <v/>
      </c>
      <c r="V514" s="195" t="str">
        <f t="shared" si="167"/>
        <v/>
      </c>
      <c r="W514" s="195" t="str">
        <f t="shared" si="168"/>
        <v/>
      </c>
      <c r="X514" s="196" t="str">
        <f t="shared" si="181"/>
        <v/>
      </c>
      <c r="Y514" s="191" t="str">
        <f t="shared" si="183"/>
        <v/>
      </c>
      <c r="Z514" s="197" t="str">
        <f t="shared" si="169"/>
        <v/>
      </c>
      <c r="AA514" s="197" t="str">
        <f t="shared" si="170"/>
        <v/>
      </c>
      <c r="AB514" s="213"/>
      <c r="AC514" s="204"/>
    </row>
    <row r="515" spans="1:29" ht="11.4">
      <c r="A515" s="211" t="str">
        <f t="shared" si="182"/>
        <v/>
      </c>
      <c r="B515" s="211"/>
      <c r="C515" s="185"/>
      <c r="D515" s="186" t="str">
        <f t="shared" si="171"/>
        <v/>
      </c>
      <c r="E515" s="186" t="str">
        <f>IF(OR(C515="",C515=Data!$B$3),"",IF(C515=Data!$B$4,"L","S"))</f>
        <v/>
      </c>
      <c r="F515" s="186" t="str">
        <f t="shared" si="172"/>
        <v/>
      </c>
      <c r="G515" s="187" t="str">
        <f t="shared" si="163"/>
        <v/>
      </c>
      <c r="H515" s="188"/>
      <c r="I515" s="189" t="str">
        <f t="shared" si="173"/>
        <v/>
      </c>
      <c r="J515" s="189" t="str">
        <f t="shared" si="174"/>
        <v/>
      </c>
      <c r="K515" s="190" t="str">
        <f t="shared" si="175"/>
        <v/>
      </c>
      <c r="L515" s="190" t="str">
        <f t="shared" si="176"/>
        <v/>
      </c>
      <c r="M515" s="214"/>
      <c r="N515" s="214"/>
      <c r="O515" s="189" t="str">
        <f t="shared" si="177"/>
        <v/>
      </c>
      <c r="P515" s="191" t="str">
        <f t="shared" si="164"/>
        <v/>
      </c>
      <c r="Q515" s="192" t="str">
        <f t="shared" si="178"/>
        <v/>
      </c>
      <c r="R515" s="191" t="str">
        <f t="shared" si="165"/>
        <v/>
      </c>
      <c r="S515" s="193" t="str">
        <f t="shared" si="179"/>
        <v/>
      </c>
      <c r="T515" s="194" t="str">
        <f t="shared" si="166"/>
        <v/>
      </c>
      <c r="U515" s="192" t="str">
        <f t="shared" si="180"/>
        <v/>
      </c>
      <c r="V515" s="195" t="str">
        <f t="shared" si="167"/>
        <v/>
      </c>
      <c r="W515" s="195" t="str">
        <f t="shared" si="168"/>
        <v/>
      </c>
      <c r="X515" s="196" t="str">
        <f t="shared" si="181"/>
        <v/>
      </c>
      <c r="Y515" s="191" t="str">
        <f t="shared" si="183"/>
        <v/>
      </c>
      <c r="Z515" s="197" t="str">
        <f t="shared" si="169"/>
        <v/>
      </c>
      <c r="AA515" s="197" t="str">
        <f t="shared" si="170"/>
        <v/>
      </c>
      <c r="AB515" s="213"/>
      <c r="AC515" s="204"/>
    </row>
    <row r="516" spans="1:29" ht="11.4">
      <c r="A516" s="211" t="str">
        <f t="shared" si="182"/>
        <v/>
      </c>
      <c r="B516" s="211"/>
      <c r="C516" s="185"/>
      <c r="D516" s="186" t="str">
        <f t="shared" si="171"/>
        <v/>
      </c>
      <c r="E516" s="186" t="str">
        <f>IF(OR(C516="",C516=Data!$B$3),"",IF(C516=Data!$B$4,"L","S"))</f>
        <v/>
      </c>
      <c r="F516" s="186" t="str">
        <f t="shared" si="172"/>
        <v/>
      </c>
      <c r="G516" s="187" t="str">
        <f t="shared" si="163"/>
        <v/>
      </c>
      <c r="H516" s="188"/>
      <c r="I516" s="189" t="str">
        <f t="shared" si="173"/>
        <v/>
      </c>
      <c r="J516" s="189" t="str">
        <f t="shared" si="174"/>
        <v/>
      </c>
      <c r="K516" s="190" t="str">
        <f t="shared" si="175"/>
        <v/>
      </c>
      <c r="L516" s="190" t="str">
        <f t="shared" si="176"/>
        <v/>
      </c>
      <c r="M516" s="214"/>
      <c r="N516" s="214"/>
      <c r="O516" s="189" t="str">
        <f t="shared" si="177"/>
        <v/>
      </c>
      <c r="P516" s="191" t="str">
        <f t="shared" si="164"/>
        <v/>
      </c>
      <c r="Q516" s="192" t="str">
        <f t="shared" si="178"/>
        <v/>
      </c>
      <c r="R516" s="191" t="str">
        <f t="shared" si="165"/>
        <v/>
      </c>
      <c r="S516" s="193" t="str">
        <f t="shared" si="179"/>
        <v/>
      </c>
      <c r="T516" s="194" t="str">
        <f t="shared" si="166"/>
        <v/>
      </c>
      <c r="U516" s="192" t="str">
        <f t="shared" si="180"/>
        <v/>
      </c>
      <c r="V516" s="195" t="str">
        <f t="shared" si="167"/>
        <v/>
      </c>
      <c r="W516" s="195" t="str">
        <f t="shared" si="168"/>
        <v/>
      </c>
      <c r="X516" s="196" t="str">
        <f t="shared" si="181"/>
        <v/>
      </c>
      <c r="Y516" s="191" t="str">
        <f t="shared" si="183"/>
        <v/>
      </c>
      <c r="Z516" s="197" t="str">
        <f t="shared" si="169"/>
        <v/>
      </c>
      <c r="AA516" s="197" t="str">
        <f t="shared" si="170"/>
        <v/>
      </c>
      <c r="AB516" s="213"/>
      <c r="AC516" s="204"/>
    </row>
    <row r="517" spans="1:29" ht="11.4">
      <c r="A517" s="211" t="str">
        <f t="shared" si="182"/>
        <v/>
      </c>
      <c r="B517" s="211"/>
      <c r="C517" s="185"/>
      <c r="D517" s="186" t="str">
        <f t="shared" si="171"/>
        <v/>
      </c>
      <c r="E517" s="186" t="str">
        <f>IF(OR(C517="",C517=Data!$B$3),"",IF(C517=Data!$B$4,"L","S"))</f>
        <v/>
      </c>
      <c r="F517" s="186" t="str">
        <f t="shared" si="172"/>
        <v/>
      </c>
      <c r="G517" s="187" t="str">
        <f t="shared" si="163"/>
        <v/>
      </c>
      <c r="H517" s="188"/>
      <c r="I517" s="189" t="str">
        <f t="shared" si="173"/>
        <v/>
      </c>
      <c r="J517" s="189" t="str">
        <f t="shared" si="174"/>
        <v/>
      </c>
      <c r="K517" s="190" t="str">
        <f t="shared" si="175"/>
        <v/>
      </c>
      <c r="L517" s="190" t="str">
        <f t="shared" si="176"/>
        <v/>
      </c>
      <c r="M517" s="214"/>
      <c r="N517" s="214"/>
      <c r="O517" s="189" t="str">
        <f t="shared" si="177"/>
        <v/>
      </c>
      <c r="P517" s="191" t="str">
        <f t="shared" si="164"/>
        <v/>
      </c>
      <c r="Q517" s="192" t="str">
        <f t="shared" si="178"/>
        <v/>
      </c>
      <c r="R517" s="191" t="str">
        <f t="shared" si="165"/>
        <v/>
      </c>
      <c r="S517" s="193" t="str">
        <f t="shared" si="179"/>
        <v/>
      </c>
      <c r="T517" s="194" t="str">
        <f t="shared" si="166"/>
        <v/>
      </c>
      <c r="U517" s="192" t="str">
        <f t="shared" si="180"/>
        <v/>
      </c>
      <c r="V517" s="195" t="str">
        <f t="shared" si="167"/>
        <v/>
      </c>
      <c r="W517" s="195" t="str">
        <f t="shared" si="168"/>
        <v/>
      </c>
      <c r="X517" s="196" t="str">
        <f t="shared" si="181"/>
        <v/>
      </c>
      <c r="Y517" s="191" t="str">
        <f t="shared" si="183"/>
        <v/>
      </c>
      <c r="Z517" s="197" t="str">
        <f t="shared" si="169"/>
        <v/>
      </c>
      <c r="AA517" s="197" t="str">
        <f t="shared" si="170"/>
        <v/>
      </c>
      <c r="AB517" s="213"/>
      <c r="AC517" s="204"/>
    </row>
    <row r="518" spans="1:29" ht="11.4">
      <c r="A518" s="211" t="str">
        <f t="shared" si="182"/>
        <v/>
      </c>
      <c r="B518" s="211"/>
      <c r="C518" s="185"/>
      <c r="D518" s="186" t="str">
        <f t="shared" si="171"/>
        <v/>
      </c>
      <c r="E518" s="186" t="str">
        <f>IF(OR(C518="",C518=Data!$B$3),"",IF(C518=Data!$B$4,"L","S"))</f>
        <v/>
      </c>
      <c r="F518" s="186" t="str">
        <f t="shared" si="172"/>
        <v/>
      </c>
      <c r="G518" s="187" t="str">
        <f t="shared" si="163"/>
        <v/>
      </c>
      <c r="H518" s="188"/>
      <c r="I518" s="189" t="str">
        <f t="shared" si="173"/>
        <v/>
      </c>
      <c r="J518" s="189" t="str">
        <f t="shared" si="174"/>
        <v/>
      </c>
      <c r="K518" s="190" t="str">
        <f t="shared" si="175"/>
        <v/>
      </c>
      <c r="L518" s="190" t="str">
        <f t="shared" si="176"/>
        <v/>
      </c>
      <c r="M518" s="214"/>
      <c r="N518" s="214"/>
      <c r="O518" s="189" t="str">
        <f t="shared" si="177"/>
        <v/>
      </c>
      <c r="P518" s="191" t="str">
        <f t="shared" si="164"/>
        <v/>
      </c>
      <c r="Q518" s="192" t="str">
        <f t="shared" si="178"/>
        <v/>
      </c>
      <c r="R518" s="191" t="str">
        <f t="shared" si="165"/>
        <v/>
      </c>
      <c r="S518" s="193" t="str">
        <f t="shared" si="179"/>
        <v/>
      </c>
      <c r="T518" s="194" t="str">
        <f t="shared" si="166"/>
        <v/>
      </c>
      <c r="U518" s="192" t="str">
        <f t="shared" si="180"/>
        <v/>
      </c>
      <c r="V518" s="195" t="str">
        <f t="shared" si="167"/>
        <v/>
      </c>
      <c r="W518" s="195" t="str">
        <f t="shared" si="168"/>
        <v/>
      </c>
      <c r="X518" s="196" t="str">
        <f t="shared" si="181"/>
        <v/>
      </c>
      <c r="Y518" s="191" t="str">
        <f t="shared" si="183"/>
        <v/>
      </c>
      <c r="Z518" s="197" t="str">
        <f t="shared" si="169"/>
        <v/>
      </c>
      <c r="AA518" s="197" t="str">
        <f t="shared" si="170"/>
        <v/>
      </c>
      <c r="AB518" s="213"/>
      <c r="AC518" s="204"/>
    </row>
    <row r="519" spans="1:29" ht="11.4">
      <c r="A519" s="211" t="str">
        <f t="shared" si="182"/>
        <v/>
      </c>
      <c r="B519" s="211"/>
      <c r="C519" s="185"/>
      <c r="D519" s="186" t="str">
        <f t="shared" si="171"/>
        <v/>
      </c>
      <c r="E519" s="186" t="str">
        <f>IF(OR(C519="",C519=Data!$B$3),"",IF(C519=Data!$B$4,"L","S"))</f>
        <v/>
      </c>
      <c r="F519" s="186" t="str">
        <f t="shared" si="172"/>
        <v/>
      </c>
      <c r="G519" s="187" t="str">
        <f t="shared" si="163"/>
        <v/>
      </c>
      <c r="H519" s="188"/>
      <c r="I519" s="189" t="str">
        <f t="shared" si="173"/>
        <v/>
      </c>
      <c r="J519" s="189" t="str">
        <f t="shared" si="174"/>
        <v/>
      </c>
      <c r="K519" s="190" t="str">
        <f t="shared" si="175"/>
        <v/>
      </c>
      <c r="L519" s="190" t="str">
        <f t="shared" si="176"/>
        <v/>
      </c>
      <c r="M519" s="214"/>
      <c r="N519" s="214"/>
      <c r="O519" s="189" t="str">
        <f t="shared" si="177"/>
        <v/>
      </c>
      <c r="P519" s="191" t="str">
        <f t="shared" si="164"/>
        <v/>
      </c>
      <c r="Q519" s="192" t="str">
        <f t="shared" si="178"/>
        <v/>
      </c>
      <c r="R519" s="191" t="str">
        <f t="shared" si="165"/>
        <v/>
      </c>
      <c r="S519" s="193" t="str">
        <f t="shared" si="179"/>
        <v/>
      </c>
      <c r="T519" s="194" t="str">
        <f t="shared" si="166"/>
        <v/>
      </c>
      <c r="U519" s="192" t="str">
        <f t="shared" si="180"/>
        <v/>
      </c>
      <c r="V519" s="195" t="str">
        <f t="shared" si="167"/>
        <v/>
      </c>
      <c r="W519" s="195" t="str">
        <f t="shared" si="168"/>
        <v/>
      </c>
      <c r="X519" s="196" t="str">
        <f t="shared" si="181"/>
        <v/>
      </c>
      <c r="Y519" s="191" t="str">
        <f t="shared" si="183"/>
        <v/>
      </c>
      <c r="Z519" s="197" t="str">
        <f t="shared" si="169"/>
        <v/>
      </c>
      <c r="AA519" s="197" t="str">
        <f t="shared" si="170"/>
        <v/>
      </c>
      <c r="AB519" s="213"/>
      <c r="AC519" s="204"/>
    </row>
    <row r="520" spans="1:29" ht="11.4">
      <c r="A520" s="211" t="str">
        <f t="shared" si="182"/>
        <v/>
      </c>
      <c r="B520" s="211"/>
      <c r="C520" s="185"/>
      <c r="D520" s="186" t="str">
        <f t="shared" si="171"/>
        <v/>
      </c>
      <c r="E520" s="186" t="str">
        <f>IF(OR(C520="",C520=Data!$B$3),"",IF(C520=Data!$B$4,"L","S"))</f>
        <v/>
      </c>
      <c r="F520" s="186" t="str">
        <f t="shared" si="172"/>
        <v/>
      </c>
      <c r="G520" s="187" t="str">
        <f t="shared" si="163"/>
        <v/>
      </c>
      <c r="H520" s="188"/>
      <c r="I520" s="189" t="str">
        <f t="shared" si="173"/>
        <v/>
      </c>
      <c r="J520" s="189" t="str">
        <f t="shared" si="174"/>
        <v/>
      </c>
      <c r="K520" s="190" t="str">
        <f t="shared" si="175"/>
        <v/>
      </c>
      <c r="L520" s="190" t="str">
        <f t="shared" si="176"/>
        <v/>
      </c>
      <c r="M520" s="214"/>
      <c r="N520" s="214"/>
      <c r="O520" s="189" t="str">
        <f t="shared" si="177"/>
        <v/>
      </c>
      <c r="P520" s="191" t="str">
        <f t="shared" si="164"/>
        <v/>
      </c>
      <c r="Q520" s="192" t="str">
        <f t="shared" si="178"/>
        <v/>
      </c>
      <c r="R520" s="191" t="str">
        <f t="shared" si="165"/>
        <v/>
      </c>
      <c r="S520" s="193" t="str">
        <f t="shared" si="179"/>
        <v/>
      </c>
      <c r="T520" s="194" t="str">
        <f t="shared" si="166"/>
        <v/>
      </c>
      <c r="U520" s="192" t="str">
        <f t="shared" si="180"/>
        <v/>
      </c>
      <c r="V520" s="195" t="str">
        <f t="shared" si="167"/>
        <v/>
      </c>
      <c r="W520" s="195" t="str">
        <f t="shared" si="168"/>
        <v/>
      </c>
      <c r="X520" s="196" t="str">
        <f t="shared" si="181"/>
        <v/>
      </c>
      <c r="Y520" s="191" t="str">
        <f t="shared" si="183"/>
        <v/>
      </c>
      <c r="Z520" s="197" t="str">
        <f t="shared" si="169"/>
        <v/>
      </c>
      <c r="AA520" s="197" t="str">
        <f t="shared" si="170"/>
        <v/>
      </c>
      <c r="AB520" s="213"/>
      <c r="AC520" s="204"/>
    </row>
    <row r="521" spans="1:29" ht="11.4">
      <c r="A521" s="211" t="str">
        <f t="shared" si="182"/>
        <v/>
      </c>
      <c r="B521" s="211"/>
      <c r="C521" s="185"/>
      <c r="D521" s="186" t="str">
        <f t="shared" si="171"/>
        <v/>
      </c>
      <c r="E521" s="186" t="str">
        <f>IF(OR(C521="",C521=Data!$B$3),"",IF(C521=Data!$B$4,"L","S"))</f>
        <v/>
      </c>
      <c r="F521" s="186" t="str">
        <f t="shared" si="172"/>
        <v/>
      </c>
      <c r="G521" s="187" t="str">
        <f t="shared" si="163"/>
        <v/>
      </c>
      <c r="H521" s="188"/>
      <c r="I521" s="189" t="str">
        <f t="shared" si="173"/>
        <v/>
      </c>
      <c r="J521" s="189" t="str">
        <f t="shared" si="174"/>
        <v/>
      </c>
      <c r="K521" s="190" t="str">
        <f t="shared" si="175"/>
        <v/>
      </c>
      <c r="L521" s="190" t="str">
        <f t="shared" si="176"/>
        <v/>
      </c>
      <c r="M521" s="214"/>
      <c r="N521" s="214"/>
      <c r="O521" s="189" t="str">
        <f t="shared" si="177"/>
        <v/>
      </c>
      <c r="P521" s="191" t="str">
        <f t="shared" si="164"/>
        <v/>
      </c>
      <c r="Q521" s="192" t="str">
        <f t="shared" si="178"/>
        <v/>
      </c>
      <c r="R521" s="191" t="str">
        <f t="shared" si="165"/>
        <v/>
      </c>
      <c r="S521" s="193" t="str">
        <f t="shared" si="179"/>
        <v/>
      </c>
      <c r="T521" s="194" t="str">
        <f t="shared" si="166"/>
        <v/>
      </c>
      <c r="U521" s="192" t="str">
        <f t="shared" si="180"/>
        <v/>
      </c>
      <c r="V521" s="195" t="str">
        <f t="shared" si="167"/>
        <v/>
      </c>
      <c r="W521" s="195" t="str">
        <f t="shared" si="168"/>
        <v/>
      </c>
      <c r="X521" s="196" t="str">
        <f t="shared" si="181"/>
        <v/>
      </c>
      <c r="Y521" s="191" t="str">
        <f t="shared" si="183"/>
        <v/>
      </c>
      <c r="Z521" s="197" t="str">
        <f t="shared" si="169"/>
        <v/>
      </c>
      <c r="AA521" s="197" t="str">
        <f t="shared" si="170"/>
        <v/>
      </c>
      <c r="AB521" s="213"/>
      <c r="AC521" s="204"/>
    </row>
    <row r="522" spans="1:29" ht="11.4">
      <c r="A522" s="211" t="str">
        <f t="shared" si="182"/>
        <v/>
      </c>
      <c r="B522" s="211"/>
      <c r="C522" s="185"/>
      <c r="D522" s="186" t="str">
        <f t="shared" si="171"/>
        <v/>
      </c>
      <c r="E522" s="186" t="str">
        <f>IF(OR(C522="",C522=Data!$B$3),"",IF(C522=Data!$B$4,"L","S"))</f>
        <v/>
      </c>
      <c r="F522" s="186" t="str">
        <f t="shared" si="172"/>
        <v/>
      </c>
      <c r="G522" s="187" t="str">
        <f t="shared" si="163"/>
        <v/>
      </c>
      <c r="H522" s="188"/>
      <c r="I522" s="189" t="str">
        <f t="shared" si="173"/>
        <v/>
      </c>
      <c r="J522" s="189" t="str">
        <f t="shared" si="174"/>
        <v/>
      </c>
      <c r="K522" s="190" t="str">
        <f t="shared" si="175"/>
        <v/>
      </c>
      <c r="L522" s="190" t="str">
        <f t="shared" si="176"/>
        <v/>
      </c>
      <c r="M522" s="214"/>
      <c r="N522" s="214"/>
      <c r="O522" s="189" t="str">
        <f t="shared" si="177"/>
        <v/>
      </c>
      <c r="P522" s="191" t="str">
        <f t="shared" si="164"/>
        <v/>
      </c>
      <c r="Q522" s="192" t="str">
        <f t="shared" si="178"/>
        <v/>
      </c>
      <c r="R522" s="191" t="str">
        <f t="shared" si="165"/>
        <v/>
      </c>
      <c r="S522" s="193" t="str">
        <f t="shared" si="179"/>
        <v/>
      </c>
      <c r="T522" s="194" t="str">
        <f t="shared" si="166"/>
        <v/>
      </c>
      <c r="U522" s="192" t="str">
        <f t="shared" si="180"/>
        <v/>
      </c>
      <c r="V522" s="195" t="str">
        <f t="shared" si="167"/>
        <v/>
      </c>
      <c r="W522" s="195" t="str">
        <f t="shared" si="168"/>
        <v/>
      </c>
      <c r="X522" s="196" t="str">
        <f t="shared" si="181"/>
        <v/>
      </c>
      <c r="Y522" s="191" t="str">
        <f t="shared" si="183"/>
        <v/>
      </c>
      <c r="Z522" s="197" t="str">
        <f t="shared" si="169"/>
        <v/>
      </c>
      <c r="AA522" s="197" t="str">
        <f t="shared" si="170"/>
        <v/>
      </c>
      <c r="AB522" s="213"/>
      <c r="AC522" s="204"/>
    </row>
    <row r="523" spans="1:29" ht="11.4">
      <c r="A523" s="211" t="str">
        <f t="shared" si="182"/>
        <v/>
      </c>
      <c r="B523" s="211"/>
      <c r="C523" s="185"/>
      <c r="D523" s="186" t="str">
        <f t="shared" si="171"/>
        <v/>
      </c>
      <c r="E523" s="186" t="str">
        <f>IF(OR(C523="",C523=Data!$B$3),"",IF(C523=Data!$B$4,"L","S"))</f>
        <v/>
      </c>
      <c r="F523" s="186" t="str">
        <f t="shared" si="172"/>
        <v/>
      </c>
      <c r="G523" s="187" t="str">
        <f t="shared" si="163"/>
        <v/>
      </c>
      <c r="H523" s="188"/>
      <c r="I523" s="189" t="str">
        <f t="shared" si="173"/>
        <v/>
      </c>
      <c r="J523" s="189" t="str">
        <f t="shared" si="174"/>
        <v/>
      </c>
      <c r="K523" s="190" t="str">
        <f t="shared" si="175"/>
        <v/>
      </c>
      <c r="L523" s="190" t="str">
        <f t="shared" si="176"/>
        <v/>
      </c>
      <c r="M523" s="214"/>
      <c r="N523" s="214"/>
      <c r="O523" s="189" t="str">
        <f t="shared" si="177"/>
        <v/>
      </c>
      <c r="P523" s="191" t="str">
        <f t="shared" si="164"/>
        <v/>
      </c>
      <c r="Q523" s="192" t="str">
        <f t="shared" si="178"/>
        <v/>
      </c>
      <c r="R523" s="191" t="str">
        <f t="shared" si="165"/>
        <v/>
      </c>
      <c r="S523" s="193" t="str">
        <f t="shared" si="179"/>
        <v/>
      </c>
      <c r="T523" s="194" t="str">
        <f t="shared" si="166"/>
        <v/>
      </c>
      <c r="U523" s="192" t="str">
        <f t="shared" si="180"/>
        <v/>
      </c>
      <c r="V523" s="195" t="str">
        <f t="shared" si="167"/>
        <v/>
      </c>
      <c r="W523" s="195" t="str">
        <f t="shared" si="168"/>
        <v/>
      </c>
      <c r="X523" s="196" t="str">
        <f t="shared" si="181"/>
        <v/>
      </c>
      <c r="Y523" s="191" t="str">
        <f t="shared" si="183"/>
        <v/>
      </c>
      <c r="Z523" s="197" t="str">
        <f t="shared" si="169"/>
        <v/>
      </c>
      <c r="AA523" s="197" t="str">
        <f t="shared" si="170"/>
        <v/>
      </c>
      <c r="AB523" s="213"/>
      <c r="AC523" s="204"/>
    </row>
    <row r="524" spans="1:29" ht="11.4">
      <c r="A524" s="211" t="str">
        <f t="shared" si="182"/>
        <v/>
      </c>
      <c r="B524" s="211"/>
      <c r="C524" s="185"/>
      <c r="D524" s="186" t="str">
        <f t="shared" si="171"/>
        <v/>
      </c>
      <c r="E524" s="186" t="str">
        <f>IF(OR(C524="",C524=Data!$B$3),"",IF(C524=Data!$B$4,"L","S"))</f>
        <v/>
      </c>
      <c r="F524" s="186" t="str">
        <f t="shared" si="172"/>
        <v/>
      </c>
      <c r="G524" s="187" t="str">
        <f t="shared" ref="G524:G587" si="184">IF(A524="","",$D$3)</f>
        <v/>
      </c>
      <c r="H524" s="188"/>
      <c r="I524" s="189" t="str">
        <f t="shared" si="173"/>
        <v/>
      </c>
      <c r="J524" s="189" t="str">
        <f t="shared" si="174"/>
        <v/>
      </c>
      <c r="K524" s="190" t="str">
        <f t="shared" si="175"/>
        <v/>
      </c>
      <c r="L524" s="190" t="str">
        <f t="shared" si="176"/>
        <v/>
      </c>
      <c r="M524" s="214"/>
      <c r="N524" s="214"/>
      <c r="O524" s="189" t="str">
        <f t="shared" si="177"/>
        <v/>
      </c>
      <c r="P524" s="191" t="str">
        <f t="shared" ref="P524:P587" si="185">IF(O524="","",IF(L524*F524*G524=0,0,L524*F524*G524))</f>
        <v/>
      </c>
      <c r="Q524" s="192" t="str">
        <f t="shared" si="178"/>
        <v/>
      </c>
      <c r="R524" s="191" t="str">
        <f t="shared" ref="R524:R587" si="186">IF(O524&lt;&gt;"",IF(K524*F524*G524=0,"",K524*F524*G524),"")</f>
        <v/>
      </c>
      <c r="S524" s="193" t="str">
        <f t="shared" si="179"/>
        <v/>
      </c>
      <c r="T524" s="194" t="str">
        <f t="shared" ref="T524:T587" si="187">IF(X524="","",X524*F524*G524)</f>
        <v/>
      </c>
      <c r="U524" s="192" t="str">
        <f t="shared" si="180"/>
        <v/>
      </c>
      <c r="V524" s="195" t="str">
        <f t="shared" ref="V524:V587" si="188">IF(O524="","",IF(AND(O524&gt;I524,E524="L"),1, IF(AND(I524&gt;O524,E524="S"),1,0)))</f>
        <v/>
      </c>
      <c r="W524" s="195" t="str">
        <f t="shared" ref="W524:W587" si="189">IF(O524="","",IF(AND(O524&lt;I524,E524="L"),1, IF(AND(I524&lt;O524,E524="S"),1,0)))</f>
        <v/>
      </c>
      <c r="X524" s="196" t="str">
        <f t="shared" si="181"/>
        <v/>
      </c>
      <c r="Y524" s="191" t="str">
        <f t="shared" si="183"/>
        <v/>
      </c>
      <c r="Z524" s="197" t="str">
        <f t="shared" ref="Z524:Z587" si="190">IF(M524="","",MONTH(M524))</f>
        <v/>
      </c>
      <c r="AA524" s="197" t="str">
        <f t="shared" ref="AA524:AA587" si="191">IF(M524="","",YEAR(M524))</f>
        <v/>
      </c>
      <c r="AB524" s="213"/>
      <c r="AC524" s="204"/>
    </row>
    <row r="525" spans="1:29" ht="11.4">
      <c r="A525" s="211" t="str">
        <f t="shared" si="182"/>
        <v/>
      </c>
      <c r="B525" s="211"/>
      <c r="C525" s="185"/>
      <c r="D525" s="186" t="str">
        <f t="shared" ref="D525:D588" si="192">IF(A525&lt;&gt;"","GBPUSD","")</f>
        <v/>
      </c>
      <c r="E525" s="186" t="str">
        <f>IF(OR(C525="",C525=Data!$B$3),"",IF(C525=Data!$B$4,"L","S"))</f>
        <v/>
      </c>
      <c r="F525" s="186" t="str">
        <f t="shared" ref="F525:F588" si="193">IF(A525&lt;&gt;"",$D$2,"")</f>
        <v/>
      </c>
      <c r="G525" s="187" t="str">
        <f t="shared" si="184"/>
        <v/>
      </c>
      <c r="H525" s="188"/>
      <c r="I525" s="189" t="str">
        <f t="shared" ref="I525:I588" si="194">IF(H525="","",IF(E525="L",H525+$D$4*0.0001,H525-$D$4*0.0001))</f>
        <v/>
      </c>
      <c r="J525" s="189" t="str">
        <f t="shared" ref="J525:J588" si="195">IF(AND(H525&lt;&gt;"",I525&lt;&gt;""),IF(E525="L",I525+(I525-H525)*3,I525-(H525-I525)*3),"")</f>
        <v/>
      </c>
      <c r="K525" s="190" t="str">
        <f t="shared" ref="K525:K588" si="196">IF(AND(E525&lt;&gt;"",AND(I525&lt;&gt;"",J525&lt;&gt;"")),IF(E525="L",(J525-I525)*IF(I525&gt;10,IF(SEARCH("JPY",D525),10,100),10000),(I525-J525)*IF(I525&gt;10,IF(SEARCH("JPY",D525),10,100),10000)),"")</f>
        <v/>
      </c>
      <c r="L525" s="190" t="str">
        <f t="shared" ref="L525:L588" si="197">IF(AND(E525&lt;&gt;"",AND(H525&lt;&gt;"",I525&lt;&gt;"")),IF(E525="L",(I525-H525)*IF(I525&gt;10,IF(SEARCH("JPY",D525),10,100),10000),(H525-I525)*IF(I525&gt;10,IF(SEARCH("JPY",D525),10,100),10000)),"")</f>
        <v/>
      </c>
      <c r="M525" s="214"/>
      <c r="N525" s="214"/>
      <c r="O525" s="189" t="str">
        <f t="shared" ref="O525:O588" si="198">IF(H525&lt;&gt;"",H525, "")</f>
        <v/>
      </c>
      <c r="P525" s="191" t="str">
        <f t="shared" si="185"/>
        <v/>
      </c>
      <c r="Q525" s="192" t="str">
        <f t="shared" ref="Q525:Q588" si="199">IF(P525="","",IF(P525=0,0,P525/$I$4))</f>
        <v/>
      </c>
      <c r="R525" s="191" t="str">
        <f t="shared" si="186"/>
        <v/>
      </c>
      <c r="S525" s="193" t="str">
        <f t="shared" ref="S525:S588" si="200">IF(P525="","",IF(P525=0,0,R525/P525))</f>
        <v/>
      </c>
      <c r="T525" s="194" t="str">
        <f t="shared" si="187"/>
        <v/>
      </c>
      <c r="U525" s="192" t="str">
        <f t="shared" ref="U525:U588" si="201">IF(T525="","",IF($I$4="","",T525/$I$4))</f>
        <v/>
      </c>
      <c r="V525" s="195" t="str">
        <f t="shared" si="188"/>
        <v/>
      </c>
      <c r="W525" s="195" t="str">
        <f t="shared" si="189"/>
        <v/>
      </c>
      <c r="X525" s="196" t="str">
        <f t="shared" ref="X525:X588" si="202">IF((O525=""),"",IF(E525="L",1,-1)*(O525-I525)*IF(O525&gt;10,IF(SEARCH("JPY",D525),10,100),10000))</f>
        <v/>
      </c>
      <c r="Y525" s="191" t="str">
        <f t="shared" si="183"/>
        <v/>
      </c>
      <c r="Z525" s="197" t="str">
        <f t="shared" si="190"/>
        <v/>
      </c>
      <c r="AA525" s="197" t="str">
        <f t="shared" si="191"/>
        <v/>
      </c>
      <c r="AB525" s="213"/>
      <c r="AC525" s="204"/>
    </row>
    <row r="526" spans="1:29" ht="11.4">
      <c r="A526" s="211" t="str">
        <f t="shared" ref="A526:A589" si="203">IF(C526="","",A525+1)</f>
        <v/>
      </c>
      <c r="B526" s="211"/>
      <c r="C526" s="185"/>
      <c r="D526" s="186" t="str">
        <f t="shared" si="192"/>
        <v/>
      </c>
      <c r="E526" s="186" t="str">
        <f>IF(OR(C526="",C526=Data!$B$3),"",IF(C526=Data!$B$4,"L","S"))</f>
        <v/>
      </c>
      <c r="F526" s="186" t="str">
        <f t="shared" si="193"/>
        <v/>
      </c>
      <c r="G526" s="187" t="str">
        <f t="shared" si="184"/>
        <v/>
      </c>
      <c r="H526" s="188"/>
      <c r="I526" s="189" t="str">
        <f t="shared" si="194"/>
        <v/>
      </c>
      <c r="J526" s="189" t="str">
        <f t="shared" si="195"/>
        <v/>
      </c>
      <c r="K526" s="190" t="str">
        <f t="shared" si="196"/>
        <v/>
      </c>
      <c r="L526" s="190" t="str">
        <f t="shared" si="197"/>
        <v/>
      </c>
      <c r="M526" s="214"/>
      <c r="N526" s="214"/>
      <c r="O526" s="189" t="str">
        <f t="shared" si="198"/>
        <v/>
      </c>
      <c r="P526" s="191" t="str">
        <f t="shared" si="185"/>
        <v/>
      </c>
      <c r="Q526" s="192" t="str">
        <f t="shared" si="199"/>
        <v/>
      </c>
      <c r="R526" s="191" t="str">
        <f t="shared" si="186"/>
        <v/>
      </c>
      <c r="S526" s="193" t="str">
        <f t="shared" si="200"/>
        <v/>
      </c>
      <c r="T526" s="194" t="str">
        <f t="shared" si="187"/>
        <v/>
      </c>
      <c r="U526" s="192" t="str">
        <f t="shared" si="201"/>
        <v/>
      </c>
      <c r="V526" s="195" t="str">
        <f t="shared" si="188"/>
        <v/>
      </c>
      <c r="W526" s="195" t="str">
        <f t="shared" si="189"/>
        <v/>
      </c>
      <c r="X526" s="196" t="str">
        <f t="shared" si="202"/>
        <v/>
      </c>
      <c r="Y526" s="191" t="str">
        <f t="shared" si="183"/>
        <v/>
      </c>
      <c r="Z526" s="197" t="str">
        <f t="shared" si="190"/>
        <v/>
      </c>
      <c r="AA526" s="197" t="str">
        <f t="shared" si="191"/>
        <v/>
      </c>
      <c r="AB526" s="213"/>
      <c r="AC526" s="204"/>
    </row>
    <row r="527" spans="1:29" ht="11.4">
      <c r="A527" s="211" t="str">
        <f t="shared" si="203"/>
        <v/>
      </c>
      <c r="B527" s="211"/>
      <c r="C527" s="185"/>
      <c r="D527" s="186" t="str">
        <f t="shared" si="192"/>
        <v/>
      </c>
      <c r="E527" s="186" t="str">
        <f>IF(OR(C527="",C527=Data!$B$3),"",IF(C527=Data!$B$4,"L","S"))</f>
        <v/>
      </c>
      <c r="F527" s="186" t="str">
        <f t="shared" si="193"/>
        <v/>
      </c>
      <c r="G527" s="187" t="str">
        <f t="shared" si="184"/>
        <v/>
      </c>
      <c r="H527" s="188"/>
      <c r="I527" s="189" t="str">
        <f t="shared" si="194"/>
        <v/>
      </c>
      <c r="J527" s="189" t="str">
        <f t="shared" si="195"/>
        <v/>
      </c>
      <c r="K527" s="190" t="str">
        <f t="shared" si="196"/>
        <v/>
      </c>
      <c r="L527" s="190" t="str">
        <f t="shared" si="197"/>
        <v/>
      </c>
      <c r="M527" s="214"/>
      <c r="N527" s="214"/>
      <c r="O527" s="189" t="str">
        <f t="shared" si="198"/>
        <v/>
      </c>
      <c r="P527" s="191" t="str">
        <f t="shared" si="185"/>
        <v/>
      </c>
      <c r="Q527" s="192" t="str">
        <f t="shared" si="199"/>
        <v/>
      </c>
      <c r="R527" s="191" t="str">
        <f t="shared" si="186"/>
        <v/>
      </c>
      <c r="S527" s="193" t="str">
        <f t="shared" si="200"/>
        <v/>
      </c>
      <c r="T527" s="194" t="str">
        <f t="shared" si="187"/>
        <v/>
      </c>
      <c r="U527" s="192" t="str">
        <f t="shared" si="201"/>
        <v/>
      </c>
      <c r="V527" s="195" t="str">
        <f t="shared" si="188"/>
        <v/>
      </c>
      <c r="W527" s="195" t="str">
        <f t="shared" si="189"/>
        <v/>
      </c>
      <c r="X527" s="196" t="str">
        <f t="shared" si="202"/>
        <v/>
      </c>
      <c r="Y527" s="191" t="str">
        <f t="shared" si="183"/>
        <v/>
      </c>
      <c r="Z527" s="197" t="str">
        <f t="shared" si="190"/>
        <v/>
      </c>
      <c r="AA527" s="197" t="str">
        <f t="shared" si="191"/>
        <v/>
      </c>
      <c r="AB527" s="213"/>
      <c r="AC527" s="204"/>
    </row>
    <row r="528" spans="1:29" ht="11.4">
      <c r="A528" s="211" t="str">
        <f t="shared" si="203"/>
        <v/>
      </c>
      <c r="B528" s="211"/>
      <c r="C528" s="185"/>
      <c r="D528" s="186" t="str">
        <f t="shared" si="192"/>
        <v/>
      </c>
      <c r="E528" s="186" t="str">
        <f>IF(OR(C528="",C528=Data!$B$3),"",IF(C528=Data!$B$4,"L","S"))</f>
        <v/>
      </c>
      <c r="F528" s="186" t="str">
        <f t="shared" si="193"/>
        <v/>
      </c>
      <c r="G528" s="187" t="str">
        <f t="shared" si="184"/>
        <v/>
      </c>
      <c r="H528" s="188"/>
      <c r="I528" s="189" t="str">
        <f t="shared" si="194"/>
        <v/>
      </c>
      <c r="J528" s="189" t="str">
        <f t="shared" si="195"/>
        <v/>
      </c>
      <c r="K528" s="190" t="str">
        <f t="shared" si="196"/>
        <v/>
      </c>
      <c r="L528" s="190" t="str">
        <f t="shared" si="197"/>
        <v/>
      </c>
      <c r="M528" s="214"/>
      <c r="N528" s="214"/>
      <c r="O528" s="189" t="str">
        <f t="shared" si="198"/>
        <v/>
      </c>
      <c r="P528" s="191" t="str">
        <f t="shared" si="185"/>
        <v/>
      </c>
      <c r="Q528" s="192" t="str">
        <f t="shared" si="199"/>
        <v/>
      </c>
      <c r="R528" s="191" t="str">
        <f t="shared" si="186"/>
        <v/>
      </c>
      <c r="S528" s="193" t="str">
        <f t="shared" si="200"/>
        <v/>
      </c>
      <c r="T528" s="194" t="str">
        <f t="shared" si="187"/>
        <v/>
      </c>
      <c r="U528" s="192" t="str">
        <f t="shared" si="201"/>
        <v/>
      </c>
      <c r="V528" s="195" t="str">
        <f t="shared" si="188"/>
        <v/>
      </c>
      <c r="W528" s="195" t="str">
        <f t="shared" si="189"/>
        <v/>
      </c>
      <c r="X528" s="196" t="str">
        <f t="shared" si="202"/>
        <v/>
      </c>
      <c r="Y528" s="191" t="str">
        <f t="shared" si="183"/>
        <v/>
      </c>
      <c r="Z528" s="197" t="str">
        <f t="shared" si="190"/>
        <v/>
      </c>
      <c r="AA528" s="197" t="str">
        <f t="shared" si="191"/>
        <v/>
      </c>
      <c r="AB528" s="213"/>
      <c r="AC528" s="204"/>
    </row>
    <row r="529" spans="1:29" ht="11.4">
      <c r="A529" s="211" t="str">
        <f t="shared" si="203"/>
        <v/>
      </c>
      <c r="B529" s="211"/>
      <c r="C529" s="185"/>
      <c r="D529" s="186" t="str">
        <f t="shared" si="192"/>
        <v/>
      </c>
      <c r="E529" s="186" t="str">
        <f>IF(OR(C529="",C529=Data!$B$3),"",IF(C529=Data!$B$4,"L","S"))</f>
        <v/>
      </c>
      <c r="F529" s="186" t="str">
        <f t="shared" si="193"/>
        <v/>
      </c>
      <c r="G529" s="187" t="str">
        <f t="shared" si="184"/>
        <v/>
      </c>
      <c r="H529" s="188"/>
      <c r="I529" s="189" t="str">
        <f t="shared" si="194"/>
        <v/>
      </c>
      <c r="J529" s="189" t="str">
        <f t="shared" si="195"/>
        <v/>
      </c>
      <c r="K529" s="190" t="str">
        <f t="shared" si="196"/>
        <v/>
      </c>
      <c r="L529" s="190" t="str">
        <f t="shared" si="197"/>
        <v/>
      </c>
      <c r="M529" s="214"/>
      <c r="N529" s="214"/>
      <c r="O529" s="189" t="str">
        <f t="shared" si="198"/>
        <v/>
      </c>
      <c r="P529" s="191" t="str">
        <f t="shared" si="185"/>
        <v/>
      </c>
      <c r="Q529" s="192" t="str">
        <f t="shared" si="199"/>
        <v/>
      </c>
      <c r="R529" s="191" t="str">
        <f t="shared" si="186"/>
        <v/>
      </c>
      <c r="S529" s="193" t="str">
        <f t="shared" si="200"/>
        <v/>
      </c>
      <c r="T529" s="194" t="str">
        <f t="shared" si="187"/>
        <v/>
      </c>
      <c r="U529" s="192" t="str">
        <f t="shared" si="201"/>
        <v/>
      </c>
      <c r="V529" s="195" t="str">
        <f t="shared" si="188"/>
        <v/>
      </c>
      <c r="W529" s="195" t="str">
        <f t="shared" si="189"/>
        <v/>
      </c>
      <c r="X529" s="196" t="str">
        <f t="shared" si="202"/>
        <v/>
      </c>
      <c r="Y529" s="191" t="str">
        <f t="shared" si="183"/>
        <v/>
      </c>
      <c r="Z529" s="197" t="str">
        <f t="shared" si="190"/>
        <v/>
      </c>
      <c r="AA529" s="197" t="str">
        <f t="shared" si="191"/>
        <v/>
      </c>
      <c r="AB529" s="213"/>
      <c r="AC529" s="204"/>
    </row>
    <row r="530" spans="1:29" ht="11.4">
      <c r="A530" s="211" t="str">
        <f t="shared" si="203"/>
        <v/>
      </c>
      <c r="B530" s="211"/>
      <c r="C530" s="185"/>
      <c r="D530" s="186" t="str">
        <f t="shared" si="192"/>
        <v/>
      </c>
      <c r="E530" s="186" t="str">
        <f>IF(OR(C530="",C530=Data!$B$3),"",IF(C530=Data!$B$4,"L","S"))</f>
        <v/>
      </c>
      <c r="F530" s="186" t="str">
        <f t="shared" si="193"/>
        <v/>
      </c>
      <c r="G530" s="187" t="str">
        <f t="shared" si="184"/>
        <v/>
      </c>
      <c r="H530" s="188"/>
      <c r="I530" s="189" t="str">
        <f t="shared" si="194"/>
        <v/>
      </c>
      <c r="J530" s="189" t="str">
        <f t="shared" si="195"/>
        <v/>
      </c>
      <c r="K530" s="190" t="str">
        <f t="shared" si="196"/>
        <v/>
      </c>
      <c r="L530" s="190" t="str">
        <f t="shared" si="197"/>
        <v/>
      </c>
      <c r="M530" s="214"/>
      <c r="N530" s="214"/>
      <c r="O530" s="189" t="str">
        <f t="shared" si="198"/>
        <v/>
      </c>
      <c r="P530" s="191" t="str">
        <f t="shared" si="185"/>
        <v/>
      </c>
      <c r="Q530" s="192" t="str">
        <f t="shared" si="199"/>
        <v/>
      </c>
      <c r="R530" s="191" t="str">
        <f t="shared" si="186"/>
        <v/>
      </c>
      <c r="S530" s="193" t="str">
        <f t="shared" si="200"/>
        <v/>
      </c>
      <c r="T530" s="194" t="str">
        <f t="shared" si="187"/>
        <v/>
      </c>
      <c r="U530" s="192" t="str">
        <f t="shared" si="201"/>
        <v/>
      </c>
      <c r="V530" s="195" t="str">
        <f t="shared" si="188"/>
        <v/>
      </c>
      <c r="W530" s="195" t="str">
        <f t="shared" si="189"/>
        <v/>
      </c>
      <c r="X530" s="196" t="str">
        <f t="shared" si="202"/>
        <v/>
      </c>
      <c r="Y530" s="191" t="str">
        <f t="shared" si="183"/>
        <v/>
      </c>
      <c r="Z530" s="197" t="str">
        <f t="shared" si="190"/>
        <v/>
      </c>
      <c r="AA530" s="197" t="str">
        <f t="shared" si="191"/>
        <v/>
      </c>
      <c r="AB530" s="213"/>
      <c r="AC530" s="204"/>
    </row>
    <row r="531" spans="1:29" ht="11.4">
      <c r="A531" s="211" t="str">
        <f t="shared" si="203"/>
        <v/>
      </c>
      <c r="B531" s="211"/>
      <c r="C531" s="185"/>
      <c r="D531" s="186" t="str">
        <f t="shared" si="192"/>
        <v/>
      </c>
      <c r="E531" s="186" t="str">
        <f>IF(OR(C531="",C531=Data!$B$3),"",IF(C531=Data!$B$4,"L","S"))</f>
        <v/>
      </c>
      <c r="F531" s="186" t="str">
        <f t="shared" si="193"/>
        <v/>
      </c>
      <c r="G531" s="187" t="str">
        <f t="shared" si="184"/>
        <v/>
      </c>
      <c r="H531" s="188"/>
      <c r="I531" s="189" t="str">
        <f t="shared" si="194"/>
        <v/>
      </c>
      <c r="J531" s="189" t="str">
        <f t="shared" si="195"/>
        <v/>
      </c>
      <c r="K531" s="190" t="str">
        <f t="shared" si="196"/>
        <v/>
      </c>
      <c r="L531" s="190" t="str">
        <f t="shared" si="197"/>
        <v/>
      </c>
      <c r="M531" s="214"/>
      <c r="N531" s="214"/>
      <c r="O531" s="189" t="str">
        <f t="shared" si="198"/>
        <v/>
      </c>
      <c r="P531" s="191" t="str">
        <f t="shared" si="185"/>
        <v/>
      </c>
      <c r="Q531" s="192" t="str">
        <f t="shared" si="199"/>
        <v/>
      </c>
      <c r="R531" s="191" t="str">
        <f t="shared" si="186"/>
        <v/>
      </c>
      <c r="S531" s="193" t="str">
        <f t="shared" si="200"/>
        <v/>
      </c>
      <c r="T531" s="194" t="str">
        <f t="shared" si="187"/>
        <v/>
      </c>
      <c r="U531" s="192" t="str">
        <f t="shared" si="201"/>
        <v/>
      </c>
      <c r="V531" s="195" t="str">
        <f t="shared" si="188"/>
        <v/>
      </c>
      <c r="W531" s="195" t="str">
        <f t="shared" si="189"/>
        <v/>
      </c>
      <c r="X531" s="196" t="str">
        <f t="shared" si="202"/>
        <v/>
      </c>
      <c r="Y531" s="191" t="str">
        <f t="shared" si="183"/>
        <v/>
      </c>
      <c r="Z531" s="197" t="str">
        <f t="shared" si="190"/>
        <v/>
      </c>
      <c r="AA531" s="197" t="str">
        <f t="shared" si="191"/>
        <v/>
      </c>
      <c r="AB531" s="213"/>
      <c r="AC531" s="204"/>
    </row>
    <row r="532" spans="1:29" ht="11.4">
      <c r="A532" s="211" t="str">
        <f t="shared" si="203"/>
        <v/>
      </c>
      <c r="B532" s="211"/>
      <c r="C532" s="185"/>
      <c r="D532" s="186" t="str">
        <f t="shared" si="192"/>
        <v/>
      </c>
      <c r="E532" s="186" t="str">
        <f>IF(OR(C532="",C532=Data!$B$3),"",IF(C532=Data!$B$4,"L","S"))</f>
        <v/>
      </c>
      <c r="F532" s="186" t="str">
        <f t="shared" si="193"/>
        <v/>
      </c>
      <c r="G532" s="187" t="str">
        <f t="shared" si="184"/>
        <v/>
      </c>
      <c r="H532" s="188"/>
      <c r="I532" s="189" t="str">
        <f t="shared" si="194"/>
        <v/>
      </c>
      <c r="J532" s="189" t="str">
        <f t="shared" si="195"/>
        <v/>
      </c>
      <c r="K532" s="190" t="str">
        <f t="shared" si="196"/>
        <v/>
      </c>
      <c r="L532" s="190" t="str">
        <f t="shared" si="197"/>
        <v/>
      </c>
      <c r="M532" s="214"/>
      <c r="N532" s="214"/>
      <c r="O532" s="189" t="str">
        <f t="shared" si="198"/>
        <v/>
      </c>
      <c r="P532" s="191" t="str">
        <f t="shared" si="185"/>
        <v/>
      </c>
      <c r="Q532" s="192" t="str">
        <f t="shared" si="199"/>
        <v/>
      </c>
      <c r="R532" s="191" t="str">
        <f t="shared" si="186"/>
        <v/>
      </c>
      <c r="S532" s="193" t="str">
        <f t="shared" si="200"/>
        <v/>
      </c>
      <c r="T532" s="194" t="str">
        <f t="shared" si="187"/>
        <v/>
      </c>
      <c r="U532" s="192" t="str">
        <f t="shared" si="201"/>
        <v/>
      </c>
      <c r="V532" s="195" t="str">
        <f t="shared" si="188"/>
        <v/>
      </c>
      <c r="W532" s="195" t="str">
        <f t="shared" si="189"/>
        <v/>
      </c>
      <c r="X532" s="196" t="str">
        <f t="shared" si="202"/>
        <v/>
      </c>
      <c r="Y532" s="191" t="str">
        <f t="shared" ref="Y532:Y595" si="204">IF(Y531="","",IF(T532="","",Y531+T532))</f>
        <v/>
      </c>
      <c r="Z532" s="197" t="str">
        <f t="shared" si="190"/>
        <v/>
      </c>
      <c r="AA532" s="197" t="str">
        <f t="shared" si="191"/>
        <v/>
      </c>
      <c r="AB532" s="213"/>
      <c r="AC532" s="204"/>
    </row>
    <row r="533" spans="1:29" ht="11.4">
      <c r="A533" s="211" t="str">
        <f t="shared" si="203"/>
        <v/>
      </c>
      <c r="B533" s="211"/>
      <c r="C533" s="185"/>
      <c r="D533" s="186" t="str">
        <f t="shared" si="192"/>
        <v/>
      </c>
      <c r="E533" s="186" t="str">
        <f>IF(OR(C533="",C533=Data!$B$3),"",IF(C533=Data!$B$4,"L","S"))</f>
        <v/>
      </c>
      <c r="F533" s="186" t="str">
        <f t="shared" si="193"/>
        <v/>
      </c>
      <c r="G533" s="187" t="str">
        <f t="shared" si="184"/>
        <v/>
      </c>
      <c r="H533" s="188"/>
      <c r="I533" s="189" t="str">
        <f t="shared" si="194"/>
        <v/>
      </c>
      <c r="J533" s="189" t="str">
        <f t="shared" si="195"/>
        <v/>
      </c>
      <c r="K533" s="190" t="str">
        <f t="shared" si="196"/>
        <v/>
      </c>
      <c r="L533" s="190" t="str">
        <f t="shared" si="197"/>
        <v/>
      </c>
      <c r="M533" s="214"/>
      <c r="N533" s="214"/>
      <c r="O533" s="189" t="str">
        <f t="shared" si="198"/>
        <v/>
      </c>
      <c r="P533" s="191" t="str">
        <f t="shared" si="185"/>
        <v/>
      </c>
      <c r="Q533" s="192" t="str">
        <f t="shared" si="199"/>
        <v/>
      </c>
      <c r="R533" s="191" t="str">
        <f t="shared" si="186"/>
        <v/>
      </c>
      <c r="S533" s="193" t="str">
        <f t="shared" si="200"/>
        <v/>
      </c>
      <c r="T533" s="194" t="str">
        <f t="shared" si="187"/>
        <v/>
      </c>
      <c r="U533" s="192" t="str">
        <f t="shared" si="201"/>
        <v/>
      </c>
      <c r="V533" s="195" t="str">
        <f t="shared" si="188"/>
        <v/>
      </c>
      <c r="W533" s="195" t="str">
        <f t="shared" si="189"/>
        <v/>
      </c>
      <c r="X533" s="196" t="str">
        <f t="shared" si="202"/>
        <v/>
      </c>
      <c r="Y533" s="191" t="str">
        <f t="shared" si="204"/>
        <v/>
      </c>
      <c r="Z533" s="197" t="str">
        <f t="shared" si="190"/>
        <v/>
      </c>
      <c r="AA533" s="197" t="str">
        <f t="shared" si="191"/>
        <v/>
      </c>
      <c r="AB533" s="213"/>
      <c r="AC533" s="204"/>
    </row>
    <row r="534" spans="1:29" ht="11.4">
      <c r="A534" s="211" t="str">
        <f t="shared" si="203"/>
        <v/>
      </c>
      <c r="B534" s="211"/>
      <c r="C534" s="185"/>
      <c r="D534" s="186" t="str">
        <f t="shared" si="192"/>
        <v/>
      </c>
      <c r="E534" s="186" t="str">
        <f>IF(OR(C534="",C534=Data!$B$3),"",IF(C534=Data!$B$4,"L","S"))</f>
        <v/>
      </c>
      <c r="F534" s="186" t="str">
        <f t="shared" si="193"/>
        <v/>
      </c>
      <c r="G534" s="187" t="str">
        <f t="shared" si="184"/>
        <v/>
      </c>
      <c r="H534" s="188"/>
      <c r="I534" s="189" t="str">
        <f t="shared" si="194"/>
        <v/>
      </c>
      <c r="J534" s="189" t="str">
        <f t="shared" si="195"/>
        <v/>
      </c>
      <c r="K534" s="190" t="str">
        <f t="shared" si="196"/>
        <v/>
      </c>
      <c r="L534" s="190" t="str">
        <f t="shared" si="197"/>
        <v/>
      </c>
      <c r="M534" s="214"/>
      <c r="N534" s="214"/>
      <c r="O534" s="189" t="str">
        <f t="shared" si="198"/>
        <v/>
      </c>
      <c r="P534" s="191" t="str">
        <f t="shared" si="185"/>
        <v/>
      </c>
      <c r="Q534" s="192" t="str">
        <f t="shared" si="199"/>
        <v/>
      </c>
      <c r="R534" s="191" t="str">
        <f t="shared" si="186"/>
        <v/>
      </c>
      <c r="S534" s="193" t="str">
        <f t="shared" si="200"/>
        <v/>
      </c>
      <c r="T534" s="194" t="str">
        <f t="shared" si="187"/>
        <v/>
      </c>
      <c r="U534" s="192" t="str">
        <f t="shared" si="201"/>
        <v/>
      </c>
      <c r="V534" s="195" t="str">
        <f t="shared" si="188"/>
        <v/>
      </c>
      <c r="W534" s="195" t="str">
        <f t="shared" si="189"/>
        <v/>
      </c>
      <c r="X534" s="196" t="str">
        <f t="shared" si="202"/>
        <v/>
      </c>
      <c r="Y534" s="191" t="str">
        <f t="shared" si="204"/>
        <v/>
      </c>
      <c r="Z534" s="197" t="str">
        <f t="shared" si="190"/>
        <v/>
      </c>
      <c r="AA534" s="197" t="str">
        <f t="shared" si="191"/>
        <v/>
      </c>
      <c r="AB534" s="213"/>
      <c r="AC534" s="204"/>
    </row>
    <row r="535" spans="1:29" ht="11.4">
      <c r="A535" s="211" t="str">
        <f t="shared" si="203"/>
        <v/>
      </c>
      <c r="B535" s="211"/>
      <c r="C535" s="185"/>
      <c r="D535" s="186" t="str">
        <f t="shared" si="192"/>
        <v/>
      </c>
      <c r="E535" s="186" t="str">
        <f>IF(OR(C535="",C535=Data!$B$3),"",IF(C535=Data!$B$4,"L","S"))</f>
        <v/>
      </c>
      <c r="F535" s="186" t="str">
        <f t="shared" si="193"/>
        <v/>
      </c>
      <c r="G535" s="187" t="str">
        <f t="shared" si="184"/>
        <v/>
      </c>
      <c r="H535" s="188"/>
      <c r="I535" s="189" t="str">
        <f t="shared" si="194"/>
        <v/>
      </c>
      <c r="J535" s="189" t="str">
        <f t="shared" si="195"/>
        <v/>
      </c>
      <c r="K535" s="190" t="str">
        <f t="shared" si="196"/>
        <v/>
      </c>
      <c r="L535" s="190" t="str">
        <f t="shared" si="197"/>
        <v/>
      </c>
      <c r="M535" s="214"/>
      <c r="N535" s="214"/>
      <c r="O535" s="189" t="str">
        <f t="shared" si="198"/>
        <v/>
      </c>
      <c r="P535" s="191" t="str">
        <f t="shared" si="185"/>
        <v/>
      </c>
      <c r="Q535" s="192" t="str">
        <f t="shared" si="199"/>
        <v/>
      </c>
      <c r="R535" s="191" t="str">
        <f t="shared" si="186"/>
        <v/>
      </c>
      <c r="S535" s="193" t="str">
        <f t="shared" si="200"/>
        <v/>
      </c>
      <c r="T535" s="194" t="str">
        <f t="shared" si="187"/>
        <v/>
      </c>
      <c r="U535" s="192" t="str">
        <f t="shared" si="201"/>
        <v/>
      </c>
      <c r="V535" s="195" t="str">
        <f t="shared" si="188"/>
        <v/>
      </c>
      <c r="W535" s="195" t="str">
        <f t="shared" si="189"/>
        <v/>
      </c>
      <c r="X535" s="196" t="str">
        <f t="shared" si="202"/>
        <v/>
      </c>
      <c r="Y535" s="191" t="str">
        <f t="shared" si="204"/>
        <v/>
      </c>
      <c r="Z535" s="197" t="str">
        <f t="shared" si="190"/>
        <v/>
      </c>
      <c r="AA535" s="197" t="str">
        <f t="shared" si="191"/>
        <v/>
      </c>
      <c r="AB535" s="213"/>
      <c r="AC535" s="204"/>
    </row>
    <row r="536" spans="1:29" ht="11.4">
      <c r="A536" s="211" t="str">
        <f t="shared" si="203"/>
        <v/>
      </c>
      <c r="B536" s="211"/>
      <c r="C536" s="185"/>
      <c r="D536" s="186" t="str">
        <f t="shared" si="192"/>
        <v/>
      </c>
      <c r="E536" s="186" t="str">
        <f>IF(OR(C536="",C536=Data!$B$3),"",IF(C536=Data!$B$4,"L","S"))</f>
        <v/>
      </c>
      <c r="F536" s="186" t="str">
        <f t="shared" si="193"/>
        <v/>
      </c>
      <c r="G536" s="187" t="str">
        <f t="shared" si="184"/>
        <v/>
      </c>
      <c r="H536" s="188"/>
      <c r="I536" s="189" t="str">
        <f t="shared" si="194"/>
        <v/>
      </c>
      <c r="J536" s="189" t="str">
        <f t="shared" si="195"/>
        <v/>
      </c>
      <c r="K536" s="190" t="str">
        <f t="shared" si="196"/>
        <v/>
      </c>
      <c r="L536" s="190" t="str">
        <f t="shared" si="197"/>
        <v/>
      </c>
      <c r="M536" s="214"/>
      <c r="N536" s="214"/>
      <c r="O536" s="189" t="str">
        <f t="shared" si="198"/>
        <v/>
      </c>
      <c r="P536" s="191" t="str">
        <f t="shared" si="185"/>
        <v/>
      </c>
      <c r="Q536" s="192" t="str">
        <f t="shared" si="199"/>
        <v/>
      </c>
      <c r="R536" s="191" t="str">
        <f t="shared" si="186"/>
        <v/>
      </c>
      <c r="S536" s="193" t="str">
        <f t="shared" si="200"/>
        <v/>
      </c>
      <c r="T536" s="194" t="str">
        <f t="shared" si="187"/>
        <v/>
      </c>
      <c r="U536" s="192" t="str">
        <f t="shared" si="201"/>
        <v/>
      </c>
      <c r="V536" s="195" t="str">
        <f t="shared" si="188"/>
        <v/>
      </c>
      <c r="W536" s="195" t="str">
        <f t="shared" si="189"/>
        <v/>
      </c>
      <c r="X536" s="196" t="str">
        <f t="shared" si="202"/>
        <v/>
      </c>
      <c r="Y536" s="191" t="str">
        <f t="shared" si="204"/>
        <v/>
      </c>
      <c r="Z536" s="197" t="str">
        <f t="shared" si="190"/>
        <v/>
      </c>
      <c r="AA536" s="197" t="str">
        <f t="shared" si="191"/>
        <v/>
      </c>
      <c r="AB536" s="213"/>
      <c r="AC536" s="204"/>
    </row>
    <row r="537" spans="1:29" ht="11.4">
      <c r="A537" s="211" t="str">
        <f t="shared" si="203"/>
        <v/>
      </c>
      <c r="B537" s="211"/>
      <c r="C537" s="185"/>
      <c r="D537" s="186" t="str">
        <f t="shared" si="192"/>
        <v/>
      </c>
      <c r="E537" s="186" t="str">
        <f>IF(OR(C537="",C537=Data!$B$3),"",IF(C537=Data!$B$4,"L","S"))</f>
        <v/>
      </c>
      <c r="F537" s="186" t="str">
        <f t="shared" si="193"/>
        <v/>
      </c>
      <c r="G537" s="187" t="str">
        <f t="shared" si="184"/>
        <v/>
      </c>
      <c r="H537" s="188"/>
      <c r="I537" s="189" t="str">
        <f t="shared" si="194"/>
        <v/>
      </c>
      <c r="J537" s="189" t="str">
        <f t="shared" si="195"/>
        <v/>
      </c>
      <c r="K537" s="190" t="str">
        <f t="shared" si="196"/>
        <v/>
      </c>
      <c r="L537" s="190" t="str">
        <f t="shared" si="197"/>
        <v/>
      </c>
      <c r="M537" s="214"/>
      <c r="N537" s="214"/>
      <c r="O537" s="189" t="str">
        <f t="shared" si="198"/>
        <v/>
      </c>
      <c r="P537" s="191" t="str">
        <f t="shared" si="185"/>
        <v/>
      </c>
      <c r="Q537" s="192" t="str">
        <f t="shared" si="199"/>
        <v/>
      </c>
      <c r="R537" s="191" t="str">
        <f t="shared" si="186"/>
        <v/>
      </c>
      <c r="S537" s="193" t="str">
        <f t="shared" si="200"/>
        <v/>
      </c>
      <c r="T537" s="194" t="str">
        <f t="shared" si="187"/>
        <v/>
      </c>
      <c r="U537" s="192" t="str">
        <f t="shared" si="201"/>
        <v/>
      </c>
      <c r="V537" s="195" t="str">
        <f t="shared" si="188"/>
        <v/>
      </c>
      <c r="W537" s="195" t="str">
        <f t="shared" si="189"/>
        <v/>
      </c>
      <c r="X537" s="196" t="str">
        <f t="shared" si="202"/>
        <v/>
      </c>
      <c r="Y537" s="191" t="str">
        <f t="shared" si="204"/>
        <v/>
      </c>
      <c r="Z537" s="197" t="str">
        <f t="shared" si="190"/>
        <v/>
      </c>
      <c r="AA537" s="197" t="str">
        <f t="shared" si="191"/>
        <v/>
      </c>
      <c r="AB537" s="213"/>
      <c r="AC537" s="204"/>
    </row>
    <row r="538" spans="1:29" ht="11.4">
      <c r="A538" s="211" t="str">
        <f t="shared" si="203"/>
        <v/>
      </c>
      <c r="B538" s="211"/>
      <c r="C538" s="185"/>
      <c r="D538" s="186" t="str">
        <f t="shared" si="192"/>
        <v/>
      </c>
      <c r="E538" s="186" t="str">
        <f>IF(OR(C538="",C538=Data!$B$3),"",IF(C538=Data!$B$4,"L","S"))</f>
        <v/>
      </c>
      <c r="F538" s="186" t="str">
        <f t="shared" si="193"/>
        <v/>
      </c>
      <c r="G538" s="187" t="str">
        <f t="shared" si="184"/>
        <v/>
      </c>
      <c r="H538" s="188"/>
      <c r="I538" s="189" t="str">
        <f t="shared" si="194"/>
        <v/>
      </c>
      <c r="J538" s="189" t="str">
        <f t="shared" si="195"/>
        <v/>
      </c>
      <c r="K538" s="190" t="str">
        <f t="shared" si="196"/>
        <v/>
      </c>
      <c r="L538" s="190" t="str">
        <f t="shared" si="197"/>
        <v/>
      </c>
      <c r="M538" s="214"/>
      <c r="N538" s="214"/>
      <c r="O538" s="189" t="str">
        <f t="shared" si="198"/>
        <v/>
      </c>
      <c r="P538" s="191" t="str">
        <f t="shared" si="185"/>
        <v/>
      </c>
      <c r="Q538" s="192" t="str">
        <f t="shared" si="199"/>
        <v/>
      </c>
      <c r="R538" s="191" t="str">
        <f t="shared" si="186"/>
        <v/>
      </c>
      <c r="S538" s="193" t="str">
        <f t="shared" si="200"/>
        <v/>
      </c>
      <c r="T538" s="194" t="str">
        <f t="shared" si="187"/>
        <v/>
      </c>
      <c r="U538" s="192" t="str">
        <f t="shared" si="201"/>
        <v/>
      </c>
      <c r="V538" s="195" t="str">
        <f t="shared" si="188"/>
        <v/>
      </c>
      <c r="W538" s="195" t="str">
        <f t="shared" si="189"/>
        <v/>
      </c>
      <c r="X538" s="196" t="str">
        <f t="shared" si="202"/>
        <v/>
      </c>
      <c r="Y538" s="191" t="str">
        <f t="shared" si="204"/>
        <v/>
      </c>
      <c r="Z538" s="197" t="str">
        <f t="shared" si="190"/>
        <v/>
      </c>
      <c r="AA538" s="197" t="str">
        <f t="shared" si="191"/>
        <v/>
      </c>
      <c r="AB538" s="213"/>
      <c r="AC538" s="204"/>
    </row>
    <row r="539" spans="1:29" ht="11.4">
      <c r="A539" s="211" t="str">
        <f t="shared" si="203"/>
        <v/>
      </c>
      <c r="B539" s="211"/>
      <c r="C539" s="185"/>
      <c r="D539" s="186" t="str">
        <f t="shared" si="192"/>
        <v/>
      </c>
      <c r="E539" s="186" t="str">
        <f>IF(OR(C539="",C539=Data!$B$3),"",IF(C539=Data!$B$4,"L","S"))</f>
        <v/>
      </c>
      <c r="F539" s="186" t="str">
        <f t="shared" si="193"/>
        <v/>
      </c>
      <c r="G539" s="187" t="str">
        <f t="shared" si="184"/>
        <v/>
      </c>
      <c r="H539" s="188"/>
      <c r="I539" s="189" t="str">
        <f t="shared" si="194"/>
        <v/>
      </c>
      <c r="J539" s="189" t="str">
        <f t="shared" si="195"/>
        <v/>
      </c>
      <c r="K539" s="190" t="str">
        <f t="shared" si="196"/>
        <v/>
      </c>
      <c r="L539" s="190" t="str">
        <f t="shared" si="197"/>
        <v/>
      </c>
      <c r="M539" s="214"/>
      <c r="N539" s="214"/>
      <c r="O539" s="189" t="str">
        <f t="shared" si="198"/>
        <v/>
      </c>
      <c r="P539" s="191" t="str">
        <f t="shared" si="185"/>
        <v/>
      </c>
      <c r="Q539" s="192" t="str">
        <f t="shared" si="199"/>
        <v/>
      </c>
      <c r="R539" s="191" t="str">
        <f t="shared" si="186"/>
        <v/>
      </c>
      <c r="S539" s="193" t="str">
        <f t="shared" si="200"/>
        <v/>
      </c>
      <c r="T539" s="194" t="str">
        <f t="shared" si="187"/>
        <v/>
      </c>
      <c r="U539" s="192" t="str">
        <f t="shared" si="201"/>
        <v/>
      </c>
      <c r="V539" s="195" t="str">
        <f t="shared" si="188"/>
        <v/>
      </c>
      <c r="W539" s="195" t="str">
        <f t="shared" si="189"/>
        <v/>
      </c>
      <c r="X539" s="196" t="str">
        <f t="shared" si="202"/>
        <v/>
      </c>
      <c r="Y539" s="191" t="str">
        <f t="shared" si="204"/>
        <v/>
      </c>
      <c r="Z539" s="197" t="str">
        <f t="shared" si="190"/>
        <v/>
      </c>
      <c r="AA539" s="197" t="str">
        <f t="shared" si="191"/>
        <v/>
      </c>
      <c r="AB539" s="213"/>
      <c r="AC539" s="204"/>
    </row>
    <row r="540" spans="1:29" ht="11.4">
      <c r="A540" s="211" t="str">
        <f t="shared" si="203"/>
        <v/>
      </c>
      <c r="B540" s="211"/>
      <c r="C540" s="185"/>
      <c r="D540" s="186" t="str">
        <f t="shared" si="192"/>
        <v/>
      </c>
      <c r="E540" s="186" t="str">
        <f>IF(OR(C540="",C540=Data!$B$3),"",IF(C540=Data!$B$4,"L","S"))</f>
        <v/>
      </c>
      <c r="F540" s="186" t="str">
        <f t="shared" si="193"/>
        <v/>
      </c>
      <c r="G540" s="187" t="str">
        <f t="shared" si="184"/>
        <v/>
      </c>
      <c r="H540" s="188"/>
      <c r="I540" s="189" t="str">
        <f t="shared" si="194"/>
        <v/>
      </c>
      <c r="J540" s="189" t="str">
        <f t="shared" si="195"/>
        <v/>
      </c>
      <c r="K540" s="190" t="str">
        <f t="shared" si="196"/>
        <v/>
      </c>
      <c r="L540" s="190" t="str">
        <f t="shared" si="197"/>
        <v/>
      </c>
      <c r="M540" s="214"/>
      <c r="N540" s="214"/>
      <c r="O540" s="189" t="str">
        <f t="shared" si="198"/>
        <v/>
      </c>
      <c r="P540" s="191" t="str">
        <f t="shared" si="185"/>
        <v/>
      </c>
      <c r="Q540" s="192" t="str">
        <f t="shared" si="199"/>
        <v/>
      </c>
      <c r="R540" s="191" t="str">
        <f t="shared" si="186"/>
        <v/>
      </c>
      <c r="S540" s="193" t="str">
        <f t="shared" si="200"/>
        <v/>
      </c>
      <c r="T540" s="194" t="str">
        <f t="shared" si="187"/>
        <v/>
      </c>
      <c r="U540" s="192" t="str">
        <f t="shared" si="201"/>
        <v/>
      </c>
      <c r="V540" s="195" t="str">
        <f t="shared" si="188"/>
        <v/>
      </c>
      <c r="W540" s="195" t="str">
        <f t="shared" si="189"/>
        <v/>
      </c>
      <c r="X540" s="196" t="str">
        <f t="shared" si="202"/>
        <v/>
      </c>
      <c r="Y540" s="191" t="str">
        <f t="shared" si="204"/>
        <v/>
      </c>
      <c r="Z540" s="197" t="str">
        <f t="shared" si="190"/>
        <v/>
      </c>
      <c r="AA540" s="197" t="str">
        <f t="shared" si="191"/>
        <v/>
      </c>
      <c r="AB540" s="213"/>
      <c r="AC540" s="204"/>
    </row>
    <row r="541" spans="1:29" ht="11.4">
      <c r="A541" s="211" t="str">
        <f t="shared" si="203"/>
        <v/>
      </c>
      <c r="B541" s="211"/>
      <c r="C541" s="185"/>
      <c r="D541" s="186" t="str">
        <f t="shared" si="192"/>
        <v/>
      </c>
      <c r="E541" s="186" t="str">
        <f>IF(OR(C541="",C541=Data!$B$3),"",IF(C541=Data!$B$4,"L","S"))</f>
        <v/>
      </c>
      <c r="F541" s="186" t="str">
        <f t="shared" si="193"/>
        <v/>
      </c>
      <c r="G541" s="187" t="str">
        <f t="shared" si="184"/>
        <v/>
      </c>
      <c r="H541" s="188"/>
      <c r="I541" s="189" t="str">
        <f t="shared" si="194"/>
        <v/>
      </c>
      <c r="J541" s="189" t="str">
        <f t="shared" si="195"/>
        <v/>
      </c>
      <c r="K541" s="190" t="str">
        <f t="shared" si="196"/>
        <v/>
      </c>
      <c r="L541" s="190" t="str">
        <f t="shared" si="197"/>
        <v/>
      </c>
      <c r="M541" s="214"/>
      <c r="N541" s="214"/>
      <c r="O541" s="189" t="str">
        <f t="shared" si="198"/>
        <v/>
      </c>
      <c r="P541" s="191" t="str">
        <f t="shared" si="185"/>
        <v/>
      </c>
      <c r="Q541" s="192" t="str">
        <f t="shared" si="199"/>
        <v/>
      </c>
      <c r="R541" s="191" t="str">
        <f t="shared" si="186"/>
        <v/>
      </c>
      <c r="S541" s="193" t="str">
        <f t="shared" si="200"/>
        <v/>
      </c>
      <c r="T541" s="194" t="str">
        <f t="shared" si="187"/>
        <v/>
      </c>
      <c r="U541" s="192" t="str">
        <f t="shared" si="201"/>
        <v/>
      </c>
      <c r="V541" s="195" t="str">
        <f t="shared" si="188"/>
        <v/>
      </c>
      <c r="W541" s="195" t="str">
        <f t="shared" si="189"/>
        <v/>
      </c>
      <c r="X541" s="196" t="str">
        <f t="shared" si="202"/>
        <v/>
      </c>
      <c r="Y541" s="191" t="str">
        <f t="shared" si="204"/>
        <v/>
      </c>
      <c r="Z541" s="197" t="str">
        <f t="shared" si="190"/>
        <v/>
      </c>
      <c r="AA541" s="197" t="str">
        <f t="shared" si="191"/>
        <v/>
      </c>
      <c r="AB541" s="213"/>
      <c r="AC541" s="204"/>
    </row>
    <row r="542" spans="1:29" ht="11.4">
      <c r="A542" s="211" t="str">
        <f t="shared" si="203"/>
        <v/>
      </c>
      <c r="B542" s="211"/>
      <c r="C542" s="185"/>
      <c r="D542" s="186" t="str">
        <f t="shared" si="192"/>
        <v/>
      </c>
      <c r="E542" s="186" t="str">
        <f>IF(OR(C542="",C542=Data!$B$3),"",IF(C542=Data!$B$4,"L","S"))</f>
        <v/>
      </c>
      <c r="F542" s="186" t="str">
        <f t="shared" si="193"/>
        <v/>
      </c>
      <c r="G542" s="187" t="str">
        <f t="shared" si="184"/>
        <v/>
      </c>
      <c r="H542" s="188"/>
      <c r="I542" s="189" t="str">
        <f t="shared" si="194"/>
        <v/>
      </c>
      <c r="J542" s="189" t="str">
        <f t="shared" si="195"/>
        <v/>
      </c>
      <c r="K542" s="190" t="str">
        <f t="shared" si="196"/>
        <v/>
      </c>
      <c r="L542" s="190" t="str">
        <f t="shared" si="197"/>
        <v/>
      </c>
      <c r="M542" s="214"/>
      <c r="N542" s="214"/>
      <c r="O542" s="189" t="str">
        <f t="shared" si="198"/>
        <v/>
      </c>
      <c r="P542" s="191" t="str">
        <f t="shared" si="185"/>
        <v/>
      </c>
      <c r="Q542" s="192" t="str">
        <f t="shared" si="199"/>
        <v/>
      </c>
      <c r="R542" s="191" t="str">
        <f t="shared" si="186"/>
        <v/>
      </c>
      <c r="S542" s="193" t="str">
        <f t="shared" si="200"/>
        <v/>
      </c>
      <c r="T542" s="194" t="str">
        <f t="shared" si="187"/>
        <v/>
      </c>
      <c r="U542" s="192" t="str">
        <f t="shared" si="201"/>
        <v/>
      </c>
      <c r="V542" s="195" t="str">
        <f t="shared" si="188"/>
        <v/>
      </c>
      <c r="W542" s="195" t="str">
        <f t="shared" si="189"/>
        <v/>
      </c>
      <c r="X542" s="196" t="str">
        <f t="shared" si="202"/>
        <v/>
      </c>
      <c r="Y542" s="191" t="str">
        <f t="shared" si="204"/>
        <v/>
      </c>
      <c r="Z542" s="197" t="str">
        <f t="shared" si="190"/>
        <v/>
      </c>
      <c r="AA542" s="197" t="str">
        <f t="shared" si="191"/>
        <v/>
      </c>
      <c r="AB542" s="213"/>
      <c r="AC542" s="204"/>
    </row>
    <row r="543" spans="1:29" ht="11.4">
      <c r="A543" s="211" t="str">
        <f t="shared" si="203"/>
        <v/>
      </c>
      <c r="B543" s="211"/>
      <c r="C543" s="185"/>
      <c r="D543" s="186" t="str">
        <f t="shared" si="192"/>
        <v/>
      </c>
      <c r="E543" s="186" t="str">
        <f>IF(OR(C543="",C543=Data!$B$3),"",IF(C543=Data!$B$4,"L","S"))</f>
        <v/>
      </c>
      <c r="F543" s="186" t="str">
        <f t="shared" si="193"/>
        <v/>
      </c>
      <c r="G543" s="187" t="str">
        <f t="shared" si="184"/>
        <v/>
      </c>
      <c r="H543" s="188"/>
      <c r="I543" s="189" t="str">
        <f t="shared" si="194"/>
        <v/>
      </c>
      <c r="J543" s="189" t="str">
        <f t="shared" si="195"/>
        <v/>
      </c>
      <c r="K543" s="190" t="str">
        <f t="shared" si="196"/>
        <v/>
      </c>
      <c r="L543" s="190" t="str">
        <f t="shared" si="197"/>
        <v/>
      </c>
      <c r="M543" s="214"/>
      <c r="N543" s="214"/>
      <c r="O543" s="189" t="str">
        <f t="shared" si="198"/>
        <v/>
      </c>
      <c r="P543" s="191" t="str">
        <f t="shared" si="185"/>
        <v/>
      </c>
      <c r="Q543" s="192" t="str">
        <f t="shared" si="199"/>
        <v/>
      </c>
      <c r="R543" s="191" t="str">
        <f t="shared" si="186"/>
        <v/>
      </c>
      <c r="S543" s="193" t="str">
        <f t="shared" si="200"/>
        <v/>
      </c>
      <c r="T543" s="194" t="str">
        <f t="shared" si="187"/>
        <v/>
      </c>
      <c r="U543" s="192" t="str">
        <f t="shared" si="201"/>
        <v/>
      </c>
      <c r="V543" s="195" t="str">
        <f t="shared" si="188"/>
        <v/>
      </c>
      <c r="W543" s="195" t="str">
        <f t="shared" si="189"/>
        <v/>
      </c>
      <c r="X543" s="196" t="str">
        <f t="shared" si="202"/>
        <v/>
      </c>
      <c r="Y543" s="191" t="str">
        <f t="shared" si="204"/>
        <v/>
      </c>
      <c r="Z543" s="197" t="str">
        <f t="shared" si="190"/>
        <v/>
      </c>
      <c r="AA543" s="197" t="str">
        <f t="shared" si="191"/>
        <v/>
      </c>
      <c r="AB543" s="213"/>
      <c r="AC543" s="204"/>
    </row>
    <row r="544" spans="1:29" ht="11.4">
      <c r="A544" s="211" t="str">
        <f t="shared" si="203"/>
        <v/>
      </c>
      <c r="B544" s="211"/>
      <c r="C544" s="185"/>
      <c r="D544" s="186" t="str">
        <f t="shared" si="192"/>
        <v/>
      </c>
      <c r="E544" s="186" t="str">
        <f>IF(OR(C544="",C544=Data!$B$3),"",IF(C544=Data!$B$4,"L","S"))</f>
        <v/>
      </c>
      <c r="F544" s="186" t="str">
        <f t="shared" si="193"/>
        <v/>
      </c>
      <c r="G544" s="187" t="str">
        <f t="shared" si="184"/>
        <v/>
      </c>
      <c r="H544" s="188"/>
      <c r="I544" s="189" t="str">
        <f t="shared" si="194"/>
        <v/>
      </c>
      <c r="J544" s="189" t="str">
        <f t="shared" si="195"/>
        <v/>
      </c>
      <c r="K544" s="190" t="str">
        <f t="shared" si="196"/>
        <v/>
      </c>
      <c r="L544" s="190" t="str">
        <f t="shared" si="197"/>
        <v/>
      </c>
      <c r="M544" s="214"/>
      <c r="N544" s="214"/>
      <c r="O544" s="189" t="str">
        <f t="shared" si="198"/>
        <v/>
      </c>
      <c r="P544" s="191" t="str">
        <f t="shared" si="185"/>
        <v/>
      </c>
      <c r="Q544" s="192" t="str">
        <f t="shared" si="199"/>
        <v/>
      </c>
      <c r="R544" s="191" t="str">
        <f t="shared" si="186"/>
        <v/>
      </c>
      <c r="S544" s="193" t="str">
        <f t="shared" si="200"/>
        <v/>
      </c>
      <c r="T544" s="194" t="str">
        <f t="shared" si="187"/>
        <v/>
      </c>
      <c r="U544" s="192" t="str">
        <f t="shared" si="201"/>
        <v/>
      </c>
      <c r="V544" s="195" t="str">
        <f t="shared" si="188"/>
        <v/>
      </c>
      <c r="W544" s="195" t="str">
        <f t="shared" si="189"/>
        <v/>
      </c>
      <c r="X544" s="196" t="str">
        <f t="shared" si="202"/>
        <v/>
      </c>
      <c r="Y544" s="191" t="str">
        <f t="shared" si="204"/>
        <v/>
      </c>
      <c r="Z544" s="197" t="str">
        <f t="shared" si="190"/>
        <v/>
      </c>
      <c r="AA544" s="197" t="str">
        <f t="shared" si="191"/>
        <v/>
      </c>
      <c r="AB544" s="213"/>
      <c r="AC544" s="204"/>
    </row>
    <row r="545" spans="1:29" ht="11.4">
      <c r="A545" s="211" t="str">
        <f t="shared" si="203"/>
        <v/>
      </c>
      <c r="B545" s="211"/>
      <c r="C545" s="185"/>
      <c r="D545" s="186" t="str">
        <f t="shared" si="192"/>
        <v/>
      </c>
      <c r="E545" s="186" t="str">
        <f>IF(OR(C545="",C545=Data!$B$3),"",IF(C545=Data!$B$4,"L","S"))</f>
        <v/>
      </c>
      <c r="F545" s="186" t="str">
        <f t="shared" si="193"/>
        <v/>
      </c>
      <c r="G545" s="187" t="str">
        <f t="shared" si="184"/>
        <v/>
      </c>
      <c r="H545" s="188"/>
      <c r="I545" s="189" t="str">
        <f t="shared" si="194"/>
        <v/>
      </c>
      <c r="J545" s="189" t="str">
        <f t="shared" si="195"/>
        <v/>
      </c>
      <c r="K545" s="190" t="str">
        <f t="shared" si="196"/>
        <v/>
      </c>
      <c r="L545" s="190" t="str">
        <f t="shared" si="197"/>
        <v/>
      </c>
      <c r="M545" s="214"/>
      <c r="N545" s="214"/>
      <c r="O545" s="189" t="str">
        <f t="shared" si="198"/>
        <v/>
      </c>
      <c r="P545" s="191" t="str">
        <f t="shared" si="185"/>
        <v/>
      </c>
      <c r="Q545" s="192" t="str">
        <f t="shared" si="199"/>
        <v/>
      </c>
      <c r="R545" s="191" t="str">
        <f t="shared" si="186"/>
        <v/>
      </c>
      <c r="S545" s="193" t="str">
        <f t="shared" si="200"/>
        <v/>
      </c>
      <c r="T545" s="194" t="str">
        <f t="shared" si="187"/>
        <v/>
      </c>
      <c r="U545" s="192" t="str">
        <f t="shared" si="201"/>
        <v/>
      </c>
      <c r="V545" s="195" t="str">
        <f t="shared" si="188"/>
        <v/>
      </c>
      <c r="W545" s="195" t="str">
        <f t="shared" si="189"/>
        <v/>
      </c>
      <c r="X545" s="196" t="str">
        <f t="shared" si="202"/>
        <v/>
      </c>
      <c r="Y545" s="191" t="str">
        <f t="shared" si="204"/>
        <v/>
      </c>
      <c r="Z545" s="197" t="str">
        <f t="shared" si="190"/>
        <v/>
      </c>
      <c r="AA545" s="197" t="str">
        <f t="shared" si="191"/>
        <v/>
      </c>
      <c r="AB545" s="213"/>
      <c r="AC545" s="204"/>
    </row>
    <row r="546" spans="1:29" ht="11.4">
      <c r="A546" s="211" t="str">
        <f t="shared" si="203"/>
        <v/>
      </c>
      <c r="B546" s="211"/>
      <c r="C546" s="185"/>
      <c r="D546" s="186" t="str">
        <f t="shared" si="192"/>
        <v/>
      </c>
      <c r="E546" s="186" t="str">
        <f>IF(OR(C546="",C546=Data!$B$3),"",IF(C546=Data!$B$4,"L","S"))</f>
        <v/>
      </c>
      <c r="F546" s="186" t="str">
        <f t="shared" si="193"/>
        <v/>
      </c>
      <c r="G546" s="187" t="str">
        <f t="shared" si="184"/>
        <v/>
      </c>
      <c r="H546" s="188"/>
      <c r="I546" s="189" t="str">
        <f t="shared" si="194"/>
        <v/>
      </c>
      <c r="J546" s="189" t="str">
        <f t="shared" si="195"/>
        <v/>
      </c>
      <c r="K546" s="190" t="str">
        <f t="shared" si="196"/>
        <v/>
      </c>
      <c r="L546" s="190" t="str">
        <f t="shared" si="197"/>
        <v/>
      </c>
      <c r="M546" s="214"/>
      <c r="N546" s="214"/>
      <c r="O546" s="189" t="str">
        <f t="shared" si="198"/>
        <v/>
      </c>
      <c r="P546" s="191" t="str">
        <f t="shared" si="185"/>
        <v/>
      </c>
      <c r="Q546" s="192" t="str">
        <f t="shared" si="199"/>
        <v/>
      </c>
      <c r="R546" s="191" t="str">
        <f t="shared" si="186"/>
        <v/>
      </c>
      <c r="S546" s="193" t="str">
        <f t="shared" si="200"/>
        <v/>
      </c>
      <c r="T546" s="194" t="str">
        <f t="shared" si="187"/>
        <v/>
      </c>
      <c r="U546" s="192" t="str">
        <f t="shared" si="201"/>
        <v/>
      </c>
      <c r="V546" s="195" t="str">
        <f t="shared" si="188"/>
        <v/>
      </c>
      <c r="W546" s="195" t="str">
        <f t="shared" si="189"/>
        <v/>
      </c>
      <c r="X546" s="196" t="str">
        <f t="shared" si="202"/>
        <v/>
      </c>
      <c r="Y546" s="191" t="str">
        <f t="shared" si="204"/>
        <v/>
      </c>
      <c r="Z546" s="197" t="str">
        <f t="shared" si="190"/>
        <v/>
      </c>
      <c r="AA546" s="197" t="str">
        <f t="shared" si="191"/>
        <v/>
      </c>
      <c r="AB546" s="213"/>
      <c r="AC546" s="204"/>
    </row>
    <row r="547" spans="1:29" ht="11.4">
      <c r="A547" s="211" t="str">
        <f t="shared" si="203"/>
        <v/>
      </c>
      <c r="B547" s="211"/>
      <c r="C547" s="185"/>
      <c r="D547" s="186" t="str">
        <f t="shared" si="192"/>
        <v/>
      </c>
      <c r="E547" s="186" t="str">
        <f>IF(OR(C547="",C547=Data!$B$3),"",IF(C547=Data!$B$4,"L","S"))</f>
        <v/>
      </c>
      <c r="F547" s="186" t="str">
        <f t="shared" si="193"/>
        <v/>
      </c>
      <c r="G547" s="187" t="str">
        <f t="shared" si="184"/>
        <v/>
      </c>
      <c r="H547" s="188"/>
      <c r="I547" s="189" t="str">
        <f t="shared" si="194"/>
        <v/>
      </c>
      <c r="J547" s="189" t="str">
        <f t="shared" si="195"/>
        <v/>
      </c>
      <c r="K547" s="190" t="str">
        <f t="shared" si="196"/>
        <v/>
      </c>
      <c r="L547" s="190" t="str">
        <f t="shared" si="197"/>
        <v/>
      </c>
      <c r="M547" s="214"/>
      <c r="N547" s="214"/>
      <c r="O547" s="189" t="str">
        <f t="shared" si="198"/>
        <v/>
      </c>
      <c r="P547" s="191" t="str">
        <f t="shared" si="185"/>
        <v/>
      </c>
      <c r="Q547" s="192" t="str">
        <f t="shared" si="199"/>
        <v/>
      </c>
      <c r="R547" s="191" t="str">
        <f t="shared" si="186"/>
        <v/>
      </c>
      <c r="S547" s="193" t="str">
        <f t="shared" si="200"/>
        <v/>
      </c>
      <c r="T547" s="194" t="str">
        <f t="shared" si="187"/>
        <v/>
      </c>
      <c r="U547" s="192" t="str">
        <f t="shared" si="201"/>
        <v/>
      </c>
      <c r="V547" s="195" t="str">
        <f t="shared" si="188"/>
        <v/>
      </c>
      <c r="W547" s="195" t="str">
        <f t="shared" si="189"/>
        <v/>
      </c>
      <c r="X547" s="196" t="str">
        <f t="shared" si="202"/>
        <v/>
      </c>
      <c r="Y547" s="191" t="str">
        <f t="shared" si="204"/>
        <v/>
      </c>
      <c r="Z547" s="197" t="str">
        <f t="shared" si="190"/>
        <v/>
      </c>
      <c r="AA547" s="197" t="str">
        <f t="shared" si="191"/>
        <v/>
      </c>
      <c r="AB547" s="213"/>
      <c r="AC547" s="204"/>
    </row>
    <row r="548" spans="1:29" ht="11.4">
      <c r="A548" s="211" t="str">
        <f t="shared" si="203"/>
        <v/>
      </c>
      <c r="B548" s="211"/>
      <c r="C548" s="185"/>
      <c r="D548" s="186" t="str">
        <f t="shared" si="192"/>
        <v/>
      </c>
      <c r="E548" s="186" t="str">
        <f>IF(OR(C548="",C548=Data!$B$3),"",IF(C548=Data!$B$4,"L","S"))</f>
        <v/>
      </c>
      <c r="F548" s="186" t="str">
        <f t="shared" si="193"/>
        <v/>
      </c>
      <c r="G548" s="187" t="str">
        <f t="shared" si="184"/>
        <v/>
      </c>
      <c r="H548" s="188"/>
      <c r="I548" s="189" t="str">
        <f t="shared" si="194"/>
        <v/>
      </c>
      <c r="J548" s="189" t="str">
        <f t="shared" si="195"/>
        <v/>
      </c>
      <c r="K548" s="190" t="str">
        <f t="shared" si="196"/>
        <v/>
      </c>
      <c r="L548" s="190" t="str">
        <f t="shared" si="197"/>
        <v/>
      </c>
      <c r="M548" s="214"/>
      <c r="N548" s="214"/>
      <c r="O548" s="189" t="str">
        <f t="shared" si="198"/>
        <v/>
      </c>
      <c r="P548" s="191" t="str">
        <f t="shared" si="185"/>
        <v/>
      </c>
      <c r="Q548" s="192" t="str">
        <f t="shared" si="199"/>
        <v/>
      </c>
      <c r="R548" s="191" t="str">
        <f t="shared" si="186"/>
        <v/>
      </c>
      <c r="S548" s="193" t="str">
        <f t="shared" si="200"/>
        <v/>
      </c>
      <c r="T548" s="194" t="str">
        <f t="shared" si="187"/>
        <v/>
      </c>
      <c r="U548" s="192" t="str">
        <f t="shared" si="201"/>
        <v/>
      </c>
      <c r="V548" s="195" t="str">
        <f t="shared" si="188"/>
        <v/>
      </c>
      <c r="W548" s="195" t="str">
        <f t="shared" si="189"/>
        <v/>
      </c>
      <c r="X548" s="196" t="str">
        <f t="shared" si="202"/>
        <v/>
      </c>
      <c r="Y548" s="191" t="str">
        <f t="shared" si="204"/>
        <v/>
      </c>
      <c r="Z548" s="197" t="str">
        <f t="shared" si="190"/>
        <v/>
      </c>
      <c r="AA548" s="197" t="str">
        <f t="shared" si="191"/>
        <v/>
      </c>
      <c r="AB548" s="213"/>
      <c r="AC548" s="204"/>
    </row>
    <row r="549" spans="1:29" ht="11.4">
      <c r="A549" s="211" t="str">
        <f t="shared" si="203"/>
        <v/>
      </c>
      <c r="B549" s="211"/>
      <c r="C549" s="185"/>
      <c r="D549" s="186" t="str">
        <f t="shared" si="192"/>
        <v/>
      </c>
      <c r="E549" s="186" t="str">
        <f>IF(OR(C549="",C549=Data!$B$3),"",IF(C549=Data!$B$4,"L","S"))</f>
        <v/>
      </c>
      <c r="F549" s="186" t="str">
        <f t="shared" si="193"/>
        <v/>
      </c>
      <c r="G549" s="187" t="str">
        <f t="shared" si="184"/>
        <v/>
      </c>
      <c r="H549" s="188"/>
      <c r="I549" s="189" t="str">
        <f t="shared" si="194"/>
        <v/>
      </c>
      <c r="J549" s="189" t="str">
        <f t="shared" si="195"/>
        <v/>
      </c>
      <c r="K549" s="190" t="str">
        <f t="shared" si="196"/>
        <v/>
      </c>
      <c r="L549" s="190" t="str">
        <f t="shared" si="197"/>
        <v/>
      </c>
      <c r="M549" s="214"/>
      <c r="N549" s="214"/>
      <c r="O549" s="189" t="str">
        <f t="shared" si="198"/>
        <v/>
      </c>
      <c r="P549" s="191" t="str">
        <f t="shared" si="185"/>
        <v/>
      </c>
      <c r="Q549" s="192" t="str">
        <f t="shared" si="199"/>
        <v/>
      </c>
      <c r="R549" s="191" t="str">
        <f t="shared" si="186"/>
        <v/>
      </c>
      <c r="S549" s="193" t="str">
        <f t="shared" si="200"/>
        <v/>
      </c>
      <c r="T549" s="194" t="str">
        <f t="shared" si="187"/>
        <v/>
      </c>
      <c r="U549" s="192" t="str">
        <f t="shared" si="201"/>
        <v/>
      </c>
      <c r="V549" s="195" t="str">
        <f t="shared" si="188"/>
        <v/>
      </c>
      <c r="W549" s="195" t="str">
        <f t="shared" si="189"/>
        <v/>
      </c>
      <c r="X549" s="196" t="str">
        <f t="shared" si="202"/>
        <v/>
      </c>
      <c r="Y549" s="191" t="str">
        <f t="shared" si="204"/>
        <v/>
      </c>
      <c r="Z549" s="197" t="str">
        <f t="shared" si="190"/>
        <v/>
      </c>
      <c r="AA549" s="197" t="str">
        <f t="shared" si="191"/>
        <v/>
      </c>
      <c r="AB549" s="213"/>
      <c r="AC549" s="204"/>
    </row>
    <row r="550" spans="1:29" ht="11.4">
      <c r="A550" s="211" t="str">
        <f t="shared" si="203"/>
        <v/>
      </c>
      <c r="B550" s="211"/>
      <c r="C550" s="185"/>
      <c r="D550" s="186" t="str">
        <f t="shared" si="192"/>
        <v/>
      </c>
      <c r="E550" s="186" t="str">
        <f>IF(OR(C550="",C550=Data!$B$3),"",IF(C550=Data!$B$4,"L","S"))</f>
        <v/>
      </c>
      <c r="F550" s="186" t="str">
        <f t="shared" si="193"/>
        <v/>
      </c>
      <c r="G550" s="187" t="str">
        <f t="shared" si="184"/>
        <v/>
      </c>
      <c r="H550" s="188"/>
      <c r="I550" s="189" t="str">
        <f t="shared" si="194"/>
        <v/>
      </c>
      <c r="J550" s="189" t="str">
        <f t="shared" si="195"/>
        <v/>
      </c>
      <c r="K550" s="190" t="str">
        <f t="shared" si="196"/>
        <v/>
      </c>
      <c r="L550" s="190" t="str">
        <f t="shared" si="197"/>
        <v/>
      </c>
      <c r="M550" s="214"/>
      <c r="N550" s="214"/>
      <c r="O550" s="189" t="str">
        <f t="shared" si="198"/>
        <v/>
      </c>
      <c r="P550" s="191" t="str">
        <f t="shared" si="185"/>
        <v/>
      </c>
      <c r="Q550" s="192" t="str">
        <f t="shared" si="199"/>
        <v/>
      </c>
      <c r="R550" s="191" t="str">
        <f t="shared" si="186"/>
        <v/>
      </c>
      <c r="S550" s="193" t="str">
        <f t="shared" si="200"/>
        <v/>
      </c>
      <c r="T550" s="194" t="str">
        <f t="shared" si="187"/>
        <v/>
      </c>
      <c r="U550" s="192" t="str">
        <f t="shared" si="201"/>
        <v/>
      </c>
      <c r="V550" s="195" t="str">
        <f t="shared" si="188"/>
        <v/>
      </c>
      <c r="W550" s="195" t="str">
        <f t="shared" si="189"/>
        <v/>
      </c>
      <c r="X550" s="196" t="str">
        <f t="shared" si="202"/>
        <v/>
      </c>
      <c r="Y550" s="191" t="str">
        <f t="shared" si="204"/>
        <v/>
      </c>
      <c r="Z550" s="197" t="str">
        <f t="shared" si="190"/>
        <v/>
      </c>
      <c r="AA550" s="197" t="str">
        <f t="shared" si="191"/>
        <v/>
      </c>
      <c r="AB550" s="213"/>
      <c r="AC550" s="204"/>
    </row>
    <row r="551" spans="1:29" ht="11.4">
      <c r="A551" s="211" t="str">
        <f t="shared" si="203"/>
        <v/>
      </c>
      <c r="B551" s="211"/>
      <c r="C551" s="185"/>
      <c r="D551" s="186" t="str">
        <f t="shared" si="192"/>
        <v/>
      </c>
      <c r="E551" s="186" t="str">
        <f>IF(OR(C551="",C551=Data!$B$3),"",IF(C551=Data!$B$4,"L","S"))</f>
        <v/>
      </c>
      <c r="F551" s="186" t="str">
        <f t="shared" si="193"/>
        <v/>
      </c>
      <c r="G551" s="187" t="str">
        <f t="shared" si="184"/>
        <v/>
      </c>
      <c r="H551" s="188"/>
      <c r="I551" s="189" t="str">
        <f t="shared" si="194"/>
        <v/>
      </c>
      <c r="J551" s="189" t="str">
        <f t="shared" si="195"/>
        <v/>
      </c>
      <c r="K551" s="190" t="str">
        <f t="shared" si="196"/>
        <v/>
      </c>
      <c r="L551" s="190" t="str">
        <f t="shared" si="197"/>
        <v/>
      </c>
      <c r="M551" s="214"/>
      <c r="N551" s="214"/>
      <c r="O551" s="189" t="str">
        <f t="shared" si="198"/>
        <v/>
      </c>
      <c r="P551" s="191" t="str">
        <f t="shared" si="185"/>
        <v/>
      </c>
      <c r="Q551" s="192" t="str">
        <f t="shared" si="199"/>
        <v/>
      </c>
      <c r="R551" s="191" t="str">
        <f t="shared" si="186"/>
        <v/>
      </c>
      <c r="S551" s="193" t="str">
        <f t="shared" si="200"/>
        <v/>
      </c>
      <c r="T551" s="194" t="str">
        <f t="shared" si="187"/>
        <v/>
      </c>
      <c r="U551" s="192" t="str">
        <f t="shared" si="201"/>
        <v/>
      </c>
      <c r="V551" s="195" t="str">
        <f t="shared" si="188"/>
        <v/>
      </c>
      <c r="W551" s="195" t="str">
        <f t="shared" si="189"/>
        <v/>
      </c>
      <c r="X551" s="196" t="str">
        <f t="shared" si="202"/>
        <v/>
      </c>
      <c r="Y551" s="191" t="str">
        <f t="shared" si="204"/>
        <v/>
      </c>
      <c r="Z551" s="197" t="str">
        <f t="shared" si="190"/>
        <v/>
      </c>
      <c r="AA551" s="197" t="str">
        <f t="shared" si="191"/>
        <v/>
      </c>
      <c r="AB551" s="213"/>
      <c r="AC551" s="204"/>
    </row>
    <row r="552" spans="1:29" ht="11.4">
      <c r="A552" s="211" t="str">
        <f t="shared" si="203"/>
        <v/>
      </c>
      <c r="B552" s="211"/>
      <c r="C552" s="185"/>
      <c r="D552" s="186" t="str">
        <f t="shared" si="192"/>
        <v/>
      </c>
      <c r="E552" s="186" t="str">
        <f>IF(OR(C552="",C552=Data!$B$3),"",IF(C552=Data!$B$4,"L","S"))</f>
        <v/>
      </c>
      <c r="F552" s="186" t="str">
        <f t="shared" si="193"/>
        <v/>
      </c>
      <c r="G552" s="187" t="str">
        <f t="shared" si="184"/>
        <v/>
      </c>
      <c r="H552" s="188"/>
      <c r="I552" s="189" t="str">
        <f t="shared" si="194"/>
        <v/>
      </c>
      <c r="J552" s="189" t="str">
        <f t="shared" si="195"/>
        <v/>
      </c>
      <c r="K552" s="190" t="str">
        <f t="shared" si="196"/>
        <v/>
      </c>
      <c r="L552" s="190" t="str">
        <f t="shared" si="197"/>
        <v/>
      </c>
      <c r="M552" s="214"/>
      <c r="N552" s="214"/>
      <c r="O552" s="189" t="str">
        <f t="shared" si="198"/>
        <v/>
      </c>
      <c r="P552" s="191" t="str">
        <f t="shared" si="185"/>
        <v/>
      </c>
      <c r="Q552" s="192" t="str">
        <f t="shared" si="199"/>
        <v/>
      </c>
      <c r="R552" s="191" t="str">
        <f t="shared" si="186"/>
        <v/>
      </c>
      <c r="S552" s="193" t="str">
        <f t="shared" si="200"/>
        <v/>
      </c>
      <c r="T552" s="194" t="str">
        <f t="shared" si="187"/>
        <v/>
      </c>
      <c r="U552" s="192" t="str">
        <f t="shared" si="201"/>
        <v/>
      </c>
      <c r="V552" s="195" t="str">
        <f t="shared" si="188"/>
        <v/>
      </c>
      <c r="W552" s="195" t="str">
        <f t="shared" si="189"/>
        <v/>
      </c>
      <c r="X552" s="196" t="str">
        <f t="shared" si="202"/>
        <v/>
      </c>
      <c r="Y552" s="191" t="str">
        <f t="shared" si="204"/>
        <v/>
      </c>
      <c r="Z552" s="197" t="str">
        <f t="shared" si="190"/>
        <v/>
      </c>
      <c r="AA552" s="197" t="str">
        <f t="shared" si="191"/>
        <v/>
      </c>
      <c r="AB552" s="213"/>
      <c r="AC552" s="204"/>
    </row>
    <row r="553" spans="1:29" ht="11.4">
      <c r="A553" s="211" t="str">
        <f t="shared" si="203"/>
        <v/>
      </c>
      <c r="B553" s="211"/>
      <c r="C553" s="185"/>
      <c r="D553" s="186" t="str">
        <f t="shared" si="192"/>
        <v/>
      </c>
      <c r="E553" s="186" t="str">
        <f>IF(OR(C553="",C553=Data!$B$3),"",IF(C553=Data!$B$4,"L","S"))</f>
        <v/>
      </c>
      <c r="F553" s="186" t="str">
        <f t="shared" si="193"/>
        <v/>
      </c>
      <c r="G553" s="187" t="str">
        <f t="shared" si="184"/>
        <v/>
      </c>
      <c r="H553" s="188"/>
      <c r="I553" s="189" t="str">
        <f t="shared" si="194"/>
        <v/>
      </c>
      <c r="J553" s="189" t="str">
        <f t="shared" si="195"/>
        <v/>
      </c>
      <c r="K553" s="190" t="str">
        <f t="shared" si="196"/>
        <v/>
      </c>
      <c r="L553" s="190" t="str">
        <f t="shared" si="197"/>
        <v/>
      </c>
      <c r="M553" s="214"/>
      <c r="N553" s="214"/>
      <c r="O553" s="189" t="str">
        <f t="shared" si="198"/>
        <v/>
      </c>
      <c r="P553" s="191" t="str">
        <f t="shared" si="185"/>
        <v/>
      </c>
      <c r="Q553" s="192" t="str">
        <f t="shared" si="199"/>
        <v/>
      </c>
      <c r="R553" s="191" t="str">
        <f t="shared" si="186"/>
        <v/>
      </c>
      <c r="S553" s="193" t="str">
        <f t="shared" si="200"/>
        <v/>
      </c>
      <c r="T553" s="194" t="str">
        <f t="shared" si="187"/>
        <v/>
      </c>
      <c r="U553" s="192" t="str">
        <f t="shared" si="201"/>
        <v/>
      </c>
      <c r="V553" s="195" t="str">
        <f t="shared" si="188"/>
        <v/>
      </c>
      <c r="W553" s="195" t="str">
        <f t="shared" si="189"/>
        <v/>
      </c>
      <c r="X553" s="196" t="str">
        <f t="shared" si="202"/>
        <v/>
      </c>
      <c r="Y553" s="191" t="str">
        <f t="shared" si="204"/>
        <v/>
      </c>
      <c r="Z553" s="197" t="str">
        <f t="shared" si="190"/>
        <v/>
      </c>
      <c r="AA553" s="197" t="str">
        <f t="shared" si="191"/>
        <v/>
      </c>
      <c r="AB553" s="213"/>
      <c r="AC553" s="204"/>
    </row>
    <row r="554" spans="1:29" ht="11.4">
      <c r="A554" s="211" t="str">
        <f t="shared" si="203"/>
        <v/>
      </c>
      <c r="B554" s="211"/>
      <c r="C554" s="185"/>
      <c r="D554" s="186" t="str">
        <f t="shared" si="192"/>
        <v/>
      </c>
      <c r="E554" s="186" t="str">
        <f>IF(OR(C554="",C554=Data!$B$3),"",IF(C554=Data!$B$4,"L","S"))</f>
        <v/>
      </c>
      <c r="F554" s="186" t="str">
        <f t="shared" si="193"/>
        <v/>
      </c>
      <c r="G554" s="187" t="str">
        <f t="shared" si="184"/>
        <v/>
      </c>
      <c r="H554" s="188"/>
      <c r="I554" s="189" t="str">
        <f t="shared" si="194"/>
        <v/>
      </c>
      <c r="J554" s="189" t="str">
        <f t="shared" si="195"/>
        <v/>
      </c>
      <c r="K554" s="190" t="str">
        <f t="shared" si="196"/>
        <v/>
      </c>
      <c r="L554" s="190" t="str">
        <f t="shared" si="197"/>
        <v/>
      </c>
      <c r="M554" s="214"/>
      <c r="N554" s="214"/>
      <c r="O554" s="189" t="str">
        <f t="shared" si="198"/>
        <v/>
      </c>
      <c r="P554" s="191" t="str">
        <f t="shared" si="185"/>
        <v/>
      </c>
      <c r="Q554" s="192" t="str">
        <f t="shared" si="199"/>
        <v/>
      </c>
      <c r="R554" s="191" t="str">
        <f t="shared" si="186"/>
        <v/>
      </c>
      <c r="S554" s="193" t="str">
        <f t="shared" si="200"/>
        <v/>
      </c>
      <c r="T554" s="194" t="str">
        <f t="shared" si="187"/>
        <v/>
      </c>
      <c r="U554" s="192" t="str">
        <f t="shared" si="201"/>
        <v/>
      </c>
      <c r="V554" s="195" t="str">
        <f t="shared" si="188"/>
        <v/>
      </c>
      <c r="W554" s="195" t="str">
        <f t="shared" si="189"/>
        <v/>
      </c>
      <c r="X554" s="196" t="str">
        <f t="shared" si="202"/>
        <v/>
      </c>
      <c r="Y554" s="191" t="str">
        <f t="shared" si="204"/>
        <v/>
      </c>
      <c r="Z554" s="197" t="str">
        <f t="shared" si="190"/>
        <v/>
      </c>
      <c r="AA554" s="197" t="str">
        <f t="shared" si="191"/>
        <v/>
      </c>
      <c r="AB554" s="213"/>
      <c r="AC554" s="204"/>
    </row>
    <row r="555" spans="1:29" ht="11.4">
      <c r="A555" s="211" t="str">
        <f t="shared" si="203"/>
        <v/>
      </c>
      <c r="B555" s="211"/>
      <c r="C555" s="185"/>
      <c r="D555" s="186" t="str">
        <f t="shared" si="192"/>
        <v/>
      </c>
      <c r="E555" s="186" t="str">
        <f>IF(OR(C555="",C555=Data!$B$3),"",IF(C555=Data!$B$4,"L","S"))</f>
        <v/>
      </c>
      <c r="F555" s="186" t="str">
        <f t="shared" si="193"/>
        <v/>
      </c>
      <c r="G555" s="187" t="str">
        <f t="shared" si="184"/>
        <v/>
      </c>
      <c r="H555" s="188"/>
      <c r="I555" s="189" t="str">
        <f t="shared" si="194"/>
        <v/>
      </c>
      <c r="J555" s="189" t="str">
        <f t="shared" si="195"/>
        <v/>
      </c>
      <c r="K555" s="190" t="str">
        <f t="shared" si="196"/>
        <v/>
      </c>
      <c r="L555" s="190" t="str">
        <f t="shared" si="197"/>
        <v/>
      </c>
      <c r="M555" s="214"/>
      <c r="N555" s="214"/>
      <c r="O555" s="189" t="str">
        <f t="shared" si="198"/>
        <v/>
      </c>
      <c r="P555" s="191" t="str">
        <f t="shared" si="185"/>
        <v/>
      </c>
      <c r="Q555" s="192" t="str">
        <f t="shared" si="199"/>
        <v/>
      </c>
      <c r="R555" s="191" t="str">
        <f t="shared" si="186"/>
        <v/>
      </c>
      <c r="S555" s="193" t="str">
        <f t="shared" si="200"/>
        <v/>
      </c>
      <c r="T555" s="194" t="str">
        <f t="shared" si="187"/>
        <v/>
      </c>
      <c r="U555" s="192" t="str">
        <f t="shared" si="201"/>
        <v/>
      </c>
      <c r="V555" s="195" t="str">
        <f t="shared" si="188"/>
        <v/>
      </c>
      <c r="W555" s="195" t="str">
        <f t="shared" si="189"/>
        <v/>
      </c>
      <c r="X555" s="196" t="str">
        <f t="shared" si="202"/>
        <v/>
      </c>
      <c r="Y555" s="191" t="str">
        <f t="shared" si="204"/>
        <v/>
      </c>
      <c r="Z555" s="197" t="str">
        <f t="shared" si="190"/>
        <v/>
      </c>
      <c r="AA555" s="197" t="str">
        <f t="shared" si="191"/>
        <v/>
      </c>
      <c r="AB555" s="213"/>
      <c r="AC555" s="204"/>
    </row>
    <row r="556" spans="1:29" ht="11.4">
      <c r="A556" s="211" t="str">
        <f t="shared" si="203"/>
        <v/>
      </c>
      <c r="B556" s="211"/>
      <c r="C556" s="185"/>
      <c r="D556" s="186" t="str">
        <f t="shared" si="192"/>
        <v/>
      </c>
      <c r="E556" s="186" t="str">
        <f>IF(OR(C556="",C556=Data!$B$3),"",IF(C556=Data!$B$4,"L","S"))</f>
        <v/>
      </c>
      <c r="F556" s="186" t="str">
        <f t="shared" si="193"/>
        <v/>
      </c>
      <c r="G556" s="187" t="str">
        <f t="shared" si="184"/>
        <v/>
      </c>
      <c r="H556" s="188"/>
      <c r="I556" s="189" t="str">
        <f t="shared" si="194"/>
        <v/>
      </c>
      <c r="J556" s="189" t="str">
        <f t="shared" si="195"/>
        <v/>
      </c>
      <c r="K556" s="190" t="str">
        <f t="shared" si="196"/>
        <v/>
      </c>
      <c r="L556" s="190" t="str">
        <f t="shared" si="197"/>
        <v/>
      </c>
      <c r="M556" s="214"/>
      <c r="N556" s="214"/>
      <c r="O556" s="189" t="str">
        <f t="shared" si="198"/>
        <v/>
      </c>
      <c r="P556" s="191" t="str">
        <f t="shared" si="185"/>
        <v/>
      </c>
      <c r="Q556" s="192" t="str">
        <f t="shared" si="199"/>
        <v/>
      </c>
      <c r="R556" s="191" t="str">
        <f t="shared" si="186"/>
        <v/>
      </c>
      <c r="S556" s="193" t="str">
        <f t="shared" si="200"/>
        <v/>
      </c>
      <c r="T556" s="194" t="str">
        <f t="shared" si="187"/>
        <v/>
      </c>
      <c r="U556" s="192" t="str">
        <f t="shared" si="201"/>
        <v/>
      </c>
      <c r="V556" s="195" t="str">
        <f t="shared" si="188"/>
        <v/>
      </c>
      <c r="W556" s="195" t="str">
        <f t="shared" si="189"/>
        <v/>
      </c>
      <c r="X556" s="196" t="str">
        <f t="shared" si="202"/>
        <v/>
      </c>
      <c r="Y556" s="191" t="str">
        <f t="shared" si="204"/>
        <v/>
      </c>
      <c r="Z556" s="197" t="str">
        <f t="shared" si="190"/>
        <v/>
      </c>
      <c r="AA556" s="197" t="str">
        <f t="shared" si="191"/>
        <v/>
      </c>
      <c r="AB556" s="213"/>
      <c r="AC556" s="204"/>
    </row>
    <row r="557" spans="1:29" ht="11.4">
      <c r="A557" s="211" t="str">
        <f t="shared" si="203"/>
        <v/>
      </c>
      <c r="B557" s="211"/>
      <c r="C557" s="185"/>
      <c r="D557" s="186" t="str">
        <f t="shared" si="192"/>
        <v/>
      </c>
      <c r="E557" s="186" t="str">
        <f>IF(OR(C557="",C557=Data!$B$3),"",IF(C557=Data!$B$4,"L","S"))</f>
        <v/>
      </c>
      <c r="F557" s="186" t="str">
        <f t="shared" si="193"/>
        <v/>
      </c>
      <c r="G557" s="187" t="str">
        <f t="shared" si="184"/>
        <v/>
      </c>
      <c r="H557" s="188"/>
      <c r="I557" s="189" t="str">
        <f t="shared" si="194"/>
        <v/>
      </c>
      <c r="J557" s="189" t="str">
        <f t="shared" si="195"/>
        <v/>
      </c>
      <c r="K557" s="190" t="str">
        <f t="shared" si="196"/>
        <v/>
      </c>
      <c r="L557" s="190" t="str">
        <f t="shared" si="197"/>
        <v/>
      </c>
      <c r="M557" s="214"/>
      <c r="N557" s="214"/>
      <c r="O557" s="189" t="str">
        <f t="shared" si="198"/>
        <v/>
      </c>
      <c r="P557" s="191" t="str">
        <f t="shared" si="185"/>
        <v/>
      </c>
      <c r="Q557" s="192" t="str">
        <f t="shared" si="199"/>
        <v/>
      </c>
      <c r="R557" s="191" t="str">
        <f t="shared" si="186"/>
        <v/>
      </c>
      <c r="S557" s="193" t="str">
        <f t="shared" si="200"/>
        <v/>
      </c>
      <c r="T557" s="194" t="str">
        <f t="shared" si="187"/>
        <v/>
      </c>
      <c r="U557" s="192" t="str">
        <f t="shared" si="201"/>
        <v/>
      </c>
      <c r="V557" s="195" t="str">
        <f t="shared" si="188"/>
        <v/>
      </c>
      <c r="W557" s="195" t="str">
        <f t="shared" si="189"/>
        <v/>
      </c>
      <c r="X557" s="196" t="str">
        <f t="shared" si="202"/>
        <v/>
      </c>
      <c r="Y557" s="191" t="str">
        <f t="shared" si="204"/>
        <v/>
      </c>
      <c r="Z557" s="197" t="str">
        <f t="shared" si="190"/>
        <v/>
      </c>
      <c r="AA557" s="197" t="str">
        <f t="shared" si="191"/>
        <v/>
      </c>
      <c r="AB557" s="213"/>
      <c r="AC557" s="204"/>
    </row>
    <row r="558" spans="1:29" ht="11.4">
      <c r="A558" s="211" t="str">
        <f t="shared" si="203"/>
        <v/>
      </c>
      <c r="B558" s="211"/>
      <c r="C558" s="185"/>
      <c r="D558" s="186" t="str">
        <f t="shared" si="192"/>
        <v/>
      </c>
      <c r="E558" s="186" t="str">
        <f>IF(OR(C558="",C558=Data!$B$3),"",IF(C558=Data!$B$4,"L","S"))</f>
        <v/>
      </c>
      <c r="F558" s="186" t="str">
        <f t="shared" si="193"/>
        <v/>
      </c>
      <c r="G558" s="187" t="str">
        <f t="shared" si="184"/>
        <v/>
      </c>
      <c r="H558" s="188"/>
      <c r="I558" s="189" t="str">
        <f t="shared" si="194"/>
        <v/>
      </c>
      <c r="J558" s="189" t="str">
        <f t="shared" si="195"/>
        <v/>
      </c>
      <c r="K558" s="190" t="str">
        <f t="shared" si="196"/>
        <v/>
      </c>
      <c r="L558" s="190" t="str">
        <f t="shared" si="197"/>
        <v/>
      </c>
      <c r="M558" s="214"/>
      <c r="N558" s="214"/>
      <c r="O558" s="189" t="str">
        <f t="shared" si="198"/>
        <v/>
      </c>
      <c r="P558" s="191" t="str">
        <f t="shared" si="185"/>
        <v/>
      </c>
      <c r="Q558" s="192" t="str">
        <f t="shared" si="199"/>
        <v/>
      </c>
      <c r="R558" s="191" t="str">
        <f t="shared" si="186"/>
        <v/>
      </c>
      <c r="S558" s="193" t="str">
        <f t="shared" si="200"/>
        <v/>
      </c>
      <c r="T558" s="194" t="str">
        <f t="shared" si="187"/>
        <v/>
      </c>
      <c r="U558" s="192" t="str">
        <f t="shared" si="201"/>
        <v/>
      </c>
      <c r="V558" s="195" t="str">
        <f t="shared" si="188"/>
        <v/>
      </c>
      <c r="W558" s="195" t="str">
        <f t="shared" si="189"/>
        <v/>
      </c>
      <c r="X558" s="196" t="str">
        <f t="shared" si="202"/>
        <v/>
      </c>
      <c r="Y558" s="191" t="str">
        <f t="shared" si="204"/>
        <v/>
      </c>
      <c r="Z558" s="197" t="str">
        <f t="shared" si="190"/>
        <v/>
      </c>
      <c r="AA558" s="197" t="str">
        <f t="shared" si="191"/>
        <v/>
      </c>
      <c r="AB558" s="213"/>
      <c r="AC558" s="204"/>
    </row>
    <row r="559" spans="1:29" ht="11.4">
      <c r="A559" s="211" t="str">
        <f t="shared" si="203"/>
        <v/>
      </c>
      <c r="B559" s="211"/>
      <c r="C559" s="185"/>
      <c r="D559" s="186" t="str">
        <f t="shared" si="192"/>
        <v/>
      </c>
      <c r="E559" s="186" t="str">
        <f>IF(OR(C559="",C559=Data!$B$3),"",IF(C559=Data!$B$4,"L","S"))</f>
        <v/>
      </c>
      <c r="F559" s="186" t="str">
        <f t="shared" si="193"/>
        <v/>
      </c>
      <c r="G559" s="187" t="str">
        <f t="shared" si="184"/>
        <v/>
      </c>
      <c r="H559" s="188"/>
      <c r="I559" s="189" t="str">
        <f t="shared" si="194"/>
        <v/>
      </c>
      <c r="J559" s="189" t="str">
        <f t="shared" si="195"/>
        <v/>
      </c>
      <c r="K559" s="190" t="str">
        <f t="shared" si="196"/>
        <v/>
      </c>
      <c r="L559" s="190" t="str">
        <f t="shared" si="197"/>
        <v/>
      </c>
      <c r="M559" s="214"/>
      <c r="N559" s="214"/>
      <c r="O559" s="189" t="str">
        <f t="shared" si="198"/>
        <v/>
      </c>
      <c r="P559" s="191" t="str">
        <f t="shared" si="185"/>
        <v/>
      </c>
      <c r="Q559" s="192" t="str">
        <f t="shared" si="199"/>
        <v/>
      </c>
      <c r="R559" s="191" t="str">
        <f t="shared" si="186"/>
        <v/>
      </c>
      <c r="S559" s="193" t="str">
        <f t="shared" si="200"/>
        <v/>
      </c>
      <c r="T559" s="194" t="str">
        <f t="shared" si="187"/>
        <v/>
      </c>
      <c r="U559" s="192" t="str">
        <f t="shared" si="201"/>
        <v/>
      </c>
      <c r="V559" s="195" t="str">
        <f t="shared" si="188"/>
        <v/>
      </c>
      <c r="W559" s="195" t="str">
        <f t="shared" si="189"/>
        <v/>
      </c>
      <c r="X559" s="196" t="str">
        <f t="shared" si="202"/>
        <v/>
      </c>
      <c r="Y559" s="191" t="str">
        <f t="shared" si="204"/>
        <v/>
      </c>
      <c r="Z559" s="197" t="str">
        <f t="shared" si="190"/>
        <v/>
      </c>
      <c r="AA559" s="197" t="str">
        <f t="shared" si="191"/>
        <v/>
      </c>
      <c r="AB559" s="213"/>
      <c r="AC559" s="204"/>
    </row>
    <row r="560" spans="1:29" ht="11.4">
      <c r="A560" s="211" t="str">
        <f t="shared" si="203"/>
        <v/>
      </c>
      <c r="B560" s="211"/>
      <c r="C560" s="185"/>
      <c r="D560" s="186" t="str">
        <f t="shared" si="192"/>
        <v/>
      </c>
      <c r="E560" s="186" t="str">
        <f>IF(OR(C560="",C560=Data!$B$3),"",IF(C560=Data!$B$4,"L","S"))</f>
        <v/>
      </c>
      <c r="F560" s="186" t="str">
        <f t="shared" si="193"/>
        <v/>
      </c>
      <c r="G560" s="187" t="str">
        <f t="shared" si="184"/>
        <v/>
      </c>
      <c r="H560" s="188"/>
      <c r="I560" s="189" t="str">
        <f t="shared" si="194"/>
        <v/>
      </c>
      <c r="J560" s="189" t="str">
        <f t="shared" si="195"/>
        <v/>
      </c>
      <c r="K560" s="190" t="str">
        <f t="shared" si="196"/>
        <v/>
      </c>
      <c r="L560" s="190" t="str">
        <f t="shared" si="197"/>
        <v/>
      </c>
      <c r="M560" s="214"/>
      <c r="N560" s="214"/>
      <c r="O560" s="189" t="str">
        <f t="shared" si="198"/>
        <v/>
      </c>
      <c r="P560" s="191" t="str">
        <f t="shared" si="185"/>
        <v/>
      </c>
      <c r="Q560" s="192" t="str">
        <f t="shared" si="199"/>
        <v/>
      </c>
      <c r="R560" s="191" t="str">
        <f t="shared" si="186"/>
        <v/>
      </c>
      <c r="S560" s="193" t="str">
        <f t="shared" si="200"/>
        <v/>
      </c>
      <c r="T560" s="194" t="str">
        <f t="shared" si="187"/>
        <v/>
      </c>
      <c r="U560" s="192" t="str">
        <f t="shared" si="201"/>
        <v/>
      </c>
      <c r="V560" s="195" t="str">
        <f t="shared" si="188"/>
        <v/>
      </c>
      <c r="W560" s="195" t="str">
        <f t="shared" si="189"/>
        <v/>
      </c>
      <c r="X560" s="196" t="str">
        <f t="shared" si="202"/>
        <v/>
      </c>
      <c r="Y560" s="191" t="str">
        <f t="shared" si="204"/>
        <v/>
      </c>
      <c r="Z560" s="197" t="str">
        <f t="shared" si="190"/>
        <v/>
      </c>
      <c r="AA560" s="197" t="str">
        <f t="shared" si="191"/>
        <v/>
      </c>
      <c r="AB560" s="213"/>
      <c r="AC560" s="204"/>
    </row>
    <row r="561" spans="1:29" ht="11.4">
      <c r="A561" s="211" t="str">
        <f t="shared" si="203"/>
        <v/>
      </c>
      <c r="B561" s="211"/>
      <c r="C561" s="185"/>
      <c r="D561" s="186" t="str">
        <f t="shared" si="192"/>
        <v/>
      </c>
      <c r="E561" s="186" t="str">
        <f>IF(OR(C561="",C561=Data!$B$3),"",IF(C561=Data!$B$4,"L","S"))</f>
        <v/>
      </c>
      <c r="F561" s="186" t="str">
        <f t="shared" si="193"/>
        <v/>
      </c>
      <c r="G561" s="187" t="str">
        <f t="shared" si="184"/>
        <v/>
      </c>
      <c r="H561" s="188"/>
      <c r="I561" s="189" t="str">
        <f t="shared" si="194"/>
        <v/>
      </c>
      <c r="J561" s="189" t="str">
        <f t="shared" si="195"/>
        <v/>
      </c>
      <c r="K561" s="190" t="str">
        <f t="shared" si="196"/>
        <v/>
      </c>
      <c r="L561" s="190" t="str">
        <f t="shared" si="197"/>
        <v/>
      </c>
      <c r="M561" s="214"/>
      <c r="N561" s="214"/>
      <c r="O561" s="189" t="str">
        <f t="shared" si="198"/>
        <v/>
      </c>
      <c r="P561" s="191" t="str">
        <f t="shared" si="185"/>
        <v/>
      </c>
      <c r="Q561" s="192" t="str">
        <f t="shared" si="199"/>
        <v/>
      </c>
      <c r="R561" s="191" t="str">
        <f t="shared" si="186"/>
        <v/>
      </c>
      <c r="S561" s="193" t="str">
        <f t="shared" si="200"/>
        <v/>
      </c>
      <c r="T561" s="194" t="str">
        <f t="shared" si="187"/>
        <v/>
      </c>
      <c r="U561" s="192" t="str">
        <f t="shared" si="201"/>
        <v/>
      </c>
      <c r="V561" s="195" t="str">
        <f t="shared" si="188"/>
        <v/>
      </c>
      <c r="W561" s="195" t="str">
        <f t="shared" si="189"/>
        <v/>
      </c>
      <c r="X561" s="196" t="str">
        <f t="shared" si="202"/>
        <v/>
      </c>
      <c r="Y561" s="191" t="str">
        <f t="shared" si="204"/>
        <v/>
      </c>
      <c r="Z561" s="197" t="str">
        <f t="shared" si="190"/>
        <v/>
      </c>
      <c r="AA561" s="197" t="str">
        <f t="shared" si="191"/>
        <v/>
      </c>
      <c r="AB561" s="213"/>
      <c r="AC561" s="204"/>
    </row>
    <row r="562" spans="1:29" ht="11.4">
      <c r="A562" s="211" t="str">
        <f t="shared" si="203"/>
        <v/>
      </c>
      <c r="B562" s="211"/>
      <c r="C562" s="185"/>
      <c r="D562" s="186" t="str">
        <f t="shared" si="192"/>
        <v/>
      </c>
      <c r="E562" s="186" t="str">
        <f>IF(OR(C562="",C562=Data!$B$3),"",IF(C562=Data!$B$4,"L","S"))</f>
        <v/>
      </c>
      <c r="F562" s="186" t="str">
        <f t="shared" si="193"/>
        <v/>
      </c>
      <c r="G562" s="187" t="str">
        <f t="shared" si="184"/>
        <v/>
      </c>
      <c r="H562" s="188"/>
      <c r="I562" s="189" t="str">
        <f t="shared" si="194"/>
        <v/>
      </c>
      <c r="J562" s="189" t="str">
        <f t="shared" si="195"/>
        <v/>
      </c>
      <c r="K562" s="190" t="str">
        <f t="shared" si="196"/>
        <v/>
      </c>
      <c r="L562" s="190" t="str">
        <f t="shared" si="197"/>
        <v/>
      </c>
      <c r="M562" s="214"/>
      <c r="N562" s="214"/>
      <c r="O562" s="189" t="str">
        <f t="shared" si="198"/>
        <v/>
      </c>
      <c r="P562" s="191" t="str">
        <f t="shared" si="185"/>
        <v/>
      </c>
      <c r="Q562" s="192" t="str">
        <f t="shared" si="199"/>
        <v/>
      </c>
      <c r="R562" s="191" t="str">
        <f t="shared" si="186"/>
        <v/>
      </c>
      <c r="S562" s="193" t="str">
        <f t="shared" si="200"/>
        <v/>
      </c>
      <c r="T562" s="194" t="str">
        <f t="shared" si="187"/>
        <v/>
      </c>
      <c r="U562" s="192" t="str">
        <f t="shared" si="201"/>
        <v/>
      </c>
      <c r="V562" s="195" t="str">
        <f t="shared" si="188"/>
        <v/>
      </c>
      <c r="W562" s="195" t="str">
        <f t="shared" si="189"/>
        <v/>
      </c>
      <c r="X562" s="196" t="str">
        <f t="shared" si="202"/>
        <v/>
      </c>
      <c r="Y562" s="191" t="str">
        <f t="shared" si="204"/>
        <v/>
      </c>
      <c r="Z562" s="197" t="str">
        <f t="shared" si="190"/>
        <v/>
      </c>
      <c r="AA562" s="197" t="str">
        <f t="shared" si="191"/>
        <v/>
      </c>
      <c r="AB562" s="213"/>
      <c r="AC562" s="204"/>
    </row>
    <row r="563" spans="1:29" ht="11.4">
      <c r="A563" s="211" t="str">
        <f t="shared" si="203"/>
        <v/>
      </c>
      <c r="B563" s="211"/>
      <c r="C563" s="185"/>
      <c r="D563" s="186" t="str">
        <f t="shared" si="192"/>
        <v/>
      </c>
      <c r="E563" s="186" t="str">
        <f>IF(OR(C563="",C563=Data!$B$3),"",IF(C563=Data!$B$4,"L","S"))</f>
        <v/>
      </c>
      <c r="F563" s="186" t="str">
        <f t="shared" si="193"/>
        <v/>
      </c>
      <c r="G563" s="187" t="str">
        <f t="shared" si="184"/>
        <v/>
      </c>
      <c r="H563" s="188"/>
      <c r="I563" s="189" t="str">
        <f t="shared" si="194"/>
        <v/>
      </c>
      <c r="J563" s="189" t="str">
        <f t="shared" si="195"/>
        <v/>
      </c>
      <c r="K563" s="190" t="str">
        <f t="shared" si="196"/>
        <v/>
      </c>
      <c r="L563" s="190" t="str">
        <f t="shared" si="197"/>
        <v/>
      </c>
      <c r="M563" s="214"/>
      <c r="N563" s="214"/>
      <c r="O563" s="189" t="str">
        <f t="shared" si="198"/>
        <v/>
      </c>
      <c r="P563" s="191" t="str">
        <f t="shared" si="185"/>
        <v/>
      </c>
      <c r="Q563" s="192" t="str">
        <f t="shared" si="199"/>
        <v/>
      </c>
      <c r="R563" s="191" t="str">
        <f t="shared" si="186"/>
        <v/>
      </c>
      <c r="S563" s="193" t="str">
        <f t="shared" si="200"/>
        <v/>
      </c>
      <c r="T563" s="194" t="str">
        <f t="shared" si="187"/>
        <v/>
      </c>
      <c r="U563" s="192" t="str">
        <f t="shared" si="201"/>
        <v/>
      </c>
      <c r="V563" s="195" t="str">
        <f t="shared" si="188"/>
        <v/>
      </c>
      <c r="W563" s="195" t="str">
        <f t="shared" si="189"/>
        <v/>
      </c>
      <c r="X563" s="196" t="str">
        <f t="shared" si="202"/>
        <v/>
      </c>
      <c r="Y563" s="191" t="str">
        <f t="shared" si="204"/>
        <v/>
      </c>
      <c r="Z563" s="197" t="str">
        <f t="shared" si="190"/>
        <v/>
      </c>
      <c r="AA563" s="197" t="str">
        <f t="shared" si="191"/>
        <v/>
      </c>
      <c r="AB563" s="213"/>
      <c r="AC563" s="204"/>
    </row>
    <row r="564" spans="1:29" ht="11.4">
      <c r="A564" s="211" t="str">
        <f t="shared" si="203"/>
        <v/>
      </c>
      <c r="B564" s="211"/>
      <c r="C564" s="185"/>
      <c r="D564" s="186" t="str">
        <f t="shared" si="192"/>
        <v/>
      </c>
      <c r="E564" s="186" t="str">
        <f>IF(OR(C564="",C564=Data!$B$3),"",IF(C564=Data!$B$4,"L","S"))</f>
        <v/>
      </c>
      <c r="F564" s="186" t="str">
        <f t="shared" si="193"/>
        <v/>
      </c>
      <c r="G564" s="187" t="str">
        <f t="shared" si="184"/>
        <v/>
      </c>
      <c r="H564" s="188"/>
      <c r="I564" s="189" t="str">
        <f t="shared" si="194"/>
        <v/>
      </c>
      <c r="J564" s="189" t="str">
        <f t="shared" si="195"/>
        <v/>
      </c>
      <c r="K564" s="190" t="str">
        <f t="shared" si="196"/>
        <v/>
      </c>
      <c r="L564" s="190" t="str">
        <f t="shared" si="197"/>
        <v/>
      </c>
      <c r="M564" s="214"/>
      <c r="N564" s="214"/>
      <c r="O564" s="189" t="str">
        <f t="shared" si="198"/>
        <v/>
      </c>
      <c r="P564" s="191" t="str">
        <f t="shared" si="185"/>
        <v/>
      </c>
      <c r="Q564" s="192" t="str">
        <f t="shared" si="199"/>
        <v/>
      </c>
      <c r="R564" s="191" t="str">
        <f t="shared" si="186"/>
        <v/>
      </c>
      <c r="S564" s="193" t="str">
        <f t="shared" si="200"/>
        <v/>
      </c>
      <c r="T564" s="194" t="str">
        <f t="shared" si="187"/>
        <v/>
      </c>
      <c r="U564" s="192" t="str">
        <f t="shared" si="201"/>
        <v/>
      </c>
      <c r="V564" s="195" t="str">
        <f t="shared" si="188"/>
        <v/>
      </c>
      <c r="W564" s="195" t="str">
        <f t="shared" si="189"/>
        <v/>
      </c>
      <c r="X564" s="196" t="str">
        <f t="shared" si="202"/>
        <v/>
      </c>
      <c r="Y564" s="191" t="str">
        <f t="shared" si="204"/>
        <v/>
      </c>
      <c r="Z564" s="197" t="str">
        <f t="shared" si="190"/>
        <v/>
      </c>
      <c r="AA564" s="197" t="str">
        <f t="shared" si="191"/>
        <v/>
      </c>
      <c r="AB564" s="213"/>
      <c r="AC564" s="204"/>
    </row>
    <row r="565" spans="1:29" ht="11.4">
      <c r="A565" s="211" t="str">
        <f t="shared" si="203"/>
        <v/>
      </c>
      <c r="B565" s="211"/>
      <c r="C565" s="185"/>
      <c r="D565" s="186" t="str">
        <f t="shared" si="192"/>
        <v/>
      </c>
      <c r="E565" s="186" t="str">
        <f>IF(OR(C565="",C565=Data!$B$3),"",IF(C565=Data!$B$4,"L","S"))</f>
        <v/>
      </c>
      <c r="F565" s="186" t="str">
        <f t="shared" si="193"/>
        <v/>
      </c>
      <c r="G565" s="187" t="str">
        <f t="shared" si="184"/>
        <v/>
      </c>
      <c r="H565" s="188"/>
      <c r="I565" s="189" t="str">
        <f t="shared" si="194"/>
        <v/>
      </c>
      <c r="J565" s="189" t="str">
        <f t="shared" si="195"/>
        <v/>
      </c>
      <c r="K565" s="190" t="str">
        <f t="shared" si="196"/>
        <v/>
      </c>
      <c r="L565" s="190" t="str">
        <f t="shared" si="197"/>
        <v/>
      </c>
      <c r="M565" s="214"/>
      <c r="N565" s="214"/>
      <c r="O565" s="189" t="str">
        <f t="shared" si="198"/>
        <v/>
      </c>
      <c r="P565" s="191" t="str">
        <f t="shared" si="185"/>
        <v/>
      </c>
      <c r="Q565" s="192" t="str">
        <f t="shared" si="199"/>
        <v/>
      </c>
      <c r="R565" s="191" t="str">
        <f t="shared" si="186"/>
        <v/>
      </c>
      <c r="S565" s="193" t="str">
        <f t="shared" si="200"/>
        <v/>
      </c>
      <c r="T565" s="194" t="str">
        <f t="shared" si="187"/>
        <v/>
      </c>
      <c r="U565" s="192" t="str">
        <f t="shared" si="201"/>
        <v/>
      </c>
      <c r="V565" s="195" t="str">
        <f t="shared" si="188"/>
        <v/>
      </c>
      <c r="W565" s="195" t="str">
        <f t="shared" si="189"/>
        <v/>
      </c>
      <c r="X565" s="196" t="str">
        <f t="shared" si="202"/>
        <v/>
      </c>
      <c r="Y565" s="191" t="str">
        <f t="shared" si="204"/>
        <v/>
      </c>
      <c r="Z565" s="197" t="str">
        <f t="shared" si="190"/>
        <v/>
      </c>
      <c r="AA565" s="197" t="str">
        <f t="shared" si="191"/>
        <v/>
      </c>
      <c r="AB565" s="213"/>
      <c r="AC565" s="204"/>
    </row>
    <row r="566" spans="1:29" ht="11.4">
      <c r="A566" s="211" t="str">
        <f t="shared" si="203"/>
        <v/>
      </c>
      <c r="B566" s="211"/>
      <c r="C566" s="185"/>
      <c r="D566" s="186" t="str">
        <f t="shared" si="192"/>
        <v/>
      </c>
      <c r="E566" s="186" t="str">
        <f>IF(OR(C566="",C566=Data!$B$3),"",IF(C566=Data!$B$4,"L","S"))</f>
        <v/>
      </c>
      <c r="F566" s="186" t="str">
        <f t="shared" si="193"/>
        <v/>
      </c>
      <c r="G566" s="187" t="str">
        <f t="shared" si="184"/>
        <v/>
      </c>
      <c r="H566" s="188"/>
      <c r="I566" s="189" t="str">
        <f t="shared" si="194"/>
        <v/>
      </c>
      <c r="J566" s="189" t="str">
        <f t="shared" si="195"/>
        <v/>
      </c>
      <c r="K566" s="190" t="str">
        <f t="shared" si="196"/>
        <v/>
      </c>
      <c r="L566" s="190" t="str">
        <f t="shared" si="197"/>
        <v/>
      </c>
      <c r="M566" s="214"/>
      <c r="N566" s="214"/>
      <c r="O566" s="189" t="str">
        <f t="shared" si="198"/>
        <v/>
      </c>
      <c r="P566" s="191" t="str">
        <f t="shared" si="185"/>
        <v/>
      </c>
      <c r="Q566" s="192" t="str">
        <f t="shared" si="199"/>
        <v/>
      </c>
      <c r="R566" s="191" t="str">
        <f t="shared" si="186"/>
        <v/>
      </c>
      <c r="S566" s="193" t="str">
        <f t="shared" si="200"/>
        <v/>
      </c>
      <c r="T566" s="194" t="str">
        <f t="shared" si="187"/>
        <v/>
      </c>
      <c r="U566" s="192" t="str">
        <f t="shared" si="201"/>
        <v/>
      </c>
      <c r="V566" s="195" t="str">
        <f t="shared" si="188"/>
        <v/>
      </c>
      <c r="W566" s="195" t="str">
        <f t="shared" si="189"/>
        <v/>
      </c>
      <c r="X566" s="196" t="str">
        <f t="shared" si="202"/>
        <v/>
      </c>
      <c r="Y566" s="191" t="str">
        <f t="shared" si="204"/>
        <v/>
      </c>
      <c r="Z566" s="197" t="str">
        <f t="shared" si="190"/>
        <v/>
      </c>
      <c r="AA566" s="197" t="str">
        <f t="shared" si="191"/>
        <v/>
      </c>
      <c r="AB566" s="213"/>
      <c r="AC566" s="204"/>
    </row>
    <row r="567" spans="1:29" ht="11.4">
      <c r="A567" s="211" t="str">
        <f t="shared" si="203"/>
        <v/>
      </c>
      <c r="B567" s="211"/>
      <c r="C567" s="185"/>
      <c r="D567" s="186" t="str">
        <f t="shared" si="192"/>
        <v/>
      </c>
      <c r="E567" s="186" t="str">
        <f>IF(OR(C567="",C567=Data!$B$3),"",IF(C567=Data!$B$4,"L","S"))</f>
        <v/>
      </c>
      <c r="F567" s="186" t="str">
        <f t="shared" si="193"/>
        <v/>
      </c>
      <c r="G567" s="187" t="str">
        <f t="shared" si="184"/>
        <v/>
      </c>
      <c r="H567" s="188"/>
      <c r="I567" s="189" t="str">
        <f t="shared" si="194"/>
        <v/>
      </c>
      <c r="J567" s="189" t="str">
        <f t="shared" si="195"/>
        <v/>
      </c>
      <c r="K567" s="190" t="str">
        <f t="shared" si="196"/>
        <v/>
      </c>
      <c r="L567" s="190" t="str">
        <f t="shared" si="197"/>
        <v/>
      </c>
      <c r="M567" s="214"/>
      <c r="N567" s="214"/>
      <c r="O567" s="189" t="str">
        <f t="shared" si="198"/>
        <v/>
      </c>
      <c r="P567" s="191" t="str">
        <f t="shared" si="185"/>
        <v/>
      </c>
      <c r="Q567" s="192" t="str">
        <f t="shared" si="199"/>
        <v/>
      </c>
      <c r="R567" s="191" t="str">
        <f t="shared" si="186"/>
        <v/>
      </c>
      <c r="S567" s="193" t="str">
        <f t="shared" si="200"/>
        <v/>
      </c>
      <c r="T567" s="194" t="str">
        <f t="shared" si="187"/>
        <v/>
      </c>
      <c r="U567" s="192" t="str">
        <f t="shared" si="201"/>
        <v/>
      </c>
      <c r="V567" s="195" t="str">
        <f t="shared" si="188"/>
        <v/>
      </c>
      <c r="W567" s="195" t="str">
        <f t="shared" si="189"/>
        <v/>
      </c>
      <c r="X567" s="196" t="str">
        <f t="shared" si="202"/>
        <v/>
      </c>
      <c r="Y567" s="191" t="str">
        <f t="shared" si="204"/>
        <v/>
      </c>
      <c r="Z567" s="197" t="str">
        <f t="shared" si="190"/>
        <v/>
      </c>
      <c r="AA567" s="197" t="str">
        <f t="shared" si="191"/>
        <v/>
      </c>
      <c r="AB567" s="213"/>
      <c r="AC567" s="204"/>
    </row>
    <row r="568" spans="1:29" ht="11.4">
      <c r="A568" s="211" t="str">
        <f t="shared" si="203"/>
        <v/>
      </c>
      <c r="B568" s="211"/>
      <c r="C568" s="185"/>
      <c r="D568" s="186" t="str">
        <f t="shared" si="192"/>
        <v/>
      </c>
      <c r="E568" s="186" t="str">
        <f>IF(OR(C568="",C568=Data!$B$3),"",IF(C568=Data!$B$4,"L","S"))</f>
        <v/>
      </c>
      <c r="F568" s="186" t="str">
        <f t="shared" si="193"/>
        <v/>
      </c>
      <c r="G568" s="187" t="str">
        <f t="shared" si="184"/>
        <v/>
      </c>
      <c r="H568" s="188"/>
      <c r="I568" s="189" t="str">
        <f t="shared" si="194"/>
        <v/>
      </c>
      <c r="J568" s="189" t="str">
        <f t="shared" si="195"/>
        <v/>
      </c>
      <c r="K568" s="190" t="str">
        <f t="shared" si="196"/>
        <v/>
      </c>
      <c r="L568" s="190" t="str">
        <f t="shared" si="197"/>
        <v/>
      </c>
      <c r="M568" s="214"/>
      <c r="N568" s="214"/>
      <c r="O568" s="189" t="str">
        <f t="shared" si="198"/>
        <v/>
      </c>
      <c r="P568" s="191" t="str">
        <f t="shared" si="185"/>
        <v/>
      </c>
      <c r="Q568" s="192" t="str">
        <f t="shared" si="199"/>
        <v/>
      </c>
      <c r="R568" s="191" t="str">
        <f t="shared" si="186"/>
        <v/>
      </c>
      <c r="S568" s="193" t="str">
        <f t="shared" si="200"/>
        <v/>
      </c>
      <c r="T568" s="194" t="str">
        <f t="shared" si="187"/>
        <v/>
      </c>
      <c r="U568" s="192" t="str">
        <f t="shared" si="201"/>
        <v/>
      </c>
      <c r="V568" s="195" t="str">
        <f t="shared" si="188"/>
        <v/>
      </c>
      <c r="W568" s="195" t="str">
        <f t="shared" si="189"/>
        <v/>
      </c>
      <c r="X568" s="196" t="str">
        <f t="shared" si="202"/>
        <v/>
      </c>
      <c r="Y568" s="191" t="str">
        <f t="shared" si="204"/>
        <v/>
      </c>
      <c r="Z568" s="197" t="str">
        <f t="shared" si="190"/>
        <v/>
      </c>
      <c r="AA568" s="197" t="str">
        <f t="shared" si="191"/>
        <v/>
      </c>
      <c r="AB568" s="213"/>
      <c r="AC568" s="204"/>
    </row>
    <row r="569" spans="1:29" ht="11.4">
      <c r="A569" s="211" t="str">
        <f t="shared" si="203"/>
        <v/>
      </c>
      <c r="B569" s="211"/>
      <c r="C569" s="185"/>
      <c r="D569" s="186" t="str">
        <f t="shared" si="192"/>
        <v/>
      </c>
      <c r="E569" s="186" t="str">
        <f>IF(OR(C569="",C569=Data!$B$3),"",IF(C569=Data!$B$4,"L","S"))</f>
        <v/>
      </c>
      <c r="F569" s="186" t="str">
        <f t="shared" si="193"/>
        <v/>
      </c>
      <c r="G569" s="187" t="str">
        <f t="shared" si="184"/>
        <v/>
      </c>
      <c r="H569" s="188"/>
      <c r="I569" s="189" t="str">
        <f t="shared" si="194"/>
        <v/>
      </c>
      <c r="J569" s="189" t="str">
        <f t="shared" si="195"/>
        <v/>
      </c>
      <c r="K569" s="190" t="str">
        <f t="shared" si="196"/>
        <v/>
      </c>
      <c r="L569" s="190" t="str">
        <f t="shared" si="197"/>
        <v/>
      </c>
      <c r="M569" s="214"/>
      <c r="N569" s="214"/>
      <c r="O569" s="189" t="str">
        <f t="shared" si="198"/>
        <v/>
      </c>
      <c r="P569" s="191" t="str">
        <f t="shared" si="185"/>
        <v/>
      </c>
      <c r="Q569" s="192" t="str">
        <f t="shared" si="199"/>
        <v/>
      </c>
      <c r="R569" s="191" t="str">
        <f t="shared" si="186"/>
        <v/>
      </c>
      <c r="S569" s="193" t="str">
        <f t="shared" si="200"/>
        <v/>
      </c>
      <c r="T569" s="194" t="str">
        <f t="shared" si="187"/>
        <v/>
      </c>
      <c r="U569" s="192" t="str">
        <f t="shared" si="201"/>
        <v/>
      </c>
      <c r="V569" s="195" t="str">
        <f t="shared" si="188"/>
        <v/>
      </c>
      <c r="W569" s="195" t="str">
        <f t="shared" si="189"/>
        <v/>
      </c>
      <c r="X569" s="196" t="str">
        <f t="shared" si="202"/>
        <v/>
      </c>
      <c r="Y569" s="191" t="str">
        <f t="shared" si="204"/>
        <v/>
      </c>
      <c r="Z569" s="197" t="str">
        <f t="shared" si="190"/>
        <v/>
      </c>
      <c r="AA569" s="197" t="str">
        <f t="shared" si="191"/>
        <v/>
      </c>
      <c r="AB569" s="213"/>
      <c r="AC569" s="204"/>
    </row>
    <row r="570" spans="1:29" ht="11.4">
      <c r="A570" s="211" t="str">
        <f t="shared" si="203"/>
        <v/>
      </c>
      <c r="B570" s="211"/>
      <c r="C570" s="185"/>
      <c r="D570" s="186" t="str">
        <f t="shared" si="192"/>
        <v/>
      </c>
      <c r="E570" s="186" t="str">
        <f>IF(OR(C570="",C570=Data!$B$3),"",IF(C570=Data!$B$4,"L","S"))</f>
        <v/>
      </c>
      <c r="F570" s="186" t="str">
        <f t="shared" si="193"/>
        <v/>
      </c>
      <c r="G570" s="187" t="str">
        <f t="shared" si="184"/>
        <v/>
      </c>
      <c r="H570" s="188"/>
      <c r="I570" s="189" t="str">
        <f t="shared" si="194"/>
        <v/>
      </c>
      <c r="J570" s="189" t="str">
        <f t="shared" si="195"/>
        <v/>
      </c>
      <c r="K570" s="190" t="str">
        <f t="shared" si="196"/>
        <v/>
      </c>
      <c r="L570" s="190" t="str">
        <f t="shared" si="197"/>
        <v/>
      </c>
      <c r="M570" s="214"/>
      <c r="N570" s="214"/>
      <c r="O570" s="189" t="str">
        <f t="shared" si="198"/>
        <v/>
      </c>
      <c r="P570" s="191" t="str">
        <f t="shared" si="185"/>
        <v/>
      </c>
      <c r="Q570" s="192" t="str">
        <f t="shared" si="199"/>
        <v/>
      </c>
      <c r="R570" s="191" t="str">
        <f t="shared" si="186"/>
        <v/>
      </c>
      <c r="S570" s="193" t="str">
        <f t="shared" si="200"/>
        <v/>
      </c>
      <c r="T570" s="194" t="str">
        <f t="shared" si="187"/>
        <v/>
      </c>
      <c r="U570" s="192" t="str">
        <f t="shared" si="201"/>
        <v/>
      </c>
      <c r="V570" s="195" t="str">
        <f t="shared" si="188"/>
        <v/>
      </c>
      <c r="W570" s="195" t="str">
        <f t="shared" si="189"/>
        <v/>
      </c>
      <c r="X570" s="196" t="str">
        <f t="shared" si="202"/>
        <v/>
      </c>
      <c r="Y570" s="191" t="str">
        <f t="shared" si="204"/>
        <v/>
      </c>
      <c r="Z570" s="197" t="str">
        <f t="shared" si="190"/>
        <v/>
      </c>
      <c r="AA570" s="197" t="str">
        <f t="shared" si="191"/>
        <v/>
      </c>
      <c r="AB570" s="213"/>
      <c r="AC570" s="204"/>
    </row>
    <row r="571" spans="1:29" ht="11.4">
      <c r="A571" s="211" t="str">
        <f t="shared" si="203"/>
        <v/>
      </c>
      <c r="B571" s="211"/>
      <c r="C571" s="185"/>
      <c r="D571" s="186" t="str">
        <f t="shared" si="192"/>
        <v/>
      </c>
      <c r="E571" s="186" t="str">
        <f>IF(OR(C571="",C571=Data!$B$3),"",IF(C571=Data!$B$4,"L","S"))</f>
        <v/>
      </c>
      <c r="F571" s="186" t="str">
        <f t="shared" si="193"/>
        <v/>
      </c>
      <c r="G571" s="187" t="str">
        <f t="shared" si="184"/>
        <v/>
      </c>
      <c r="H571" s="188"/>
      <c r="I571" s="189" t="str">
        <f t="shared" si="194"/>
        <v/>
      </c>
      <c r="J571" s="189" t="str">
        <f t="shared" si="195"/>
        <v/>
      </c>
      <c r="K571" s="190" t="str">
        <f t="shared" si="196"/>
        <v/>
      </c>
      <c r="L571" s="190" t="str">
        <f t="shared" si="197"/>
        <v/>
      </c>
      <c r="M571" s="214"/>
      <c r="N571" s="214"/>
      <c r="O571" s="189" t="str">
        <f t="shared" si="198"/>
        <v/>
      </c>
      <c r="P571" s="191" t="str">
        <f t="shared" si="185"/>
        <v/>
      </c>
      <c r="Q571" s="192" t="str">
        <f t="shared" si="199"/>
        <v/>
      </c>
      <c r="R571" s="191" t="str">
        <f t="shared" si="186"/>
        <v/>
      </c>
      <c r="S571" s="193" t="str">
        <f t="shared" si="200"/>
        <v/>
      </c>
      <c r="T571" s="194" t="str">
        <f t="shared" si="187"/>
        <v/>
      </c>
      <c r="U571" s="192" t="str">
        <f t="shared" si="201"/>
        <v/>
      </c>
      <c r="V571" s="195" t="str">
        <f t="shared" si="188"/>
        <v/>
      </c>
      <c r="W571" s="195" t="str">
        <f t="shared" si="189"/>
        <v/>
      </c>
      <c r="X571" s="196" t="str">
        <f t="shared" si="202"/>
        <v/>
      </c>
      <c r="Y571" s="191" t="str">
        <f t="shared" si="204"/>
        <v/>
      </c>
      <c r="Z571" s="197" t="str">
        <f t="shared" si="190"/>
        <v/>
      </c>
      <c r="AA571" s="197" t="str">
        <f t="shared" si="191"/>
        <v/>
      </c>
      <c r="AB571" s="213"/>
      <c r="AC571" s="204"/>
    </row>
    <row r="572" spans="1:29" ht="11.4">
      <c r="A572" s="211" t="str">
        <f t="shared" si="203"/>
        <v/>
      </c>
      <c r="B572" s="211"/>
      <c r="C572" s="185"/>
      <c r="D572" s="186" t="str">
        <f t="shared" si="192"/>
        <v/>
      </c>
      <c r="E572" s="186" t="str">
        <f>IF(OR(C572="",C572=Data!$B$3),"",IF(C572=Data!$B$4,"L","S"))</f>
        <v/>
      </c>
      <c r="F572" s="186" t="str">
        <f t="shared" si="193"/>
        <v/>
      </c>
      <c r="G572" s="187" t="str">
        <f t="shared" si="184"/>
        <v/>
      </c>
      <c r="H572" s="188"/>
      <c r="I572" s="189" t="str">
        <f t="shared" si="194"/>
        <v/>
      </c>
      <c r="J572" s="189" t="str">
        <f t="shared" si="195"/>
        <v/>
      </c>
      <c r="K572" s="190" t="str">
        <f t="shared" si="196"/>
        <v/>
      </c>
      <c r="L572" s="190" t="str">
        <f t="shared" si="197"/>
        <v/>
      </c>
      <c r="M572" s="214"/>
      <c r="N572" s="214"/>
      <c r="O572" s="189" t="str">
        <f t="shared" si="198"/>
        <v/>
      </c>
      <c r="P572" s="191" t="str">
        <f t="shared" si="185"/>
        <v/>
      </c>
      <c r="Q572" s="192" t="str">
        <f t="shared" si="199"/>
        <v/>
      </c>
      <c r="R572" s="191" t="str">
        <f t="shared" si="186"/>
        <v/>
      </c>
      <c r="S572" s="193" t="str">
        <f t="shared" si="200"/>
        <v/>
      </c>
      <c r="T572" s="194" t="str">
        <f t="shared" si="187"/>
        <v/>
      </c>
      <c r="U572" s="192" t="str">
        <f t="shared" si="201"/>
        <v/>
      </c>
      <c r="V572" s="195" t="str">
        <f t="shared" si="188"/>
        <v/>
      </c>
      <c r="W572" s="195" t="str">
        <f t="shared" si="189"/>
        <v/>
      </c>
      <c r="X572" s="196" t="str">
        <f t="shared" si="202"/>
        <v/>
      </c>
      <c r="Y572" s="191" t="str">
        <f t="shared" si="204"/>
        <v/>
      </c>
      <c r="Z572" s="197" t="str">
        <f t="shared" si="190"/>
        <v/>
      </c>
      <c r="AA572" s="197" t="str">
        <f t="shared" si="191"/>
        <v/>
      </c>
      <c r="AB572" s="213"/>
      <c r="AC572" s="204"/>
    </row>
    <row r="573" spans="1:29" ht="11.4">
      <c r="A573" s="211" t="str">
        <f t="shared" si="203"/>
        <v/>
      </c>
      <c r="B573" s="211"/>
      <c r="C573" s="185"/>
      <c r="D573" s="186" t="str">
        <f t="shared" si="192"/>
        <v/>
      </c>
      <c r="E573" s="186" t="str">
        <f>IF(OR(C573="",C573=Data!$B$3),"",IF(C573=Data!$B$4,"L","S"))</f>
        <v/>
      </c>
      <c r="F573" s="186" t="str">
        <f t="shared" si="193"/>
        <v/>
      </c>
      <c r="G573" s="187" t="str">
        <f t="shared" si="184"/>
        <v/>
      </c>
      <c r="H573" s="188"/>
      <c r="I573" s="189" t="str">
        <f t="shared" si="194"/>
        <v/>
      </c>
      <c r="J573" s="189" t="str">
        <f t="shared" si="195"/>
        <v/>
      </c>
      <c r="K573" s="190" t="str">
        <f t="shared" si="196"/>
        <v/>
      </c>
      <c r="L573" s="190" t="str">
        <f t="shared" si="197"/>
        <v/>
      </c>
      <c r="M573" s="214"/>
      <c r="N573" s="214"/>
      <c r="O573" s="189" t="str">
        <f t="shared" si="198"/>
        <v/>
      </c>
      <c r="P573" s="191" t="str">
        <f t="shared" si="185"/>
        <v/>
      </c>
      <c r="Q573" s="192" t="str">
        <f t="shared" si="199"/>
        <v/>
      </c>
      <c r="R573" s="191" t="str">
        <f t="shared" si="186"/>
        <v/>
      </c>
      <c r="S573" s="193" t="str">
        <f t="shared" si="200"/>
        <v/>
      </c>
      <c r="T573" s="194" t="str">
        <f t="shared" si="187"/>
        <v/>
      </c>
      <c r="U573" s="192" t="str">
        <f t="shared" si="201"/>
        <v/>
      </c>
      <c r="V573" s="195" t="str">
        <f t="shared" si="188"/>
        <v/>
      </c>
      <c r="W573" s="195" t="str">
        <f t="shared" si="189"/>
        <v/>
      </c>
      <c r="X573" s="196" t="str">
        <f t="shared" si="202"/>
        <v/>
      </c>
      <c r="Y573" s="191" t="str">
        <f t="shared" si="204"/>
        <v/>
      </c>
      <c r="Z573" s="197" t="str">
        <f t="shared" si="190"/>
        <v/>
      </c>
      <c r="AA573" s="197" t="str">
        <f t="shared" si="191"/>
        <v/>
      </c>
      <c r="AB573" s="213"/>
      <c r="AC573" s="204"/>
    </row>
    <row r="574" spans="1:29" ht="11.4">
      <c r="A574" s="211" t="str">
        <f t="shared" si="203"/>
        <v/>
      </c>
      <c r="B574" s="211"/>
      <c r="C574" s="185"/>
      <c r="D574" s="186" t="str">
        <f t="shared" si="192"/>
        <v/>
      </c>
      <c r="E574" s="186" t="str">
        <f>IF(OR(C574="",C574=Data!$B$3),"",IF(C574=Data!$B$4,"L","S"))</f>
        <v/>
      </c>
      <c r="F574" s="186" t="str">
        <f t="shared" si="193"/>
        <v/>
      </c>
      <c r="G574" s="187" t="str">
        <f t="shared" si="184"/>
        <v/>
      </c>
      <c r="H574" s="188"/>
      <c r="I574" s="189" t="str">
        <f t="shared" si="194"/>
        <v/>
      </c>
      <c r="J574" s="189" t="str">
        <f t="shared" si="195"/>
        <v/>
      </c>
      <c r="K574" s="190" t="str">
        <f t="shared" si="196"/>
        <v/>
      </c>
      <c r="L574" s="190" t="str">
        <f t="shared" si="197"/>
        <v/>
      </c>
      <c r="M574" s="214"/>
      <c r="N574" s="214"/>
      <c r="O574" s="189" t="str">
        <f t="shared" si="198"/>
        <v/>
      </c>
      <c r="P574" s="191" t="str">
        <f t="shared" si="185"/>
        <v/>
      </c>
      <c r="Q574" s="192" t="str">
        <f t="shared" si="199"/>
        <v/>
      </c>
      <c r="R574" s="191" t="str">
        <f t="shared" si="186"/>
        <v/>
      </c>
      <c r="S574" s="193" t="str">
        <f t="shared" si="200"/>
        <v/>
      </c>
      <c r="T574" s="194" t="str">
        <f t="shared" si="187"/>
        <v/>
      </c>
      <c r="U574" s="192" t="str">
        <f t="shared" si="201"/>
        <v/>
      </c>
      <c r="V574" s="195" t="str">
        <f t="shared" si="188"/>
        <v/>
      </c>
      <c r="W574" s="195" t="str">
        <f t="shared" si="189"/>
        <v/>
      </c>
      <c r="X574" s="196" t="str">
        <f t="shared" si="202"/>
        <v/>
      </c>
      <c r="Y574" s="191" t="str">
        <f t="shared" si="204"/>
        <v/>
      </c>
      <c r="Z574" s="197" t="str">
        <f t="shared" si="190"/>
        <v/>
      </c>
      <c r="AA574" s="197" t="str">
        <f t="shared" si="191"/>
        <v/>
      </c>
      <c r="AB574" s="213"/>
      <c r="AC574" s="204"/>
    </row>
    <row r="575" spans="1:29" ht="11.4">
      <c r="A575" s="211" t="str">
        <f t="shared" si="203"/>
        <v/>
      </c>
      <c r="B575" s="211"/>
      <c r="C575" s="185"/>
      <c r="D575" s="186" t="str">
        <f t="shared" si="192"/>
        <v/>
      </c>
      <c r="E575" s="186" t="str">
        <f>IF(OR(C575="",C575=Data!$B$3),"",IF(C575=Data!$B$4,"L","S"))</f>
        <v/>
      </c>
      <c r="F575" s="186" t="str">
        <f t="shared" si="193"/>
        <v/>
      </c>
      <c r="G575" s="187" t="str">
        <f t="shared" si="184"/>
        <v/>
      </c>
      <c r="H575" s="188"/>
      <c r="I575" s="189" t="str">
        <f t="shared" si="194"/>
        <v/>
      </c>
      <c r="J575" s="189" t="str">
        <f t="shared" si="195"/>
        <v/>
      </c>
      <c r="K575" s="190" t="str">
        <f t="shared" si="196"/>
        <v/>
      </c>
      <c r="L575" s="190" t="str">
        <f t="shared" si="197"/>
        <v/>
      </c>
      <c r="M575" s="214"/>
      <c r="N575" s="214"/>
      <c r="O575" s="189" t="str">
        <f t="shared" si="198"/>
        <v/>
      </c>
      <c r="P575" s="191" t="str">
        <f t="shared" si="185"/>
        <v/>
      </c>
      <c r="Q575" s="192" t="str">
        <f t="shared" si="199"/>
        <v/>
      </c>
      <c r="R575" s="191" t="str">
        <f t="shared" si="186"/>
        <v/>
      </c>
      <c r="S575" s="193" t="str">
        <f t="shared" si="200"/>
        <v/>
      </c>
      <c r="T575" s="194" t="str">
        <f t="shared" si="187"/>
        <v/>
      </c>
      <c r="U575" s="192" t="str">
        <f t="shared" si="201"/>
        <v/>
      </c>
      <c r="V575" s="195" t="str">
        <f t="shared" si="188"/>
        <v/>
      </c>
      <c r="W575" s="195" t="str">
        <f t="shared" si="189"/>
        <v/>
      </c>
      <c r="X575" s="196" t="str">
        <f t="shared" si="202"/>
        <v/>
      </c>
      <c r="Y575" s="191" t="str">
        <f t="shared" si="204"/>
        <v/>
      </c>
      <c r="Z575" s="197" t="str">
        <f t="shared" si="190"/>
        <v/>
      </c>
      <c r="AA575" s="197" t="str">
        <f t="shared" si="191"/>
        <v/>
      </c>
      <c r="AB575" s="213"/>
      <c r="AC575" s="204"/>
    </row>
    <row r="576" spans="1:29" ht="11.4">
      <c r="A576" s="211" t="str">
        <f t="shared" si="203"/>
        <v/>
      </c>
      <c r="B576" s="211"/>
      <c r="C576" s="185"/>
      <c r="D576" s="186" t="str">
        <f t="shared" si="192"/>
        <v/>
      </c>
      <c r="E576" s="186" t="str">
        <f>IF(OR(C576="",C576=Data!$B$3),"",IF(C576=Data!$B$4,"L","S"))</f>
        <v/>
      </c>
      <c r="F576" s="186" t="str">
        <f t="shared" si="193"/>
        <v/>
      </c>
      <c r="G576" s="187" t="str">
        <f t="shared" si="184"/>
        <v/>
      </c>
      <c r="H576" s="188"/>
      <c r="I576" s="189" t="str">
        <f t="shared" si="194"/>
        <v/>
      </c>
      <c r="J576" s="189" t="str">
        <f t="shared" si="195"/>
        <v/>
      </c>
      <c r="K576" s="190" t="str">
        <f t="shared" si="196"/>
        <v/>
      </c>
      <c r="L576" s="190" t="str">
        <f t="shared" si="197"/>
        <v/>
      </c>
      <c r="M576" s="214"/>
      <c r="N576" s="214"/>
      <c r="O576" s="189" t="str">
        <f t="shared" si="198"/>
        <v/>
      </c>
      <c r="P576" s="191" t="str">
        <f t="shared" si="185"/>
        <v/>
      </c>
      <c r="Q576" s="192" t="str">
        <f t="shared" si="199"/>
        <v/>
      </c>
      <c r="R576" s="191" t="str">
        <f t="shared" si="186"/>
        <v/>
      </c>
      <c r="S576" s="193" t="str">
        <f t="shared" si="200"/>
        <v/>
      </c>
      <c r="T576" s="194" t="str">
        <f t="shared" si="187"/>
        <v/>
      </c>
      <c r="U576" s="192" t="str">
        <f t="shared" si="201"/>
        <v/>
      </c>
      <c r="V576" s="195" t="str">
        <f t="shared" si="188"/>
        <v/>
      </c>
      <c r="W576" s="195" t="str">
        <f t="shared" si="189"/>
        <v/>
      </c>
      <c r="X576" s="196" t="str">
        <f t="shared" si="202"/>
        <v/>
      </c>
      <c r="Y576" s="191" t="str">
        <f t="shared" si="204"/>
        <v/>
      </c>
      <c r="Z576" s="197" t="str">
        <f t="shared" si="190"/>
        <v/>
      </c>
      <c r="AA576" s="197" t="str">
        <f t="shared" si="191"/>
        <v/>
      </c>
      <c r="AB576" s="213"/>
      <c r="AC576" s="204"/>
    </row>
    <row r="577" spans="1:29" ht="11.4">
      <c r="A577" s="211" t="str">
        <f t="shared" si="203"/>
        <v/>
      </c>
      <c r="B577" s="211"/>
      <c r="C577" s="185"/>
      <c r="D577" s="186" t="str">
        <f t="shared" si="192"/>
        <v/>
      </c>
      <c r="E577" s="186" t="str">
        <f>IF(OR(C577="",C577=Data!$B$3),"",IF(C577=Data!$B$4,"L","S"))</f>
        <v/>
      </c>
      <c r="F577" s="186" t="str">
        <f t="shared" si="193"/>
        <v/>
      </c>
      <c r="G577" s="187" t="str">
        <f t="shared" si="184"/>
        <v/>
      </c>
      <c r="H577" s="188"/>
      <c r="I577" s="189" t="str">
        <f t="shared" si="194"/>
        <v/>
      </c>
      <c r="J577" s="189" t="str">
        <f t="shared" si="195"/>
        <v/>
      </c>
      <c r="K577" s="190" t="str">
        <f t="shared" si="196"/>
        <v/>
      </c>
      <c r="L577" s="190" t="str">
        <f t="shared" si="197"/>
        <v/>
      </c>
      <c r="M577" s="214"/>
      <c r="N577" s="214"/>
      <c r="O577" s="189" t="str">
        <f t="shared" si="198"/>
        <v/>
      </c>
      <c r="P577" s="191" t="str">
        <f t="shared" si="185"/>
        <v/>
      </c>
      <c r="Q577" s="192" t="str">
        <f t="shared" si="199"/>
        <v/>
      </c>
      <c r="R577" s="191" t="str">
        <f t="shared" si="186"/>
        <v/>
      </c>
      <c r="S577" s="193" t="str">
        <f t="shared" si="200"/>
        <v/>
      </c>
      <c r="T577" s="194" t="str">
        <f t="shared" si="187"/>
        <v/>
      </c>
      <c r="U577" s="192" t="str">
        <f t="shared" si="201"/>
        <v/>
      </c>
      <c r="V577" s="195" t="str">
        <f t="shared" si="188"/>
        <v/>
      </c>
      <c r="W577" s="195" t="str">
        <f t="shared" si="189"/>
        <v/>
      </c>
      <c r="X577" s="196" t="str">
        <f t="shared" si="202"/>
        <v/>
      </c>
      <c r="Y577" s="191" t="str">
        <f t="shared" si="204"/>
        <v/>
      </c>
      <c r="Z577" s="197" t="str">
        <f t="shared" si="190"/>
        <v/>
      </c>
      <c r="AA577" s="197" t="str">
        <f t="shared" si="191"/>
        <v/>
      </c>
      <c r="AB577" s="213"/>
      <c r="AC577" s="204"/>
    </row>
    <row r="578" spans="1:29" ht="11.4">
      <c r="A578" s="211" t="str">
        <f t="shared" si="203"/>
        <v/>
      </c>
      <c r="B578" s="211"/>
      <c r="C578" s="185"/>
      <c r="D578" s="186" t="str">
        <f t="shared" si="192"/>
        <v/>
      </c>
      <c r="E578" s="186" t="str">
        <f>IF(OR(C578="",C578=Data!$B$3),"",IF(C578=Data!$B$4,"L","S"))</f>
        <v/>
      </c>
      <c r="F578" s="186" t="str">
        <f t="shared" si="193"/>
        <v/>
      </c>
      <c r="G578" s="187" t="str">
        <f t="shared" si="184"/>
        <v/>
      </c>
      <c r="H578" s="188"/>
      <c r="I578" s="189" t="str">
        <f t="shared" si="194"/>
        <v/>
      </c>
      <c r="J578" s="189" t="str">
        <f t="shared" si="195"/>
        <v/>
      </c>
      <c r="K578" s="190" t="str">
        <f t="shared" si="196"/>
        <v/>
      </c>
      <c r="L578" s="190" t="str">
        <f t="shared" si="197"/>
        <v/>
      </c>
      <c r="M578" s="214"/>
      <c r="N578" s="214"/>
      <c r="O578" s="189" t="str">
        <f t="shared" si="198"/>
        <v/>
      </c>
      <c r="P578" s="191" t="str">
        <f t="shared" si="185"/>
        <v/>
      </c>
      <c r="Q578" s="192" t="str">
        <f t="shared" si="199"/>
        <v/>
      </c>
      <c r="R578" s="191" t="str">
        <f t="shared" si="186"/>
        <v/>
      </c>
      <c r="S578" s="193" t="str">
        <f t="shared" si="200"/>
        <v/>
      </c>
      <c r="T578" s="194" t="str">
        <f t="shared" si="187"/>
        <v/>
      </c>
      <c r="U578" s="192" t="str">
        <f t="shared" si="201"/>
        <v/>
      </c>
      <c r="V578" s="195" t="str">
        <f t="shared" si="188"/>
        <v/>
      </c>
      <c r="W578" s="195" t="str">
        <f t="shared" si="189"/>
        <v/>
      </c>
      <c r="X578" s="196" t="str">
        <f t="shared" si="202"/>
        <v/>
      </c>
      <c r="Y578" s="191" t="str">
        <f t="shared" si="204"/>
        <v/>
      </c>
      <c r="Z578" s="197" t="str">
        <f t="shared" si="190"/>
        <v/>
      </c>
      <c r="AA578" s="197" t="str">
        <f t="shared" si="191"/>
        <v/>
      </c>
      <c r="AB578" s="213"/>
      <c r="AC578" s="204"/>
    </row>
    <row r="579" spans="1:29" ht="11.4">
      <c r="A579" s="211" t="str">
        <f t="shared" si="203"/>
        <v/>
      </c>
      <c r="B579" s="211"/>
      <c r="C579" s="185"/>
      <c r="D579" s="186" t="str">
        <f t="shared" si="192"/>
        <v/>
      </c>
      <c r="E579" s="186" t="str">
        <f>IF(OR(C579="",C579=Data!$B$3),"",IF(C579=Data!$B$4,"L","S"))</f>
        <v/>
      </c>
      <c r="F579" s="186" t="str">
        <f t="shared" si="193"/>
        <v/>
      </c>
      <c r="G579" s="187" t="str">
        <f t="shared" si="184"/>
        <v/>
      </c>
      <c r="H579" s="188"/>
      <c r="I579" s="189" t="str">
        <f t="shared" si="194"/>
        <v/>
      </c>
      <c r="J579" s="189" t="str">
        <f t="shared" si="195"/>
        <v/>
      </c>
      <c r="K579" s="190" t="str">
        <f t="shared" si="196"/>
        <v/>
      </c>
      <c r="L579" s="190" t="str">
        <f t="shared" si="197"/>
        <v/>
      </c>
      <c r="M579" s="214"/>
      <c r="N579" s="214"/>
      <c r="O579" s="189" t="str">
        <f t="shared" si="198"/>
        <v/>
      </c>
      <c r="P579" s="191" t="str">
        <f t="shared" si="185"/>
        <v/>
      </c>
      <c r="Q579" s="192" t="str">
        <f t="shared" si="199"/>
        <v/>
      </c>
      <c r="R579" s="191" t="str">
        <f t="shared" si="186"/>
        <v/>
      </c>
      <c r="S579" s="193" t="str">
        <f t="shared" si="200"/>
        <v/>
      </c>
      <c r="T579" s="194" t="str">
        <f t="shared" si="187"/>
        <v/>
      </c>
      <c r="U579" s="192" t="str">
        <f t="shared" si="201"/>
        <v/>
      </c>
      <c r="V579" s="195" t="str">
        <f t="shared" si="188"/>
        <v/>
      </c>
      <c r="W579" s="195" t="str">
        <f t="shared" si="189"/>
        <v/>
      </c>
      <c r="X579" s="196" t="str">
        <f t="shared" si="202"/>
        <v/>
      </c>
      <c r="Y579" s="191" t="str">
        <f t="shared" si="204"/>
        <v/>
      </c>
      <c r="Z579" s="197" t="str">
        <f t="shared" si="190"/>
        <v/>
      </c>
      <c r="AA579" s="197" t="str">
        <f t="shared" si="191"/>
        <v/>
      </c>
      <c r="AB579" s="213"/>
      <c r="AC579" s="204"/>
    </row>
    <row r="580" spans="1:29" ht="11.4">
      <c r="A580" s="211" t="str">
        <f t="shared" si="203"/>
        <v/>
      </c>
      <c r="B580" s="211"/>
      <c r="C580" s="185"/>
      <c r="D580" s="186" t="str">
        <f t="shared" si="192"/>
        <v/>
      </c>
      <c r="E580" s="186" t="str">
        <f>IF(OR(C580="",C580=Data!$B$3),"",IF(C580=Data!$B$4,"L","S"))</f>
        <v/>
      </c>
      <c r="F580" s="186" t="str">
        <f t="shared" si="193"/>
        <v/>
      </c>
      <c r="G580" s="187" t="str">
        <f t="shared" si="184"/>
        <v/>
      </c>
      <c r="H580" s="188"/>
      <c r="I580" s="189" t="str">
        <f t="shared" si="194"/>
        <v/>
      </c>
      <c r="J580" s="189" t="str">
        <f t="shared" si="195"/>
        <v/>
      </c>
      <c r="K580" s="190" t="str">
        <f t="shared" si="196"/>
        <v/>
      </c>
      <c r="L580" s="190" t="str">
        <f t="shared" si="197"/>
        <v/>
      </c>
      <c r="M580" s="214"/>
      <c r="N580" s="214"/>
      <c r="O580" s="189" t="str">
        <f t="shared" si="198"/>
        <v/>
      </c>
      <c r="P580" s="191" t="str">
        <f t="shared" si="185"/>
        <v/>
      </c>
      <c r="Q580" s="192" t="str">
        <f t="shared" si="199"/>
        <v/>
      </c>
      <c r="R580" s="191" t="str">
        <f t="shared" si="186"/>
        <v/>
      </c>
      <c r="S580" s="193" t="str">
        <f t="shared" si="200"/>
        <v/>
      </c>
      <c r="T580" s="194" t="str">
        <f t="shared" si="187"/>
        <v/>
      </c>
      <c r="U580" s="192" t="str">
        <f t="shared" si="201"/>
        <v/>
      </c>
      <c r="V580" s="195" t="str">
        <f t="shared" si="188"/>
        <v/>
      </c>
      <c r="W580" s="195" t="str">
        <f t="shared" si="189"/>
        <v/>
      </c>
      <c r="X580" s="196" t="str">
        <f t="shared" si="202"/>
        <v/>
      </c>
      <c r="Y580" s="191" t="str">
        <f t="shared" si="204"/>
        <v/>
      </c>
      <c r="Z580" s="197" t="str">
        <f t="shared" si="190"/>
        <v/>
      </c>
      <c r="AA580" s="197" t="str">
        <f t="shared" si="191"/>
        <v/>
      </c>
      <c r="AB580" s="213"/>
      <c r="AC580" s="204"/>
    </row>
    <row r="581" spans="1:29" ht="11.4">
      <c r="A581" s="211" t="str">
        <f t="shared" si="203"/>
        <v/>
      </c>
      <c r="B581" s="211"/>
      <c r="C581" s="185"/>
      <c r="D581" s="186" t="str">
        <f t="shared" si="192"/>
        <v/>
      </c>
      <c r="E581" s="186" t="str">
        <f>IF(OR(C581="",C581=Data!$B$3),"",IF(C581=Data!$B$4,"L","S"))</f>
        <v/>
      </c>
      <c r="F581" s="186" t="str">
        <f t="shared" si="193"/>
        <v/>
      </c>
      <c r="G581" s="187" t="str">
        <f t="shared" si="184"/>
        <v/>
      </c>
      <c r="H581" s="188"/>
      <c r="I581" s="189" t="str">
        <f t="shared" si="194"/>
        <v/>
      </c>
      <c r="J581" s="189" t="str">
        <f t="shared" si="195"/>
        <v/>
      </c>
      <c r="K581" s="190" t="str">
        <f t="shared" si="196"/>
        <v/>
      </c>
      <c r="L581" s="190" t="str">
        <f t="shared" si="197"/>
        <v/>
      </c>
      <c r="M581" s="214"/>
      <c r="N581" s="214"/>
      <c r="O581" s="189" t="str">
        <f t="shared" si="198"/>
        <v/>
      </c>
      <c r="P581" s="191" t="str">
        <f t="shared" si="185"/>
        <v/>
      </c>
      <c r="Q581" s="192" t="str">
        <f t="shared" si="199"/>
        <v/>
      </c>
      <c r="R581" s="191" t="str">
        <f t="shared" si="186"/>
        <v/>
      </c>
      <c r="S581" s="193" t="str">
        <f t="shared" si="200"/>
        <v/>
      </c>
      <c r="T581" s="194" t="str">
        <f t="shared" si="187"/>
        <v/>
      </c>
      <c r="U581" s="192" t="str">
        <f t="shared" si="201"/>
        <v/>
      </c>
      <c r="V581" s="195" t="str">
        <f t="shared" si="188"/>
        <v/>
      </c>
      <c r="W581" s="195" t="str">
        <f t="shared" si="189"/>
        <v/>
      </c>
      <c r="X581" s="196" t="str">
        <f t="shared" si="202"/>
        <v/>
      </c>
      <c r="Y581" s="191" t="str">
        <f t="shared" si="204"/>
        <v/>
      </c>
      <c r="Z581" s="197" t="str">
        <f t="shared" si="190"/>
        <v/>
      </c>
      <c r="AA581" s="197" t="str">
        <f t="shared" si="191"/>
        <v/>
      </c>
      <c r="AB581" s="213"/>
      <c r="AC581" s="204"/>
    </row>
    <row r="582" spans="1:29" ht="11.4">
      <c r="A582" s="211" t="str">
        <f t="shared" si="203"/>
        <v/>
      </c>
      <c r="B582" s="211"/>
      <c r="C582" s="185"/>
      <c r="D582" s="186" t="str">
        <f t="shared" si="192"/>
        <v/>
      </c>
      <c r="E582" s="186" t="str">
        <f>IF(OR(C582="",C582=Data!$B$3),"",IF(C582=Data!$B$4,"L","S"))</f>
        <v/>
      </c>
      <c r="F582" s="186" t="str">
        <f t="shared" si="193"/>
        <v/>
      </c>
      <c r="G582" s="187" t="str">
        <f t="shared" si="184"/>
        <v/>
      </c>
      <c r="H582" s="188"/>
      <c r="I582" s="189" t="str">
        <f t="shared" si="194"/>
        <v/>
      </c>
      <c r="J582" s="189" t="str">
        <f t="shared" si="195"/>
        <v/>
      </c>
      <c r="K582" s="190" t="str">
        <f t="shared" si="196"/>
        <v/>
      </c>
      <c r="L582" s="190" t="str">
        <f t="shared" si="197"/>
        <v/>
      </c>
      <c r="M582" s="214"/>
      <c r="N582" s="214"/>
      <c r="O582" s="189" t="str">
        <f t="shared" si="198"/>
        <v/>
      </c>
      <c r="P582" s="191" t="str">
        <f t="shared" si="185"/>
        <v/>
      </c>
      <c r="Q582" s="192" t="str">
        <f t="shared" si="199"/>
        <v/>
      </c>
      <c r="R582" s="191" t="str">
        <f t="shared" si="186"/>
        <v/>
      </c>
      <c r="S582" s="193" t="str">
        <f t="shared" si="200"/>
        <v/>
      </c>
      <c r="T582" s="194" t="str">
        <f t="shared" si="187"/>
        <v/>
      </c>
      <c r="U582" s="192" t="str">
        <f t="shared" si="201"/>
        <v/>
      </c>
      <c r="V582" s="195" t="str">
        <f t="shared" si="188"/>
        <v/>
      </c>
      <c r="W582" s="195" t="str">
        <f t="shared" si="189"/>
        <v/>
      </c>
      <c r="X582" s="196" t="str">
        <f t="shared" si="202"/>
        <v/>
      </c>
      <c r="Y582" s="191" t="str">
        <f t="shared" si="204"/>
        <v/>
      </c>
      <c r="Z582" s="197" t="str">
        <f t="shared" si="190"/>
        <v/>
      </c>
      <c r="AA582" s="197" t="str">
        <f t="shared" si="191"/>
        <v/>
      </c>
      <c r="AB582" s="213"/>
      <c r="AC582" s="204"/>
    </row>
    <row r="583" spans="1:29" ht="11.4">
      <c r="A583" s="211" t="str">
        <f t="shared" si="203"/>
        <v/>
      </c>
      <c r="B583" s="211"/>
      <c r="C583" s="185"/>
      <c r="D583" s="186" t="str">
        <f t="shared" si="192"/>
        <v/>
      </c>
      <c r="E583" s="186" t="str">
        <f>IF(OR(C583="",C583=Data!$B$3),"",IF(C583=Data!$B$4,"L","S"))</f>
        <v/>
      </c>
      <c r="F583" s="186" t="str">
        <f t="shared" si="193"/>
        <v/>
      </c>
      <c r="G583" s="187" t="str">
        <f t="shared" si="184"/>
        <v/>
      </c>
      <c r="H583" s="188"/>
      <c r="I583" s="189" t="str">
        <f t="shared" si="194"/>
        <v/>
      </c>
      <c r="J583" s="189" t="str">
        <f t="shared" si="195"/>
        <v/>
      </c>
      <c r="K583" s="190" t="str">
        <f t="shared" si="196"/>
        <v/>
      </c>
      <c r="L583" s="190" t="str">
        <f t="shared" si="197"/>
        <v/>
      </c>
      <c r="M583" s="214"/>
      <c r="N583" s="214"/>
      <c r="O583" s="189" t="str">
        <f t="shared" si="198"/>
        <v/>
      </c>
      <c r="P583" s="191" t="str">
        <f t="shared" si="185"/>
        <v/>
      </c>
      <c r="Q583" s="192" t="str">
        <f t="shared" si="199"/>
        <v/>
      </c>
      <c r="R583" s="191" t="str">
        <f t="shared" si="186"/>
        <v/>
      </c>
      <c r="S583" s="193" t="str">
        <f t="shared" si="200"/>
        <v/>
      </c>
      <c r="T583" s="194" t="str">
        <f t="shared" si="187"/>
        <v/>
      </c>
      <c r="U583" s="192" t="str">
        <f t="shared" si="201"/>
        <v/>
      </c>
      <c r="V583" s="195" t="str">
        <f t="shared" si="188"/>
        <v/>
      </c>
      <c r="W583" s="195" t="str">
        <f t="shared" si="189"/>
        <v/>
      </c>
      <c r="X583" s="196" t="str">
        <f t="shared" si="202"/>
        <v/>
      </c>
      <c r="Y583" s="191" t="str">
        <f t="shared" si="204"/>
        <v/>
      </c>
      <c r="Z583" s="197" t="str">
        <f t="shared" si="190"/>
        <v/>
      </c>
      <c r="AA583" s="197" t="str">
        <f t="shared" si="191"/>
        <v/>
      </c>
      <c r="AB583" s="213"/>
      <c r="AC583" s="204"/>
    </row>
    <row r="584" spans="1:29" ht="11.4">
      <c r="A584" s="211" t="str">
        <f t="shared" si="203"/>
        <v/>
      </c>
      <c r="B584" s="211"/>
      <c r="C584" s="185"/>
      <c r="D584" s="186" t="str">
        <f t="shared" si="192"/>
        <v/>
      </c>
      <c r="E584" s="186" t="str">
        <f>IF(OR(C584="",C584=Data!$B$3),"",IF(C584=Data!$B$4,"L","S"))</f>
        <v/>
      </c>
      <c r="F584" s="186" t="str">
        <f t="shared" si="193"/>
        <v/>
      </c>
      <c r="G584" s="187" t="str">
        <f t="shared" si="184"/>
        <v/>
      </c>
      <c r="H584" s="188"/>
      <c r="I584" s="189" t="str">
        <f t="shared" si="194"/>
        <v/>
      </c>
      <c r="J584" s="189" t="str">
        <f t="shared" si="195"/>
        <v/>
      </c>
      <c r="K584" s="190" t="str">
        <f t="shared" si="196"/>
        <v/>
      </c>
      <c r="L584" s="190" t="str">
        <f t="shared" si="197"/>
        <v/>
      </c>
      <c r="M584" s="214"/>
      <c r="N584" s="214"/>
      <c r="O584" s="189" t="str">
        <f t="shared" si="198"/>
        <v/>
      </c>
      <c r="P584" s="191" t="str">
        <f t="shared" si="185"/>
        <v/>
      </c>
      <c r="Q584" s="192" t="str">
        <f t="shared" si="199"/>
        <v/>
      </c>
      <c r="R584" s="191" t="str">
        <f t="shared" si="186"/>
        <v/>
      </c>
      <c r="S584" s="193" t="str">
        <f t="shared" si="200"/>
        <v/>
      </c>
      <c r="T584" s="194" t="str">
        <f t="shared" si="187"/>
        <v/>
      </c>
      <c r="U584" s="192" t="str">
        <f t="shared" si="201"/>
        <v/>
      </c>
      <c r="V584" s="195" t="str">
        <f t="shared" si="188"/>
        <v/>
      </c>
      <c r="W584" s="195" t="str">
        <f t="shared" si="189"/>
        <v/>
      </c>
      <c r="X584" s="196" t="str">
        <f t="shared" si="202"/>
        <v/>
      </c>
      <c r="Y584" s="191" t="str">
        <f t="shared" si="204"/>
        <v/>
      </c>
      <c r="Z584" s="197" t="str">
        <f t="shared" si="190"/>
        <v/>
      </c>
      <c r="AA584" s="197" t="str">
        <f t="shared" si="191"/>
        <v/>
      </c>
      <c r="AB584" s="213"/>
      <c r="AC584" s="204"/>
    </row>
    <row r="585" spans="1:29" ht="11.4">
      <c r="A585" s="211" t="str">
        <f t="shared" si="203"/>
        <v/>
      </c>
      <c r="B585" s="211"/>
      <c r="C585" s="185"/>
      <c r="D585" s="186" t="str">
        <f t="shared" si="192"/>
        <v/>
      </c>
      <c r="E585" s="186" t="str">
        <f>IF(OR(C585="",C585=Data!$B$3),"",IF(C585=Data!$B$4,"L","S"))</f>
        <v/>
      </c>
      <c r="F585" s="186" t="str">
        <f t="shared" si="193"/>
        <v/>
      </c>
      <c r="G585" s="187" t="str">
        <f t="shared" si="184"/>
        <v/>
      </c>
      <c r="H585" s="188"/>
      <c r="I585" s="189" t="str">
        <f t="shared" si="194"/>
        <v/>
      </c>
      <c r="J585" s="189" t="str">
        <f t="shared" si="195"/>
        <v/>
      </c>
      <c r="K585" s="190" t="str">
        <f t="shared" si="196"/>
        <v/>
      </c>
      <c r="L585" s="190" t="str">
        <f t="shared" si="197"/>
        <v/>
      </c>
      <c r="M585" s="214"/>
      <c r="N585" s="214"/>
      <c r="O585" s="189" t="str">
        <f t="shared" si="198"/>
        <v/>
      </c>
      <c r="P585" s="191" t="str">
        <f t="shared" si="185"/>
        <v/>
      </c>
      <c r="Q585" s="192" t="str">
        <f t="shared" si="199"/>
        <v/>
      </c>
      <c r="R585" s="191" t="str">
        <f t="shared" si="186"/>
        <v/>
      </c>
      <c r="S585" s="193" t="str">
        <f t="shared" si="200"/>
        <v/>
      </c>
      <c r="T585" s="194" t="str">
        <f t="shared" si="187"/>
        <v/>
      </c>
      <c r="U585" s="192" t="str">
        <f t="shared" si="201"/>
        <v/>
      </c>
      <c r="V585" s="195" t="str">
        <f t="shared" si="188"/>
        <v/>
      </c>
      <c r="W585" s="195" t="str">
        <f t="shared" si="189"/>
        <v/>
      </c>
      <c r="X585" s="196" t="str">
        <f t="shared" si="202"/>
        <v/>
      </c>
      <c r="Y585" s="191" t="str">
        <f t="shared" si="204"/>
        <v/>
      </c>
      <c r="Z585" s="197" t="str">
        <f t="shared" si="190"/>
        <v/>
      </c>
      <c r="AA585" s="197" t="str">
        <f t="shared" si="191"/>
        <v/>
      </c>
      <c r="AB585" s="213"/>
      <c r="AC585" s="204"/>
    </row>
    <row r="586" spans="1:29" ht="11.4">
      <c r="A586" s="211" t="str">
        <f t="shared" si="203"/>
        <v/>
      </c>
      <c r="B586" s="211"/>
      <c r="C586" s="185"/>
      <c r="D586" s="186" t="str">
        <f t="shared" si="192"/>
        <v/>
      </c>
      <c r="E586" s="186" t="str">
        <f>IF(OR(C586="",C586=Data!$B$3),"",IF(C586=Data!$B$4,"L","S"))</f>
        <v/>
      </c>
      <c r="F586" s="186" t="str">
        <f t="shared" si="193"/>
        <v/>
      </c>
      <c r="G586" s="187" t="str">
        <f t="shared" si="184"/>
        <v/>
      </c>
      <c r="H586" s="188"/>
      <c r="I586" s="189" t="str">
        <f t="shared" si="194"/>
        <v/>
      </c>
      <c r="J586" s="189" t="str">
        <f t="shared" si="195"/>
        <v/>
      </c>
      <c r="K586" s="190" t="str">
        <f t="shared" si="196"/>
        <v/>
      </c>
      <c r="L586" s="190" t="str">
        <f t="shared" si="197"/>
        <v/>
      </c>
      <c r="M586" s="214"/>
      <c r="N586" s="214"/>
      <c r="O586" s="189" t="str">
        <f t="shared" si="198"/>
        <v/>
      </c>
      <c r="P586" s="191" t="str">
        <f t="shared" si="185"/>
        <v/>
      </c>
      <c r="Q586" s="192" t="str">
        <f t="shared" si="199"/>
        <v/>
      </c>
      <c r="R586" s="191" t="str">
        <f t="shared" si="186"/>
        <v/>
      </c>
      <c r="S586" s="193" t="str">
        <f t="shared" si="200"/>
        <v/>
      </c>
      <c r="T586" s="194" t="str">
        <f t="shared" si="187"/>
        <v/>
      </c>
      <c r="U586" s="192" t="str">
        <f t="shared" si="201"/>
        <v/>
      </c>
      <c r="V586" s="195" t="str">
        <f t="shared" si="188"/>
        <v/>
      </c>
      <c r="W586" s="195" t="str">
        <f t="shared" si="189"/>
        <v/>
      </c>
      <c r="X586" s="196" t="str">
        <f t="shared" si="202"/>
        <v/>
      </c>
      <c r="Y586" s="191" t="str">
        <f t="shared" si="204"/>
        <v/>
      </c>
      <c r="Z586" s="197" t="str">
        <f t="shared" si="190"/>
        <v/>
      </c>
      <c r="AA586" s="197" t="str">
        <f t="shared" si="191"/>
        <v/>
      </c>
      <c r="AB586" s="213"/>
      <c r="AC586" s="204"/>
    </row>
    <row r="587" spans="1:29" ht="11.4">
      <c r="A587" s="211" t="str">
        <f t="shared" si="203"/>
        <v/>
      </c>
      <c r="B587" s="211"/>
      <c r="C587" s="185"/>
      <c r="D587" s="186" t="str">
        <f t="shared" si="192"/>
        <v/>
      </c>
      <c r="E587" s="186" t="str">
        <f>IF(OR(C587="",C587=Data!$B$3),"",IF(C587=Data!$B$4,"L","S"))</f>
        <v/>
      </c>
      <c r="F587" s="186" t="str">
        <f t="shared" si="193"/>
        <v/>
      </c>
      <c r="G587" s="187" t="str">
        <f t="shared" si="184"/>
        <v/>
      </c>
      <c r="H587" s="188"/>
      <c r="I587" s="189" t="str">
        <f t="shared" si="194"/>
        <v/>
      </c>
      <c r="J587" s="189" t="str">
        <f t="shared" si="195"/>
        <v/>
      </c>
      <c r="K587" s="190" t="str">
        <f t="shared" si="196"/>
        <v/>
      </c>
      <c r="L587" s="190" t="str">
        <f t="shared" si="197"/>
        <v/>
      </c>
      <c r="M587" s="214"/>
      <c r="N587" s="214"/>
      <c r="O587" s="189" t="str">
        <f t="shared" si="198"/>
        <v/>
      </c>
      <c r="P587" s="191" t="str">
        <f t="shared" si="185"/>
        <v/>
      </c>
      <c r="Q587" s="192" t="str">
        <f t="shared" si="199"/>
        <v/>
      </c>
      <c r="R587" s="191" t="str">
        <f t="shared" si="186"/>
        <v/>
      </c>
      <c r="S587" s="193" t="str">
        <f t="shared" si="200"/>
        <v/>
      </c>
      <c r="T587" s="194" t="str">
        <f t="shared" si="187"/>
        <v/>
      </c>
      <c r="U587" s="192" t="str">
        <f t="shared" si="201"/>
        <v/>
      </c>
      <c r="V587" s="195" t="str">
        <f t="shared" si="188"/>
        <v/>
      </c>
      <c r="W587" s="195" t="str">
        <f t="shared" si="189"/>
        <v/>
      </c>
      <c r="X587" s="196" t="str">
        <f t="shared" si="202"/>
        <v/>
      </c>
      <c r="Y587" s="191" t="str">
        <f t="shared" si="204"/>
        <v/>
      </c>
      <c r="Z587" s="197" t="str">
        <f t="shared" si="190"/>
        <v/>
      </c>
      <c r="AA587" s="197" t="str">
        <f t="shared" si="191"/>
        <v/>
      </c>
      <c r="AB587" s="213"/>
      <c r="AC587" s="204"/>
    </row>
    <row r="588" spans="1:29" ht="11.4">
      <c r="A588" s="211" t="str">
        <f t="shared" si="203"/>
        <v/>
      </c>
      <c r="B588" s="211"/>
      <c r="C588" s="185"/>
      <c r="D588" s="186" t="str">
        <f t="shared" si="192"/>
        <v/>
      </c>
      <c r="E588" s="186" t="str">
        <f>IF(OR(C588="",C588=Data!$B$3),"",IF(C588=Data!$B$4,"L","S"))</f>
        <v/>
      </c>
      <c r="F588" s="186" t="str">
        <f t="shared" si="193"/>
        <v/>
      </c>
      <c r="G588" s="187" t="str">
        <f t="shared" ref="G588:G651" si="205">IF(A588="","",$D$3)</f>
        <v/>
      </c>
      <c r="H588" s="188"/>
      <c r="I588" s="189" t="str">
        <f t="shared" si="194"/>
        <v/>
      </c>
      <c r="J588" s="189" t="str">
        <f t="shared" si="195"/>
        <v/>
      </c>
      <c r="K588" s="190" t="str">
        <f t="shared" si="196"/>
        <v/>
      </c>
      <c r="L588" s="190" t="str">
        <f t="shared" si="197"/>
        <v/>
      </c>
      <c r="M588" s="214"/>
      <c r="N588" s="214"/>
      <c r="O588" s="189" t="str">
        <f t="shared" si="198"/>
        <v/>
      </c>
      <c r="P588" s="191" t="str">
        <f t="shared" ref="P588:P651" si="206">IF(O588="","",IF(L588*F588*G588=0,0,L588*F588*G588))</f>
        <v/>
      </c>
      <c r="Q588" s="192" t="str">
        <f t="shared" si="199"/>
        <v/>
      </c>
      <c r="R588" s="191" t="str">
        <f t="shared" ref="R588:R651" si="207">IF(O588&lt;&gt;"",IF(K588*F588*G588=0,"",K588*F588*G588),"")</f>
        <v/>
      </c>
      <c r="S588" s="193" t="str">
        <f t="shared" si="200"/>
        <v/>
      </c>
      <c r="T588" s="194" t="str">
        <f t="shared" ref="T588:T651" si="208">IF(X588="","",X588*F588*G588)</f>
        <v/>
      </c>
      <c r="U588" s="192" t="str">
        <f t="shared" si="201"/>
        <v/>
      </c>
      <c r="V588" s="195" t="str">
        <f t="shared" ref="V588:V651" si="209">IF(O588="","",IF(AND(O588&gt;I588,E588="L"),1, IF(AND(I588&gt;O588,E588="S"),1,0)))</f>
        <v/>
      </c>
      <c r="W588" s="195" t="str">
        <f t="shared" ref="W588:W651" si="210">IF(O588="","",IF(AND(O588&lt;I588,E588="L"),1, IF(AND(I588&lt;O588,E588="S"),1,0)))</f>
        <v/>
      </c>
      <c r="X588" s="196" t="str">
        <f t="shared" si="202"/>
        <v/>
      </c>
      <c r="Y588" s="191" t="str">
        <f t="shared" si="204"/>
        <v/>
      </c>
      <c r="Z588" s="197" t="str">
        <f t="shared" ref="Z588:Z651" si="211">IF(M588="","",MONTH(M588))</f>
        <v/>
      </c>
      <c r="AA588" s="197" t="str">
        <f t="shared" ref="AA588:AA651" si="212">IF(M588="","",YEAR(M588))</f>
        <v/>
      </c>
      <c r="AB588" s="213"/>
      <c r="AC588" s="204"/>
    </row>
    <row r="589" spans="1:29" ht="11.4">
      <c r="A589" s="211" t="str">
        <f t="shared" si="203"/>
        <v/>
      </c>
      <c r="B589" s="211"/>
      <c r="C589" s="185"/>
      <c r="D589" s="186" t="str">
        <f t="shared" ref="D589:D652" si="213">IF(A589&lt;&gt;"","GBPUSD","")</f>
        <v/>
      </c>
      <c r="E589" s="186" t="str">
        <f>IF(OR(C589="",C589=Data!$B$3),"",IF(C589=Data!$B$4,"L","S"))</f>
        <v/>
      </c>
      <c r="F589" s="186" t="str">
        <f t="shared" ref="F589:F652" si="214">IF(A589&lt;&gt;"",$D$2,"")</f>
        <v/>
      </c>
      <c r="G589" s="187" t="str">
        <f t="shared" si="205"/>
        <v/>
      </c>
      <c r="H589" s="188"/>
      <c r="I589" s="189" t="str">
        <f t="shared" ref="I589:I652" si="215">IF(H589="","",IF(E589="L",H589+$D$4*0.0001,H589-$D$4*0.0001))</f>
        <v/>
      </c>
      <c r="J589" s="189" t="str">
        <f t="shared" ref="J589:J652" si="216">IF(AND(H589&lt;&gt;"",I589&lt;&gt;""),IF(E589="L",I589+(I589-H589)*3,I589-(H589-I589)*3),"")</f>
        <v/>
      </c>
      <c r="K589" s="190" t="str">
        <f t="shared" ref="K589:K652" si="217">IF(AND(E589&lt;&gt;"",AND(I589&lt;&gt;"",J589&lt;&gt;"")),IF(E589="L",(J589-I589)*IF(I589&gt;10,IF(SEARCH("JPY",D589),10,100),10000),(I589-J589)*IF(I589&gt;10,IF(SEARCH("JPY",D589),10,100),10000)),"")</f>
        <v/>
      </c>
      <c r="L589" s="190" t="str">
        <f t="shared" ref="L589:L652" si="218">IF(AND(E589&lt;&gt;"",AND(H589&lt;&gt;"",I589&lt;&gt;"")),IF(E589="L",(I589-H589)*IF(I589&gt;10,IF(SEARCH("JPY",D589),10,100),10000),(H589-I589)*IF(I589&gt;10,IF(SEARCH("JPY",D589),10,100),10000)),"")</f>
        <v/>
      </c>
      <c r="M589" s="214"/>
      <c r="N589" s="214"/>
      <c r="O589" s="189" t="str">
        <f t="shared" ref="O589:O652" si="219">IF(H589&lt;&gt;"",H589, "")</f>
        <v/>
      </c>
      <c r="P589" s="191" t="str">
        <f t="shared" si="206"/>
        <v/>
      </c>
      <c r="Q589" s="192" t="str">
        <f t="shared" ref="Q589:Q652" si="220">IF(P589="","",IF(P589=0,0,P589/$I$4))</f>
        <v/>
      </c>
      <c r="R589" s="191" t="str">
        <f t="shared" si="207"/>
        <v/>
      </c>
      <c r="S589" s="193" t="str">
        <f t="shared" ref="S589:S652" si="221">IF(P589="","",IF(P589=0,0,R589/P589))</f>
        <v/>
      </c>
      <c r="T589" s="194" t="str">
        <f t="shared" si="208"/>
        <v/>
      </c>
      <c r="U589" s="192" t="str">
        <f t="shared" ref="U589:U652" si="222">IF(T589="","",IF($I$4="","",T589/$I$4))</f>
        <v/>
      </c>
      <c r="V589" s="195" t="str">
        <f t="shared" si="209"/>
        <v/>
      </c>
      <c r="W589" s="195" t="str">
        <f t="shared" si="210"/>
        <v/>
      </c>
      <c r="X589" s="196" t="str">
        <f t="shared" ref="X589:X652" si="223">IF((O589=""),"",IF(E589="L",1,-1)*(O589-I589)*IF(O589&gt;10,IF(SEARCH("JPY",D589),10,100),10000))</f>
        <v/>
      </c>
      <c r="Y589" s="191" t="str">
        <f t="shared" si="204"/>
        <v/>
      </c>
      <c r="Z589" s="197" t="str">
        <f t="shared" si="211"/>
        <v/>
      </c>
      <c r="AA589" s="197" t="str">
        <f t="shared" si="212"/>
        <v/>
      </c>
      <c r="AB589" s="213"/>
      <c r="AC589" s="204"/>
    </row>
    <row r="590" spans="1:29" ht="11.4">
      <c r="A590" s="211" t="str">
        <f t="shared" ref="A590:A653" si="224">IF(C590="","",A589+1)</f>
        <v/>
      </c>
      <c r="B590" s="211"/>
      <c r="C590" s="185"/>
      <c r="D590" s="186" t="str">
        <f t="shared" si="213"/>
        <v/>
      </c>
      <c r="E590" s="186" t="str">
        <f>IF(OR(C590="",C590=Data!$B$3),"",IF(C590=Data!$B$4,"L","S"))</f>
        <v/>
      </c>
      <c r="F590" s="186" t="str">
        <f t="shared" si="214"/>
        <v/>
      </c>
      <c r="G590" s="187" t="str">
        <f t="shared" si="205"/>
        <v/>
      </c>
      <c r="H590" s="188"/>
      <c r="I590" s="189" t="str">
        <f t="shared" si="215"/>
        <v/>
      </c>
      <c r="J590" s="189" t="str">
        <f t="shared" si="216"/>
        <v/>
      </c>
      <c r="K590" s="190" t="str">
        <f t="shared" si="217"/>
        <v/>
      </c>
      <c r="L590" s="190" t="str">
        <f t="shared" si="218"/>
        <v/>
      </c>
      <c r="M590" s="214"/>
      <c r="N590" s="214"/>
      <c r="O590" s="189" t="str">
        <f t="shared" si="219"/>
        <v/>
      </c>
      <c r="P590" s="191" t="str">
        <f t="shared" si="206"/>
        <v/>
      </c>
      <c r="Q590" s="192" t="str">
        <f t="shared" si="220"/>
        <v/>
      </c>
      <c r="R590" s="191" t="str">
        <f t="shared" si="207"/>
        <v/>
      </c>
      <c r="S590" s="193" t="str">
        <f t="shared" si="221"/>
        <v/>
      </c>
      <c r="T590" s="194" t="str">
        <f t="shared" si="208"/>
        <v/>
      </c>
      <c r="U590" s="192" t="str">
        <f t="shared" si="222"/>
        <v/>
      </c>
      <c r="V590" s="195" t="str">
        <f t="shared" si="209"/>
        <v/>
      </c>
      <c r="W590" s="195" t="str">
        <f t="shared" si="210"/>
        <v/>
      </c>
      <c r="X590" s="196" t="str">
        <f t="shared" si="223"/>
        <v/>
      </c>
      <c r="Y590" s="191" t="str">
        <f t="shared" si="204"/>
        <v/>
      </c>
      <c r="Z590" s="197" t="str">
        <f t="shared" si="211"/>
        <v/>
      </c>
      <c r="AA590" s="197" t="str">
        <f t="shared" si="212"/>
        <v/>
      </c>
      <c r="AB590" s="213"/>
      <c r="AC590" s="204"/>
    </row>
    <row r="591" spans="1:29" ht="11.4">
      <c r="A591" s="211" t="str">
        <f t="shared" si="224"/>
        <v/>
      </c>
      <c r="B591" s="211"/>
      <c r="C591" s="185"/>
      <c r="D591" s="186" t="str">
        <f t="shared" si="213"/>
        <v/>
      </c>
      <c r="E591" s="186" t="str">
        <f>IF(OR(C591="",C591=Data!$B$3),"",IF(C591=Data!$B$4,"L","S"))</f>
        <v/>
      </c>
      <c r="F591" s="186" t="str">
        <f t="shared" si="214"/>
        <v/>
      </c>
      <c r="G591" s="187" t="str">
        <f t="shared" si="205"/>
        <v/>
      </c>
      <c r="H591" s="188"/>
      <c r="I591" s="189" t="str">
        <f t="shared" si="215"/>
        <v/>
      </c>
      <c r="J591" s="189" t="str">
        <f t="shared" si="216"/>
        <v/>
      </c>
      <c r="K591" s="190" t="str">
        <f t="shared" si="217"/>
        <v/>
      </c>
      <c r="L591" s="190" t="str">
        <f t="shared" si="218"/>
        <v/>
      </c>
      <c r="M591" s="214"/>
      <c r="N591" s="214"/>
      <c r="O591" s="189" t="str">
        <f t="shared" si="219"/>
        <v/>
      </c>
      <c r="P591" s="191" t="str">
        <f t="shared" si="206"/>
        <v/>
      </c>
      <c r="Q591" s="192" t="str">
        <f t="shared" si="220"/>
        <v/>
      </c>
      <c r="R591" s="191" t="str">
        <f t="shared" si="207"/>
        <v/>
      </c>
      <c r="S591" s="193" t="str">
        <f t="shared" si="221"/>
        <v/>
      </c>
      <c r="T591" s="194" t="str">
        <f t="shared" si="208"/>
        <v/>
      </c>
      <c r="U591" s="192" t="str">
        <f t="shared" si="222"/>
        <v/>
      </c>
      <c r="V591" s="195" t="str">
        <f t="shared" si="209"/>
        <v/>
      </c>
      <c r="W591" s="195" t="str">
        <f t="shared" si="210"/>
        <v/>
      </c>
      <c r="X591" s="196" t="str">
        <f t="shared" si="223"/>
        <v/>
      </c>
      <c r="Y591" s="191" t="str">
        <f t="shared" si="204"/>
        <v/>
      </c>
      <c r="Z591" s="197" t="str">
        <f t="shared" si="211"/>
        <v/>
      </c>
      <c r="AA591" s="197" t="str">
        <f t="shared" si="212"/>
        <v/>
      </c>
      <c r="AB591" s="213"/>
      <c r="AC591" s="204"/>
    </row>
    <row r="592" spans="1:29" ht="11.4">
      <c r="A592" s="211" t="str">
        <f t="shared" si="224"/>
        <v/>
      </c>
      <c r="B592" s="211"/>
      <c r="C592" s="185"/>
      <c r="D592" s="186" t="str">
        <f t="shared" si="213"/>
        <v/>
      </c>
      <c r="E592" s="186" t="str">
        <f>IF(OR(C592="",C592=Data!$B$3),"",IF(C592=Data!$B$4,"L","S"))</f>
        <v/>
      </c>
      <c r="F592" s="186" t="str">
        <f t="shared" si="214"/>
        <v/>
      </c>
      <c r="G592" s="187" t="str">
        <f t="shared" si="205"/>
        <v/>
      </c>
      <c r="H592" s="188"/>
      <c r="I592" s="189" t="str">
        <f t="shared" si="215"/>
        <v/>
      </c>
      <c r="J592" s="189" t="str">
        <f t="shared" si="216"/>
        <v/>
      </c>
      <c r="K592" s="190" t="str">
        <f t="shared" si="217"/>
        <v/>
      </c>
      <c r="L592" s="190" t="str">
        <f t="shared" si="218"/>
        <v/>
      </c>
      <c r="M592" s="214"/>
      <c r="N592" s="214"/>
      <c r="O592" s="189" t="str">
        <f t="shared" si="219"/>
        <v/>
      </c>
      <c r="P592" s="191" t="str">
        <f t="shared" si="206"/>
        <v/>
      </c>
      <c r="Q592" s="192" t="str">
        <f t="shared" si="220"/>
        <v/>
      </c>
      <c r="R592" s="191" t="str">
        <f t="shared" si="207"/>
        <v/>
      </c>
      <c r="S592" s="193" t="str">
        <f t="shared" si="221"/>
        <v/>
      </c>
      <c r="T592" s="194" t="str">
        <f t="shared" si="208"/>
        <v/>
      </c>
      <c r="U592" s="192" t="str">
        <f t="shared" si="222"/>
        <v/>
      </c>
      <c r="V592" s="195" t="str">
        <f t="shared" si="209"/>
        <v/>
      </c>
      <c r="W592" s="195" t="str">
        <f t="shared" si="210"/>
        <v/>
      </c>
      <c r="X592" s="196" t="str">
        <f t="shared" si="223"/>
        <v/>
      </c>
      <c r="Y592" s="191" t="str">
        <f t="shared" si="204"/>
        <v/>
      </c>
      <c r="Z592" s="197" t="str">
        <f t="shared" si="211"/>
        <v/>
      </c>
      <c r="AA592" s="197" t="str">
        <f t="shared" si="212"/>
        <v/>
      </c>
      <c r="AB592" s="213"/>
      <c r="AC592" s="204"/>
    </row>
    <row r="593" spans="1:29" ht="11.4">
      <c r="A593" s="211" t="str">
        <f t="shared" si="224"/>
        <v/>
      </c>
      <c r="B593" s="211"/>
      <c r="C593" s="185"/>
      <c r="D593" s="186" t="str">
        <f t="shared" si="213"/>
        <v/>
      </c>
      <c r="E593" s="186" t="str">
        <f>IF(OR(C593="",C593=Data!$B$3),"",IF(C593=Data!$B$4,"L","S"))</f>
        <v/>
      </c>
      <c r="F593" s="186" t="str">
        <f t="shared" si="214"/>
        <v/>
      </c>
      <c r="G593" s="187" t="str">
        <f t="shared" si="205"/>
        <v/>
      </c>
      <c r="H593" s="188"/>
      <c r="I593" s="189" t="str">
        <f t="shared" si="215"/>
        <v/>
      </c>
      <c r="J593" s="189" t="str">
        <f t="shared" si="216"/>
        <v/>
      </c>
      <c r="K593" s="190" t="str">
        <f t="shared" si="217"/>
        <v/>
      </c>
      <c r="L593" s="190" t="str">
        <f t="shared" si="218"/>
        <v/>
      </c>
      <c r="M593" s="214"/>
      <c r="N593" s="214"/>
      <c r="O593" s="189" t="str">
        <f t="shared" si="219"/>
        <v/>
      </c>
      <c r="P593" s="191" t="str">
        <f t="shared" si="206"/>
        <v/>
      </c>
      <c r="Q593" s="192" t="str">
        <f t="shared" si="220"/>
        <v/>
      </c>
      <c r="R593" s="191" t="str">
        <f t="shared" si="207"/>
        <v/>
      </c>
      <c r="S593" s="193" t="str">
        <f t="shared" si="221"/>
        <v/>
      </c>
      <c r="T593" s="194" t="str">
        <f t="shared" si="208"/>
        <v/>
      </c>
      <c r="U593" s="192" t="str">
        <f t="shared" si="222"/>
        <v/>
      </c>
      <c r="V593" s="195" t="str">
        <f t="shared" si="209"/>
        <v/>
      </c>
      <c r="W593" s="195" t="str">
        <f t="shared" si="210"/>
        <v/>
      </c>
      <c r="X593" s="196" t="str">
        <f t="shared" si="223"/>
        <v/>
      </c>
      <c r="Y593" s="191" t="str">
        <f t="shared" si="204"/>
        <v/>
      </c>
      <c r="Z593" s="197" t="str">
        <f t="shared" si="211"/>
        <v/>
      </c>
      <c r="AA593" s="197" t="str">
        <f t="shared" si="212"/>
        <v/>
      </c>
      <c r="AB593" s="213"/>
      <c r="AC593" s="204"/>
    </row>
    <row r="594" spans="1:29" ht="11.4">
      <c r="A594" s="211" t="str">
        <f t="shared" si="224"/>
        <v/>
      </c>
      <c r="B594" s="211"/>
      <c r="C594" s="185"/>
      <c r="D594" s="186" t="str">
        <f t="shared" si="213"/>
        <v/>
      </c>
      <c r="E594" s="186" t="str">
        <f>IF(OR(C594="",C594=Data!$B$3),"",IF(C594=Data!$B$4,"L","S"))</f>
        <v/>
      </c>
      <c r="F594" s="186" t="str">
        <f t="shared" si="214"/>
        <v/>
      </c>
      <c r="G594" s="187" t="str">
        <f t="shared" si="205"/>
        <v/>
      </c>
      <c r="H594" s="188"/>
      <c r="I594" s="189" t="str">
        <f t="shared" si="215"/>
        <v/>
      </c>
      <c r="J594" s="189" t="str">
        <f t="shared" si="216"/>
        <v/>
      </c>
      <c r="K594" s="190" t="str">
        <f t="shared" si="217"/>
        <v/>
      </c>
      <c r="L594" s="190" t="str">
        <f t="shared" si="218"/>
        <v/>
      </c>
      <c r="M594" s="214"/>
      <c r="N594" s="214"/>
      <c r="O594" s="189" t="str">
        <f t="shared" si="219"/>
        <v/>
      </c>
      <c r="P594" s="191" t="str">
        <f t="shared" si="206"/>
        <v/>
      </c>
      <c r="Q594" s="192" t="str">
        <f t="shared" si="220"/>
        <v/>
      </c>
      <c r="R594" s="191" t="str">
        <f t="shared" si="207"/>
        <v/>
      </c>
      <c r="S594" s="193" t="str">
        <f t="shared" si="221"/>
        <v/>
      </c>
      <c r="T594" s="194" t="str">
        <f t="shared" si="208"/>
        <v/>
      </c>
      <c r="U594" s="192" t="str">
        <f t="shared" si="222"/>
        <v/>
      </c>
      <c r="V594" s="195" t="str">
        <f t="shared" si="209"/>
        <v/>
      </c>
      <c r="W594" s="195" t="str">
        <f t="shared" si="210"/>
        <v/>
      </c>
      <c r="X594" s="196" t="str">
        <f t="shared" si="223"/>
        <v/>
      </c>
      <c r="Y594" s="191" t="str">
        <f t="shared" si="204"/>
        <v/>
      </c>
      <c r="Z594" s="197" t="str">
        <f t="shared" si="211"/>
        <v/>
      </c>
      <c r="AA594" s="197" t="str">
        <f t="shared" si="212"/>
        <v/>
      </c>
      <c r="AB594" s="213"/>
      <c r="AC594" s="204"/>
    </row>
    <row r="595" spans="1:29" ht="11.4">
      <c r="A595" s="211" t="str">
        <f t="shared" si="224"/>
        <v/>
      </c>
      <c r="B595" s="211"/>
      <c r="C595" s="185"/>
      <c r="D595" s="186" t="str">
        <f t="shared" si="213"/>
        <v/>
      </c>
      <c r="E595" s="186" t="str">
        <f>IF(OR(C595="",C595=Data!$B$3),"",IF(C595=Data!$B$4,"L","S"))</f>
        <v/>
      </c>
      <c r="F595" s="186" t="str">
        <f t="shared" si="214"/>
        <v/>
      </c>
      <c r="G595" s="187" t="str">
        <f t="shared" si="205"/>
        <v/>
      </c>
      <c r="H595" s="188"/>
      <c r="I595" s="189" t="str">
        <f t="shared" si="215"/>
        <v/>
      </c>
      <c r="J595" s="189" t="str">
        <f t="shared" si="216"/>
        <v/>
      </c>
      <c r="K595" s="190" t="str">
        <f t="shared" si="217"/>
        <v/>
      </c>
      <c r="L595" s="190" t="str">
        <f t="shared" si="218"/>
        <v/>
      </c>
      <c r="M595" s="214"/>
      <c r="N595" s="214"/>
      <c r="O595" s="189" t="str">
        <f t="shared" si="219"/>
        <v/>
      </c>
      <c r="P595" s="191" t="str">
        <f t="shared" si="206"/>
        <v/>
      </c>
      <c r="Q595" s="192" t="str">
        <f t="shared" si="220"/>
        <v/>
      </c>
      <c r="R595" s="191" t="str">
        <f t="shared" si="207"/>
        <v/>
      </c>
      <c r="S595" s="193" t="str">
        <f t="shared" si="221"/>
        <v/>
      </c>
      <c r="T595" s="194" t="str">
        <f t="shared" si="208"/>
        <v/>
      </c>
      <c r="U595" s="192" t="str">
        <f t="shared" si="222"/>
        <v/>
      </c>
      <c r="V595" s="195" t="str">
        <f t="shared" si="209"/>
        <v/>
      </c>
      <c r="W595" s="195" t="str">
        <f t="shared" si="210"/>
        <v/>
      </c>
      <c r="X595" s="196" t="str">
        <f t="shared" si="223"/>
        <v/>
      </c>
      <c r="Y595" s="191" t="str">
        <f t="shared" si="204"/>
        <v/>
      </c>
      <c r="Z595" s="197" t="str">
        <f t="shared" si="211"/>
        <v/>
      </c>
      <c r="AA595" s="197" t="str">
        <f t="shared" si="212"/>
        <v/>
      </c>
      <c r="AB595" s="213"/>
      <c r="AC595" s="204"/>
    </row>
    <row r="596" spans="1:29" ht="11.4">
      <c r="A596" s="211" t="str">
        <f t="shared" si="224"/>
        <v/>
      </c>
      <c r="B596" s="211"/>
      <c r="C596" s="185"/>
      <c r="D596" s="186" t="str">
        <f t="shared" si="213"/>
        <v/>
      </c>
      <c r="E596" s="186" t="str">
        <f>IF(OR(C596="",C596=Data!$B$3),"",IF(C596=Data!$B$4,"L","S"))</f>
        <v/>
      </c>
      <c r="F596" s="186" t="str">
        <f t="shared" si="214"/>
        <v/>
      </c>
      <c r="G596" s="187" t="str">
        <f t="shared" si="205"/>
        <v/>
      </c>
      <c r="H596" s="188"/>
      <c r="I596" s="189" t="str">
        <f t="shared" si="215"/>
        <v/>
      </c>
      <c r="J596" s="189" t="str">
        <f t="shared" si="216"/>
        <v/>
      </c>
      <c r="K596" s="190" t="str">
        <f t="shared" si="217"/>
        <v/>
      </c>
      <c r="L596" s="190" t="str">
        <f t="shared" si="218"/>
        <v/>
      </c>
      <c r="M596" s="214"/>
      <c r="N596" s="214"/>
      <c r="O596" s="189" t="str">
        <f t="shared" si="219"/>
        <v/>
      </c>
      <c r="P596" s="191" t="str">
        <f t="shared" si="206"/>
        <v/>
      </c>
      <c r="Q596" s="192" t="str">
        <f t="shared" si="220"/>
        <v/>
      </c>
      <c r="R596" s="191" t="str">
        <f t="shared" si="207"/>
        <v/>
      </c>
      <c r="S596" s="193" t="str">
        <f t="shared" si="221"/>
        <v/>
      </c>
      <c r="T596" s="194" t="str">
        <f t="shared" si="208"/>
        <v/>
      </c>
      <c r="U596" s="192" t="str">
        <f t="shared" si="222"/>
        <v/>
      </c>
      <c r="V596" s="195" t="str">
        <f t="shared" si="209"/>
        <v/>
      </c>
      <c r="W596" s="195" t="str">
        <f t="shared" si="210"/>
        <v/>
      </c>
      <c r="X596" s="196" t="str">
        <f t="shared" si="223"/>
        <v/>
      </c>
      <c r="Y596" s="191" t="str">
        <f t="shared" ref="Y596:Y659" si="225">IF(Y595="","",IF(T596="","",Y595+T596))</f>
        <v/>
      </c>
      <c r="Z596" s="197" t="str">
        <f t="shared" si="211"/>
        <v/>
      </c>
      <c r="AA596" s="197" t="str">
        <f t="shared" si="212"/>
        <v/>
      </c>
      <c r="AB596" s="213"/>
      <c r="AC596" s="204"/>
    </row>
    <row r="597" spans="1:29" ht="11.4">
      <c r="A597" s="211" t="str">
        <f t="shared" si="224"/>
        <v/>
      </c>
      <c r="B597" s="211"/>
      <c r="C597" s="185"/>
      <c r="D597" s="186" t="str">
        <f t="shared" si="213"/>
        <v/>
      </c>
      <c r="E597" s="186" t="str">
        <f>IF(OR(C597="",C597=Data!$B$3),"",IF(C597=Data!$B$4,"L","S"))</f>
        <v/>
      </c>
      <c r="F597" s="186" t="str">
        <f t="shared" si="214"/>
        <v/>
      </c>
      <c r="G597" s="187" t="str">
        <f t="shared" si="205"/>
        <v/>
      </c>
      <c r="H597" s="188"/>
      <c r="I597" s="189" t="str">
        <f t="shared" si="215"/>
        <v/>
      </c>
      <c r="J597" s="189" t="str">
        <f t="shared" si="216"/>
        <v/>
      </c>
      <c r="K597" s="190" t="str">
        <f t="shared" si="217"/>
        <v/>
      </c>
      <c r="L597" s="190" t="str">
        <f t="shared" si="218"/>
        <v/>
      </c>
      <c r="M597" s="214"/>
      <c r="N597" s="214"/>
      <c r="O597" s="189" t="str">
        <f t="shared" si="219"/>
        <v/>
      </c>
      <c r="P597" s="191" t="str">
        <f t="shared" si="206"/>
        <v/>
      </c>
      <c r="Q597" s="192" t="str">
        <f t="shared" si="220"/>
        <v/>
      </c>
      <c r="R597" s="191" t="str">
        <f t="shared" si="207"/>
        <v/>
      </c>
      <c r="S597" s="193" t="str">
        <f t="shared" si="221"/>
        <v/>
      </c>
      <c r="T597" s="194" t="str">
        <f t="shared" si="208"/>
        <v/>
      </c>
      <c r="U597" s="192" t="str">
        <f t="shared" si="222"/>
        <v/>
      </c>
      <c r="V597" s="195" t="str">
        <f t="shared" si="209"/>
        <v/>
      </c>
      <c r="W597" s="195" t="str">
        <f t="shared" si="210"/>
        <v/>
      </c>
      <c r="X597" s="196" t="str">
        <f t="shared" si="223"/>
        <v/>
      </c>
      <c r="Y597" s="191" t="str">
        <f t="shared" si="225"/>
        <v/>
      </c>
      <c r="Z597" s="197" t="str">
        <f t="shared" si="211"/>
        <v/>
      </c>
      <c r="AA597" s="197" t="str">
        <f t="shared" si="212"/>
        <v/>
      </c>
      <c r="AB597" s="213"/>
      <c r="AC597" s="204"/>
    </row>
    <row r="598" spans="1:29" ht="11.4">
      <c r="A598" s="211" t="str">
        <f t="shared" si="224"/>
        <v/>
      </c>
      <c r="B598" s="211"/>
      <c r="C598" s="185"/>
      <c r="D598" s="186" t="str">
        <f t="shared" si="213"/>
        <v/>
      </c>
      <c r="E598" s="186" t="str">
        <f>IF(OR(C598="",C598=Data!$B$3),"",IF(C598=Data!$B$4,"L","S"))</f>
        <v/>
      </c>
      <c r="F598" s="186" t="str">
        <f t="shared" si="214"/>
        <v/>
      </c>
      <c r="G598" s="187" t="str">
        <f t="shared" si="205"/>
        <v/>
      </c>
      <c r="H598" s="188"/>
      <c r="I598" s="189" t="str">
        <f t="shared" si="215"/>
        <v/>
      </c>
      <c r="J598" s="189" t="str">
        <f t="shared" si="216"/>
        <v/>
      </c>
      <c r="K598" s="190" t="str">
        <f t="shared" si="217"/>
        <v/>
      </c>
      <c r="L598" s="190" t="str">
        <f t="shared" si="218"/>
        <v/>
      </c>
      <c r="M598" s="214"/>
      <c r="N598" s="214"/>
      <c r="O598" s="189" t="str">
        <f t="shared" si="219"/>
        <v/>
      </c>
      <c r="P598" s="191" t="str">
        <f t="shared" si="206"/>
        <v/>
      </c>
      <c r="Q598" s="192" t="str">
        <f t="shared" si="220"/>
        <v/>
      </c>
      <c r="R598" s="191" t="str">
        <f t="shared" si="207"/>
        <v/>
      </c>
      <c r="S598" s="193" t="str">
        <f t="shared" si="221"/>
        <v/>
      </c>
      <c r="T598" s="194" t="str">
        <f t="shared" si="208"/>
        <v/>
      </c>
      <c r="U598" s="192" t="str">
        <f t="shared" si="222"/>
        <v/>
      </c>
      <c r="V598" s="195" t="str">
        <f t="shared" si="209"/>
        <v/>
      </c>
      <c r="W598" s="195" t="str">
        <f t="shared" si="210"/>
        <v/>
      </c>
      <c r="X598" s="196" t="str">
        <f t="shared" si="223"/>
        <v/>
      </c>
      <c r="Y598" s="191" t="str">
        <f t="shared" si="225"/>
        <v/>
      </c>
      <c r="Z598" s="197" t="str">
        <f t="shared" si="211"/>
        <v/>
      </c>
      <c r="AA598" s="197" t="str">
        <f t="shared" si="212"/>
        <v/>
      </c>
      <c r="AB598" s="213"/>
      <c r="AC598" s="204"/>
    </row>
    <row r="599" spans="1:29" ht="11.4">
      <c r="A599" s="211" t="str">
        <f t="shared" si="224"/>
        <v/>
      </c>
      <c r="B599" s="211"/>
      <c r="C599" s="185"/>
      <c r="D599" s="186" t="str">
        <f t="shared" si="213"/>
        <v/>
      </c>
      <c r="E599" s="186" t="str">
        <f>IF(OR(C599="",C599=Data!$B$3),"",IF(C599=Data!$B$4,"L","S"))</f>
        <v/>
      </c>
      <c r="F599" s="186" t="str">
        <f t="shared" si="214"/>
        <v/>
      </c>
      <c r="G599" s="187" t="str">
        <f t="shared" si="205"/>
        <v/>
      </c>
      <c r="H599" s="188"/>
      <c r="I599" s="189" t="str">
        <f t="shared" si="215"/>
        <v/>
      </c>
      <c r="J599" s="189" t="str">
        <f t="shared" si="216"/>
        <v/>
      </c>
      <c r="K599" s="190" t="str">
        <f t="shared" si="217"/>
        <v/>
      </c>
      <c r="L599" s="190" t="str">
        <f t="shared" si="218"/>
        <v/>
      </c>
      <c r="M599" s="214"/>
      <c r="N599" s="214"/>
      <c r="O599" s="189" t="str">
        <f t="shared" si="219"/>
        <v/>
      </c>
      <c r="P599" s="191" t="str">
        <f t="shared" si="206"/>
        <v/>
      </c>
      <c r="Q599" s="192" t="str">
        <f t="shared" si="220"/>
        <v/>
      </c>
      <c r="R599" s="191" t="str">
        <f t="shared" si="207"/>
        <v/>
      </c>
      <c r="S599" s="193" t="str">
        <f t="shared" si="221"/>
        <v/>
      </c>
      <c r="T599" s="194" t="str">
        <f t="shared" si="208"/>
        <v/>
      </c>
      <c r="U599" s="192" t="str">
        <f t="shared" si="222"/>
        <v/>
      </c>
      <c r="V599" s="195" t="str">
        <f t="shared" si="209"/>
        <v/>
      </c>
      <c r="W599" s="195" t="str">
        <f t="shared" si="210"/>
        <v/>
      </c>
      <c r="X599" s="196" t="str">
        <f t="shared" si="223"/>
        <v/>
      </c>
      <c r="Y599" s="191" t="str">
        <f t="shared" si="225"/>
        <v/>
      </c>
      <c r="Z599" s="197" t="str">
        <f t="shared" si="211"/>
        <v/>
      </c>
      <c r="AA599" s="197" t="str">
        <f t="shared" si="212"/>
        <v/>
      </c>
      <c r="AB599" s="213"/>
      <c r="AC599" s="204"/>
    </row>
    <row r="600" spans="1:29" ht="11.4">
      <c r="A600" s="211" t="str">
        <f t="shared" si="224"/>
        <v/>
      </c>
      <c r="B600" s="211"/>
      <c r="C600" s="185"/>
      <c r="D600" s="186" t="str">
        <f t="shared" si="213"/>
        <v/>
      </c>
      <c r="E600" s="186" t="str">
        <f>IF(OR(C600="",C600=Data!$B$3),"",IF(C600=Data!$B$4,"L","S"))</f>
        <v/>
      </c>
      <c r="F600" s="186" t="str">
        <f t="shared" si="214"/>
        <v/>
      </c>
      <c r="G600" s="187" t="str">
        <f t="shared" si="205"/>
        <v/>
      </c>
      <c r="H600" s="188"/>
      <c r="I600" s="189" t="str">
        <f t="shared" si="215"/>
        <v/>
      </c>
      <c r="J600" s="189" t="str">
        <f t="shared" si="216"/>
        <v/>
      </c>
      <c r="K600" s="190" t="str">
        <f t="shared" si="217"/>
        <v/>
      </c>
      <c r="L600" s="190" t="str">
        <f t="shared" si="218"/>
        <v/>
      </c>
      <c r="M600" s="214"/>
      <c r="N600" s="214"/>
      <c r="O600" s="189" t="str">
        <f t="shared" si="219"/>
        <v/>
      </c>
      <c r="P600" s="191" t="str">
        <f t="shared" si="206"/>
        <v/>
      </c>
      <c r="Q600" s="192" t="str">
        <f t="shared" si="220"/>
        <v/>
      </c>
      <c r="R600" s="191" t="str">
        <f t="shared" si="207"/>
        <v/>
      </c>
      <c r="S600" s="193" t="str">
        <f t="shared" si="221"/>
        <v/>
      </c>
      <c r="T600" s="194" t="str">
        <f t="shared" si="208"/>
        <v/>
      </c>
      <c r="U600" s="192" t="str">
        <f t="shared" si="222"/>
        <v/>
      </c>
      <c r="V600" s="195" t="str">
        <f t="shared" si="209"/>
        <v/>
      </c>
      <c r="W600" s="195" t="str">
        <f t="shared" si="210"/>
        <v/>
      </c>
      <c r="X600" s="196" t="str">
        <f t="shared" si="223"/>
        <v/>
      </c>
      <c r="Y600" s="191" t="str">
        <f t="shared" si="225"/>
        <v/>
      </c>
      <c r="Z600" s="197" t="str">
        <f t="shared" si="211"/>
        <v/>
      </c>
      <c r="AA600" s="197" t="str">
        <f t="shared" si="212"/>
        <v/>
      </c>
      <c r="AB600" s="213"/>
      <c r="AC600" s="204"/>
    </row>
    <row r="601" spans="1:29" ht="11.4">
      <c r="A601" s="211" t="str">
        <f t="shared" si="224"/>
        <v/>
      </c>
      <c r="B601" s="211"/>
      <c r="C601" s="185"/>
      <c r="D601" s="186" t="str">
        <f t="shared" si="213"/>
        <v/>
      </c>
      <c r="E601" s="186" t="str">
        <f>IF(OR(C601="",C601=Data!$B$3),"",IF(C601=Data!$B$4,"L","S"))</f>
        <v/>
      </c>
      <c r="F601" s="186" t="str">
        <f t="shared" si="214"/>
        <v/>
      </c>
      <c r="G601" s="187" t="str">
        <f t="shared" si="205"/>
        <v/>
      </c>
      <c r="H601" s="188"/>
      <c r="I601" s="189" t="str">
        <f t="shared" si="215"/>
        <v/>
      </c>
      <c r="J601" s="189" t="str">
        <f t="shared" si="216"/>
        <v/>
      </c>
      <c r="K601" s="190" t="str">
        <f t="shared" si="217"/>
        <v/>
      </c>
      <c r="L601" s="190" t="str">
        <f t="shared" si="218"/>
        <v/>
      </c>
      <c r="M601" s="214"/>
      <c r="N601" s="214"/>
      <c r="O601" s="189" t="str">
        <f t="shared" si="219"/>
        <v/>
      </c>
      <c r="P601" s="191" t="str">
        <f t="shared" si="206"/>
        <v/>
      </c>
      <c r="Q601" s="192" t="str">
        <f t="shared" si="220"/>
        <v/>
      </c>
      <c r="R601" s="191" t="str">
        <f t="shared" si="207"/>
        <v/>
      </c>
      <c r="S601" s="193" t="str">
        <f t="shared" si="221"/>
        <v/>
      </c>
      <c r="T601" s="194" t="str">
        <f t="shared" si="208"/>
        <v/>
      </c>
      <c r="U601" s="192" t="str">
        <f t="shared" si="222"/>
        <v/>
      </c>
      <c r="V601" s="195" t="str">
        <f t="shared" si="209"/>
        <v/>
      </c>
      <c r="W601" s="195" t="str">
        <f t="shared" si="210"/>
        <v/>
      </c>
      <c r="X601" s="196" t="str">
        <f t="shared" si="223"/>
        <v/>
      </c>
      <c r="Y601" s="191" t="str">
        <f t="shared" si="225"/>
        <v/>
      </c>
      <c r="Z601" s="197" t="str">
        <f t="shared" si="211"/>
        <v/>
      </c>
      <c r="AA601" s="197" t="str">
        <f t="shared" si="212"/>
        <v/>
      </c>
      <c r="AB601" s="213"/>
      <c r="AC601" s="204"/>
    </row>
    <row r="602" spans="1:29" ht="11.4">
      <c r="A602" s="211" t="str">
        <f t="shared" si="224"/>
        <v/>
      </c>
      <c r="B602" s="211"/>
      <c r="C602" s="185"/>
      <c r="D602" s="186" t="str">
        <f t="shared" si="213"/>
        <v/>
      </c>
      <c r="E602" s="186" t="str">
        <f>IF(OR(C602="",C602=Data!$B$3),"",IF(C602=Data!$B$4,"L","S"))</f>
        <v/>
      </c>
      <c r="F602" s="186" t="str">
        <f t="shared" si="214"/>
        <v/>
      </c>
      <c r="G602" s="187" t="str">
        <f t="shared" si="205"/>
        <v/>
      </c>
      <c r="H602" s="188"/>
      <c r="I602" s="189" t="str">
        <f t="shared" si="215"/>
        <v/>
      </c>
      <c r="J602" s="189" t="str">
        <f t="shared" si="216"/>
        <v/>
      </c>
      <c r="K602" s="190" t="str">
        <f t="shared" si="217"/>
        <v/>
      </c>
      <c r="L602" s="190" t="str">
        <f t="shared" si="218"/>
        <v/>
      </c>
      <c r="M602" s="214"/>
      <c r="N602" s="214"/>
      <c r="O602" s="189" t="str">
        <f t="shared" si="219"/>
        <v/>
      </c>
      <c r="P602" s="191" t="str">
        <f t="shared" si="206"/>
        <v/>
      </c>
      <c r="Q602" s="192" t="str">
        <f t="shared" si="220"/>
        <v/>
      </c>
      <c r="R602" s="191" t="str">
        <f t="shared" si="207"/>
        <v/>
      </c>
      <c r="S602" s="193" t="str">
        <f t="shared" si="221"/>
        <v/>
      </c>
      <c r="T602" s="194" t="str">
        <f t="shared" si="208"/>
        <v/>
      </c>
      <c r="U602" s="192" t="str">
        <f t="shared" si="222"/>
        <v/>
      </c>
      <c r="V602" s="195" t="str">
        <f t="shared" si="209"/>
        <v/>
      </c>
      <c r="W602" s="195" t="str">
        <f t="shared" si="210"/>
        <v/>
      </c>
      <c r="X602" s="196" t="str">
        <f t="shared" si="223"/>
        <v/>
      </c>
      <c r="Y602" s="191" t="str">
        <f t="shared" si="225"/>
        <v/>
      </c>
      <c r="Z602" s="197" t="str">
        <f t="shared" si="211"/>
        <v/>
      </c>
      <c r="AA602" s="197" t="str">
        <f t="shared" si="212"/>
        <v/>
      </c>
      <c r="AB602" s="213"/>
      <c r="AC602" s="204"/>
    </row>
    <row r="603" spans="1:29" ht="11.4">
      <c r="A603" s="211" t="str">
        <f t="shared" si="224"/>
        <v/>
      </c>
      <c r="B603" s="211"/>
      <c r="C603" s="185"/>
      <c r="D603" s="186" t="str">
        <f t="shared" si="213"/>
        <v/>
      </c>
      <c r="E603" s="186" t="str">
        <f>IF(OR(C603="",C603=Data!$B$3),"",IF(C603=Data!$B$4,"L","S"))</f>
        <v/>
      </c>
      <c r="F603" s="186" t="str">
        <f t="shared" si="214"/>
        <v/>
      </c>
      <c r="G603" s="187" t="str">
        <f t="shared" si="205"/>
        <v/>
      </c>
      <c r="H603" s="188"/>
      <c r="I603" s="189" t="str">
        <f t="shared" si="215"/>
        <v/>
      </c>
      <c r="J603" s="189" t="str">
        <f t="shared" si="216"/>
        <v/>
      </c>
      <c r="K603" s="190" t="str">
        <f t="shared" si="217"/>
        <v/>
      </c>
      <c r="L603" s="190" t="str">
        <f t="shared" si="218"/>
        <v/>
      </c>
      <c r="M603" s="214"/>
      <c r="N603" s="214"/>
      <c r="O603" s="189" t="str">
        <f t="shared" si="219"/>
        <v/>
      </c>
      <c r="P603" s="191" t="str">
        <f t="shared" si="206"/>
        <v/>
      </c>
      <c r="Q603" s="192" t="str">
        <f t="shared" si="220"/>
        <v/>
      </c>
      <c r="R603" s="191" t="str">
        <f t="shared" si="207"/>
        <v/>
      </c>
      <c r="S603" s="193" t="str">
        <f t="shared" si="221"/>
        <v/>
      </c>
      <c r="T603" s="194" t="str">
        <f t="shared" si="208"/>
        <v/>
      </c>
      <c r="U603" s="192" t="str">
        <f t="shared" si="222"/>
        <v/>
      </c>
      <c r="V603" s="195" t="str">
        <f t="shared" si="209"/>
        <v/>
      </c>
      <c r="W603" s="195" t="str">
        <f t="shared" si="210"/>
        <v/>
      </c>
      <c r="X603" s="196" t="str">
        <f t="shared" si="223"/>
        <v/>
      </c>
      <c r="Y603" s="191" t="str">
        <f t="shared" si="225"/>
        <v/>
      </c>
      <c r="Z603" s="197" t="str">
        <f t="shared" si="211"/>
        <v/>
      </c>
      <c r="AA603" s="197" t="str">
        <f t="shared" si="212"/>
        <v/>
      </c>
      <c r="AB603" s="213"/>
      <c r="AC603" s="204"/>
    </row>
    <row r="604" spans="1:29" ht="11.4">
      <c r="A604" s="211" t="str">
        <f t="shared" si="224"/>
        <v/>
      </c>
      <c r="B604" s="211"/>
      <c r="C604" s="185"/>
      <c r="D604" s="186" t="str">
        <f t="shared" si="213"/>
        <v/>
      </c>
      <c r="E604" s="186" t="str">
        <f>IF(OR(C604="",C604=Data!$B$3),"",IF(C604=Data!$B$4,"L","S"))</f>
        <v/>
      </c>
      <c r="F604" s="186" t="str">
        <f t="shared" si="214"/>
        <v/>
      </c>
      <c r="G604" s="187" t="str">
        <f t="shared" si="205"/>
        <v/>
      </c>
      <c r="H604" s="188"/>
      <c r="I604" s="189" t="str">
        <f t="shared" si="215"/>
        <v/>
      </c>
      <c r="J604" s="189" t="str">
        <f t="shared" si="216"/>
        <v/>
      </c>
      <c r="K604" s="190" t="str">
        <f t="shared" si="217"/>
        <v/>
      </c>
      <c r="L604" s="190" t="str">
        <f t="shared" si="218"/>
        <v/>
      </c>
      <c r="M604" s="214"/>
      <c r="N604" s="214"/>
      <c r="O604" s="189" t="str">
        <f t="shared" si="219"/>
        <v/>
      </c>
      <c r="P604" s="191" t="str">
        <f t="shared" si="206"/>
        <v/>
      </c>
      <c r="Q604" s="192" t="str">
        <f t="shared" si="220"/>
        <v/>
      </c>
      <c r="R604" s="191" t="str">
        <f t="shared" si="207"/>
        <v/>
      </c>
      <c r="S604" s="193" t="str">
        <f t="shared" si="221"/>
        <v/>
      </c>
      <c r="T604" s="194" t="str">
        <f t="shared" si="208"/>
        <v/>
      </c>
      <c r="U604" s="192" t="str">
        <f t="shared" si="222"/>
        <v/>
      </c>
      <c r="V604" s="195" t="str">
        <f t="shared" si="209"/>
        <v/>
      </c>
      <c r="W604" s="195" t="str">
        <f t="shared" si="210"/>
        <v/>
      </c>
      <c r="X604" s="196" t="str">
        <f t="shared" si="223"/>
        <v/>
      </c>
      <c r="Y604" s="191" t="str">
        <f t="shared" si="225"/>
        <v/>
      </c>
      <c r="Z604" s="197" t="str">
        <f t="shared" si="211"/>
        <v/>
      </c>
      <c r="AA604" s="197" t="str">
        <f t="shared" si="212"/>
        <v/>
      </c>
      <c r="AB604" s="213"/>
      <c r="AC604" s="204"/>
    </row>
    <row r="605" spans="1:29" ht="11.4">
      <c r="A605" s="211" t="str">
        <f t="shared" si="224"/>
        <v/>
      </c>
      <c r="B605" s="211"/>
      <c r="C605" s="185"/>
      <c r="D605" s="186" t="str">
        <f t="shared" si="213"/>
        <v/>
      </c>
      <c r="E605" s="186" t="str">
        <f>IF(OR(C605="",C605=Data!$B$3),"",IF(C605=Data!$B$4,"L","S"))</f>
        <v/>
      </c>
      <c r="F605" s="186" t="str">
        <f t="shared" si="214"/>
        <v/>
      </c>
      <c r="G605" s="187" t="str">
        <f t="shared" si="205"/>
        <v/>
      </c>
      <c r="H605" s="188"/>
      <c r="I605" s="189" t="str">
        <f t="shared" si="215"/>
        <v/>
      </c>
      <c r="J605" s="189" t="str">
        <f t="shared" si="216"/>
        <v/>
      </c>
      <c r="K605" s="190" t="str">
        <f t="shared" si="217"/>
        <v/>
      </c>
      <c r="L605" s="190" t="str">
        <f t="shared" si="218"/>
        <v/>
      </c>
      <c r="M605" s="214"/>
      <c r="N605" s="214"/>
      <c r="O605" s="189" t="str">
        <f t="shared" si="219"/>
        <v/>
      </c>
      <c r="P605" s="191" t="str">
        <f t="shared" si="206"/>
        <v/>
      </c>
      <c r="Q605" s="192" t="str">
        <f t="shared" si="220"/>
        <v/>
      </c>
      <c r="R605" s="191" t="str">
        <f t="shared" si="207"/>
        <v/>
      </c>
      <c r="S605" s="193" t="str">
        <f t="shared" si="221"/>
        <v/>
      </c>
      <c r="T605" s="194" t="str">
        <f t="shared" si="208"/>
        <v/>
      </c>
      <c r="U605" s="192" t="str">
        <f t="shared" si="222"/>
        <v/>
      </c>
      <c r="V605" s="195" t="str">
        <f t="shared" si="209"/>
        <v/>
      </c>
      <c r="W605" s="195" t="str">
        <f t="shared" si="210"/>
        <v/>
      </c>
      <c r="X605" s="196" t="str">
        <f t="shared" si="223"/>
        <v/>
      </c>
      <c r="Y605" s="191" t="str">
        <f t="shared" si="225"/>
        <v/>
      </c>
      <c r="Z605" s="197" t="str">
        <f t="shared" si="211"/>
        <v/>
      </c>
      <c r="AA605" s="197" t="str">
        <f t="shared" si="212"/>
        <v/>
      </c>
      <c r="AB605" s="213"/>
      <c r="AC605" s="204"/>
    </row>
    <row r="606" spans="1:29" ht="11.4">
      <c r="A606" s="211" t="str">
        <f t="shared" si="224"/>
        <v/>
      </c>
      <c r="B606" s="211"/>
      <c r="C606" s="185"/>
      <c r="D606" s="186" t="str">
        <f t="shared" si="213"/>
        <v/>
      </c>
      <c r="E606" s="186" t="str">
        <f>IF(OR(C606="",C606=Data!$B$3),"",IF(C606=Data!$B$4,"L","S"))</f>
        <v/>
      </c>
      <c r="F606" s="186" t="str">
        <f t="shared" si="214"/>
        <v/>
      </c>
      <c r="G606" s="187" t="str">
        <f t="shared" si="205"/>
        <v/>
      </c>
      <c r="H606" s="188"/>
      <c r="I606" s="189" t="str">
        <f t="shared" si="215"/>
        <v/>
      </c>
      <c r="J606" s="189" t="str">
        <f t="shared" si="216"/>
        <v/>
      </c>
      <c r="K606" s="190" t="str">
        <f t="shared" si="217"/>
        <v/>
      </c>
      <c r="L606" s="190" t="str">
        <f t="shared" si="218"/>
        <v/>
      </c>
      <c r="M606" s="214"/>
      <c r="N606" s="214"/>
      <c r="O606" s="189" t="str">
        <f t="shared" si="219"/>
        <v/>
      </c>
      <c r="P606" s="191" t="str">
        <f t="shared" si="206"/>
        <v/>
      </c>
      <c r="Q606" s="192" t="str">
        <f t="shared" si="220"/>
        <v/>
      </c>
      <c r="R606" s="191" t="str">
        <f t="shared" si="207"/>
        <v/>
      </c>
      <c r="S606" s="193" t="str">
        <f t="shared" si="221"/>
        <v/>
      </c>
      <c r="T606" s="194" t="str">
        <f t="shared" si="208"/>
        <v/>
      </c>
      <c r="U606" s="192" t="str">
        <f t="shared" si="222"/>
        <v/>
      </c>
      <c r="V606" s="195" t="str">
        <f t="shared" si="209"/>
        <v/>
      </c>
      <c r="W606" s="195" t="str">
        <f t="shared" si="210"/>
        <v/>
      </c>
      <c r="X606" s="196" t="str">
        <f t="shared" si="223"/>
        <v/>
      </c>
      <c r="Y606" s="191" t="str">
        <f t="shared" si="225"/>
        <v/>
      </c>
      <c r="Z606" s="197" t="str">
        <f t="shared" si="211"/>
        <v/>
      </c>
      <c r="AA606" s="197" t="str">
        <f t="shared" si="212"/>
        <v/>
      </c>
      <c r="AB606" s="213"/>
      <c r="AC606" s="204"/>
    </row>
    <row r="607" spans="1:29" ht="11.4">
      <c r="A607" s="211" t="str">
        <f t="shared" si="224"/>
        <v/>
      </c>
      <c r="B607" s="211"/>
      <c r="C607" s="185"/>
      <c r="D607" s="186" t="str">
        <f t="shared" si="213"/>
        <v/>
      </c>
      <c r="E607" s="186" t="str">
        <f>IF(OR(C607="",C607=Data!$B$3),"",IF(C607=Data!$B$4,"L","S"))</f>
        <v/>
      </c>
      <c r="F607" s="186" t="str">
        <f t="shared" si="214"/>
        <v/>
      </c>
      <c r="G607" s="187" t="str">
        <f t="shared" si="205"/>
        <v/>
      </c>
      <c r="H607" s="188"/>
      <c r="I607" s="189" t="str">
        <f t="shared" si="215"/>
        <v/>
      </c>
      <c r="J607" s="189" t="str">
        <f t="shared" si="216"/>
        <v/>
      </c>
      <c r="K607" s="190" t="str">
        <f t="shared" si="217"/>
        <v/>
      </c>
      <c r="L607" s="190" t="str">
        <f t="shared" si="218"/>
        <v/>
      </c>
      <c r="M607" s="214"/>
      <c r="N607" s="214"/>
      <c r="O607" s="189" t="str">
        <f t="shared" si="219"/>
        <v/>
      </c>
      <c r="P607" s="191" t="str">
        <f t="shared" si="206"/>
        <v/>
      </c>
      <c r="Q607" s="192" t="str">
        <f t="shared" si="220"/>
        <v/>
      </c>
      <c r="R607" s="191" t="str">
        <f t="shared" si="207"/>
        <v/>
      </c>
      <c r="S607" s="193" t="str">
        <f t="shared" si="221"/>
        <v/>
      </c>
      <c r="T607" s="194" t="str">
        <f t="shared" si="208"/>
        <v/>
      </c>
      <c r="U607" s="192" t="str">
        <f t="shared" si="222"/>
        <v/>
      </c>
      <c r="V607" s="195" t="str">
        <f t="shared" si="209"/>
        <v/>
      </c>
      <c r="W607" s="195" t="str">
        <f t="shared" si="210"/>
        <v/>
      </c>
      <c r="X607" s="196" t="str">
        <f t="shared" si="223"/>
        <v/>
      </c>
      <c r="Y607" s="191" t="str">
        <f t="shared" si="225"/>
        <v/>
      </c>
      <c r="Z607" s="197" t="str">
        <f t="shared" si="211"/>
        <v/>
      </c>
      <c r="AA607" s="197" t="str">
        <f t="shared" si="212"/>
        <v/>
      </c>
      <c r="AB607" s="213"/>
      <c r="AC607" s="204"/>
    </row>
    <row r="608" spans="1:29" ht="11.4">
      <c r="A608" s="211" t="str">
        <f t="shared" si="224"/>
        <v/>
      </c>
      <c r="B608" s="211"/>
      <c r="C608" s="185"/>
      <c r="D608" s="186" t="str">
        <f t="shared" si="213"/>
        <v/>
      </c>
      <c r="E608" s="186" t="str">
        <f>IF(OR(C608="",C608=Data!$B$3),"",IF(C608=Data!$B$4,"L","S"))</f>
        <v/>
      </c>
      <c r="F608" s="186" t="str">
        <f t="shared" si="214"/>
        <v/>
      </c>
      <c r="G608" s="187" t="str">
        <f t="shared" si="205"/>
        <v/>
      </c>
      <c r="H608" s="188"/>
      <c r="I608" s="189" t="str">
        <f t="shared" si="215"/>
        <v/>
      </c>
      <c r="J608" s="189" t="str">
        <f t="shared" si="216"/>
        <v/>
      </c>
      <c r="K608" s="190" t="str">
        <f t="shared" si="217"/>
        <v/>
      </c>
      <c r="L608" s="190" t="str">
        <f t="shared" si="218"/>
        <v/>
      </c>
      <c r="M608" s="214"/>
      <c r="N608" s="214"/>
      <c r="O608" s="189" t="str">
        <f t="shared" si="219"/>
        <v/>
      </c>
      <c r="P608" s="191" t="str">
        <f t="shared" si="206"/>
        <v/>
      </c>
      <c r="Q608" s="192" t="str">
        <f t="shared" si="220"/>
        <v/>
      </c>
      <c r="R608" s="191" t="str">
        <f t="shared" si="207"/>
        <v/>
      </c>
      <c r="S608" s="193" t="str">
        <f t="shared" si="221"/>
        <v/>
      </c>
      <c r="T608" s="194" t="str">
        <f t="shared" si="208"/>
        <v/>
      </c>
      <c r="U608" s="192" t="str">
        <f t="shared" si="222"/>
        <v/>
      </c>
      <c r="V608" s="195" t="str">
        <f t="shared" si="209"/>
        <v/>
      </c>
      <c r="W608" s="195" t="str">
        <f t="shared" si="210"/>
        <v/>
      </c>
      <c r="X608" s="196" t="str">
        <f t="shared" si="223"/>
        <v/>
      </c>
      <c r="Y608" s="191" t="str">
        <f t="shared" si="225"/>
        <v/>
      </c>
      <c r="Z608" s="197" t="str">
        <f t="shared" si="211"/>
        <v/>
      </c>
      <c r="AA608" s="197" t="str">
        <f t="shared" si="212"/>
        <v/>
      </c>
      <c r="AB608" s="213"/>
      <c r="AC608" s="204"/>
    </row>
    <row r="609" spans="1:29" ht="11.4">
      <c r="A609" s="211" t="str">
        <f t="shared" si="224"/>
        <v/>
      </c>
      <c r="B609" s="211"/>
      <c r="C609" s="185"/>
      <c r="D609" s="186" t="str">
        <f t="shared" si="213"/>
        <v/>
      </c>
      <c r="E609" s="186" t="str">
        <f>IF(OR(C609="",C609=Data!$B$3),"",IF(C609=Data!$B$4,"L","S"))</f>
        <v/>
      </c>
      <c r="F609" s="186" t="str">
        <f t="shared" si="214"/>
        <v/>
      </c>
      <c r="G609" s="187" t="str">
        <f t="shared" si="205"/>
        <v/>
      </c>
      <c r="H609" s="188"/>
      <c r="I609" s="189" t="str">
        <f t="shared" si="215"/>
        <v/>
      </c>
      <c r="J609" s="189" t="str">
        <f t="shared" si="216"/>
        <v/>
      </c>
      <c r="K609" s="190" t="str">
        <f t="shared" si="217"/>
        <v/>
      </c>
      <c r="L609" s="190" t="str">
        <f t="shared" si="218"/>
        <v/>
      </c>
      <c r="M609" s="214"/>
      <c r="N609" s="214"/>
      <c r="O609" s="189" t="str">
        <f t="shared" si="219"/>
        <v/>
      </c>
      <c r="P609" s="191" t="str">
        <f t="shared" si="206"/>
        <v/>
      </c>
      <c r="Q609" s="192" t="str">
        <f t="shared" si="220"/>
        <v/>
      </c>
      <c r="R609" s="191" t="str">
        <f t="shared" si="207"/>
        <v/>
      </c>
      <c r="S609" s="193" t="str">
        <f t="shared" si="221"/>
        <v/>
      </c>
      <c r="T609" s="194" t="str">
        <f t="shared" si="208"/>
        <v/>
      </c>
      <c r="U609" s="192" t="str">
        <f t="shared" si="222"/>
        <v/>
      </c>
      <c r="V609" s="195" t="str">
        <f t="shared" si="209"/>
        <v/>
      </c>
      <c r="W609" s="195" t="str">
        <f t="shared" si="210"/>
        <v/>
      </c>
      <c r="X609" s="196" t="str">
        <f t="shared" si="223"/>
        <v/>
      </c>
      <c r="Y609" s="191" t="str">
        <f t="shared" si="225"/>
        <v/>
      </c>
      <c r="Z609" s="197" t="str">
        <f t="shared" si="211"/>
        <v/>
      </c>
      <c r="AA609" s="197" t="str">
        <f t="shared" si="212"/>
        <v/>
      </c>
      <c r="AB609" s="213"/>
      <c r="AC609" s="204"/>
    </row>
    <row r="610" spans="1:29" ht="11.4">
      <c r="A610" s="211" t="str">
        <f t="shared" si="224"/>
        <v/>
      </c>
      <c r="B610" s="211"/>
      <c r="C610" s="185"/>
      <c r="D610" s="186" t="str">
        <f t="shared" si="213"/>
        <v/>
      </c>
      <c r="E610" s="186" t="str">
        <f>IF(OR(C610="",C610=Data!$B$3),"",IF(C610=Data!$B$4,"L","S"))</f>
        <v/>
      </c>
      <c r="F610" s="186" t="str">
        <f t="shared" si="214"/>
        <v/>
      </c>
      <c r="G610" s="187" t="str">
        <f t="shared" si="205"/>
        <v/>
      </c>
      <c r="H610" s="188"/>
      <c r="I610" s="189" t="str">
        <f t="shared" si="215"/>
        <v/>
      </c>
      <c r="J610" s="189" t="str">
        <f t="shared" si="216"/>
        <v/>
      </c>
      <c r="K610" s="190" t="str">
        <f t="shared" si="217"/>
        <v/>
      </c>
      <c r="L610" s="190" t="str">
        <f t="shared" si="218"/>
        <v/>
      </c>
      <c r="M610" s="214"/>
      <c r="N610" s="214"/>
      <c r="O610" s="189" t="str">
        <f t="shared" si="219"/>
        <v/>
      </c>
      <c r="P610" s="191" t="str">
        <f t="shared" si="206"/>
        <v/>
      </c>
      <c r="Q610" s="192" t="str">
        <f t="shared" si="220"/>
        <v/>
      </c>
      <c r="R610" s="191" t="str">
        <f t="shared" si="207"/>
        <v/>
      </c>
      <c r="S610" s="193" t="str">
        <f t="shared" si="221"/>
        <v/>
      </c>
      <c r="T610" s="194" t="str">
        <f t="shared" si="208"/>
        <v/>
      </c>
      <c r="U610" s="192" t="str">
        <f t="shared" si="222"/>
        <v/>
      </c>
      <c r="V610" s="195" t="str">
        <f t="shared" si="209"/>
        <v/>
      </c>
      <c r="W610" s="195" t="str">
        <f t="shared" si="210"/>
        <v/>
      </c>
      <c r="X610" s="196" t="str">
        <f t="shared" si="223"/>
        <v/>
      </c>
      <c r="Y610" s="191" t="str">
        <f t="shared" si="225"/>
        <v/>
      </c>
      <c r="Z610" s="197" t="str">
        <f t="shared" si="211"/>
        <v/>
      </c>
      <c r="AA610" s="197" t="str">
        <f t="shared" si="212"/>
        <v/>
      </c>
      <c r="AB610" s="213"/>
      <c r="AC610" s="204"/>
    </row>
    <row r="611" spans="1:29" ht="11.4">
      <c r="A611" s="211" t="str">
        <f t="shared" si="224"/>
        <v/>
      </c>
      <c r="B611" s="211"/>
      <c r="C611" s="185"/>
      <c r="D611" s="186" t="str">
        <f t="shared" si="213"/>
        <v/>
      </c>
      <c r="E611" s="186" t="str">
        <f>IF(OR(C611="",C611=Data!$B$3),"",IF(C611=Data!$B$4,"L","S"))</f>
        <v/>
      </c>
      <c r="F611" s="186" t="str">
        <f t="shared" si="214"/>
        <v/>
      </c>
      <c r="G611" s="187" t="str">
        <f t="shared" si="205"/>
        <v/>
      </c>
      <c r="H611" s="188"/>
      <c r="I611" s="189" t="str">
        <f t="shared" si="215"/>
        <v/>
      </c>
      <c r="J611" s="189" t="str">
        <f t="shared" si="216"/>
        <v/>
      </c>
      <c r="K611" s="190" t="str">
        <f t="shared" si="217"/>
        <v/>
      </c>
      <c r="L611" s="190" t="str">
        <f t="shared" si="218"/>
        <v/>
      </c>
      <c r="M611" s="214"/>
      <c r="N611" s="214"/>
      <c r="O611" s="189" t="str">
        <f t="shared" si="219"/>
        <v/>
      </c>
      <c r="P611" s="191" t="str">
        <f t="shared" si="206"/>
        <v/>
      </c>
      <c r="Q611" s="192" t="str">
        <f t="shared" si="220"/>
        <v/>
      </c>
      <c r="R611" s="191" t="str">
        <f t="shared" si="207"/>
        <v/>
      </c>
      <c r="S611" s="193" t="str">
        <f t="shared" si="221"/>
        <v/>
      </c>
      <c r="T611" s="194" t="str">
        <f t="shared" si="208"/>
        <v/>
      </c>
      <c r="U611" s="192" t="str">
        <f t="shared" si="222"/>
        <v/>
      </c>
      <c r="V611" s="195" t="str">
        <f t="shared" si="209"/>
        <v/>
      </c>
      <c r="W611" s="195" t="str">
        <f t="shared" si="210"/>
        <v/>
      </c>
      <c r="X611" s="196" t="str">
        <f t="shared" si="223"/>
        <v/>
      </c>
      <c r="Y611" s="191" t="str">
        <f t="shared" si="225"/>
        <v/>
      </c>
      <c r="Z611" s="197" t="str">
        <f t="shared" si="211"/>
        <v/>
      </c>
      <c r="AA611" s="197" t="str">
        <f t="shared" si="212"/>
        <v/>
      </c>
      <c r="AB611" s="213"/>
      <c r="AC611" s="204"/>
    </row>
    <row r="612" spans="1:29" ht="11.4">
      <c r="A612" s="211" t="str">
        <f t="shared" si="224"/>
        <v/>
      </c>
      <c r="B612" s="211"/>
      <c r="C612" s="185"/>
      <c r="D612" s="186" t="str">
        <f t="shared" si="213"/>
        <v/>
      </c>
      <c r="E612" s="186" t="str">
        <f>IF(OR(C612="",C612=Data!$B$3),"",IF(C612=Data!$B$4,"L","S"))</f>
        <v/>
      </c>
      <c r="F612" s="186" t="str">
        <f t="shared" si="214"/>
        <v/>
      </c>
      <c r="G612" s="187" t="str">
        <f t="shared" si="205"/>
        <v/>
      </c>
      <c r="H612" s="188"/>
      <c r="I612" s="189" t="str">
        <f t="shared" si="215"/>
        <v/>
      </c>
      <c r="J612" s="189" t="str">
        <f t="shared" si="216"/>
        <v/>
      </c>
      <c r="K612" s="190" t="str">
        <f t="shared" si="217"/>
        <v/>
      </c>
      <c r="L612" s="190" t="str">
        <f t="shared" si="218"/>
        <v/>
      </c>
      <c r="M612" s="214"/>
      <c r="N612" s="214"/>
      <c r="O612" s="189" t="str">
        <f t="shared" si="219"/>
        <v/>
      </c>
      <c r="P612" s="191" t="str">
        <f t="shared" si="206"/>
        <v/>
      </c>
      <c r="Q612" s="192" t="str">
        <f t="shared" si="220"/>
        <v/>
      </c>
      <c r="R612" s="191" t="str">
        <f t="shared" si="207"/>
        <v/>
      </c>
      <c r="S612" s="193" t="str">
        <f t="shared" si="221"/>
        <v/>
      </c>
      <c r="T612" s="194" t="str">
        <f t="shared" si="208"/>
        <v/>
      </c>
      <c r="U612" s="192" t="str">
        <f t="shared" si="222"/>
        <v/>
      </c>
      <c r="V612" s="195" t="str">
        <f t="shared" si="209"/>
        <v/>
      </c>
      <c r="W612" s="195" t="str">
        <f t="shared" si="210"/>
        <v/>
      </c>
      <c r="X612" s="196" t="str">
        <f t="shared" si="223"/>
        <v/>
      </c>
      <c r="Y612" s="191" t="str">
        <f t="shared" si="225"/>
        <v/>
      </c>
      <c r="Z612" s="197" t="str">
        <f t="shared" si="211"/>
        <v/>
      </c>
      <c r="AA612" s="197" t="str">
        <f t="shared" si="212"/>
        <v/>
      </c>
      <c r="AB612" s="213"/>
      <c r="AC612" s="204"/>
    </row>
    <row r="613" spans="1:29" ht="11.4">
      <c r="A613" s="211" t="str">
        <f t="shared" si="224"/>
        <v/>
      </c>
      <c r="B613" s="211"/>
      <c r="C613" s="185"/>
      <c r="D613" s="186" t="str">
        <f t="shared" si="213"/>
        <v/>
      </c>
      <c r="E613" s="186" t="str">
        <f>IF(OR(C613="",C613=Data!$B$3),"",IF(C613=Data!$B$4,"L","S"))</f>
        <v/>
      </c>
      <c r="F613" s="186" t="str">
        <f t="shared" si="214"/>
        <v/>
      </c>
      <c r="G613" s="187" t="str">
        <f t="shared" si="205"/>
        <v/>
      </c>
      <c r="H613" s="188"/>
      <c r="I613" s="189" t="str">
        <f t="shared" si="215"/>
        <v/>
      </c>
      <c r="J613" s="189" t="str">
        <f t="shared" si="216"/>
        <v/>
      </c>
      <c r="K613" s="190" t="str">
        <f t="shared" si="217"/>
        <v/>
      </c>
      <c r="L613" s="190" t="str">
        <f t="shared" si="218"/>
        <v/>
      </c>
      <c r="M613" s="214"/>
      <c r="N613" s="214"/>
      <c r="O613" s="189" t="str">
        <f t="shared" si="219"/>
        <v/>
      </c>
      <c r="P613" s="191" t="str">
        <f t="shared" si="206"/>
        <v/>
      </c>
      <c r="Q613" s="192" t="str">
        <f t="shared" si="220"/>
        <v/>
      </c>
      <c r="R613" s="191" t="str">
        <f t="shared" si="207"/>
        <v/>
      </c>
      <c r="S613" s="193" t="str">
        <f t="shared" si="221"/>
        <v/>
      </c>
      <c r="T613" s="194" t="str">
        <f t="shared" si="208"/>
        <v/>
      </c>
      <c r="U613" s="192" t="str">
        <f t="shared" si="222"/>
        <v/>
      </c>
      <c r="V613" s="195" t="str">
        <f t="shared" si="209"/>
        <v/>
      </c>
      <c r="W613" s="195" t="str">
        <f t="shared" si="210"/>
        <v/>
      </c>
      <c r="X613" s="196" t="str">
        <f t="shared" si="223"/>
        <v/>
      </c>
      <c r="Y613" s="191" t="str">
        <f t="shared" si="225"/>
        <v/>
      </c>
      <c r="Z613" s="197" t="str">
        <f t="shared" si="211"/>
        <v/>
      </c>
      <c r="AA613" s="197" t="str">
        <f t="shared" si="212"/>
        <v/>
      </c>
      <c r="AB613" s="213"/>
      <c r="AC613" s="204"/>
    </row>
    <row r="614" spans="1:29" ht="11.4">
      <c r="A614" s="211" t="str">
        <f t="shared" si="224"/>
        <v/>
      </c>
      <c r="B614" s="211"/>
      <c r="C614" s="185"/>
      <c r="D614" s="186" t="str">
        <f t="shared" si="213"/>
        <v/>
      </c>
      <c r="E614" s="186" t="str">
        <f>IF(OR(C614="",C614=Data!$B$3),"",IF(C614=Data!$B$4,"L","S"))</f>
        <v/>
      </c>
      <c r="F614" s="186" t="str">
        <f t="shared" si="214"/>
        <v/>
      </c>
      <c r="G614" s="187" t="str">
        <f t="shared" si="205"/>
        <v/>
      </c>
      <c r="H614" s="188"/>
      <c r="I614" s="189" t="str">
        <f t="shared" si="215"/>
        <v/>
      </c>
      <c r="J614" s="189" t="str">
        <f t="shared" si="216"/>
        <v/>
      </c>
      <c r="K614" s="190" t="str">
        <f t="shared" si="217"/>
        <v/>
      </c>
      <c r="L614" s="190" t="str">
        <f t="shared" si="218"/>
        <v/>
      </c>
      <c r="M614" s="214"/>
      <c r="N614" s="214"/>
      <c r="O614" s="189" t="str">
        <f t="shared" si="219"/>
        <v/>
      </c>
      <c r="P614" s="191" t="str">
        <f t="shared" si="206"/>
        <v/>
      </c>
      <c r="Q614" s="192" t="str">
        <f t="shared" si="220"/>
        <v/>
      </c>
      <c r="R614" s="191" t="str">
        <f t="shared" si="207"/>
        <v/>
      </c>
      <c r="S614" s="193" t="str">
        <f t="shared" si="221"/>
        <v/>
      </c>
      <c r="T614" s="194" t="str">
        <f t="shared" si="208"/>
        <v/>
      </c>
      <c r="U614" s="192" t="str">
        <f t="shared" si="222"/>
        <v/>
      </c>
      <c r="V614" s="195" t="str">
        <f t="shared" si="209"/>
        <v/>
      </c>
      <c r="W614" s="195" t="str">
        <f t="shared" si="210"/>
        <v/>
      </c>
      <c r="X614" s="196" t="str">
        <f t="shared" si="223"/>
        <v/>
      </c>
      <c r="Y614" s="191" t="str">
        <f t="shared" si="225"/>
        <v/>
      </c>
      <c r="Z614" s="197" t="str">
        <f t="shared" si="211"/>
        <v/>
      </c>
      <c r="AA614" s="197" t="str">
        <f t="shared" si="212"/>
        <v/>
      </c>
      <c r="AB614" s="213"/>
      <c r="AC614" s="204"/>
    </row>
    <row r="615" spans="1:29" ht="11.4">
      <c r="A615" s="211" t="str">
        <f t="shared" si="224"/>
        <v/>
      </c>
      <c r="B615" s="211"/>
      <c r="C615" s="185"/>
      <c r="D615" s="186" t="str">
        <f t="shared" si="213"/>
        <v/>
      </c>
      <c r="E615" s="186" t="str">
        <f>IF(OR(C615="",C615=Data!$B$3),"",IF(C615=Data!$B$4,"L","S"))</f>
        <v/>
      </c>
      <c r="F615" s="186" t="str">
        <f t="shared" si="214"/>
        <v/>
      </c>
      <c r="G615" s="187" t="str">
        <f t="shared" si="205"/>
        <v/>
      </c>
      <c r="H615" s="188"/>
      <c r="I615" s="189" t="str">
        <f t="shared" si="215"/>
        <v/>
      </c>
      <c r="J615" s="189" t="str">
        <f t="shared" si="216"/>
        <v/>
      </c>
      <c r="K615" s="190" t="str">
        <f t="shared" si="217"/>
        <v/>
      </c>
      <c r="L615" s="190" t="str">
        <f t="shared" si="218"/>
        <v/>
      </c>
      <c r="M615" s="214"/>
      <c r="N615" s="214"/>
      <c r="O615" s="189" t="str">
        <f t="shared" si="219"/>
        <v/>
      </c>
      <c r="P615" s="191" t="str">
        <f t="shared" si="206"/>
        <v/>
      </c>
      <c r="Q615" s="192" t="str">
        <f t="shared" si="220"/>
        <v/>
      </c>
      <c r="R615" s="191" t="str">
        <f t="shared" si="207"/>
        <v/>
      </c>
      <c r="S615" s="193" t="str">
        <f t="shared" si="221"/>
        <v/>
      </c>
      <c r="T615" s="194" t="str">
        <f t="shared" si="208"/>
        <v/>
      </c>
      <c r="U615" s="192" t="str">
        <f t="shared" si="222"/>
        <v/>
      </c>
      <c r="V615" s="195" t="str">
        <f t="shared" si="209"/>
        <v/>
      </c>
      <c r="W615" s="195" t="str">
        <f t="shared" si="210"/>
        <v/>
      </c>
      <c r="X615" s="196" t="str">
        <f t="shared" si="223"/>
        <v/>
      </c>
      <c r="Y615" s="191" t="str">
        <f t="shared" si="225"/>
        <v/>
      </c>
      <c r="Z615" s="197" t="str">
        <f t="shared" si="211"/>
        <v/>
      </c>
      <c r="AA615" s="197" t="str">
        <f t="shared" si="212"/>
        <v/>
      </c>
      <c r="AB615" s="213"/>
      <c r="AC615" s="204"/>
    </row>
    <row r="616" spans="1:29" ht="11.4">
      <c r="A616" s="211" t="str">
        <f t="shared" si="224"/>
        <v/>
      </c>
      <c r="B616" s="211"/>
      <c r="C616" s="185"/>
      <c r="D616" s="186" t="str">
        <f t="shared" si="213"/>
        <v/>
      </c>
      <c r="E616" s="186" t="str">
        <f>IF(OR(C616="",C616=Data!$B$3),"",IF(C616=Data!$B$4,"L","S"))</f>
        <v/>
      </c>
      <c r="F616" s="186" t="str">
        <f t="shared" si="214"/>
        <v/>
      </c>
      <c r="G616" s="187" t="str">
        <f t="shared" si="205"/>
        <v/>
      </c>
      <c r="H616" s="188"/>
      <c r="I616" s="189" t="str">
        <f t="shared" si="215"/>
        <v/>
      </c>
      <c r="J616" s="189" t="str">
        <f t="shared" si="216"/>
        <v/>
      </c>
      <c r="K616" s="190" t="str">
        <f t="shared" si="217"/>
        <v/>
      </c>
      <c r="L616" s="190" t="str">
        <f t="shared" si="218"/>
        <v/>
      </c>
      <c r="M616" s="214"/>
      <c r="N616" s="214"/>
      <c r="O616" s="189" t="str">
        <f t="shared" si="219"/>
        <v/>
      </c>
      <c r="P616" s="191" t="str">
        <f t="shared" si="206"/>
        <v/>
      </c>
      <c r="Q616" s="192" t="str">
        <f t="shared" si="220"/>
        <v/>
      </c>
      <c r="R616" s="191" t="str">
        <f t="shared" si="207"/>
        <v/>
      </c>
      <c r="S616" s="193" t="str">
        <f t="shared" si="221"/>
        <v/>
      </c>
      <c r="T616" s="194" t="str">
        <f t="shared" si="208"/>
        <v/>
      </c>
      <c r="U616" s="192" t="str">
        <f t="shared" si="222"/>
        <v/>
      </c>
      <c r="V616" s="195" t="str">
        <f t="shared" si="209"/>
        <v/>
      </c>
      <c r="W616" s="195" t="str">
        <f t="shared" si="210"/>
        <v/>
      </c>
      <c r="X616" s="196" t="str">
        <f t="shared" si="223"/>
        <v/>
      </c>
      <c r="Y616" s="191" t="str">
        <f t="shared" si="225"/>
        <v/>
      </c>
      <c r="Z616" s="197" t="str">
        <f t="shared" si="211"/>
        <v/>
      </c>
      <c r="AA616" s="197" t="str">
        <f t="shared" si="212"/>
        <v/>
      </c>
      <c r="AB616" s="213"/>
      <c r="AC616" s="204"/>
    </row>
    <row r="617" spans="1:29" ht="11.4">
      <c r="A617" s="211" t="str">
        <f t="shared" si="224"/>
        <v/>
      </c>
      <c r="B617" s="211"/>
      <c r="C617" s="185"/>
      <c r="D617" s="186" t="str">
        <f t="shared" si="213"/>
        <v/>
      </c>
      <c r="E617" s="186" t="str">
        <f>IF(OR(C617="",C617=Data!$B$3),"",IF(C617=Data!$B$4,"L","S"))</f>
        <v/>
      </c>
      <c r="F617" s="186" t="str">
        <f t="shared" si="214"/>
        <v/>
      </c>
      <c r="G617" s="187" t="str">
        <f t="shared" si="205"/>
        <v/>
      </c>
      <c r="H617" s="188"/>
      <c r="I617" s="189" t="str">
        <f t="shared" si="215"/>
        <v/>
      </c>
      <c r="J617" s="189" t="str">
        <f t="shared" si="216"/>
        <v/>
      </c>
      <c r="K617" s="190" t="str">
        <f t="shared" si="217"/>
        <v/>
      </c>
      <c r="L617" s="190" t="str">
        <f t="shared" si="218"/>
        <v/>
      </c>
      <c r="M617" s="214"/>
      <c r="N617" s="214"/>
      <c r="O617" s="189" t="str">
        <f t="shared" si="219"/>
        <v/>
      </c>
      <c r="P617" s="191" t="str">
        <f t="shared" si="206"/>
        <v/>
      </c>
      <c r="Q617" s="192" t="str">
        <f t="shared" si="220"/>
        <v/>
      </c>
      <c r="R617" s="191" t="str">
        <f t="shared" si="207"/>
        <v/>
      </c>
      <c r="S617" s="193" t="str">
        <f t="shared" si="221"/>
        <v/>
      </c>
      <c r="T617" s="194" t="str">
        <f t="shared" si="208"/>
        <v/>
      </c>
      <c r="U617" s="192" t="str">
        <f t="shared" si="222"/>
        <v/>
      </c>
      <c r="V617" s="195" t="str">
        <f t="shared" si="209"/>
        <v/>
      </c>
      <c r="W617" s="195" t="str">
        <f t="shared" si="210"/>
        <v/>
      </c>
      <c r="X617" s="196" t="str">
        <f t="shared" si="223"/>
        <v/>
      </c>
      <c r="Y617" s="191" t="str">
        <f t="shared" si="225"/>
        <v/>
      </c>
      <c r="Z617" s="197" t="str">
        <f t="shared" si="211"/>
        <v/>
      </c>
      <c r="AA617" s="197" t="str">
        <f t="shared" si="212"/>
        <v/>
      </c>
      <c r="AB617" s="213"/>
      <c r="AC617" s="204"/>
    </row>
    <row r="618" spans="1:29" ht="11.4">
      <c r="A618" s="211" t="str">
        <f t="shared" si="224"/>
        <v/>
      </c>
      <c r="B618" s="211"/>
      <c r="C618" s="185"/>
      <c r="D618" s="186" t="str">
        <f t="shared" si="213"/>
        <v/>
      </c>
      <c r="E618" s="186" t="str">
        <f>IF(OR(C618="",C618=Data!$B$3),"",IF(C618=Data!$B$4,"L","S"))</f>
        <v/>
      </c>
      <c r="F618" s="186" t="str">
        <f t="shared" si="214"/>
        <v/>
      </c>
      <c r="G618" s="187" t="str">
        <f t="shared" si="205"/>
        <v/>
      </c>
      <c r="H618" s="188"/>
      <c r="I618" s="189" t="str">
        <f t="shared" si="215"/>
        <v/>
      </c>
      <c r="J618" s="189" t="str">
        <f t="shared" si="216"/>
        <v/>
      </c>
      <c r="K618" s="190" t="str">
        <f t="shared" si="217"/>
        <v/>
      </c>
      <c r="L618" s="190" t="str">
        <f t="shared" si="218"/>
        <v/>
      </c>
      <c r="M618" s="214"/>
      <c r="N618" s="214"/>
      <c r="O618" s="189" t="str">
        <f t="shared" si="219"/>
        <v/>
      </c>
      <c r="P618" s="191" t="str">
        <f t="shared" si="206"/>
        <v/>
      </c>
      <c r="Q618" s="192" t="str">
        <f t="shared" si="220"/>
        <v/>
      </c>
      <c r="R618" s="191" t="str">
        <f t="shared" si="207"/>
        <v/>
      </c>
      <c r="S618" s="193" t="str">
        <f t="shared" si="221"/>
        <v/>
      </c>
      <c r="T618" s="194" t="str">
        <f t="shared" si="208"/>
        <v/>
      </c>
      <c r="U618" s="192" t="str">
        <f t="shared" si="222"/>
        <v/>
      </c>
      <c r="V618" s="195" t="str">
        <f t="shared" si="209"/>
        <v/>
      </c>
      <c r="W618" s="195" t="str">
        <f t="shared" si="210"/>
        <v/>
      </c>
      <c r="X618" s="196" t="str">
        <f t="shared" si="223"/>
        <v/>
      </c>
      <c r="Y618" s="191" t="str">
        <f t="shared" si="225"/>
        <v/>
      </c>
      <c r="Z618" s="197" t="str">
        <f t="shared" si="211"/>
        <v/>
      </c>
      <c r="AA618" s="197" t="str">
        <f t="shared" si="212"/>
        <v/>
      </c>
      <c r="AB618" s="213"/>
      <c r="AC618" s="204"/>
    </row>
    <row r="619" spans="1:29" ht="11.4">
      <c r="A619" s="211" t="str">
        <f t="shared" si="224"/>
        <v/>
      </c>
      <c r="B619" s="211"/>
      <c r="C619" s="185"/>
      <c r="D619" s="186" t="str">
        <f t="shared" si="213"/>
        <v/>
      </c>
      <c r="E619" s="186" t="str">
        <f>IF(OR(C619="",C619=Data!$B$3),"",IF(C619=Data!$B$4,"L","S"))</f>
        <v/>
      </c>
      <c r="F619" s="186" t="str">
        <f t="shared" si="214"/>
        <v/>
      </c>
      <c r="G619" s="187" t="str">
        <f t="shared" si="205"/>
        <v/>
      </c>
      <c r="H619" s="188"/>
      <c r="I619" s="189" t="str">
        <f t="shared" si="215"/>
        <v/>
      </c>
      <c r="J619" s="189" t="str">
        <f t="shared" si="216"/>
        <v/>
      </c>
      <c r="K619" s="190" t="str">
        <f t="shared" si="217"/>
        <v/>
      </c>
      <c r="L619" s="190" t="str">
        <f t="shared" si="218"/>
        <v/>
      </c>
      <c r="M619" s="214"/>
      <c r="N619" s="214"/>
      <c r="O619" s="189" t="str">
        <f t="shared" si="219"/>
        <v/>
      </c>
      <c r="P619" s="191" t="str">
        <f t="shared" si="206"/>
        <v/>
      </c>
      <c r="Q619" s="192" t="str">
        <f t="shared" si="220"/>
        <v/>
      </c>
      <c r="R619" s="191" t="str">
        <f t="shared" si="207"/>
        <v/>
      </c>
      <c r="S619" s="193" t="str">
        <f t="shared" si="221"/>
        <v/>
      </c>
      <c r="T619" s="194" t="str">
        <f t="shared" si="208"/>
        <v/>
      </c>
      <c r="U619" s="192" t="str">
        <f t="shared" si="222"/>
        <v/>
      </c>
      <c r="V619" s="195" t="str">
        <f t="shared" si="209"/>
        <v/>
      </c>
      <c r="W619" s="195" t="str">
        <f t="shared" si="210"/>
        <v/>
      </c>
      <c r="X619" s="196" t="str">
        <f t="shared" si="223"/>
        <v/>
      </c>
      <c r="Y619" s="191" t="str">
        <f t="shared" si="225"/>
        <v/>
      </c>
      <c r="Z619" s="197" t="str">
        <f t="shared" si="211"/>
        <v/>
      </c>
      <c r="AA619" s="197" t="str">
        <f t="shared" si="212"/>
        <v/>
      </c>
      <c r="AB619" s="213"/>
      <c r="AC619" s="204"/>
    </row>
    <row r="620" spans="1:29" ht="11.4">
      <c r="A620" s="211" t="str">
        <f t="shared" si="224"/>
        <v/>
      </c>
      <c r="B620" s="211"/>
      <c r="C620" s="185"/>
      <c r="D620" s="186" t="str">
        <f t="shared" si="213"/>
        <v/>
      </c>
      <c r="E620" s="186" t="str">
        <f>IF(OR(C620="",C620=Data!$B$3),"",IF(C620=Data!$B$4,"L","S"))</f>
        <v/>
      </c>
      <c r="F620" s="186" t="str">
        <f t="shared" si="214"/>
        <v/>
      </c>
      <c r="G620" s="187" t="str">
        <f t="shared" si="205"/>
        <v/>
      </c>
      <c r="H620" s="188"/>
      <c r="I620" s="189" t="str">
        <f t="shared" si="215"/>
        <v/>
      </c>
      <c r="J620" s="189" t="str">
        <f t="shared" si="216"/>
        <v/>
      </c>
      <c r="K620" s="190" t="str">
        <f t="shared" si="217"/>
        <v/>
      </c>
      <c r="L620" s="190" t="str">
        <f t="shared" si="218"/>
        <v/>
      </c>
      <c r="M620" s="214"/>
      <c r="N620" s="214"/>
      <c r="O620" s="189" t="str">
        <f t="shared" si="219"/>
        <v/>
      </c>
      <c r="P620" s="191" t="str">
        <f t="shared" si="206"/>
        <v/>
      </c>
      <c r="Q620" s="192" t="str">
        <f t="shared" si="220"/>
        <v/>
      </c>
      <c r="R620" s="191" t="str">
        <f t="shared" si="207"/>
        <v/>
      </c>
      <c r="S620" s="193" t="str">
        <f t="shared" si="221"/>
        <v/>
      </c>
      <c r="T620" s="194" t="str">
        <f t="shared" si="208"/>
        <v/>
      </c>
      <c r="U620" s="192" t="str">
        <f t="shared" si="222"/>
        <v/>
      </c>
      <c r="V620" s="195" t="str">
        <f t="shared" si="209"/>
        <v/>
      </c>
      <c r="W620" s="195" t="str">
        <f t="shared" si="210"/>
        <v/>
      </c>
      <c r="X620" s="196" t="str">
        <f t="shared" si="223"/>
        <v/>
      </c>
      <c r="Y620" s="191" t="str">
        <f t="shared" si="225"/>
        <v/>
      </c>
      <c r="Z620" s="197" t="str">
        <f t="shared" si="211"/>
        <v/>
      </c>
      <c r="AA620" s="197" t="str">
        <f t="shared" si="212"/>
        <v/>
      </c>
      <c r="AB620" s="213"/>
      <c r="AC620" s="204"/>
    </row>
    <row r="621" spans="1:29" ht="11.4">
      <c r="A621" s="211" t="str">
        <f t="shared" si="224"/>
        <v/>
      </c>
      <c r="B621" s="211"/>
      <c r="C621" s="185"/>
      <c r="D621" s="186" t="str">
        <f t="shared" si="213"/>
        <v/>
      </c>
      <c r="E621" s="186" t="str">
        <f>IF(OR(C621="",C621=Data!$B$3),"",IF(C621=Data!$B$4,"L","S"))</f>
        <v/>
      </c>
      <c r="F621" s="186" t="str">
        <f t="shared" si="214"/>
        <v/>
      </c>
      <c r="G621" s="187" t="str">
        <f t="shared" si="205"/>
        <v/>
      </c>
      <c r="H621" s="188"/>
      <c r="I621" s="189" t="str">
        <f t="shared" si="215"/>
        <v/>
      </c>
      <c r="J621" s="189" t="str">
        <f t="shared" si="216"/>
        <v/>
      </c>
      <c r="K621" s="190" t="str">
        <f t="shared" si="217"/>
        <v/>
      </c>
      <c r="L621" s="190" t="str">
        <f t="shared" si="218"/>
        <v/>
      </c>
      <c r="M621" s="214"/>
      <c r="N621" s="214"/>
      <c r="O621" s="189" t="str">
        <f t="shared" si="219"/>
        <v/>
      </c>
      <c r="P621" s="191" t="str">
        <f t="shared" si="206"/>
        <v/>
      </c>
      <c r="Q621" s="192" t="str">
        <f t="shared" si="220"/>
        <v/>
      </c>
      <c r="R621" s="191" t="str">
        <f t="shared" si="207"/>
        <v/>
      </c>
      <c r="S621" s="193" t="str">
        <f t="shared" si="221"/>
        <v/>
      </c>
      <c r="T621" s="194" t="str">
        <f t="shared" si="208"/>
        <v/>
      </c>
      <c r="U621" s="192" t="str">
        <f t="shared" si="222"/>
        <v/>
      </c>
      <c r="V621" s="195" t="str">
        <f t="shared" si="209"/>
        <v/>
      </c>
      <c r="W621" s="195" t="str">
        <f t="shared" si="210"/>
        <v/>
      </c>
      <c r="X621" s="196" t="str">
        <f t="shared" si="223"/>
        <v/>
      </c>
      <c r="Y621" s="191" t="str">
        <f t="shared" si="225"/>
        <v/>
      </c>
      <c r="Z621" s="197" t="str">
        <f t="shared" si="211"/>
        <v/>
      </c>
      <c r="AA621" s="197" t="str">
        <f t="shared" si="212"/>
        <v/>
      </c>
      <c r="AB621" s="213"/>
      <c r="AC621" s="204"/>
    </row>
    <row r="622" spans="1:29" ht="11.4">
      <c r="A622" s="211" t="str">
        <f t="shared" si="224"/>
        <v/>
      </c>
      <c r="B622" s="211"/>
      <c r="C622" s="185"/>
      <c r="D622" s="186" t="str">
        <f t="shared" si="213"/>
        <v/>
      </c>
      <c r="E622" s="186" t="str">
        <f>IF(OR(C622="",C622=Data!$B$3),"",IF(C622=Data!$B$4,"L","S"))</f>
        <v/>
      </c>
      <c r="F622" s="186" t="str">
        <f t="shared" si="214"/>
        <v/>
      </c>
      <c r="G622" s="187" t="str">
        <f t="shared" si="205"/>
        <v/>
      </c>
      <c r="H622" s="188"/>
      <c r="I622" s="189" t="str">
        <f t="shared" si="215"/>
        <v/>
      </c>
      <c r="J622" s="189" t="str">
        <f t="shared" si="216"/>
        <v/>
      </c>
      <c r="K622" s="190" t="str">
        <f t="shared" si="217"/>
        <v/>
      </c>
      <c r="L622" s="190" t="str">
        <f t="shared" si="218"/>
        <v/>
      </c>
      <c r="M622" s="214"/>
      <c r="N622" s="214"/>
      <c r="O622" s="189" t="str">
        <f t="shared" si="219"/>
        <v/>
      </c>
      <c r="P622" s="191" t="str">
        <f t="shared" si="206"/>
        <v/>
      </c>
      <c r="Q622" s="192" t="str">
        <f t="shared" si="220"/>
        <v/>
      </c>
      <c r="R622" s="191" t="str">
        <f t="shared" si="207"/>
        <v/>
      </c>
      <c r="S622" s="193" t="str">
        <f t="shared" si="221"/>
        <v/>
      </c>
      <c r="T622" s="194" t="str">
        <f t="shared" si="208"/>
        <v/>
      </c>
      <c r="U622" s="192" t="str">
        <f t="shared" si="222"/>
        <v/>
      </c>
      <c r="V622" s="195" t="str">
        <f t="shared" si="209"/>
        <v/>
      </c>
      <c r="W622" s="195" t="str">
        <f t="shared" si="210"/>
        <v/>
      </c>
      <c r="X622" s="196" t="str">
        <f t="shared" si="223"/>
        <v/>
      </c>
      <c r="Y622" s="191" t="str">
        <f t="shared" si="225"/>
        <v/>
      </c>
      <c r="Z622" s="197" t="str">
        <f t="shared" si="211"/>
        <v/>
      </c>
      <c r="AA622" s="197" t="str">
        <f t="shared" si="212"/>
        <v/>
      </c>
      <c r="AB622" s="213"/>
      <c r="AC622" s="204"/>
    </row>
    <row r="623" spans="1:29" ht="11.4">
      <c r="A623" s="211" t="str">
        <f t="shared" si="224"/>
        <v/>
      </c>
      <c r="B623" s="211"/>
      <c r="C623" s="185"/>
      <c r="D623" s="186" t="str">
        <f t="shared" si="213"/>
        <v/>
      </c>
      <c r="E623" s="186" t="str">
        <f>IF(OR(C623="",C623=Data!$B$3),"",IF(C623=Data!$B$4,"L","S"))</f>
        <v/>
      </c>
      <c r="F623" s="186" t="str">
        <f t="shared" si="214"/>
        <v/>
      </c>
      <c r="G623" s="187" t="str">
        <f t="shared" si="205"/>
        <v/>
      </c>
      <c r="H623" s="188"/>
      <c r="I623" s="189" t="str">
        <f t="shared" si="215"/>
        <v/>
      </c>
      <c r="J623" s="189" t="str">
        <f t="shared" si="216"/>
        <v/>
      </c>
      <c r="K623" s="190" t="str">
        <f t="shared" si="217"/>
        <v/>
      </c>
      <c r="L623" s="190" t="str">
        <f t="shared" si="218"/>
        <v/>
      </c>
      <c r="M623" s="214"/>
      <c r="N623" s="214"/>
      <c r="O623" s="189" t="str">
        <f t="shared" si="219"/>
        <v/>
      </c>
      <c r="P623" s="191" t="str">
        <f t="shared" si="206"/>
        <v/>
      </c>
      <c r="Q623" s="192" t="str">
        <f t="shared" si="220"/>
        <v/>
      </c>
      <c r="R623" s="191" t="str">
        <f t="shared" si="207"/>
        <v/>
      </c>
      <c r="S623" s="193" t="str">
        <f t="shared" si="221"/>
        <v/>
      </c>
      <c r="T623" s="194" t="str">
        <f t="shared" si="208"/>
        <v/>
      </c>
      <c r="U623" s="192" t="str">
        <f t="shared" si="222"/>
        <v/>
      </c>
      <c r="V623" s="195" t="str">
        <f t="shared" si="209"/>
        <v/>
      </c>
      <c r="W623" s="195" t="str">
        <f t="shared" si="210"/>
        <v/>
      </c>
      <c r="X623" s="196" t="str">
        <f t="shared" si="223"/>
        <v/>
      </c>
      <c r="Y623" s="191" t="str">
        <f t="shared" si="225"/>
        <v/>
      </c>
      <c r="Z623" s="197" t="str">
        <f t="shared" si="211"/>
        <v/>
      </c>
      <c r="AA623" s="197" t="str">
        <f t="shared" si="212"/>
        <v/>
      </c>
      <c r="AB623" s="213"/>
      <c r="AC623" s="204"/>
    </row>
    <row r="624" spans="1:29" ht="11.4">
      <c r="A624" s="211" t="str">
        <f t="shared" si="224"/>
        <v/>
      </c>
      <c r="B624" s="211"/>
      <c r="C624" s="185"/>
      <c r="D624" s="186" t="str">
        <f t="shared" si="213"/>
        <v/>
      </c>
      <c r="E624" s="186" t="str">
        <f>IF(OR(C624="",C624=Data!$B$3),"",IF(C624=Data!$B$4,"L","S"))</f>
        <v/>
      </c>
      <c r="F624" s="186" t="str">
        <f t="shared" si="214"/>
        <v/>
      </c>
      <c r="G624" s="187" t="str">
        <f t="shared" si="205"/>
        <v/>
      </c>
      <c r="H624" s="188"/>
      <c r="I624" s="189" t="str">
        <f t="shared" si="215"/>
        <v/>
      </c>
      <c r="J624" s="189" t="str">
        <f t="shared" si="216"/>
        <v/>
      </c>
      <c r="K624" s="190" t="str">
        <f t="shared" si="217"/>
        <v/>
      </c>
      <c r="L624" s="190" t="str">
        <f t="shared" si="218"/>
        <v/>
      </c>
      <c r="M624" s="214"/>
      <c r="N624" s="214"/>
      <c r="O624" s="189" t="str">
        <f t="shared" si="219"/>
        <v/>
      </c>
      <c r="P624" s="191" t="str">
        <f t="shared" si="206"/>
        <v/>
      </c>
      <c r="Q624" s="192" t="str">
        <f t="shared" si="220"/>
        <v/>
      </c>
      <c r="R624" s="191" t="str">
        <f t="shared" si="207"/>
        <v/>
      </c>
      <c r="S624" s="193" t="str">
        <f t="shared" si="221"/>
        <v/>
      </c>
      <c r="T624" s="194" t="str">
        <f t="shared" si="208"/>
        <v/>
      </c>
      <c r="U624" s="192" t="str">
        <f t="shared" si="222"/>
        <v/>
      </c>
      <c r="V624" s="195" t="str">
        <f t="shared" si="209"/>
        <v/>
      </c>
      <c r="W624" s="195" t="str">
        <f t="shared" si="210"/>
        <v/>
      </c>
      <c r="X624" s="196" t="str">
        <f t="shared" si="223"/>
        <v/>
      </c>
      <c r="Y624" s="191" t="str">
        <f t="shared" si="225"/>
        <v/>
      </c>
      <c r="Z624" s="197" t="str">
        <f t="shared" si="211"/>
        <v/>
      </c>
      <c r="AA624" s="197" t="str">
        <f t="shared" si="212"/>
        <v/>
      </c>
      <c r="AB624" s="213"/>
      <c r="AC624" s="204"/>
    </row>
    <row r="625" spans="1:29" ht="11.4">
      <c r="A625" s="211" t="str">
        <f t="shared" si="224"/>
        <v/>
      </c>
      <c r="B625" s="211"/>
      <c r="C625" s="185"/>
      <c r="D625" s="186" t="str">
        <f t="shared" si="213"/>
        <v/>
      </c>
      <c r="E625" s="186" t="str">
        <f>IF(OR(C625="",C625=Data!$B$3),"",IF(C625=Data!$B$4,"L","S"))</f>
        <v/>
      </c>
      <c r="F625" s="186" t="str">
        <f t="shared" si="214"/>
        <v/>
      </c>
      <c r="G625" s="187" t="str">
        <f t="shared" si="205"/>
        <v/>
      </c>
      <c r="H625" s="188"/>
      <c r="I625" s="189" t="str">
        <f t="shared" si="215"/>
        <v/>
      </c>
      <c r="J625" s="189" t="str">
        <f t="shared" si="216"/>
        <v/>
      </c>
      <c r="K625" s="190" t="str">
        <f t="shared" si="217"/>
        <v/>
      </c>
      <c r="L625" s="190" t="str">
        <f t="shared" si="218"/>
        <v/>
      </c>
      <c r="M625" s="214"/>
      <c r="N625" s="214"/>
      <c r="O625" s="189" t="str">
        <f t="shared" si="219"/>
        <v/>
      </c>
      <c r="P625" s="191" t="str">
        <f t="shared" si="206"/>
        <v/>
      </c>
      <c r="Q625" s="192" t="str">
        <f t="shared" si="220"/>
        <v/>
      </c>
      <c r="R625" s="191" t="str">
        <f t="shared" si="207"/>
        <v/>
      </c>
      <c r="S625" s="193" t="str">
        <f t="shared" si="221"/>
        <v/>
      </c>
      <c r="T625" s="194" t="str">
        <f t="shared" si="208"/>
        <v/>
      </c>
      <c r="U625" s="192" t="str">
        <f t="shared" si="222"/>
        <v/>
      </c>
      <c r="V625" s="195" t="str">
        <f t="shared" si="209"/>
        <v/>
      </c>
      <c r="W625" s="195" t="str">
        <f t="shared" si="210"/>
        <v/>
      </c>
      <c r="X625" s="196" t="str">
        <f t="shared" si="223"/>
        <v/>
      </c>
      <c r="Y625" s="191" t="str">
        <f t="shared" si="225"/>
        <v/>
      </c>
      <c r="Z625" s="197" t="str">
        <f t="shared" si="211"/>
        <v/>
      </c>
      <c r="AA625" s="197" t="str">
        <f t="shared" si="212"/>
        <v/>
      </c>
      <c r="AB625" s="213"/>
      <c r="AC625" s="204"/>
    </row>
    <row r="626" spans="1:29" ht="11.4">
      <c r="A626" s="211" t="str">
        <f t="shared" si="224"/>
        <v/>
      </c>
      <c r="B626" s="211"/>
      <c r="C626" s="185"/>
      <c r="D626" s="186" t="str">
        <f t="shared" si="213"/>
        <v/>
      </c>
      <c r="E626" s="186" t="str">
        <f>IF(OR(C626="",C626=Data!$B$3),"",IF(C626=Data!$B$4,"L","S"))</f>
        <v/>
      </c>
      <c r="F626" s="186" t="str">
        <f t="shared" si="214"/>
        <v/>
      </c>
      <c r="G626" s="187" t="str">
        <f t="shared" si="205"/>
        <v/>
      </c>
      <c r="H626" s="188"/>
      <c r="I626" s="189" t="str">
        <f t="shared" si="215"/>
        <v/>
      </c>
      <c r="J626" s="189" t="str">
        <f t="shared" si="216"/>
        <v/>
      </c>
      <c r="K626" s="190" t="str">
        <f t="shared" si="217"/>
        <v/>
      </c>
      <c r="L626" s="190" t="str">
        <f t="shared" si="218"/>
        <v/>
      </c>
      <c r="M626" s="214"/>
      <c r="N626" s="214"/>
      <c r="O626" s="189" t="str">
        <f t="shared" si="219"/>
        <v/>
      </c>
      <c r="P626" s="191" t="str">
        <f t="shared" si="206"/>
        <v/>
      </c>
      <c r="Q626" s="192" t="str">
        <f t="shared" si="220"/>
        <v/>
      </c>
      <c r="R626" s="191" t="str">
        <f t="shared" si="207"/>
        <v/>
      </c>
      <c r="S626" s="193" t="str">
        <f t="shared" si="221"/>
        <v/>
      </c>
      <c r="T626" s="194" t="str">
        <f t="shared" si="208"/>
        <v/>
      </c>
      <c r="U626" s="192" t="str">
        <f t="shared" si="222"/>
        <v/>
      </c>
      <c r="V626" s="195" t="str">
        <f t="shared" si="209"/>
        <v/>
      </c>
      <c r="W626" s="195" t="str">
        <f t="shared" si="210"/>
        <v/>
      </c>
      <c r="X626" s="196" t="str">
        <f t="shared" si="223"/>
        <v/>
      </c>
      <c r="Y626" s="191" t="str">
        <f t="shared" si="225"/>
        <v/>
      </c>
      <c r="Z626" s="197" t="str">
        <f t="shared" si="211"/>
        <v/>
      </c>
      <c r="AA626" s="197" t="str">
        <f t="shared" si="212"/>
        <v/>
      </c>
      <c r="AB626" s="213"/>
      <c r="AC626" s="204"/>
    </row>
    <row r="627" spans="1:29" ht="11.4">
      <c r="A627" s="211" t="str">
        <f t="shared" si="224"/>
        <v/>
      </c>
      <c r="B627" s="211"/>
      <c r="C627" s="185"/>
      <c r="D627" s="186" t="str">
        <f t="shared" si="213"/>
        <v/>
      </c>
      <c r="E627" s="186" t="str">
        <f>IF(OR(C627="",C627=Data!$B$3),"",IF(C627=Data!$B$4,"L","S"))</f>
        <v/>
      </c>
      <c r="F627" s="186" t="str">
        <f t="shared" si="214"/>
        <v/>
      </c>
      <c r="G627" s="187" t="str">
        <f t="shared" si="205"/>
        <v/>
      </c>
      <c r="H627" s="188"/>
      <c r="I627" s="189" t="str">
        <f t="shared" si="215"/>
        <v/>
      </c>
      <c r="J627" s="189" t="str">
        <f t="shared" si="216"/>
        <v/>
      </c>
      <c r="K627" s="190" t="str">
        <f t="shared" si="217"/>
        <v/>
      </c>
      <c r="L627" s="190" t="str">
        <f t="shared" si="218"/>
        <v/>
      </c>
      <c r="M627" s="214"/>
      <c r="N627" s="214"/>
      <c r="O627" s="189" t="str">
        <f t="shared" si="219"/>
        <v/>
      </c>
      <c r="P627" s="191" t="str">
        <f t="shared" si="206"/>
        <v/>
      </c>
      <c r="Q627" s="192" t="str">
        <f t="shared" si="220"/>
        <v/>
      </c>
      <c r="R627" s="191" t="str">
        <f t="shared" si="207"/>
        <v/>
      </c>
      <c r="S627" s="193" t="str">
        <f t="shared" si="221"/>
        <v/>
      </c>
      <c r="T627" s="194" t="str">
        <f t="shared" si="208"/>
        <v/>
      </c>
      <c r="U627" s="192" t="str">
        <f t="shared" si="222"/>
        <v/>
      </c>
      <c r="V627" s="195" t="str">
        <f t="shared" si="209"/>
        <v/>
      </c>
      <c r="W627" s="195" t="str">
        <f t="shared" si="210"/>
        <v/>
      </c>
      <c r="X627" s="196" t="str">
        <f t="shared" si="223"/>
        <v/>
      </c>
      <c r="Y627" s="191" t="str">
        <f t="shared" si="225"/>
        <v/>
      </c>
      <c r="Z627" s="197" t="str">
        <f t="shared" si="211"/>
        <v/>
      </c>
      <c r="AA627" s="197" t="str">
        <f t="shared" si="212"/>
        <v/>
      </c>
      <c r="AB627" s="213"/>
      <c r="AC627" s="204"/>
    </row>
    <row r="628" spans="1:29" ht="11.4">
      <c r="A628" s="211" t="str">
        <f t="shared" si="224"/>
        <v/>
      </c>
      <c r="B628" s="211"/>
      <c r="C628" s="185"/>
      <c r="D628" s="186" t="str">
        <f t="shared" si="213"/>
        <v/>
      </c>
      <c r="E628" s="186" t="str">
        <f>IF(OR(C628="",C628=Data!$B$3),"",IF(C628=Data!$B$4,"L","S"))</f>
        <v/>
      </c>
      <c r="F628" s="186" t="str">
        <f t="shared" si="214"/>
        <v/>
      </c>
      <c r="G628" s="187" t="str">
        <f t="shared" si="205"/>
        <v/>
      </c>
      <c r="H628" s="188"/>
      <c r="I628" s="189" t="str">
        <f t="shared" si="215"/>
        <v/>
      </c>
      <c r="J628" s="189" t="str">
        <f t="shared" si="216"/>
        <v/>
      </c>
      <c r="K628" s="190" t="str">
        <f t="shared" si="217"/>
        <v/>
      </c>
      <c r="L628" s="190" t="str">
        <f t="shared" si="218"/>
        <v/>
      </c>
      <c r="M628" s="214"/>
      <c r="N628" s="214"/>
      <c r="O628" s="189" t="str">
        <f t="shared" si="219"/>
        <v/>
      </c>
      <c r="P628" s="191" t="str">
        <f t="shared" si="206"/>
        <v/>
      </c>
      <c r="Q628" s="192" t="str">
        <f t="shared" si="220"/>
        <v/>
      </c>
      <c r="R628" s="191" t="str">
        <f t="shared" si="207"/>
        <v/>
      </c>
      <c r="S628" s="193" t="str">
        <f t="shared" si="221"/>
        <v/>
      </c>
      <c r="T628" s="194" t="str">
        <f t="shared" si="208"/>
        <v/>
      </c>
      <c r="U628" s="192" t="str">
        <f t="shared" si="222"/>
        <v/>
      </c>
      <c r="V628" s="195" t="str">
        <f t="shared" si="209"/>
        <v/>
      </c>
      <c r="W628" s="195" t="str">
        <f t="shared" si="210"/>
        <v/>
      </c>
      <c r="X628" s="196" t="str">
        <f t="shared" si="223"/>
        <v/>
      </c>
      <c r="Y628" s="191" t="str">
        <f t="shared" si="225"/>
        <v/>
      </c>
      <c r="Z628" s="197" t="str">
        <f t="shared" si="211"/>
        <v/>
      </c>
      <c r="AA628" s="197" t="str">
        <f t="shared" si="212"/>
        <v/>
      </c>
      <c r="AB628" s="213"/>
      <c r="AC628" s="204"/>
    </row>
    <row r="629" spans="1:29" ht="11.4">
      <c r="A629" s="211" t="str">
        <f t="shared" si="224"/>
        <v/>
      </c>
      <c r="B629" s="211"/>
      <c r="C629" s="185"/>
      <c r="D629" s="186" t="str">
        <f t="shared" si="213"/>
        <v/>
      </c>
      <c r="E629" s="186" t="str">
        <f>IF(OR(C629="",C629=Data!$B$3),"",IF(C629=Data!$B$4,"L","S"))</f>
        <v/>
      </c>
      <c r="F629" s="186" t="str">
        <f t="shared" si="214"/>
        <v/>
      </c>
      <c r="G629" s="187" t="str">
        <f t="shared" si="205"/>
        <v/>
      </c>
      <c r="H629" s="188"/>
      <c r="I629" s="189" t="str">
        <f t="shared" si="215"/>
        <v/>
      </c>
      <c r="J629" s="189" t="str">
        <f t="shared" si="216"/>
        <v/>
      </c>
      <c r="K629" s="190" t="str">
        <f t="shared" si="217"/>
        <v/>
      </c>
      <c r="L629" s="190" t="str">
        <f t="shared" si="218"/>
        <v/>
      </c>
      <c r="M629" s="214"/>
      <c r="N629" s="214"/>
      <c r="O629" s="189" t="str">
        <f t="shared" si="219"/>
        <v/>
      </c>
      <c r="P629" s="191" t="str">
        <f t="shared" si="206"/>
        <v/>
      </c>
      <c r="Q629" s="192" t="str">
        <f t="shared" si="220"/>
        <v/>
      </c>
      <c r="R629" s="191" t="str">
        <f t="shared" si="207"/>
        <v/>
      </c>
      <c r="S629" s="193" t="str">
        <f t="shared" si="221"/>
        <v/>
      </c>
      <c r="T629" s="194" t="str">
        <f t="shared" si="208"/>
        <v/>
      </c>
      <c r="U629" s="192" t="str">
        <f t="shared" si="222"/>
        <v/>
      </c>
      <c r="V629" s="195" t="str">
        <f t="shared" si="209"/>
        <v/>
      </c>
      <c r="W629" s="195" t="str">
        <f t="shared" si="210"/>
        <v/>
      </c>
      <c r="X629" s="196" t="str">
        <f t="shared" si="223"/>
        <v/>
      </c>
      <c r="Y629" s="191" t="str">
        <f t="shared" si="225"/>
        <v/>
      </c>
      <c r="Z629" s="197" t="str">
        <f t="shared" si="211"/>
        <v/>
      </c>
      <c r="AA629" s="197" t="str">
        <f t="shared" si="212"/>
        <v/>
      </c>
      <c r="AB629" s="213"/>
      <c r="AC629" s="204"/>
    </row>
    <row r="630" spans="1:29" ht="11.4">
      <c r="A630" s="211" t="str">
        <f t="shared" si="224"/>
        <v/>
      </c>
      <c r="B630" s="211"/>
      <c r="C630" s="185"/>
      <c r="D630" s="186" t="str">
        <f t="shared" si="213"/>
        <v/>
      </c>
      <c r="E630" s="186" t="str">
        <f>IF(OR(C630="",C630=Data!$B$3),"",IF(C630=Data!$B$4,"L","S"))</f>
        <v/>
      </c>
      <c r="F630" s="186" t="str">
        <f t="shared" si="214"/>
        <v/>
      </c>
      <c r="G630" s="187" t="str">
        <f t="shared" si="205"/>
        <v/>
      </c>
      <c r="H630" s="188"/>
      <c r="I630" s="189" t="str">
        <f t="shared" si="215"/>
        <v/>
      </c>
      <c r="J630" s="189" t="str">
        <f t="shared" si="216"/>
        <v/>
      </c>
      <c r="K630" s="190" t="str">
        <f t="shared" si="217"/>
        <v/>
      </c>
      <c r="L630" s="190" t="str">
        <f t="shared" si="218"/>
        <v/>
      </c>
      <c r="M630" s="214"/>
      <c r="N630" s="214"/>
      <c r="O630" s="189" t="str">
        <f t="shared" si="219"/>
        <v/>
      </c>
      <c r="P630" s="191" t="str">
        <f t="shared" si="206"/>
        <v/>
      </c>
      <c r="Q630" s="192" t="str">
        <f t="shared" si="220"/>
        <v/>
      </c>
      <c r="R630" s="191" t="str">
        <f t="shared" si="207"/>
        <v/>
      </c>
      <c r="S630" s="193" t="str">
        <f t="shared" si="221"/>
        <v/>
      </c>
      <c r="T630" s="194" t="str">
        <f t="shared" si="208"/>
        <v/>
      </c>
      <c r="U630" s="192" t="str">
        <f t="shared" si="222"/>
        <v/>
      </c>
      <c r="V630" s="195" t="str">
        <f t="shared" si="209"/>
        <v/>
      </c>
      <c r="W630" s="195" t="str">
        <f t="shared" si="210"/>
        <v/>
      </c>
      <c r="X630" s="196" t="str">
        <f t="shared" si="223"/>
        <v/>
      </c>
      <c r="Y630" s="191" t="str">
        <f t="shared" si="225"/>
        <v/>
      </c>
      <c r="Z630" s="197" t="str">
        <f t="shared" si="211"/>
        <v/>
      </c>
      <c r="AA630" s="197" t="str">
        <f t="shared" si="212"/>
        <v/>
      </c>
      <c r="AB630" s="213"/>
      <c r="AC630" s="204"/>
    </row>
    <row r="631" spans="1:29" ht="11.4">
      <c r="A631" s="211" t="str">
        <f t="shared" si="224"/>
        <v/>
      </c>
      <c r="B631" s="211"/>
      <c r="C631" s="185"/>
      <c r="D631" s="186" t="str">
        <f t="shared" si="213"/>
        <v/>
      </c>
      <c r="E631" s="186" t="str">
        <f>IF(OR(C631="",C631=Data!$B$3),"",IF(C631=Data!$B$4,"L","S"))</f>
        <v/>
      </c>
      <c r="F631" s="186" t="str">
        <f t="shared" si="214"/>
        <v/>
      </c>
      <c r="G631" s="187" t="str">
        <f t="shared" si="205"/>
        <v/>
      </c>
      <c r="H631" s="188"/>
      <c r="I631" s="189" t="str">
        <f t="shared" si="215"/>
        <v/>
      </c>
      <c r="J631" s="189" t="str">
        <f t="shared" si="216"/>
        <v/>
      </c>
      <c r="K631" s="190" t="str">
        <f t="shared" si="217"/>
        <v/>
      </c>
      <c r="L631" s="190" t="str">
        <f t="shared" si="218"/>
        <v/>
      </c>
      <c r="M631" s="214"/>
      <c r="N631" s="214"/>
      <c r="O631" s="189" t="str">
        <f t="shared" si="219"/>
        <v/>
      </c>
      <c r="P631" s="191" t="str">
        <f t="shared" si="206"/>
        <v/>
      </c>
      <c r="Q631" s="192" t="str">
        <f t="shared" si="220"/>
        <v/>
      </c>
      <c r="R631" s="191" t="str">
        <f t="shared" si="207"/>
        <v/>
      </c>
      <c r="S631" s="193" t="str">
        <f t="shared" si="221"/>
        <v/>
      </c>
      <c r="T631" s="194" t="str">
        <f t="shared" si="208"/>
        <v/>
      </c>
      <c r="U631" s="192" t="str">
        <f t="shared" si="222"/>
        <v/>
      </c>
      <c r="V631" s="195" t="str">
        <f t="shared" si="209"/>
        <v/>
      </c>
      <c r="W631" s="195" t="str">
        <f t="shared" si="210"/>
        <v/>
      </c>
      <c r="X631" s="196" t="str">
        <f t="shared" si="223"/>
        <v/>
      </c>
      <c r="Y631" s="191" t="str">
        <f t="shared" si="225"/>
        <v/>
      </c>
      <c r="Z631" s="197" t="str">
        <f t="shared" si="211"/>
        <v/>
      </c>
      <c r="AA631" s="197" t="str">
        <f t="shared" si="212"/>
        <v/>
      </c>
      <c r="AB631" s="213"/>
      <c r="AC631" s="204"/>
    </row>
    <row r="632" spans="1:29" ht="11.4">
      <c r="A632" s="211" t="str">
        <f t="shared" si="224"/>
        <v/>
      </c>
      <c r="B632" s="211"/>
      <c r="C632" s="185"/>
      <c r="D632" s="186" t="str">
        <f t="shared" si="213"/>
        <v/>
      </c>
      <c r="E632" s="186" t="str">
        <f>IF(OR(C632="",C632=Data!$B$3),"",IF(C632=Data!$B$4,"L","S"))</f>
        <v/>
      </c>
      <c r="F632" s="186" t="str">
        <f t="shared" si="214"/>
        <v/>
      </c>
      <c r="G632" s="187" t="str">
        <f t="shared" si="205"/>
        <v/>
      </c>
      <c r="H632" s="188"/>
      <c r="I632" s="189" t="str">
        <f t="shared" si="215"/>
        <v/>
      </c>
      <c r="J632" s="189" t="str">
        <f t="shared" si="216"/>
        <v/>
      </c>
      <c r="K632" s="190" t="str">
        <f t="shared" si="217"/>
        <v/>
      </c>
      <c r="L632" s="190" t="str">
        <f t="shared" si="218"/>
        <v/>
      </c>
      <c r="M632" s="214"/>
      <c r="N632" s="214"/>
      <c r="O632" s="189" t="str">
        <f t="shared" si="219"/>
        <v/>
      </c>
      <c r="P632" s="191" t="str">
        <f t="shared" si="206"/>
        <v/>
      </c>
      <c r="Q632" s="192" t="str">
        <f t="shared" si="220"/>
        <v/>
      </c>
      <c r="R632" s="191" t="str">
        <f t="shared" si="207"/>
        <v/>
      </c>
      <c r="S632" s="193" t="str">
        <f t="shared" si="221"/>
        <v/>
      </c>
      <c r="T632" s="194" t="str">
        <f t="shared" si="208"/>
        <v/>
      </c>
      <c r="U632" s="192" t="str">
        <f t="shared" si="222"/>
        <v/>
      </c>
      <c r="V632" s="195" t="str">
        <f t="shared" si="209"/>
        <v/>
      </c>
      <c r="W632" s="195" t="str">
        <f t="shared" si="210"/>
        <v/>
      </c>
      <c r="X632" s="196" t="str">
        <f t="shared" si="223"/>
        <v/>
      </c>
      <c r="Y632" s="191" t="str">
        <f t="shared" si="225"/>
        <v/>
      </c>
      <c r="Z632" s="197" t="str">
        <f t="shared" si="211"/>
        <v/>
      </c>
      <c r="AA632" s="197" t="str">
        <f t="shared" si="212"/>
        <v/>
      </c>
      <c r="AB632" s="213"/>
      <c r="AC632" s="204"/>
    </row>
    <row r="633" spans="1:29" ht="11.4">
      <c r="A633" s="211" t="str">
        <f t="shared" si="224"/>
        <v/>
      </c>
      <c r="B633" s="211"/>
      <c r="C633" s="185"/>
      <c r="D633" s="186" t="str">
        <f t="shared" si="213"/>
        <v/>
      </c>
      <c r="E633" s="186" t="str">
        <f>IF(OR(C633="",C633=Data!$B$3),"",IF(C633=Data!$B$4,"L","S"))</f>
        <v/>
      </c>
      <c r="F633" s="186" t="str">
        <f t="shared" si="214"/>
        <v/>
      </c>
      <c r="G633" s="187" t="str">
        <f t="shared" si="205"/>
        <v/>
      </c>
      <c r="H633" s="188"/>
      <c r="I633" s="189" t="str">
        <f t="shared" si="215"/>
        <v/>
      </c>
      <c r="J633" s="189" t="str">
        <f t="shared" si="216"/>
        <v/>
      </c>
      <c r="K633" s="190" t="str">
        <f t="shared" si="217"/>
        <v/>
      </c>
      <c r="L633" s="190" t="str">
        <f t="shared" si="218"/>
        <v/>
      </c>
      <c r="M633" s="214"/>
      <c r="N633" s="214"/>
      <c r="O633" s="189" t="str">
        <f t="shared" si="219"/>
        <v/>
      </c>
      <c r="P633" s="191" t="str">
        <f t="shared" si="206"/>
        <v/>
      </c>
      <c r="Q633" s="192" t="str">
        <f t="shared" si="220"/>
        <v/>
      </c>
      <c r="R633" s="191" t="str">
        <f t="shared" si="207"/>
        <v/>
      </c>
      <c r="S633" s="193" t="str">
        <f t="shared" si="221"/>
        <v/>
      </c>
      <c r="T633" s="194" t="str">
        <f t="shared" si="208"/>
        <v/>
      </c>
      <c r="U633" s="192" t="str">
        <f t="shared" si="222"/>
        <v/>
      </c>
      <c r="V633" s="195" t="str">
        <f t="shared" si="209"/>
        <v/>
      </c>
      <c r="W633" s="195" t="str">
        <f t="shared" si="210"/>
        <v/>
      </c>
      <c r="X633" s="196" t="str">
        <f t="shared" si="223"/>
        <v/>
      </c>
      <c r="Y633" s="191" t="str">
        <f t="shared" si="225"/>
        <v/>
      </c>
      <c r="Z633" s="197" t="str">
        <f t="shared" si="211"/>
        <v/>
      </c>
      <c r="AA633" s="197" t="str">
        <f t="shared" si="212"/>
        <v/>
      </c>
      <c r="AB633" s="213"/>
      <c r="AC633" s="204"/>
    </row>
    <row r="634" spans="1:29" ht="11.4">
      <c r="A634" s="211" t="str">
        <f t="shared" si="224"/>
        <v/>
      </c>
      <c r="B634" s="211"/>
      <c r="C634" s="185"/>
      <c r="D634" s="186" t="str">
        <f t="shared" si="213"/>
        <v/>
      </c>
      <c r="E634" s="186" t="str">
        <f>IF(OR(C634="",C634=Data!$B$3),"",IF(C634=Data!$B$4,"L","S"))</f>
        <v/>
      </c>
      <c r="F634" s="186" t="str">
        <f t="shared" si="214"/>
        <v/>
      </c>
      <c r="G634" s="187" t="str">
        <f t="shared" si="205"/>
        <v/>
      </c>
      <c r="H634" s="188"/>
      <c r="I634" s="189" t="str">
        <f t="shared" si="215"/>
        <v/>
      </c>
      <c r="J634" s="189" t="str">
        <f t="shared" si="216"/>
        <v/>
      </c>
      <c r="K634" s="190" t="str">
        <f t="shared" si="217"/>
        <v/>
      </c>
      <c r="L634" s="190" t="str">
        <f t="shared" si="218"/>
        <v/>
      </c>
      <c r="M634" s="214"/>
      <c r="N634" s="214"/>
      <c r="O634" s="189" t="str">
        <f t="shared" si="219"/>
        <v/>
      </c>
      <c r="P634" s="191" t="str">
        <f t="shared" si="206"/>
        <v/>
      </c>
      <c r="Q634" s="192" t="str">
        <f t="shared" si="220"/>
        <v/>
      </c>
      <c r="R634" s="191" t="str">
        <f t="shared" si="207"/>
        <v/>
      </c>
      <c r="S634" s="193" t="str">
        <f t="shared" si="221"/>
        <v/>
      </c>
      <c r="T634" s="194" t="str">
        <f t="shared" si="208"/>
        <v/>
      </c>
      <c r="U634" s="192" t="str">
        <f t="shared" si="222"/>
        <v/>
      </c>
      <c r="V634" s="195" t="str">
        <f t="shared" si="209"/>
        <v/>
      </c>
      <c r="W634" s="195" t="str">
        <f t="shared" si="210"/>
        <v/>
      </c>
      <c r="X634" s="196" t="str">
        <f t="shared" si="223"/>
        <v/>
      </c>
      <c r="Y634" s="191" t="str">
        <f t="shared" si="225"/>
        <v/>
      </c>
      <c r="Z634" s="197" t="str">
        <f t="shared" si="211"/>
        <v/>
      </c>
      <c r="AA634" s="197" t="str">
        <f t="shared" si="212"/>
        <v/>
      </c>
      <c r="AB634" s="213"/>
      <c r="AC634" s="204"/>
    </row>
    <row r="635" spans="1:29" ht="11.4">
      <c r="A635" s="211" t="str">
        <f t="shared" si="224"/>
        <v/>
      </c>
      <c r="B635" s="211"/>
      <c r="C635" s="185"/>
      <c r="D635" s="186" t="str">
        <f t="shared" si="213"/>
        <v/>
      </c>
      <c r="E635" s="186" t="str">
        <f>IF(OR(C635="",C635=Data!$B$3),"",IF(C635=Data!$B$4,"L","S"))</f>
        <v/>
      </c>
      <c r="F635" s="186" t="str">
        <f t="shared" si="214"/>
        <v/>
      </c>
      <c r="G635" s="187" t="str">
        <f t="shared" si="205"/>
        <v/>
      </c>
      <c r="H635" s="188"/>
      <c r="I635" s="189" t="str">
        <f t="shared" si="215"/>
        <v/>
      </c>
      <c r="J635" s="189" t="str">
        <f t="shared" si="216"/>
        <v/>
      </c>
      <c r="K635" s="190" t="str">
        <f t="shared" si="217"/>
        <v/>
      </c>
      <c r="L635" s="190" t="str">
        <f t="shared" si="218"/>
        <v/>
      </c>
      <c r="M635" s="214"/>
      <c r="N635" s="214"/>
      <c r="O635" s="189" t="str">
        <f t="shared" si="219"/>
        <v/>
      </c>
      <c r="P635" s="191" t="str">
        <f t="shared" si="206"/>
        <v/>
      </c>
      <c r="Q635" s="192" t="str">
        <f t="shared" si="220"/>
        <v/>
      </c>
      <c r="R635" s="191" t="str">
        <f t="shared" si="207"/>
        <v/>
      </c>
      <c r="S635" s="193" t="str">
        <f t="shared" si="221"/>
        <v/>
      </c>
      <c r="T635" s="194" t="str">
        <f t="shared" si="208"/>
        <v/>
      </c>
      <c r="U635" s="192" t="str">
        <f t="shared" si="222"/>
        <v/>
      </c>
      <c r="V635" s="195" t="str">
        <f t="shared" si="209"/>
        <v/>
      </c>
      <c r="W635" s="195" t="str">
        <f t="shared" si="210"/>
        <v/>
      </c>
      <c r="X635" s="196" t="str">
        <f t="shared" si="223"/>
        <v/>
      </c>
      <c r="Y635" s="191" t="str">
        <f t="shared" si="225"/>
        <v/>
      </c>
      <c r="Z635" s="197" t="str">
        <f t="shared" si="211"/>
        <v/>
      </c>
      <c r="AA635" s="197" t="str">
        <f t="shared" si="212"/>
        <v/>
      </c>
      <c r="AB635" s="213"/>
      <c r="AC635" s="204"/>
    </row>
    <row r="636" spans="1:29" ht="11.4">
      <c r="A636" s="211" t="str">
        <f t="shared" si="224"/>
        <v/>
      </c>
      <c r="B636" s="211"/>
      <c r="C636" s="185"/>
      <c r="D636" s="186" t="str">
        <f t="shared" si="213"/>
        <v/>
      </c>
      <c r="E636" s="186" t="str">
        <f>IF(OR(C636="",C636=Data!$B$3),"",IF(C636=Data!$B$4,"L","S"))</f>
        <v/>
      </c>
      <c r="F636" s="186" t="str">
        <f t="shared" si="214"/>
        <v/>
      </c>
      <c r="G636" s="187" t="str">
        <f t="shared" si="205"/>
        <v/>
      </c>
      <c r="H636" s="188"/>
      <c r="I636" s="189" t="str">
        <f t="shared" si="215"/>
        <v/>
      </c>
      <c r="J636" s="189" t="str">
        <f t="shared" si="216"/>
        <v/>
      </c>
      <c r="K636" s="190" t="str">
        <f t="shared" si="217"/>
        <v/>
      </c>
      <c r="L636" s="190" t="str">
        <f t="shared" si="218"/>
        <v/>
      </c>
      <c r="M636" s="214"/>
      <c r="N636" s="214"/>
      <c r="O636" s="189" t="str">
        <f t="shared" si="219"/>
        <v/>
      </c>
      <c r="P636" s="191" t="str">
        <f t="shared" si="206"/>
        <v/>
      </c>
      <c r="Q636" s="192" t="str">
        <f t="shared" si="220"/>
        <v/>
      </c>
      <c r="R636" s="191" t="str">
        <f t="shared" si="207"/>
        <v/>
      </c>
      <c r="S636" s="193" t="str">
        <f t="shared" si="221"/>
        <v/>
      </c>
      <c r="T636" s="194" t="str">
        <f t="shared" si="208"/>
        <v/>
      </c>
      <c r="U636" s="192" t="str">
        <f t="shared" si="222"/>
        <v/>
      </c>
      <c r="V636" s="195" t="str">
        <f t="shared" si="209"/>
        <v/>
      </c>
      <c r="W636" s="195" t="str">
        <f t="shared" si="210"/>
        <v/>
      </c>
      <c r="X636" s="196" t="str">
        <f t="shared" si="223"/>
        <v/>
      </c>
      <c r="Y636" s="191" t="str">
        <f t="shared" si="225"/>
        <v/>
      </c>
      <c r="Z636" s="197" t="str">
        <f t="shared" si="211"/>
        <v/>
      </c>
      <c r="AA636" s="197" t="str">
        <f t="shared" si="212"/>
        <v/>
      </c>
      <c r="AB636" s="213"/>
      <c r="AC636" s="204"/>
    </row>
    <row r="637" spans="1:29" ht="11.4">
      <c r="A637" s="211" t="str">
        <f t="shared" si="224"/>
        <v/>
      </c>
      <c r="B637" s="211"/>
      <c r="C637" s="185"/>
      <c r="D637" s="186" t="str">
        <f t="shared" si="213"/>
        <v/>
      </c>
      <c r="E637" s="186" t="str">
        <f>IF(OR(C637="",C637=Data!$B$3),"",IF(C637=Data!$B$4,"L","S"))</f>
        <v/>
      </c>
      <c r="F637" s="186" t="str">
        <f t="shared" si="214"/>
        <v/>
      </c>
      <c r="G637" s="187" t="str">
        <f t="shared" si="205"/>
        <v/>
      </c>
      <c r="H637" s="188"/>
      <c r="I637" s="189" t="str">
        <f t="shared" si="215"/>
        <v/>
      </c>
      <c r="J637" s="189" t="str">
        <f t="shared" si="216"/>
        <v/>
      </c>
      <c r="K637" s="190" t="str">
        <f t="shared" si="217"/>
        <v/>
      </c>
      <c r="L637" s="190" t="str">
        <f t="shared" si="218"/>
        <v/>
      </c>
      <c r="M637" s="214"/>
      <c r="N637" s="214"/>
      <c r="O637" s="189" t="str">
        <f t="shared" si="219"/>
        <v/>
      </c>
      <c r="P637" s="191" t="str">
        <f t="shared" si="206"/>
        <v/>
      </c>
      <c r="Q637" s="192" t="str">
        <f t="shared" si="220"/>
        <v/>
      </c>
      <c r="R637" s="191" t="str">
        <f t="shared" si="207"/>
        <v/>
      </c>
      <c r="S637" s="193" t="str">
        <f t="shared" si="221"/>
        <v/>
      </c>
      <c r="T637" s="194" t="str">
        <f t="shared" si="208"/>
        <v/>
      </c>
      <c r="U637" s="192" t="str">
        <f t="shared" si="222"/>
        <v/>
      </c>
      <c r="V637" s="195" t="str">
        <f t="shared" si="209"/>
        <v/>
      </c>
      <c r="W637" s="195" t="str">
        <f t="shared" si="210"/>
        <v/>
      </c>
      <c r="X637" s="196" t="str">
        <f t="shared" si="223"/>
        <v/>
      </c>
      <c r="Y637" s="191" t="str">
        <f t="shared" si="225"/>
        <v/>
      </c>
      <c r="Z637" s="197" t="str">
        <f t="shared" si="211"/>
        <v/>
      </c>
      <c r="AA637" s="197" t="str">
        <f t="shared" si="212"/>
        <v/>
      </c>
      <c r="AB637" s="213"/>
      <c r="AC637" s="204"/>
    </row>
    <row r="638" spans="1:29" ht="11.4">
      <c r="A638" s="211" t="str">
        <f t="shared" si="224"/>
        <v/>
      </c>
      <c r="B638" s="211"/>
      <c r="C638" s="185"/>
      <c r="D638" s="186" t="str">
        <f t="shared" si="213"/>
        <v/>
      </c>
      <c r="E638" s="186" t="str">
        <f>IF(OR(C638="",C638=Data!$B$3),"",IF(C638=Data!$B$4,"L","S"))</f>
        <v/>
      </c>
      <c r="F638" s="186" t="str">
        <f t="shared" si="214"/>
        <v/>
      </c>
      <c r="G638" s="187" t="str">
        <f t="shared" si="205"/>
        <v/>
      </c>
      <c r="H638" s="188"/>
      <c r="I638" s="189" t="str">
        <f t="shared" si="215"/>
        <v/>
      </c>
      <c r="J638" s="189" t="str">
        <f t="shared" si="216"/>
        <v/>
      </c>
      <c r="K638" s="190" t="str">
        <f t="shared" si="217"/>
        <v/>
      </c>
      <c r="L638" s="190" t="str">
        <f t="shared" si="218"/>
        <v/>
      </c>
      <c r="M638" s="214"/>
      <c r="N638" s="214"/>
      <c r="O638" s="189" t="str">
        <f t="shared" si="219"/>
        <v/>
      </c>
      <c r="P638" s="191" t="str">
        <f t="shared" si="206"/>
        <v/>
      </c>
      <c r="Q638" s="192" t="str">
        <f t="shared" si="220"/>
        <v/>
      </c>
      <c r="R638" s="191" t="str">
        <f t="shared" si="207"/>
        <v/>
      </c>
      <c r="S638" s="193" t="str">
        <f t="shared" si="221"/>
        <v/>
      </c>
      <c r="T638" s="194" t="str">
        <f t="shared" si="208"/>
        <v/>
      </c>
      <c r="U638" s="192" t="str">
        <f t="shared" si="222"/>
        <v/>
      </c>
      <c r="V638" s="195" t="str">
        <f t="shared" si="209"/>
        <v/>
      </c>
      <c r="W638" s="195" t="str">
        <f t="shared" si="210"/>
        <v/>
      </c>
      <c r="X638" s="196" t="str">
        <f t="shared" si="223"/>
        <v/>
      </c>
      <c r="Y638" s="191" t="str">
        <f t="shared" si="225"/>
        <v/>
      </c>
      <c r="Z638" s="197" t="str">
        <f t="shared" si="211"/>
        <v/>
      </c>
      <c r="AA638" s="197" t="str">
        <f t="shared" si="212"/>
        <v/>
      </c>
      <c r="AB638" s="213"/>
      <c r="AC638" s="204"/>
    </row>
    <row r="639" spans="1:29" ht="11.4">
      <c r="A639" s="211" t="str">
        <f t="shared" si="224"/>
        <v/>
      </c>
      <c r="B639" s="211"/>
      <c r="C639" s="185"/>
      <c r="D639" s="186" t="str">
        <f t="shared" si="213"/>
        <v/>
      </c>
      <c r="E639" s="186" t="str">
        <f>IF(OR(C639="",C639=Data!$B$3),"",IF(C639=Data!$B$4,"L","S"))</f>
        <v/>
      </c>
      <c r="F639" s="186" t="str">
        <f t="shared" si="214"/>
        <v/>
      </c>
      <c r="G639" s="187" t="str">
        <f t="shared" si="205"/>
        <v/>
      </c>
      <c r="H639" s="188"/>
      <c r="I639" s="189" t="str">
        <f t="shared" si="215"/>
        <v/>
      </c>
      <c r="J639" s="189" t="str">
        <f t="shared" si="216"/>
        <v/>
      </c>
      <c r="K639" s="190" t="str">
        <f t="shared" si="217"/>
        <v/>
      </c>
      <c r="L639" s="190" t="str">
        <f t="shared" si="218"/>
        <v/>
      </c>
      <c r="M639" s="214"/>
      <c r="N639" s="214"/>
      <c r="O639" s="189" t="str">
        <f t="shared" si="219"/>
        <v/>
      </c>
      <c r="P639" s="191" t="str">
        <f t="shared" si="206"/>
        <v/>
      </c>
      <c r="Q639" s="192" t="str">
        <f t="shared" si="220"/>
        <v/>
      </c>
      <c r="R639" s="191" t="str">
        <f t="shared" si="207"/>
        <v/>
      </c>
      <c r="S639" s="193" t="str">
        <f t="shared" si="221"/>
        <v/>
      </c>
      <c r="T639" s="194" t="str">
        <f t="shared" si="208"/>
        <v/>
      </c>
      <c r="U639" s="192" t="str">
        <f t="shared" si="222"/>
        <v/>
      </c>
      <c r="V639" s="195" t="str">
        <f t="shared" si="209"/>
        <v/>
      </c>
      <c r="W639" s="195" t="str">
        <f t="shared" si="210"/>
        <v/>
      </c>
      <c r="X639" s="196" t="str">
        <f t="shared" si="223"/>
        <v/>
      </c>
      <c r="Y639" s="191" t="str">
        <f t="shared" si="225"/>
        <v/>
      </c>
      <c r="Z639" s="197" t="str">
        <f t="shared" si="211"/>
        <v/>
      </c>
      <c r="AA639" s="197" t="str">
        <f t="shared" si="212"/>
        <v/>
      </c>
      <c r="AB639" s="213"/>
      <c r="AC639" s="204"/>
    </row>
    <row r="640" spans="1:29" ht="11.4">
      <c r="A640" s="211" t="str">
        <f t="shared" si="224"/>
        <v/>
      </c>
      <c r="B640" s="211"/>
      <c r="C640" s="185"/>
      <c r="D640" s="186" t="str">
        <f t="shared" si="213"/>
        <v/>
      </c>
      <c r="E640" s="186" t="str">
        <f>IF(OR(C640="",C640=Data!$B$3),"",IF(C640=Data!$B$4,"L","S"))</f>
        <v/>
      </c>
      <c r="F640" s="186" t="str">
        <f t="shared" si="214"/>
        <v/>
      </c>
      <c r="G640" s="187" t="str">
        <f t="shared" si="205"/>
        <v/>
      </c>
      <c r="H640" s="188"/>
      <c r="I640" s="189" t="str">
        <f t="shared" si="215"/>
        <v/>
      </c>
      <c r="J640" s="189" t="str">
        <f t="shared" si="216"/>
        <v/>
      </c>
      <c r="K640" s="190" t="str">
        <f t="shared" si="217"/>
        <v/>
      </c>
      <c r="L640" s="190" t="str">
        <f t="shared" si="218"/>
        <v/>
      </c>
      <c r="M640" s="214"/>
      <c r="N640" s="214"/>
      <c r="O640" s="189" t="str">
        <f t="shared" si="219"/>
        <v/>
      </c>
      <c r="P640" s="191" t="str">
        <f t="shared" si="206"/>
        <v/>
      </c>
      <c r="Q640" s="192" t="str">
        <f t="shared" si="220"/>
        <v/>
      </c>
      <c r="R640" s="191" t="str">
        <f t="shared" si="207"/>
        <v/>
      </c>
      <c r="S640" s="193" t="str">
        <f t="shared" si="221"/>
        <v/>
      </c>
      <c r="T640" s="194" t="str">
        <f t="shared" si="208"/>
        <v/>
      </c>
      <c r="U640" s="192" t="str">
        <f t="shared" si="222"/>
        <v/>
      </c>
      <c r="V640" s="195" t="str">
        <f t="shared" si="209"/>
        <v/>
      </c>
      <c r="W640" s="195" t="str">
        <f t="shared" si="210"/>
        <v/>
      </c>
      <c r="X640" s="196" t="str">
        <f t="shared" si="223"/>
        <v/>
      </c>
      <c r="Y640" s="191" t="str">
        <f t="shared" si="225"/>
        <v/>
      </c>
      <c r="Z640" s="197" t="str">
        <f t="shared" si="211"/>
        <v/>
      </c>
      <c r="AA640" s="197" t="str">
        <f t="shared" si="212"/>
        <v/>
      </c>
      <c r="AB640" s="213"/>
      <c r="AC640" s="204"/>
    </row>
    <row r="641" spans="1:29" ht="11.4">
      <c r="A641" s="211" t="str">
        <f t="shared" si="224"/>
        <v/>
      </c>
      <c r="B641" s="211"/>
      <c r="C641" s="185"/>
      <c r="D641" s="186" t="str">
        <f t="shared" si="213"/>
        <v/>
      </c>
      <c r="E641" s="186" t="str">
        <f>IF(OR(C641="",C641=Data!$B$3),"",IF(C641=Data!$B$4,"L","S"))</f>
        <v/>
      </c>
      <c r="F641" s="186" t="str">
        <f t="shared" si="214"/>
        <v/>
      </c>
      <c r="G641" s="187" t="str">
        <f t="shared" si="205"/>
        <v/>
      </c>
      <c r="H641" s="188"/>
      <c r="I641" s="189" t="str">
        <f t="shared" si="215"/>
        <v/>
      </c>
      <c r="J641" s="189" t="str">
        <f t="shared" si="216"/>
        <v/>
      </c>
      <c r="K641" s="190" t="str">
        <f t="shared" si="217"/>
        <v/>
      </c>
      <c r="L641" s="190" t="str">
        <f t="shared" si="218"/>
        <v/>
      </c>
      <c r="M641" s="214"/>
      <c r="N641" s="214"/>
      <c r="O641" s="189" t="str">
        <f t="shared" si="219"/>
        <v/>
      </c>
      <c r="P641" s="191" t="str">
        <f t="shared" si="206"/>
        <v/>
      </c>
      <c r="Q641" s="192" t="str">
        <f t="shared" si="220"/>
        <v/>
      </c>
      <c r="R641" s="191" t="str">
        <f t="shared" si="207"/>
        <v/>
      </c>
      <c r="S641" s="193" t="str">
        <f t="shared" si="221"/>
        <v/>
      </c>
      <c r="T641" s="194" t="str">
        <f t="shared" si="208"/>
        <v/>
      </c>
      <c r="U641" s="192" t="str">
        <f t="shared" si="222"/>
        <v/>
      </c>
      <c r="V641" s="195" t="str">
        <f t="shared" si="209"/>
        <v/>
      </c>
      <c r="W641" s="195" t="str">
        <f t="shared" si="210"/>
        <v/>
      </c>
      <c r="X641" s="196" t="str">
        <f t="shared" si="223"/>
        <v/>
      </c>
      <c r="Y641" s="191" t="str">
        <f t="shared" si="225"/>
        <v/>
      </c>
      <c r="Z641" s="197" t="str">
        <f t="shared" si="211"/>
        <v/>
      </c>
      <c r="AA641" s="197" t="str">
        <f t="shared" si="212"/>
        <v/>
      </c>
      <c r="AB641" s="213"/>
      <c r="AC641" s="204"/>
    </row>
    <row r="642" spans="1:29" ht="11.4">
      <c r="A642" s="211" t="str">
        <f t="shared" si="224"/>
        <v/>
      </c>
      <c r="B642" s="211"/>
      <c r="C642" s="185"/>
      <c r="D642" s="186" t="str">
        <f t="shared" si="213"/>
        <v/>
      </c>
      <c r="E642" s="186" t="str">
        <f>IF(OR(C642="",C642=Data!$B$3),"",IF(C642=Data!$B$4,"L","S"))</f>
        <v/>
      </c>
      <c r="F642" s="186" t="str">
        <f t="shared" si="214"/>
        <v/>
      </c>
      <c r="G642" s="187" t="str">
        <f t="shared" si="205"/>
        <v/>
      </c>
      <c r="H642" s="188"/>
      <c r="I642" s="189" t="str">
        <f t="shared" si="215"/>
        <v/>
      </c>
      <c r="J642" s="189" t="str">
        <f t="shared" si="216"/>
        <v/>
      </c>
      <c r="K642" s="190" t="str">
        <f t="shared" si="217"/>
        <v/>
      </c>
      <c r="L642" s="190" t="str">
        <f t="shared" si="218"/>
        <v/>
      </c>
      <c r="M642" s="214"/>
      <c r="N642" s="214"/>
      <c r="O642" s="189" t="str">
        <f t="shared" si="219"/>
        <v/>
      </c>
      <c r="P642" s="191" t="str">
        <f t="shared" si="206"/>
        <v/>
      </c>
      <c r="Q642" s="192" t="str">
        <f t="shared" si="220"/>
        <v/>
      </c>
      <c r="R642" s="191" t="str">
        <f t="shared" si="207"/>
        <v/>
      </c>
      <c r="S642" s="193" t="str">
        <f t="shared" si="221"/>
        <v/>
      </c>
      <c r="T642" s="194" t="str">
        <f t="shared" si="208"/>
        <v/>
      </c>
      <c r="U642" s="192" t="str">
        <f t="shared" si="222"/>
        <v/>
      </c>
      <c r="V642" s="195" t="str">
        <f t="shared" si="209"/>
        <v/>
      </c>
      <c r="W642" s="195" t="str">
        <f t="shared" si="210"/>
        <v/>
      </c>
      <c r="X642" s="196" t="str">
        <f t="shared" si="223"/>
        <v/>
      </c>
      <c r="Y642" s="191" t="str">
        <f t="shared" si="225"/>
        <v/>
      </c>
      <c r="Z642" s="197" t="str">
        <f t="shared" si="211"/>
        <v/>
      </c>
      <c r="AA642" s="197" t="str">
        <f t="shared" si="212"/>
        <v/>
      </c>
      <c r="AB642" s="213"/>
      <c r="AC642" s="204"/>
    </row>
    <row r="643" spans="1:29" ht="11.4">
      <c r="A643" s="211" t="str">
        <f t="shared" si="224"/>
        <v/>
      </c>
      <c r="B643" s="211"/>
      <c r="C643" s="185"/>
      <c r="D643" s="186" t="str">
        <f t="shared" si="213"/>
        <v/>
      </c>
      <c r="E643" s="186" t="str">
        <f>IF(OR(C643="",C643=Data!$B$3),"",IF(C643=Data!$B$4,"L","S"))</f>
        <v/>
      </c>
      <c r="F643" s="186" t="str">
        <f t="shared" si="214"/>
        <v/>
      </c>
      <c r="G643" s="187" t="str">
        <f t="shared" si="205"/>
        <v/>
      </c>
      <c r="H643" s="188"/>
      <c r="I643" s="189" t="str">
        <f t="shared" si="215"/>
        <v/>
      </c>
      <c r="J643" s="189" t="str">
        <f t="shared" si="216"/>
        <v/>
      </c>
      <c r="K643" s="190" t="str">
        <f t="shared" si="217"/>
        <v/>
      </c>
      <c r="L643" s="190" t="str">
        <f t="shared" si="218"/>
        <v/>
      </c>
      <c r="M643" s="214"/>
      <c r="N643" s="214"/>
      <c r="O643" s="189" t="str">
        <f t="shared" si="219"/>
        <v/>
      </c>
      <c r="P643" s="191" t="str">
        <f t="shared" si="206"/>
        <v/>
      </c>
      <c r="Q643" s="192" t="str">
        <f t="shared" si="220"/>
        <v/>
      </c>
      <c r="R643" s="191" t="str">
        <f t="shared" si="207"/>
        <v/>
      </c>
      <c r="S643" s="193" t="str">
        <f t="shared" si="221"/>
        <v/>
      </c>
      <c r="T643" s="194" t="str">
        <f t="shared" si="208"/>
        <v/>
      </c>
      <c r="U643" s="192" t="str">
        <f t="shared" si="222"/>
        <v/>
      </c>
      <c r="V643" s="195" t="str">
        <f t="shared" si="209"/>
        <v/>
      </c>
      <c r="W643" s="195" t="str">
        <f t="shared" si="210"/>
        <v/>
      </c>
      <c r="X643" s="196" t="str">
        <f t="shared" si="223"/>
        <v/>
      </c>
      <c r="Y643" s="191" t="str">
        <f t="shared" si="225"/>
        <v/>
      </c>
      <c r="Z643" s="197" t="str">
        <f t="shared" si="211"/>
        <v/>
      </c>
      <c r="AA643" s="197" t="str">
        <f t="shared" si="212"/>
        <v/>
      </c>
      <c r="AB643" s="213"/>
      <c r="AC643" s="204"/>
    </row>
    <row r="644" spans="1:29" ht="11.4">
      <c r="A644" s="211" t="str">
        <f t="shared" si="224"/>
        <v/>
      </c>
      <c r="B644" s="211"/>
      <c r="C644" s="185"/>
      <c r="D644" s="186" t="str">
        <f t="shared" si="213"/>
        <v/>
      </c>
      <c r="E644" s="186" t="str">
        <f>IF(OR(C644="",C644=Data!$B$3),"",IF(C644=Data!$B$4,"L","S"))</f>
        <v/>
      </c>
      <c r="F644" s="186" t="str">
        <f t="shared" si="214"/>
        <v/>
      </c>
      <c r="G644" s="187" t="str">
        <f t="shared" si="205"/>
        <v/>
      </c>
      <c r="H644" s="188"/>
      <c r="I644" s="189" t="str">
        <f t="shared" si="215"/>
        <v/>
      </c>
      <c r="J644" s="189" t="str">
        <f t="shared" si="216"/>
        <v/>
      </c>
      <c r="K644" s="190" t="str">
        <f t="shared" si="217"/>
        <v/>
      </c>
      <c r="L644" s="190" t="str">
        <f t="shared" si="218"/>
        <v/>
      </c>
      <c r="M644" s="214"/>
      <c r="N644" s="214"/>
      <c r="O644" s="189" t="str">
        <f t="shared" si="219"/>
        <v/>
      </c>
      <c r="P644" s="191" t="str">
        <f t="shared" si="206"/>
        <v/>
      </c>
      <c r="Q644" s="192" t="str">
        <f t="shared" si="220"/>
        <v/>
      </c>
      <c r="R644" s="191" t="str">
        <f t="shared" si="207"/>
        <v/>
      </c>
      <c r="S644" s="193" t="str">
        <f t="shared" si="221"/>
        <v/>
      </c>
      <c r="T644" s="194" t="str">
        <f t="shared" si="208"/>
        <v/>
      </c>
      <c r="U644" s="192" t="str">
        <f t="shared" si="222"/>
        <v/>
      </c>
      <c r="V644" s="195" t="str">
        <f t="shared" si="209"/>
        <v/>
      </c>
      <c r="W644" s="195" t="str">
        <f t="shared" si="210"/>
        <v/>
      </c>
      <c r="X644" s="196" t="str">
        <f t="shared" si="223"/>
        <v/>
      </c>
      <c r="Y644" s="191" t="str">
        <f t="shared" si="225"/>
        <v/>
      </c>
      <c r="Z644" s="197" t="str">
        <f t="shared" si="211"/>
        <v/>
      </c>
      <c r="AA644" s="197" t="str">
        <f t="shared" si="212"/>
        <v/>
      </c>
      <c r="AB644" s="213"/>
      <c r="AC644" s="204"/>
    </row>
    <row r="645" spans="1:29" ht="11.4">
      <c r="A645" s="211" t="str">
        <f t="shared" si="224"/>
        <v/>
      </c>
      <c r="B645" s="211"/>
      <c r="C645" s="185"/>
      <c r="D645" s="186" t="str">
        <f t="shared" si="213"/>
        <v/>
      </c>
      <c r="E645" s="186" t="str">
        <f>IF(OR(C645="",C645=Data!$B$3),"",IF(C645=Data!$B$4,"L","S"))</f>
        <v/>
      </c>
      <c r="F645" s="186" t="str">
        <f t="shared" si="214"/>
        <v/>
      </c>
      <c r="G645" s="187" t="str">
        <f t="shared" si="205"/>
        <v/>
      </c>
      <c r="H645" s="188"/>
      <c r="I645" s="189" t="str">
        <f t="shared" si="215"/>
        <v/>
      </c>
      <c r="J645" s="189" t="str">
        <f t="shared" si="216"/>
        <v/>
      </c>
      <c r="K645" s="190" t="str">
        <f t="shared" si="217"/>
        <v/>
      </c>
      <c r="L645" s="190" t="str">
        <f t="shared" si="218"/>
        <v/>
      </c>
      <c r="M645" s="214"/>
      <c r="N645" s="214"/>
      <c r="O645" s="189" t="str">
        <f t="shared" si="219"/>
        <v/>
      </c>
      <c r="P645" s="191" t="str">
        <f t="shared" si="206"/>
        <v/>
      </c>
      <c r="Q645" s="192" t="str">
        <f t="shared" si="220"/>
        <v/>
      </c>
      <c r="R645" s="191" t="str">
        <f t="shared" si="207"/>
        <v/>
      </c>
      <c r="S645" s="193" t="str">
        <f t="shared" si="221"/>
        <v/>
      </c>
      <c r="T645" s="194" t="str">
        <f t="shared" si="208"/>
        <v/>
      </c>
      <c r="U645" s="192" t="str">
        <f t="shared" si="222"/>
        <v/>
      </c>
      <c r="V645" s="195" t="str">
        <f t="shared" si="209"/>
        <v/>
      </c>
      <c r="W645" s="195" t="str">
        <f t="shared" si="210"/>
        <v/>
      </c>
      <c r="X645" s="196" t="str">
        <f t="shared" si="223"/>
        <v/>
      </c>
      <c r="Y645" s="191" t="str">
        <f t="shared" si="225"/>
        <v/>
      </c>
      <c r="Z645" s="197" t="str">
        <f t="shared" si="211"/>
        <v/>
      </c>
      <c r="AA645" s="197" t="str">
        <f t="shared" si="212"/>
        <v/>
      </c>
      <c r="AB645" s="213"/>
      <c r="AC645" s="204"/>
    </row>
    <row r="646" spans="1:29" ht="11.4">
      <c r="A646" s="211" t="str">
        <f t="shared" si="224"/>
        <v/>
      </c>
      <c r="B646" s="211"/>
      <c r="C646" s="185"/>
      <c r="D646" s="186" t="str">
        <f t="shared" si="213"/>
        <v/>
      </c>
      <c r="E646" s="186" t="str">
        <f>IF(OR(C646="",C646=Data!$B$3),"",IF(C646=Data!$B$4,"L","S"))</f>
        <v/>
      </c>
      <c r="F646" s="186" t="str">
        <f t="shared" si="214"/>
        <v/>
      </c>
      <c r="G646" s="187" t="str">
        <f t="shared" si="205"/>
        <v/>
      </c>
      <c r="H646" s="188"/>
      <c r="I646" s="189" t="str">
        <f t="shared" si="215"/>
        <v/>
      </c>
      <c r="J646" s="189" t="str">
        <f t="shared" si="216"/>
        <v/>
      </c>
      <c r="K646" s="190" t="str">
        <f t="shared" si="217"/>
        <v/>
      </c>
      <c r="L646" s="190" t="str">
        <f t="shared" si="218"/>
        <v/>
      </c>
      <c r="M646" s="214"/>
      <c r="N646" s="214"/>
      <c r="O646" s="189" t="str">
        <f t="shared" si="219"/>
        <v/>
      </c>
      <c r="P646" s="191" t="str">
        <f t="shared" si="206"/>
        <v/>
      </c>
      <c r="Q646" s="192" t="str">
        <f t="shared" si="220"/>
        <v/>
      </c>
      <c r="R646" s="191" t="str">
        <f t="shared" si="207"/>
        <v/>
      </c>
      <c r="S646" s="193" t="str">
        <f t="shared" si="221"/>
        <v/>
      </c>
      <c r="T646" s="194" t="str">
        <f t="shared" si="208"/>
        <v/>
      </c>
      <c r="U646" s="192" t="str">
        <f t="shared" si="222"/>
        <v/>
      </c>
      <c r="V646" s="195" t="str">
        <f t="shared" si="209"/>
        <v/>
      </c>
      <c r="W646" s="195" t="str">
        <f t="shared" si="210"/>
        <v/>
      </c>
      <c r="X646" s="196" t="str">
        <f t="shared" si="223"/>
        <v/>
      </c>
      <c r="Y646" s="191" t="str">
        <f t="shared" si="225"/>
        <v/>
      </c>
      <c r="Z646" s="197" t="str">
        <f t="shared" si="211"/>
        <v/>
      </c>
      <c r="AA646" s="197" t="str">
        <f t="shared" si="212"/>
        <v/>
      </c>
      <c r="AB646" s="213"/>
      <c r="AC646" s="204"/>
    </row>
    <row r="647" spans="1:29" ht="11.4">
      <c r="A647" s="211" t="str">
        <f t="shared" si="224"/>
        <v/>
      </c>
      <c r="B647" s="211"/>
      <c r="C647" s="185"/>
      <c r="D647" s="186" t="str">
        <f t="shared" si="213"/>
        <v/>
      </c>
      <c r="E647" s="186" t="str">
        <f>IF(OR(C647="",C647=Data!$B$3),"",IF(C647=Data!$B$4,"L","S"))</f>
        <v/>
      </c>
      <c r="F647" s="186" t="str">
        <f t="shared" si="214"/>
        <v/>
      </c>
      <c r="G647" s="187" t="str">
        <f t="shared" si="205"/>
        <v/>
      </c>
      <c r="H647" s="188"/>
      <c r="I647" s="189" t="str">
        <f t="shared" si="215"/>
        <v/>
      </c>
      <c r="J647" s="189" t="str">
        <f t="shared" si="216"/>
        <v/>
      </c>
      <c r="K647" s="190" t="str">
        <f t="shared" si="217"/>
        <v/>
      </c>
      <c r="L647" s="190" t="str">
        <f t="shared" si="218"/>
        <v/>
      </c>
      <c r="M647" s="214"/>
      <c r="N647" s="214"/>
      <c r="O647" s="189" t="str">
        <f t="shared" si="219"/>
        <v/>
      </c>
      <c r="P647" s="191" t="str">
        <f t="shared" si="206"/>
        <v/>
      </c>
      <c r="Q647" s="192" t="str">
        <f t="shared" si="220"/>
        <v/>
      </c>
      <c r="R647" s="191" t="str">
        <f t="shared" si="207"/>
        <v/>
      </c>
      <c r="S647" s="193" t="str">
        <f t="shared" si="221"/>
        <v/>
      </c>
      <c r="T647" s="194" t="str">
        <f t="shared" si="208"/>
        <v/>
      </c>
      <c r="U647" s="192" t="str">
        <f t="shared" si="222"/>
        <v/>
      </c>
      <c r="V647" s="195" t="str">
        <f t="shared" si="209"/>
        <v/>
      </c>
      <c r="W647" s="195" t="str">
        <f t="shared" si="210"/>
        <v/>
      </c>
      <c r="X647" s="196" t="str">
        <f t="shared" si="223"/>
        <v/>
      </c>
      <c r="Y647" s="191" t="str">
        <f t="shared" si="225"/>
        <v/>
      </c>
      <c r="Z647" s="197" t="str">
        <f t="shared" si="211"/>
        <v/>
      </c>
      <c r="AA647" s="197" t="str">
        <f t="shared" si="212"/>
        <v/>
      </c>
      <c r="AB647" s="213"/>
      <c r="AC647" s="204"/>
    </row>
    <row r="648" spans="1:29" ht="11.4">
      <c r="A648" s="211" t="str">
        <f t="shared" si="224"/>
        <v/>
      </c>
      <c r="B648" s="211"/>
      <c r="C648" s="185"/>
      <c r="D648" s="186" t="str">
        <f t="shared" si="213"/>
        <v/>
      </c>
      <c r="E648" s="186" t="str">
        <f>IF(OR(C648="",C648=Data!$B$3),"",IF(C648=Data!$B$4,"L","S"))</f>
        <v/>
      </c>
      <c r="F648" s="186" t="str">
        <f t="shared" si="214"/>
        <v/>
      </c>
      <c r="G648" s="187" t="str">
        <f t="shared" si="205"/>
        <v/>
      </c>
      <c r="H648" s="188"/>
      <c r="I648" s="189" t="str">
        <f t="shared" si="215"/>
        <v/>
      </c>
      <c r="J648" s="189" t="str">
        <f t="shared" si="216"/>
        <v/>
      </c>
      <c r="K648" s="190" t="str">
        <f t="shared" si="217"/>
        <v/>
      </c>
      <c r="L648" s="190" t="str">
        <f t="shared" si="218"/>
        <v/>
      </c>
      <c r="M648" s="214"/>
      <c r="N648" s="214"/>
      <c r="O648" s="189" t="str">
        <f t="shared" si="219"/>
        <v/>
      </c>
      <c r="P648" s="191" t="str">
        <f t="shared" si="206"/>
        <v/>
      </c>
      <c r="Q648" s="192" t="str">
        <f t="shared" si="220"/>
        <v/>
      </c>
      <c r="R648" s="191" t="str">
        <f t="shared" si="207"/>
        <v/>
      </c>
      <c r="S648" s="193" t="str">
        <f t="shared" si="221"/>
        <v/>
      </c>
      <c r="T648" s="194" t="str">
        <f t="shared" si="208"/>
        <v/>
      </c>
      <c r="U648" s="192" t="str">
        <f t="shared" si="222"/>
        <v/>
      </c>
      <c r="V648" s="195" t="str">
        <f t="shared" si="209"/>
        <v/>
      </c>
      <c r="W648" s="195" t="str">
        <f t="shared" si="210"/>
        <v/>
      </c>
      <c r="X648" s="196" t="str">
        <f t="shared" si="223"/>
        <v/>
      </c>
      <c r="Y648" s="191" t="str">
        <f t="shared" si="225"/>
        <v/>
      </c>
      <c r="Z648" s="197" t="str">
        <f t="shared" si="211"/>
        <v/>
      </c>
      <c r="AA648" s="197" t="str">
        <f t="shared" si="212"/>
        <v/>
      </c>
      <c r="AB648" s="213"/>
      <c r="AC648" s="204"/>
    </row>
    <row r="649" spans="1:29" ht="11.4">
      <c r="A649" s="211" t="str">
        <f t="shared" si="224"/>
        <v/>
      </c>
      <c r="B649" s="211"/>
      <c r="C649" s="185"/>
      <c r="D649" s="186" t="str">
        <f t="shared" si="213"/>
        <v/>
      </c>
      <c r="E649" s="186" t="str">
        <f>IF(OR(C649="",C649=Data!$B$3),"",IF(C649=Data!$B$4,"L","S"))</f>
        <v/>
      </c>
      <c r="F649" s="186" t="str">
        <f t="shared" si="214"/>
        <v/>
      </c>
      <c r="G649" s="187" t="str">
        <f t="shared" si="205"/>
        <v/>
      </c>
      <c r="H649" s="188"/>
      <c r="I649" s="189" t="str">
        <f t="shared" si="215"/>
        <v/>
      </c>
      <c r="J649" s="189" t="str">
        <f t="shared" si="216"/>
        <v/>
      </c>
      <c r="K649" s="190" t="str">
        <f t="shared" si="217"/>
        <v/>
      </c>
      <c r="L649" s="190" t="str">
        <f t="shared" si="218"/>
        <v/>
      </c>
      <c r="M649" s="214"/>
      <c r="N649" s="214"/>
      <c r="O649" s="189" t="str">
        <f t="shared" si="219"/>
        <v/>
      </c>
      <c r="P649" s="191" t="str">
        <f t="shared" si="206"/>
        <v/>
      </c>
      <c r="Q649" s="192" t="str">
        <f t="shared" si="220"/>
        <v/>
      </c>
      <c r="R649" s="191" t="str">
        <f t="shared" si="207"/>
        <v/>
      </c>
      <c r="S649" s="193" t="str">
        <f t="shared" si="221"/>
        <v/>
      </c>
      <c r="T649" s="194" t="str">
        <f t="shared" si="208"/>
        <v/>
      </c>
      <c r="U649" s="192" t="str">
        <f t="shared" si="222"/>
        <v/>
      </c>
      <c r="V649" s="195" t="str">
        <f t="shared" si="209"/>
        <v/>
      </c>
      <c r="W649" s="195" t="str">
        <f t="shared" si="210"/>
        <v/>
      </c>
      <c r="X649" s="196" t="str">
        <f t="shared" si="223"/>
        <v/>
      </c>
      <c r="Y649" s="191" t="str">
        <f t="shared" si="225"/>
        <v/>
      </c>
      <c r="Z649" s="197" t="str">
        <f t="shared" si="211"/>
        <v/>
      </c>
      <c r="AA649" s="197" t="str">
        <f t="shared" si="212"/>
        <v/>
      </c>
      <c r="AB649" s="213"/>
      <c r="AC649" s="204"/>
    </row>
    <row r="650" spans="1:29" ht="11.4">
      <c r="A650" s="211" t="str">
        <f t="shared" si="224"/>
        <v/>
      </c>
      <c r="B650" s="211"/>
      <c r="C650" s="185"/>
      <c r="D650" s="186" t="str">
        <f t="shared" si="213"/>
        <v/>
      </c>
      <c r="E650" s="186" t="str">
        <f>IF(OR(C650="",C650=Data!$B$3),"",IF(C650=Data!$B$4,"L","S"))</f>
        <v/>
      </c>
      <c r="F650" s="186" t="str">
        <f t="shared" si="214"/>
        <v/>
      </c>
      <c r="G650" s="187" t="str">
        <f t="shared" si="205"/>
        <v/>
      </c>
      <c r="H650" s="188"/>
      <c r="I650" s="189" t="str">
        <f t="shared" si="215"/>
        <v/>
      </c>
      <c r="J650" s="189" t="str">
        <f t="shared" si="216"/>
        <v/>
      </c>
      <c r="K650" s="190" t="str">
        <f t="shared" si="217"/>
        <v/>
      </c>
      <c r="L650" s="190" t="str">
        <f t="shared" si="218"/>
        <v/>
      </c>
      <c r="M650" s="214"/>
      <c r="N650" s="214"/>
      <c r="O650" s="189" t="str">
        <f t="shared" si="219"/>
        <v/>
      </c>
      <c r="P650" s="191" t="str">
        <f t="shared" si="206"/>
        <v/>
      </c>
      <c r="Q650" s="192" t="str">
        <f t="shared" si="220"/>
        <v/>
      </c>
      <c r="R650" s="191" t="str">
        <f t="shared" si="207"/>
        <v/>
      </c>
      <c r="S650" s="193" t="str">
        <f t="shared" si="221"/>
        <v/>
      </c>
      <c r="T650" s="194" t="str">
        <f t="shared" si="208"/>
        <v/>
      </c>
      <c r="U650" s="192" t="str">
        <f t="shared" si="222"/>
        <v/>
      </c>
      <c r="V650" s="195" t="str">
        <f t="shared" si="209"/>
        <v/>
      </c>
      <c r="W650" s="195" t="str">
        <f t="shared" si="210"/>
        <v/>
      </c>
      <c r="X650" s="196" t="str">
        <f t="shared" si="223"/>
        <v/>
      </c>
      <c r="Y650" s="191" t="str">
        <f t="shared" si="225"/>
        <v/>
      </c>
      <c r="Z650" s="197" t="str">
        <f t="shared" si="211"/>
        <v/>
      </c>
      <c r="AA650" s="197" t="str">
        <f t="shared" si="212"/>
        <v/>
      </c>
      <c r="AB650" s="213"/>
      <c r="AC650" s="204"/>
    </row>
    <row r="651" spans="1:29" ht="11.4">
      <c r="A651" s="211" t="str">
        <f t="shared" si="224"/>
        <v/>
      </c>
      <c r="B651" s="211"/>
      <c r="C651" s="185"/>
      <c r="D651" s="186" t="str">
        <f t="shared" si="213"/>
        <v/>
      </c>
      <c r="E651" s="186" t="str">
        <f>IF(OR(C651="",C651=Data!$B$3),"",IF(C651=Data!$B$4,"L","S"))</f>
        <v/>
      </c>
      <c r="F651" s="186" t="str">
        <f t="shared" si="214"/>
        <v/>
      </c>
      <c r="G651" s="187" t="str">
        <f t="shared" si="205"/>
        <v/>
      </c>
      <c r="H651" s="188"/>
      <c r="I651" s="189" t="str">
        <f t="shared" si="215"/>
        <v/>
      </c>
      <c r="J651" s="189" t="str">
        <f t="shared" si="216"/>
        <v/>
      </c>
      <c r="K651" s="190" t="str">
        <f t="shared" si="217"/>
        <v/>
      </c>
      <c r="L651" s="190" t="str">
        <f t="shared" si="218"/>
        <v/>
      </c>
      <c r="M651" s="214"/>
      <c r="N651" s="214"/>
      <c r="O651" s="189" t="str">
        <f t="shared" si="219"/>
        <v/>
      </c>
      <c r="P651" s="191" t="str">
        <f t="shared" si="206"/>
        <v/>
      </c>
      <c r="Q651" s="192" t="str">
        <f t="shared" si="220"/>
        <v/>
      </c>
      <c r="R651" s="191" t="str">
        <f t="shared" si="207"/>
        <v/>
      </c>
      <c r="S651" s="193" t="str">
        <f t="shared" si="221"/>
        <v/>
      </c>
      <c r="T651" s="194" t="str">
        <f t="shared" si="208"/>
        <v/>
      </c>
      <c r="U651" s="192" t="str">
        <f t="shared" si="222"/>
        <v/>
      </c>
      <c r="V651" s="195" t="str">
        <f t="shared" si="209"/>
        <v/>
      </c>
      <c r="W651" s="195" t="str">
        <f t="shared" si="210"/>
        <v/>
      </c>
      <c r="X651" s="196" t="str">
        <f t="shared" si="223"/>
        <v/>
      </c>
      <c r="Y651" s="191" t="str">
        <f t="shared" si="225"/>
        <v/>
      </c>
      <c r="Z651" s="197" t="str">
        <f t="shared" si="211"/>
        <v/>
      </c>
      <c r="AA651" s="197" t="str">
        <f t="shared" si="212"/>
        <v/>
      </c>
      <c r="AB651" s="213"/>
      <c r="AC651" s="204"/>
    </row>
    <row r="652" spans="1:29" ht="11.4">
      <c r="A652" s="211" t="str">
        <f t="shared" si="224"/>
        <v/>
      </c>
      <c r="B652" s="211"/>
      <c r="C652" s="185"/>
      <c r="D652" s="186" t="str">
        <f t="shared" si="213"/>
        <v/>
      </c>
      <c r="E652" s="186" t="str">
        <f>IF(OR(C652="",C652=Data!$B$3),"",IF(C652=Data!$B$4,"L","S"))</f>
        <v/>
      </c>
      <c r="F652" s="186" t="str">
        <f t="shared" si="214"/>
        <v/>
      </c>
      <c r="G652" s="187" t="str">
        <f t="shared" ref="G652:G715" si="226">IF(A652="","",$D$3)</f>
        <v/>
      </c>
      <c r="H652" s="188"/>
      <c r="I652" s="189" t="str">
        <f t="shared" si="215"/>
        <v/>
      </c>
      <c r="J652" s="189" t="str">
        <f t="shared" si="216"/>
        <v/>
      </c>
      <c r="K652" s="190" t="str">
        <f t="shared" si="217"/>
        <v/>
      </c>
      <c r="L652" s="190" t="str">
        <f t="shared" si="218"/>
        <v/>
      </c>
      <c r="M652" s="214"/>
      <c r="N652" s="214"/>
      <c r="O652" s="189" t="str">
        <f t="shared" si="219"/>
        <v/>
      </c>
      <c r="P652" s="191" t="str">
        <f t="shared" ref="P652:P715" si="227">IF(O652="","",IF(L652*F652*G652=0,0,L652*F652*G652))</f>
        <v/>
      </c>
      <c r="Q652" s="192" t="str">
        <f t="shared" si="220"/>
        <v/>
      </c>
      <c r="R652" s="191" t="str">
        <f t="shared" ref="R652:R715" si="228">IF(O652&lt;&gt;"",IF(K652*F652*G652=0,"",K652*F652*G652),"")</f>
        <v/>
      </c>
      <c r="S652" s="193" t="str">
        <f t="shared" si="221"/>
        <v/>
      </c>
      <c r="T652" s="194" t="str">
        <f t="shared" ref="T652:T715" si="229">IF(X652="","",X652*F652*G652)</f>
        <v/>
      </c>
      <c r="U652" s="192" t="str">
        <f t="shared" si="222"/>
        <v/>
      </c>
      <c r="V652" s="195" t="str">
        <f t="shared" ref="V652:V715" si="230">IF(O652="","",IF(AND(O652&gt;I652,E652="L"),1, IF(AND(I652&gt;O652,E652="S"),1,0)))</f>
        <v/>
      </c>
      <c r="W652" s="195" t="str">
        <f t="shared" ref="W652:W715" si="231">IF(O652="","",IF(AND(O652&lt;I652,E652="L"),1, IF(AND(I652&lt;O652,E652="S"),1,0)))</f>
        <v/>
      </c>
      <c r="X652" s="196" t="str">
        <f t="shared" si="223"/>
        <v/>
      </c>
      <c r="Y652" s="191" t="str">
        <f t="shared" si="225"/>
        <v/>
      </c>
      <c r="Z652" s="197" t="str">
        <f t="shared" ref="Z652:Z715" si="232">IF(M652="","",MONTH(M652))</f>
        <v/>
      </c>
      <c r="AA652" s="197" t="str">
        <f t="shared" ref="AA652:AA715" si="233">IF(M652="","",YEAR(M652))</f>
        <v/>
      </c>
      <c r="AB652" s="213"/>
      <c r="AC652" s="204"/>
    </row>
    <row r="653" spans="1:29" ht="11.4">
      <c r="A653" s="211" t="str">
        <f t="shared" si="224"/>
        <v/>
      </c>
      <c r="B653" s="211"/>
      <c r="C653" s="185"/>
      <c r="D653" s="186" t="str">
        <f t="shared" ref="D653:D716" si="234">IF(A653&lt;&gt;"","GBPUSD","")</f>
        <v/>
      </c>
      <c r="E653" s="186" t="str">
        <f>IF(OR(C653="",C653=Data!$B$3),"",IF(C653=Data!$B$4,"L","S"))</f>
        <v/>
      </c>
      <c r="F653" s="186" t="str">
        <f t="shared" ref="F653:F716" si="235">IF(A653&lt;&gt;"",$D$2,"")</f>
        <v/>
      </c>
      <c r="G653" s="187" t="str">
        <f t="shared" si="226"/>
        <v/>
      </c>
      <c r="H653" s="188"/>
      <c r="I653" s="189" t="str">
        <f t="shared" ref="I653:I716" si="236">IF(H653="","",IF(E653="L",H653+$D$4*0.0001,H653-$D$4*0.0001))</f>
        <v/>
      </c>
      <c r="J653" s="189" t="str">
        <f t="shared" ref="J653:J716" si="237">IF(AND(H653&lt;&gt;"",I653&lt;&gt;""),IF(E653="L",I653+(I653-H653)*3,I653-(H653-I653)*3),"")</f>
        <v/>
      </c>
      <c r="K653" s="190" t="str">
        <f t="shared" ref="K653:K716" si="238">IF(AND(E653&lt;&gt;"",AND(I653&lt;&gt;"",J653&lt;&gt;"")),IF(E653="L",(J653-I653)*IF(I653&gt;10,IF(SEARCH("JPY",D653),10,100),10000),(I653-J653)*IF(I653&gt;10,IF(SEARCH("JPY",D653),10,100),10000)),"")</f>
        <v/>
      </c>
      <c r="L653" s="190" t="str">
        <f t="shared" ref="L653:L716" si="239">IF(AND(E653&lt;&gt;"",AND(H653&lt;&gt;"",I653&lt;&gt;"")),IF(E653="L",(I653-H653)*IF(I653&gt;10,IF(SEARCH("JPY",D653),10,100),10000),(H653-I653)*IF(I653&gt;10,IF(SEARCH("JPY",D653),10,100),10000)),"")</f>
        <v/>
      </c>
      <c r="M653" s="214"/>
      <c r="N653" s="214"/>
      <c r="O653" s="189" t="str">
        <f t="shared" ref="O653:O716" si="240">IF(H653&lt;&gt;"",H653, "")</f>
        <v/>
      </c>
      <c r="P653" s="191" t="str">
        <f t="shared" si="227"/>
        <v/>
      </c>
      <c r="Q653" s="192" t="str">
        <f t="shared" ref="Q653:Q716" si="241">IF(P653="","",IF(P653=0,0,P653/$I$4))</f>
        <v/>
      </c>
      <c r="R653" s="191" t="str">
        <f t="shared" si="228"/>
        <v/>
      </c>
      <c r="S653" s="193" t="str">
        <f t="shared" ref="S653:S716" si="242">IF(P653="","",IF(P653=0,0,R653/P653))</f>
        <v/>
      </c>
      <c r="T653" s="194" t="str">
        <f t="shared" si="229"/>
        <v/>
      </c>
      <c r="U653" s="192" t="str">
        <f t="shared" ref="U653:U716" si="243">IF(T653="","",IF($I$4="","",T653/$I$4))</f>
        <v/>
      </c>
      <c r="V653" s="195" t="str">
        <f t="shared" si="230"/>
        <v/>
      </c>
      <c r="W653" s="195" t="str">
        <f t="shared" si="231"/>
        <v/>
      </c>
      <c r="X653" s="196" t="str">
        <f t="shared" ref="X653:X716" si="244">IF((O653=""),"",IF(E653="L",1,-1)*(O653-I653)*IF(O653&gt;10,IF(SEARCH("JPY",D653),10,100),10000))</f>
        <v/>
      </c>
      <c r="Y653" s="191" t="str">
        <f t="shared" si="225"/>
        <v/>
      </c>
      <c r="Z653" s="197" t="str">
        <f t="shared" si="232"/>
        <v/>
      </c>
      <c r="AA653" s="197" t="str">
        <f t="shared" si="233"/>
        <v/>
      </c>
      <c r="AB653" s="213"/>
      <c r="AC653" s="204"/>
    </row>
    <row r="654" spans="1:29" ht="11.4">
      <c r="A654" s="211" t="str">
        <f t="shared" ref="A654:A717" si="245">IF(C654="","",A653+1)</f>
        <v/>
      </c>
      <c r="B654" s="211"/>
      <c r="C654" s="185"/>
      <c r="D654" s="186" t="str">
        <f t="shared" si="234"/>
        <v/>
      </c>
      <c r="E654" s="186" t="str">
        <f>IF(OR(C654="",C654=Data!$B$3),"",IF(C654=Data!$B$4,"L","S"))</f>
        <v/>
      </c>
      <c r="F654" s="186" t="str">
        <f t="shared" si="235"/>
        <v/>
      </c>
      <c r="G654" s="187" t="str">
        <f t="shared" si="226"/>
        <v/>
      </c>
      <c r="H654" s="188"/>
      <c r="I654" s="189" t="str">
        <f t="shared" si="236"/>
        <v/>
      </c>
      <c r="J654" s="189" t="str">
        <f t="shared" si="237"/>
        <v/>
      </c>
      <c r="K654" s="190" t="str">
        <f t="shared" si="238"/>
        <v/>
      </c>
      <c r="L654" s="190" t="str">
        <f t="shared" si="239"/>
        <v/>
      </c>
      <c r="M654" s="214"/>
      <c r="N654" s="214"/>
      <c r="O654" s="189" t="str">
        <f t="shared" si="240"/>
        <v/>
      </c>
      <c r="P654" s="191" t="str">
        <f t="shared" si="227"/>
        <v/>
      </c>
      <c r="Q654" s="192" t="str">
        <f t="shared" si="241"/>
        <v/>
      </c>
      <c r="R654" s="191" t="str">
        <f t="shared" si="228"/>
        <v/>
      </c>
      <c r="S654" s="193" t="str">
        <f t="shared" si="242"/>
        <v/>
      </c>
      <c r="T654" s="194" t="str">
        <f t="shared" si="229"/>
        <v/>
      </c>
      <c r="U654" s="192" t="str">
        <f t="shared" si="243"/>
        <v/>
      </c>
      <c r="V654" s="195" t="str">
        <f t="shared" si="230"/>
        <v/>
      </c>
      <c r="W654" s="195" t="str">
        <f t="shared" si="231"/>
        <v/>
      </c>
      <c r="X654" s="196" t="str">
        <f t="shared" si="244"/>
        <v/>
      </c>
      <c r="Y654" s="191" t="str">
        <f t="shared" si="225"/>
        <v/>
      </c>
      <c r="Z654" s="197" t="str">
        <f t="shared" si="232"/>
        <v/>
      </c>
      <c r="AA654" s="197" t="str">
        <f t="shared" si="233"/>
        <v/>
      </c>
      <c r="AB654" s="213"/>
      <c r="AC654" s="204"/>
    </row>
    <row r="655" spans="1:29" ht="11.4">
      <c r="A655" s="211" t="str">
        <f t="shared" si="245"/>
        <v/>
      </c>
      <c r="B655" s="211"/>
      <c r="C655" s="185"/>
      <c r="D655" s="186" t="str">
        <f t="shared" si="234"/>
        <v/>
      </c>
      <c r="E655" s="186" t="str">
        <f>IF(OR(C655="",C655=Data!$B$3),"",IF(C655=Data!$B$4,"L","S"))</f>
        <v/>
      </c>
      <c r="F655" s="186" t="str">
        <f t="shared" si="235"/>
        <v/>
      </c>
      <c r="G655" s="187" t="str">
        <f t="shared" si="226"/>
        <v/>
      </c>
      <c r="H655" s="188"/>
      <c r="I655" s="189" t="str">
        <f t="shared" si="236"/>
        <v/>
      </c>
      <c r="J655" s="189" t="str">
        <f t="shared" si="237"/>
        <v/>
      </c>
      <c r="K655" s="190" t="str">
        <f t="shared" si="238"/>
        <v/>
      </c>
      <c r="L655" s="190" t="str">
        <f t="shared" si="239"/>
        <v/>
      </c>
      <c r="M655" s="214"/>
      <c r="N655" s="214"/>
      <c r="O655" s="189" t="str">
        <f t="shared" si="240"/>
        <v/>
      </c>
      <c r="P655" s="191" t="str">
        <f t="shared" si="227"/>
        <v/>
      </c>
      <c r="Q655" s="192" t="str">
        <f t="shared" si="241"/>
        <v/>
      </c>
      <c r="R655" s="191" t="str">
        <f t="shared" si="228"/>
        <v/>
      </c>
      <c r="S655" s="193" t="str">
        <f t="shared" si="242"/>
        <v/>
      </c>
      <c r="T655" s="194" t="str">
        <f t="shared" si="229"/>
        <v/>
      </c>
      <c r="U655" s="192" t="str">
        <f t="shared" si="243"/>
        <v/>
      </c>
      <c r="V655" s="195" t="str">
        <f t="shared" si="230"/>
        <v/>
      </c>
      <c r="W655" s="195" t="str">
        <f t="shared" si="231"/>
        <v/>
      </c>
      <c r="X655" s="196" t="str">
        <f t="shared" si="244"/>
        <v/>
      </c>
      <c r="Y655" s="191" t="str">
        <f t="shared" si="225"/>
        <v/>
      </c>
      <c r="Z655" s="197" t="str">
        <f t="shared" si="232"/>
        <v/>
      </c>
      <c r="AA655" s="197" t="str">
        <f t="shared" si="233"/>
        <v/>
      </c>
      <c r="AB655" s="213"/>
      <c r="AC655" s="204"/>
    </row>
    <row r="656" spans="1:29" ht="11.4">
      <c r="A656" s="211" t="str">
        <f t="shared" si="245"/>
        <v/>
      </c>
      <c r="B656" s="211"/>
      <c r="C656" s="185"/>
      <c r="D656" s="186" t="str">
        <f t="shared" si="234"/>
        <v/>
      </c>
      <c r="E656" s="186" t="str">
        <f>IF(OR(C656="",C656=Data!$B$3),"",IF(C656=Data!$B$4,"L","S"))</f>
        <v/>
      </c>
      <c r="F656" s="186" t="str">
        <f t="shared" si="235"/>
        <v/>
      </c>
      <c r="G656" s="187" t="str">
        <f t="shared" si="226"/>
        <v/>
      </c>
      <c r="H656" s="188"/>
      <c r="I656" s="189" t="str">
        <f t="shared" si="236"/>
        <v/>
      </c>
      <c r="J656" s="189" t="str">
        <f t="shared" si="237"/>
        <v/>
      </c>
      <c r="K656" s="190" t="str">
        <f t="shared" si="238"/>
        <v/>
      </c>
      <c r="L656" s="190" t="str">
        <f t="shared" si="239"/>
        <v/>
      </c>
      <c r="M656" s="214"/>
      <c r="N656" s="214"/>
      <c r="O656" s="189" t="str">
        <f t="shared" si="240"/>
        <v/>
      </c>
      <c r="P656" s="191" t="str">
        <f t="shared" si="227"/>
        <v/>
      </c>
      <c r="Q656" s="192" t="str">
        <f t="shared" si="241"/>
        <v/>
      </c>
      <c r="R656" s="191" t="str">
        <f t="shared" si="228"/>
        <v/>
      </c>
      <c r="S656" s="193" t="str">
        <f t="shared" si="242"/>
        <v/>
      </c>
      <c r="T656" s="194" t="str">
        <f t="shared" si="229"/>
        <v/>
      </c>
      <c r="U656" s="192" t="str">
        <f t="shared" si="243"/>
        <v/>
      </c>
      <c r="V656" s="195" t="str">
        <f t="shared" si="230"/>
        <v/>
      </c>
      <c r="W656" s="195" t="str">
        <f t="shared" si="231"/>
        <v/>
      </c>
      <c r="X656" s="196" t="str">
        <f t="shared" si="244"/>
        <v/>
      </c>
      <c r="Y656" s="191" t="str">
        <f t="shared" si="225"/>
        <v/>
      </c>
      <c r="Z656" s="197" t="str">
        <f t="shared" si="232"/>
        <v/>
      </c>
      <c r="AA656" s="197" t="str">
        <f t="shared" si="233"/>
        <v/>
      </c>
      <c r="AB656" s="213"/>
      <c r="AC656" s="204"/>
    </row>
    <row r="657" spans="1:29" ht="11.4">
      <c r="A657" s="211" t="str">
        <f t="shared" si="245"/>
        <v/>
      </c>
      <c r="B657" s="211"/>
      <c r="C657" s="185"/>
      <c r="D657" s="186" t="str">
        <f t="shared" si="234"/>
        <v/>
      </c>
      <c r="E657" s="186" t="str">
        <f>IF(OR(C657="",C657=Data!$B$3),"",IF(C657=Data!$B$4,"L","S"))</f>
        <v/>
      </c>
      <c r="F657" s="186" t="str">
        <f t="shared" si="235"/>
        <v/>
      </c>
      <c r="G657" s="187" t="str">
        <f t="shared" si="226"/>
        <v/>
      </c>
      <c r="H657" s="188"/>
      <c r="I657" s="189" t="str">
        <f t="shared" si="236"/>
        <v/>
      </c>
      <c r="J657" s="189" t="str">
        <f t="shared" si="237"/>
        <v/>
      </c>
      <c r="K657" s="190" t="str">
        <f t="shared" si="238"/>
        <v/>
      </c>
      <c r="L657" s="190" t="str">
        <f t="shared" si="239"/>
        <v/>
      </c>
      <c r="M657" s="214"/>
      <c r="N657" s="214"/>
      <c r="O657" s="189" t="str">
        <f t="shared" si="240"/>
        <v/>
      </c>
      <c r="P657" s="191" t="str">
        <f t="shared" si="227"/>
        <v/>
      </c>
      <c r="Q657" s="192" t="str">
        <f t="shared" si="241"/>
        <v/>
      </c>
      <c r="R657" s="191" t="str">
        <f t="shared" si="228"/>
        <v/>
      </c>
      <c r="S657" s="193" t="str">
        <f t="shared" si="242"/>
        <v/>
      </c>
      <c r="T657" s="194" t="str">
        <f t="shared" si="229"/>
        <v/>
      </c>
      <c r="U657" s="192" t="str">
        <f t="shared" si="243"/>
        <v/>
      </c>
      <c r="V657" s="195" t="str">
        <f t="shared" si="230"/>
        <v/>
      </c>
      <c r="W657" s="195" t="str">
        <f t="shared" si="231"/>
        <v/>
      </c>
      <c r="X657" s="196" t="str">
        <f t="shared" si="244"/>
        <v/>
      </c>
      <c r="Y657" s="191" t="str">
        <f t="shared" si="225"/>
        <v/>
      </c>
      <c r="Z657" s="197" t="str">
        <f t="shared" si="232"/>
        <v/>
      </c>
      <c r="AA657" s="197" t="str">
        <f t="shared" si="233"/>
        <v/>
      </c>
      <c r="AB657" s="213"/>
      <c r="AC657" s="204"/>
    </row>
    <row r="658" spans="1:29" ht="11.4">
      <c r="A658" s="211" t="str">
        <f t="shared" si="245"/>
        <v/>
      </c>
      <c r="B658" s="211"/>
      <c r="C658" s="185"/>
      <c r="D658" s="186" t="str">
        <f t="shared" si="234"/>
        <v/>
      </c>
      <c r="E658" s="186" t="str">
        <f>IF(OR(C658="",C658=Data!$B$3),"",IF(C658=Data!$B$4,"L","S"))</f>
        <v/>
      </c>
      <c r="F658" s="186" t="str">
        <f t="shared" si="235"/>
        <v/>
      </c>
      <c r="G658" s="187" t="str">
        <f t="shared" si="226"/>
        <v/>
      </c>
      <c r="H658" s="188"/>
      <c r="I658" s="189" t="str">
        <f t="shared" si="236"/>
        <v/>
      </c>
      <c r="J658" s="189" t="str">
        <f t="shared" si="237"/>
        <v/>
      </c>
      <c r="K658" s="190" t="str">
        <f t="shared" si="238"/>
        <v/>
      </c>
      <c r="L658" s="190" t="str">
        <f t="shared" si="239"/>
        <v/>
      </c>
      <c r="M658" s="214"/>
      <c r="N658" s="214"/>
      <c r="O658" s="189" t="str">
        <f t="shared" si="240"/>
        <v/>
      </c>
      <c r="P658" s="191" t="str">
        <f t="shared" si="227"/>
        <v/>
      </c>
      <c r="Q658" s="192" t="str">
        <f t="shared" si="241"/>
        <v/>
      </c>
      <c r="R658" s="191" t="str">
        <f t="shared" si="228"/>
        <v/>
      </c>
      <c r="S658" s="193" t="str">
        <f t="shared" si="242"/>
        <v/>
      </c>
      <c r="T658" s="194" t="str">
        <f t="shared" si="229"/>
        <v/>
      </c>
      <c r="U658" s="192" t="str">
        <f t="shared" si="243"/>
        <v/>
      </c>
      <c r="V658" s="195" t="str">
        <f t="shared" si="230"/>
        <v/>
      </c>
      <c r="W658" s="195" t="str">
        <f t="shared" si="231"/>
        <v/>
      </c>
      <c r="X658" s="196" t="str">
        <f t="shared" si="244"/>
        <v/>
      </c>
      <c r="Y658" s="191" t="str">
        <f t="shared" si="225"/>
        <v/>
      </c>
      <c r="Z658" s="197" t="str">
        <f t="shared" si="232"/>
        <v/>
      </c>
      <c r="AA658" s="197" t="str">
        <f t="shared" si="233"/>
        <v/>
      </c>
      <c r="AB658" s="213"/>
      <c r="AC658" s="204"/>
    </row>
    <row r="659" spans="1:29" ht="11.4">
      <c r="A659" s="211" t="str">
        <f t="shared" si="245"/>
        <v/>
      </c>
      <c r="B659" s="211"/>
      <c r="C659" s="185"/>
      <c r="D659" s="186" t="str">
        <f t="shared" si="234"/>
        <v/>
      </c>
      <c r="E659" s="186" t="str">
        <f>IF(OR(C659="",C659=Data!$B$3),"",IF(C659=Data!$B$4,"L","S"))</f>
        <v/>
      </c>
      <c r="F659" s="186" t="str">
        <f t="shared" si="235"/>
        <v/>
      </c>
      <c r="G659" s="187" t="str">
        <f t="shared" si="226"/>
        <v/>
      </c>
      <c r="H659" s="188"/>
      <c r="I659" s="189" t="str">
        <f t="shared" si="236"/>
        <v/>
      </c>
      <c r="J659" s="189" t="str">
        <f t="shared" si="237"/>
        <v/>
      </c>
      <c r="K659" s="190" t="str">
        <f t="shared" si="238"/>
        <v/>
      </c>
      <c r="L659" s="190" t="str">
        <f t="shared" si="239"/>
        <v/>
      </c>
      <c r="M659" s="214"/>
      <c r="N659" s="214"/>
      <c r="O659" s="189" t="str">
        <f t="shared" si="240"/>
        <v/>
      </c>
      <c r="P659" s="191" t="str">
        <f t="shared" si="227"/>
        <v/>
      </c>
      <c r="Q659" s="192" t="str">
        <f t="shared" si="241"/>
        <v/>
      </c>
      <c r="R659" s="191" t="str">
        <f t="shared" si="228"/>
        <v/>
      </c>
      <c r="S659" s="193" t="str">
        <f t="shared" si="242"/>
        <v/>
      </c>
      <c r="T659" s="194" t="str">
        <f t="shared" si="229"/>
        <v/>
      </c>
      <c r="U659" s="192" t="str">
        <f t="shared" si="243"/>
        <v/>
      </c>
      <c r="V659" s="195" t="str">
        <f t="shared" si="230"/>
        <v/>
      </c>
      <c r="W659" s="195" t="str">
        <f t="shared" si="231"/>
        <v/>
      </c>
      <c r="X659" s="196" t="str">
        <f t="shared" si="244"/>
        <v/>
      </c>
      <c r="Y659" s="191" t="str">
        <f t="shared" si="225"/>
        <v/>
      </c>
      <c r="Z659" s="197" t="str">
        <f t="shared" si="232"/>
        <v/>
      </c>
      <c r="AA659" s="197" t="str">
        <f t="shared" si="233"/>
        <v/>
      </c>
      <c r="AB659" s="213"/>
      <c r="AC659" s="204"/>
    </row>
    <row r="660" spans="1:29" ht="11.4">
      <c r="A660" s="211" t="str">
        <f t="shared" si="245"/>
        <v/>
      </c>
      <c r="B660" s="211"/>
      <c r="C660" s="185"/>
      <c r="D660" s="186" t="str">
        <f t="shared" si="234"/>
        <v/>
      </c>
      <c r="E660" s="186" t="str">
        <f>IF(OR(C660="",C660=Data!$B$3),"",IF(C660=Data!$B$4,"L","S"))</f>
        <v/>
      </c>
      <c r="F660" s="186" t="str">
        <f t="shared" si="235"/>
        <v/>
      </c>
      <c r="G660" s="187" t="str">
        <f t="shared" si="226"/>
        <v/>
      </c>
      <c r="H660" s="188"/>
      <c r="I660" s="189" t="str">
        <f t="shared" si="236"/>
        <v/>
      </c>
      <c r="J660" s="189" t="str">
        <f t="shared" si="237"/>
        <v/>
      </c>
      <c r="K660" s="190" t="str">
        <f t="shared" si="238"/>
        <v/>
      </c>
      <c r="L660" s="190" t="str">
        <f t="shared" si="239"/>
        <v/>
      </c>
      <c r="M660" s="214"/>
      <c r="N660" s="214"/>
      <c r="O660" s="189" t="str">
        <f t="shared" si="240"/>
        <v/>
      </c>
      <c r="P660" s="191" t="str">
        <f t="shared" si="227"/>
        <v/>
      </c>
      <c r="Q660" s="192" t="str">
        <f t="shared" si="241"/>
        <v/>
      </c>
      <c r="R660" s="191" t="str">
        <f t="shared" si="228"/>
        <v/>
      </c>
      <c r="S660" s="193" t="str">
        <f t="shared" si="242"/>
        <v/>
      </c>
      <c r="T660" s="194" t="str">
        <f t="shared" si="229"/>
        <v/>
      </c>
      <c r="U660" s="192" t="str">
        <f t="shared" si="243"/>
        <v/>
      </c>
      <c r="V660" s="195" t="str">
        <f t="shared" si="230"/>
        <v/>
      </c>
      <c r="W660" s="195" t="str">
        <f t="shared" si="231"/>
        <v/>
      </c>
      <c r="X660" s="196" t="str">
        <f t="shared" si="244"/>
        <v/>
      </c>
      <c r="Y660" s="191" t="str">
        <f t="shared" ref="Y660:Y723" si="246">IF(Y659="","",IF(T660="","",Y659+T660))</f>
        <v/>
      </c>
      <c r="Z660" s="197" t="str">
        <f t="shared" si="232"/>
        <v/>
      </c>
      <c r="AA660" s="197" t="str">
        <f t="shared" si="233"/>
        <v/>
      </c>
      <c r="AB660" s="213"/>
      <c r="AC660" s="204"/>
    </row>
    <row r="661" spans="1:29" ht="11.4">
      <c r="A661" s="211" t="str">
        <f t="shared" si="245"/>
        <v/>
      </c>
      <c r="B661" s="211"/>
      <c r="C661" s="185"/>
      <c r="D661" s="186" t="str">
        <f t="shared" si="234"/>
        <v/>
      </c>
      <c r="E661" s="186" t="str">
        <f>IF(OR(C661="",C661=Data!$B$3),"",IF(C661=Data!$B$4,"L","S"))</f>
        <v/>
      </c>
      <c r="F661" s="186" t="str">
        <f t="shared" si="235"/>
        <v/>
      </c>
      <c r="G661" s="187" t="str">
        <f t="shared" si="226"/>
        <v/>
      </c>
      <c r="H661" s="188"/>
      <c r="I661" s="189" t="str">
        <f t="shared" si="236"/>
        <v/>
      </c>
      <c r="J661" s="189" t="str">
        <f t="shared" si="237"/>
        <v/>
      </c>
      <c r="K661" s="190" t="str">
        <f t="shared" si="238"/>
        <v/>
      </c>
      <c r="L661" s="190" t="str">
        <f t="shared" si="239"/>
        <v/>
      </c>
      <c r="M661" s="214"/>
      <c r="N661" s="214"/>
      <c r="O661" s="189" t="str">
        <f t="shared" si="240"/>
        <v/>
      </c>
      <c r="P661" s="191" t="str">
        <f t="shared" si="227"/>
        <v/>
      </c>
      <c r="Q661" s="192" t="str">
        <f t="shared" si="241"/>
        <v/>
      </c>
      <c r="R661" s="191" t="str">
        <f t="shared" si="228"/>
        <v/>
      </c>
      <c r="S661" s="193" t="str">
        <f t="shared" si="242"/>
        <v/>
      </c>
      <c r="T661" s="194" t="str">
        <f t="shared" si="229"/>
        <v/>
      </c>
      <c r="U661" s="192" t="str">
        <f t="shared" si="243"/>
        <v/>
      </c>
      <c r="V661" s="195" t="str">
        <f t="shared" si="230"/>
        <v/>
      </c>
      <c r="W661" s="195" t="str">
        <f t="shared" si="231"/>
        <v/>
      </c>
      <c r="X661" s="196" t="str">
        <f t="shared" si="244"/>
        <v/>
      </c>
      <c r="Y661" s="191" t="str">
        <f t="shared" si="246"/>
        <v/>
      </c>
      <c r="Z661" s="197" t="str">
        <f t="shared" si="232"/>
        <v/>
      </c>
      <c r="AA661" s="197" t="str">
        <f t="shared" si="233"/>
        <v/>
      </c>
      <c r="AB661" s="213"/>
      <c r="AC661" s="204"/>
    </row>
    <row r="662" spans="1:29" ht="11.4">
      <c r="A662" s="211" t="str">
        <f t="shared" si="245"/>
        <v/>
      </c>
      <c r="B662" s="211"/>
      <c r="C662" s="185"/>
      <c r="D662" s="186" t="str">
        <f t="shared" si="234"/>
        <v/>
      </c>
      <c r="E662" s="186" t="str">
        <f>IF(OR(C662="",C662=Data!$B$3),"",IF(C662=Data!$B$4,"L","S"))</f>
        <v/>
      </c>
      <c r="F662" s="186" t="str">
        <f t="shared" si="235"/>
        <v/>
      </c>
      <c r="G662" s="187" t="str">
        <f t="shared" si="226"/>
        <v/>
      </c>
      <c r="H662" s="188"/>
      <c r="I662" s="189" t="str">
        <f t="shared" si="236"/>
        <v/>
      </c>
      <c r="J662" s="189" t="str">
        <f t="shared" si="237"/>
        <v/>
      </c>
      <c r="K662" s="190" t="str">
        <f t="shared" si="238"/>
        <v/>
      </c>
      <c r="L662" s="190" t="str">
        <f t="shared" si="239"/>
        <v/>
      </c>
      <c r="M662" s="214"/>
      <c r="N662" s="214"/>
      <c r="O662" s="189" t="str">
        <f t="shared" si="240"/>
        <v/>
      </c>
      <c r="P662" s="191" t="str">
        <f t="shared" si="227"/>
        <v/>
      </c>
      <c r="Q662" s="192" t="str">
        <f t="shared" si="241"/>
        <v/>
      </c>
      <c r="R662" s="191" t="str">
        <f t="shared" si="228"/>
        <v/>
      </c>
      <c r="S662" s="193" t="str">
        <f t="shared" si="242"/>
        <v/>
      </c>
      <c r="T662" s="194" t="str">
        <f t="shared" si="229"/>
        <v/>
      </c>
      <c r="U662" s="192" t="str">
        <f t="shared" si="243"/>
        <v/>
      </c>
      <c r="V662" s="195" t="str">
        <f t="shared" si="230"/>
        <v/>
      </c>
      <c r="W662" s="195" t="str">
        <f t="shared" si="231"/>
        <v/>
      </c>
      <c r="X662" s="196" t="str">
        <f t="shared" si="244"/>
        <v/>
      </c>
      <c r="Y662" s="191" t="str">
        <f t="shared" si="246"/>
        <v/>
      </c>
      <c r="Z662" s="197" t="str">
        <f t="shared" si="232"/>
        <v/>
      </c>
      <c r="AA662" s="197" t="str">
        <f t="shared" si="233"/>
        <v/>
      </c>
      <c r="AB662" s="213"/>
      <c r="AC662" s="204"/>
    </row>
    <row r="663" spans="1:29" ht="11.4">
      <c r="A663" s="211" t="str">
        <f t="shared" si="245"/>
        <v/>
      </c>
      <c r="B663" s="211"/>
      <c r="C663" s="185"/>
      <c r="D663" s="186" t="str">
        <f t="shared" si="234"/>
        <v/>
      </c>
      <c r="E663" s="186" t="str">
        <f>IF(OR(C663="",C663=Data!$B$3),"",IF(C663=Data!$B$4,"L","S"))</f>
        <v/>
      </c>
      <c r="F663" s="186" t="str">
        <f t="shared" si="235"/>
        <v/>
      </c>
      <c r="G663" s="187" t="str">
        <f t="shared" si="226"/>
        <v/>
      </c>
      <c r="H663" s="188"/>
      <c r="I663" s="189" t="str">
        <f t="shared" si="236"/>
        <v/>
      </c>
      <c r="J663" s="189" t="str">
        <f t="shared" si="237"/>
        <v/>
      </c>
      <c r="K663" s="190" t="str">
        <f t="shared" si="238"/>
        <v/>
      </c>
      <c r="L663" s="190" t="str">
        <f t="shared" si="239"/>
        <v/>
      </c>
      <c r="M663" s="214"/>
      <c r="N663" s="214"/>
      <c r="O663" s="189" t="str">
        <f t="shared" si="240"/>
        <v/>
      </c>
      <c r="P663" s="191" t="str">
        <f t="shared" si="227"/>
        <v/>
      </c>
      <c r="Q663" s="192" t="str">
        <f t="shared" si="241"/>
        <v/>
      </c>
      <c r="R663" s="191" t="str">
        <f t="shared" si="228"/>
        <v/>
      </c>
      <c r="S663" s="193" t="str">
        <f t="shared" si="242"/>
        <v/>
      </c>
      <c r="T663" s="194" t="str">
        <f t="shared" si="229"/>
        <v/>
      </c>
      <c r="U663" s="192" t="str">
        <f t="shared" si="243"/>
        <v/>
      </c>
      <c r="V663" s="195" t="str">
        <f t="shared" si="230"/>
        <v/>
      </c>
      <c r="W663" s="195" t="str">
        <f t="shared" si="231"/>
        <v/>
      </c>
      <c r="X663" s="196" t="str">
        <f t="shared" si="244"/>
        <v/>
      </c>
      <c r="Y663" s="191" t="str">
        <f t="shared" si="246"/>
        <v/>
      </c>
      <c r="Z663" s="197" t="str">
        <f t="shared" si="232"/>
        <v/>
      </c>
      <c r="AA663" s="197" t="str">
        <f t="shared" si="233"/>
        <v/>
      </c>
      <c r="AB663" s="213"/>
      <c r="AC663" s="204"/>
    </row>
    <row r="664" spans="1:29" ht="11.4">
      <c r="A664" s="211" t="str">
        <f t="shared" si="245"/>
        <v/>
      </c>
      <c r="B664" s="211"/>
      <c r="C664" s="185"/>
      <c r="D664" s="186" t="str">
        <f t="shared" si="234"/>
        <v/>
      </c>
      <c r="E664" s="186" t="str">
        <f>IF(OR(C664="",C664=Data!$B$3),"",IF(C664=Data!$B$4,"L","S"))</f>
        <v/>
      </c>
      <c r="F664" s="186" t="str">
        <f t="shared" si="235"/>
        <v/>
      </c>
      <c r="G664" s="187" t="str">
        <f t="shared" si="226"/>
        <v/>
      </c>
      <c r="H664" s="188"/>
      <c r="I664" s="189" t="str">
        <f t="shared" si="236"/>
        <v/>
      </c>
      <c r="J664" s="189" t="str">
        <f t="shared" si="237"/>
        <v/>
      </c>
      <c r="K664" s="190" t="str">
        <f t="shared" si="238"/>
        <v/>
      </c>
      <c r="L664" s="190" t="str">
        <f t="shared" si="239"/>
        <v/>
      </c>
      <c r="M664" s="214"/>
      <c r="N664" s="214"/>
      <c r="O664" s="189" t="str">
        <f t="shared" si="240"/>
        <v/>
      </c>
      <c r="P664" s="191" t="str">
        <f t="shared" si="227"/>
        <v/>
      </c>
      <c r="Q664" s="192" t="str">
        <f t="shared" si="241"/>
        <v/>
      </c>
      <c r="R664" s="191" t="str">
        <f t="shared" si="228"/>
        <v/>
      </c>
      <c r="S664" s="193" t="str">
        <f t="shared" si="242"/>
        <v/>
      </c>
      <c r="T664" s="194" t="str">
        <f t="shared" si="229"/>
        <v/>
      </c>
      <c r="U664" s="192" t="str">
        <f t="shared" si="243"/>
        <v/>
      </c>
      <c r="V664" s="195" t="str">
        <f t="shared" si="230"/>
        <v/>
      </c>
      <c r="W664" s="195" t="str">
        <f t="shared" si="231"/>
        <v/>
      </c>
      <c r="X664" s="196" t="str">
        <f t="shared" si="244"/>
        <v/>
      </c>
      <c r="Y664" s="191" t="str">
        <f t="shared" si="246"/>
        <v/>
      </c>
      <c r="Z664" s="197" t="str">
        <f t="shared" si="232"/>
        <v/>
      </c>
      <c r="AA664" s="197" t="str">
        <f t="shared" si="233"/>
        <v/>
      </c>
      <c r="AB664" s="213"/>
      <c r="AC664" s="204"/>
    </row>
    <row r="665" spans="1:29" ht="11.4">
      <c r="A665" s="211" t="str">
        <f t="shared" si="245"/>
        <v/>
      </c>
      <c r="B665" s="211"/>
      <c r="C665" s="185"/>
      <c r="D665" s="186" t="str">
        <f t="shared" si="234"/>
        <v/>
      </c>
      <c r="E665" s="186" t="str">
        <f>IF(OR(C665="",C665=Data!$B$3),"",IF(C665=Data!$B$4,"L","S"))</f>
        <v/>
      </c>
      <c r="F665" s="186" t="str">
        <f t="shared" si="235"/>
        <v/>
      </c>
      <c r="G665" s="187" t="str">
        <f t="shared" si="226"/>
        <v/>
      </c>
      <c r="H665" s="188"/>
      <c r="I665" s="189" t="str">
        <f t="shared" si="236"/>
        <v/>
      </c>
      <c r="J665" s="189" t="str">
        <f t="shared" si="237"/>
        <v/>
      </c>
      <c r="K665" s="190" t="str">
        <f t="shared" si="238"/>
        <v/>
      </c>
      <c r="L665" s="190" t="str">
        <f t="shared" si="239"/>
        <v/>
      </c>
      <c r="M665" s="214"/>
      <c r="N665" s="214"/>
      <c r="O665" s="189" t="str">
        <f t="shared" si="240"/>
        <v/>
      </c>
      <c r="P665" s="191" t="str">
        <f t="shared" si="227"/>
        <v/>
      </c>
      <c r="Q665" s="192" t="str">
        <f t="shared" si="241"/>
        <v/>
      </c>
      <c r="R665" s="191" t="str">
        <f t="shared" si="228"/>
        <v/>
      </c>
      <c r="S665" s="193" t="str">
        <f t="shared" si="242"/>
        <v/>
      </c>
      <c r="T665" s="194" t="str">
        <f t="shared" si="229"/>
        <v/>
      </c>
      <c r="U665" s="192" t="str">
        <f t="shared" si="243"/>
        <v/>
      </c>
      <c r="V665" s="195" t="str">
        <f t="shared" si="230"/>
        <v/>
      </c>
      <c r="W665" s="195" t="str">
        <f t="shared" si="231"/>
        <v/>
      </c>
      <c r="X665" s="196" t="str">
        <f t="shared" si="244"/>
        <v/>
      </c>
      <c r="Y665" s="191" t="str">
        <f t="shared" si="246"/>
        <v/>
      </c>
      <c r="Z665" s="197" t="str">
        <f t="shared" si="232"/>
        <v/>
      </c>
      <c r="AA665" s="197" t="str">
        <f t="shared" si="233"/>
        <v/>
      </c>
      <c r="AB665" s="213"/>
      <c r="AC665" s="204"/>
    </row>
    <row r="666" spans="1:29" ht="11.4">
      <c r="A666" s="211" t="str">
        <f t="shared" si="245"/>
        <v/>
      </c>
      <c r="B666" s="211"/>
      <c r="C666" s="185"/>
      <c r="D666" s="186" t="str">
        <f t="shared" si="234"/>
        <v/>
      </c>
      <c r="E666" s="186" t="str">
        <f>IF(OR(C666="",C666=Data!$B$3),"",IF(C666=Data!$B$4,"L","S"))</f>
        <v/>
      </c>
      <c r="F666" s="186" t="str">
        <f t="shared" si="235"/>
        <v/>
      </c>
      <c r="G666" s="187" t="str">
        <f t="shared" si="226"/>
        <v/>
      </c>
      <c r="H666" s="188"/>
      <c r="I666" s="189" t="str">
        <f t="shared" si="236"/>
        <v/>
      </c>
      <c r="J666" s="189" t="str">
        <f t="shared" si="237"/>
        <v/>
      </c>
      <c r="K666" s="190" t="str">
        <f t="shared" si="238"/>
        <v/>
      </c>
      <c r="L666" s="190" t="str">
        <f t="shared" si="239"/>
        <v/>
      </c>
      <c r="M666" s="214"/>
      <c r="N666" s="214"/>
      <c r="O666" s="189" t="str">
        <f t="shared" si="240"/>
        <v/>
      </c>
      <c r="P666" s="191" t="str">
        <f t="shared" si="227"/>
        <v/>
      </c>
      <c r="Q666" s="192" t="str">
        <f t="shared" si="241"/>
        <v/>
      </c>
      <c r="R666" s="191" t="str">
        <f t="shared" si="228"/>
        <v/>
      </c>
      <c r="S666" s="193" t="str">
        <f t="shared" si="242"/>
        <v/>
      </c>
      <c r="T666" s="194" t="str">
        <f t="shared" si="229"/>
        <v/>
      </c>
      <c r="U666" s="192" t="str">
        <f t="shared" si="243"/>
        <v/>
      </c>
      <c r="V666" s="195" t="str">
        <f t="shared" si="230"/>
        <v/>
      </c>
      <c r="W666" s="195" t="str">
        <f t="shared" si="231"/>
        <v/>
      </c>
      <c r="X666" s="196" t="str">
        <f t="shared" si="244"/>
        <v/>
      </c>
      <c r="Y666" s="191" t="str">
        <f t="shared" si="246"/>
        <v/>
      </c>
      <c r="Z666" s="197" t="str">
        <f t="shared" si="232"/>
        <v/>
      </c>
      <c r="AA666" s="197" t="str">
        <f t="shared" si="233"/>
        <v/>
      </c>
      <c r="AB666" s="213"/>
      <c r="AC666" s="204"/>
    </row>
    <row r="667" spans="1:29" ht="11.4">
      <c r="A667" s="211" t="str">
        <f t="shared" si="245"/>
        <v/>
      </c>
      <c r="B667" s="211"/>
      <c r="C667" s="185"/>
      <c r="D667" s="186" t="str">
        <f t="shared" si="234"/>
        <v/>
      </c>
      <c r="E667" s="186" t="str">
        <f>IF(OR(C667="",C667=Data!$B$3),"",IF(C667=Data!$B$4,"L","S"))</f>
        <v/>
      </c>
      <c r="F667" s="186" t="str">
        <f t="shared" si="235"/>
        <v/>
      </c>
      <c r="G667" s="187" t="str">
        <f t="shared" si="226"/>
        <v/>
      </c>
      <c r="H667" s="188"/>
      <c r="I667" s="189" t="str">
        <f t="shared" si="236"/>
        <v/>
      </c>
      <c r="J667" s="189" t="str">
        <f t="shared" si="237"/>
        <v/>
      </c>
      <c r="K667" s="190" t="str">
        <f t="shared" si="238"/>
        <v/>
      </c>
      <c r="L667" s="190" t="str">
        <f t="shared" si="239"/>
        <v/>
      </c>
      <c r="M667" s="214"/>
      <c r="N667" s="214"/>
      <c r="O667" s="189" t="str">
        <f t="shared" si="240"/>
        <v/>
      </c>
      <c r="P667" s="191" t="str">
        <f t="shared" si="227"/>
        <v/>
      </c>
      <c r="Q667" s="192" t="str">
        <f t="shared" si="241"/>
        <v/>
      </c>
      <c r="R667" s="191" t="str">
        <f t="shared" si="228"/>
        <v/>
      </c>
      <c r="S667" s="193" t="str">
        <f t="shared" si="242"/>
        <v/>
      </c>
      <c r="T667" s="194" t="str">
        <f t="shared" si="229"/>
        <v/>
      </c>
      <c r="U667" s="192" t="str">
        <f t="shared" si="243"/>
        <v/>
      </c>
      <c r="V667" s="195" t="str">
        <f t="shared" si="230"/>
        <v/>
      </c>
      <c r="W667" s="195" t="str">
        <f t="shared" si="231"/>
        <v/>
      </c>
      <c r="X667" s="196" t="str">
        <f t="shared" si="244"/>
        <v/>
      </c>
      <c r="Y667" s="191" t="str">
        <f t="shared" si="246"/>
        <v/>
      </c>
      <c r="Z667" s="197" t="str">
        <f t="shared" si="232"/>
        <v/>
      </c>
      <c r="AA667" s="197" t="str">
        <f t="shared" si="233"/>
        <v/>
      </c>
      <c r="AB667" s="213"/>
      <c r="AC667" s="204"/>
    </row>
    <row r="668" spans="1:29" ht="11.4">
      <c r="A668" s="211" t="str">
        <f t="shared" si="245"/>
        <v/>
      </c>
      <c r="B668" s="211"/>
      <c r="C668" s="185"/>
      <c r="D668" s="186" t="str">
        <f t="shared" si="234"/>
        <v/>
      </c>
      <c r="E668" s="186" t="str">
        <f>IF(OR(C668="",C668=Data!$B$3),"",IF(C668=Data!$B$4,"L","S"))</f>
        <v/>
      </c>
      <c r="F668" s="186" t="str">
        <f t="shared" si="235"/>
        <v/>
      </c>
      <c r="G668" s="187" t="str">
        <f t="shared" si="226"/>
        <v/>
      </c>
      <c r="H668" s="188"/>
      <c r="I668" s="189" t="str">
        <f t="shared" si="236"/>
        <v/>
      </c>
      <c r="J668" s="189" t="str">
        <f t="shared" si="237"/>
        <v/>
      </c>
      <c r="K668" s="190" t="str">
        <f t="shared" si="238"/>
        <v/>
      </c>
      <c r="L668" s="190" t="str">
        <f t="shared" si="239"/>
        <v/>
      </c>
      <c r="M668" s="214"/>
      <c r="N668" s="214"/>
      <c r="O668" s="189" t="str">
        <f t="shared" si="240"/>
        <v/>
      </c>
      <c r="P668" s="191" t="str">
        <f t="shared" si="227"/>
        <v/>
      </c>
      <c r="Q668" s="192" t="str">
        <f t="shared" si="241"/>
        <v/>
      </c>
      <c r="R668" s="191" t="str">
        <f t="shared" si="228"/>
        <v/>
      </c>
      <c r="S668" s="193" t="str">
        <f t="shared" si="242"/>
        <v/>
      </c>
      <c r="T668" s="194" t="str">
        <f t="shared" si="229"/>
        <v/>
      </c>
      <c r="U668" s="192" t="str">
        <f t="shared" si="243"/>
        <v/>
      </c>
      <c r="V668" s="195" t="str">
        <f t="shared" si="230"/>
        <v/>
      </c>
      <c r="W668" s="195" t="str">
        <f t="shared" si="231"/>
        <v/>
      </c>
      <c r="X668" s="196" t="str">
        <f t="shared" si="244"/>
        <v/>
      </c>
      <c r="Y668" s="191" t="str">
        <f t="shared" si="246"/>
        <v/>
      </c>
      <c r="Z668" s="197" t="str">
        <f t="shared" si="232"/>
        <v/>
      </c>
      <c r="AA668" s="197" t="str">
        <f t="shared" si="233"/>
        <v/>
      </c>
      <c r="AB668" s="213"/>
      <c r="AC668" s="204"/>
    </row>
    <row r="669" spans="1:29" ht="11.4">
      <c r="A669" s="211" t="str">
        <f t="shared" si="245"/>
        <v/>
      </c>
      <c r="B669" s="211"/>
      <c r="C669" s="185"/>
      <c r="D669" s="186" t="str">
        <f t="shared" si="234"/>
        <v/>
      </c>
      <c r="E669" s="186" t="str">
        <f>IF(OR(C669="",C669=Data!$B$3),"",IF(C669=Data!$B$4,"L","S"))</f>
        <v/>
      </c>
      <c r="F669" s="186" t="str">
        <f t="shared" si="235"/>
        <v/>
      </c>
      <c r="G669" s="187" t="str">
        <f t="shared" si="226"/>
        <v/>
      </c>
      <c r="H669" s="188"/>
      <c r="I669" s="189" t="str">
        <f t="shared" si="236"/>
        <v/>
      </c>
      <c r="J669" s="189" t="str">
        <f t="shared" si="237"/>
        <v/>
      </c>
      <c r="K669" s="190" t="str">
        <f t="shared" si="238"/>
        <v/>
      </c>
      <c r="L669" s="190" t="str">
        <f t="shared" si="239"/>
        <v/>
      </c>
      <c r="M669" s="214"/>
      <c r="N669" s="214"/>
      <c r="O669" s="189" t="str">
        <f t="shared" si="240"/>
        <v/>
      </c>
      <c r="P669" s="191" t="str">
        <f t="shared" si="227"/>
        <v/>
      </c>
      <c r="Q669" s="192" t="str">
        <f t="shared" si="241"/>
        <v/>
      </c>
      <c r="R669" s="191" t="str">
        <f t="shared" si="228"/>
        <v/>
      </c>
      <c r="S669" s="193" t="str">
        <f t="shared" si="242"/>
        <v/>
      </c>
      <c r="T669" s="194" t="str">
        <f t="shared" si="229"/>
        <v/>
      </c>
      <c r="U669" s="192" t="str">
        <f t="shared" si="243"/>
        <v/>
      </c>
      <c r="V669" s="195" t="str">
        <f t="shared" si="230"/>
        <v/>
      </c>
      <c r="W669" s="195" t="str">
        <f t="shared" si="231"/>
        <v/>
      </c>
      <c r="X669" s="196" t="str">
        <f t="shared" si="244"/>
        <v/>
      </c>
      <c r="Y669" s="191" t="str">
        <f t="shared" si="246"/>
        <v/>
      </c>
      <c r="Z669" s="197" t="str">
        <f t="shared" si="232"/>
        <v/>
      </c>
      <c r="AA669" s="197" t="str">
        <f t="shared" si="233"/>
        <v/>
      </c>
      <c r="AB669" s="213"/>
      <c r="AC669" s="204"/>
    </row>
    <row r="670" spans="1:29" ht="11.4">
      <c r="A670" s="211" t="str">
        <f t="shared" si="245"/>
        <v/>
      </c>
      <c r="B670" s="211"/>
      <c r="C670" s="185"/>
      <c r="D670" s="186" t="str">
        <f t="shared" si="234"/>
        <v/>
      </c>
      <c r="E670" s="186" t="str">
        <f>IF(OR(C670="",C670=Data!$B$3),"",IF(C670=Data!$B$4,"L","S"))</f>
        <v/>
      </c>
      <c r="F670" s="186" t="str">
        <f t="shared" si="235"/>
        <v/>
      </c>
      <c r="G670" s="187" t="str">
        <f t="shared" si="226"/>
        <v/>
      </c>
      <c r="H670" s="188"/>
      <c r="I670" s="189" t="str">
        <f t="shared" si="236"/>
        <v/>
      </c>
      <c r="J670" s="189" t="str">
        <f t="shared" si="237"/>
        <v/>
      </c>
      <c r="K670" s="190" t="str">
        <f t="shared" si="238"/>
        <v/>
      </c>
      <c r="L670" s="190" t="str">
        <f t="shared" si="239"/>
        <v/>
      </c>
      <c r="M670" s="214"/>
      <c r="N670" s="214"/>
      <c r="O670" s="189" t="str">
        <f t="shared" si="240"/>
        <v/>
      </c>
      <c r="P670" s="191" t="str">
        <f t="shared" si="227"/>
        <v/>
      </c>
      <c r="Q670" s="192" t="str">
        <f t="shared" si="241"/>
        <v/>
      </c>
      <c r="R670" s="191" t="str">
        <f t="shared" si="228"/>
        <v/>
      </c>
      <c r="S670" s="193" t="str">
        <f t="shared" si="242"/>
        <v/>
      </c>
      <c r="T670" s="194" t="str">
        <f t="shared" si="229"/>
        <v/>
      </c>
      <c r="U670" s="192" t="str">
        <f t="shared" si="243"/>
        <v/>
      </c>
      <c r="V670" s="195" t="str">
        <f t="shared" si="230"/>
        <v/>
      </c>
      <c r="W670" s="195" t="str">
        <f t="shared" si="231"/>
        <v/>
      </c>
      <c r="X670" s="196" t="str">
        <f t="shared" si="244"/>
        <v/>
      </c>
      <c r="Y670" s="191" t="str">
        <f t="shared" si="246"/>
        <v/>
      </c>
      <c r="Z670" s="197" t="str">
        <f t="shared" si="232"/>
        <v/>
      </c>
      <c r="AA670" s="197" t="str">
        <f t="shared" si="233"/>
        <v/>
      </c>
      <c r="AB670" s="213"/>
      <c r="AC670" s="204"/>
    </row>
    <row r="671" spans="1:29" ht="11.4">
      <c r="A671" s="211" t="str">
        <f t="shared" si="245"/>
        <v/>
      </c>
      <c r="B671" s="211"/>
      <c r="C671" s="185"/>
      <c r="D671" s="186" t="str">
        <f t="shared" si="234"/>
        <v/>
      </c>
      <c r="E671" s="186" t="str">
        <f>IF(OR(C671="",C671=Data!$B$3),"",IF(C671=Data!$B$4,"L","S"))</f>
        <v/>
      </c>
      <c r="F671" s="186" t="str">
        <f t="shared" si="235"/>
        <v/>
      </c>
      <c r="G671" s="187" t="str">
        <f t="shared" si="226"/>
        <v/>
      </c>
      <c r="H671" s="188"/>
      <c r="I671" s="189" t="str">
        <f t="shared" si="236"/>
        <v/>
      </c>
      <c r="J671" s="189" t="str">
        <f t="shared" si="237"/>
        <v/>
      </c>
      <c r="K671" s="190" t="str">
        <f t="shared" si="238"/>
        <v/>
      </c>
      <c r="L671" s="190" t="str">
        <f t="shared" si="239"/>
        <v/>
      </c>
      <c r="M671" s="214"/>
      <c r="N671" s="214"/>
      <c r="O671" s="189" t="str">
        <f t="shared" si="240"/>
        <v/>
      </c>
      <c r="P671" s="191" t="str">
        <f t="shared" si="227"/>
        <v/>
      </c>
      <c r="Q671" s="192" t="str">
        <f t="shared" si="241"/>
        <v/>
      </c>
      <c r="R671" s="191" t="str">
        <f t="shared" si="228"/>
        <v/>
      </c>
      <c r="S671" s="193" t="str">
        <f t="shared" si="242"/>
        <v/>
      </c>
      <c r="T671" s="194" t="str">
        <f t="shared" si="229"/>
        <v/>
      </c>
      <c r="U671" s="192" t="str">
        <f t="shared" si="243"/>
        <v/>
      </c>
      <c r="V671" s="195" t="str">
        <f t="shared" si="230"/>
        <v/>
      </c>
      <c r="W671" s="195" t="str">
        <f t="shared" si="231"/>
        <v/>
      </c>
      <c r="X671" s="196" t="str">
        <f t="shared" si="244"/>
        <v/>
      </c>
      <c r="Y671" s="191" t="str">
        <f t="shared" si="246"/>
        <v/>
      </c>
      <c r="Z671" s="197" t="str">
        <f t="shared" si="232"/>
        <v/>
      </c>
      <c r="AA671" s="197" t="str">
        <f t="shared" si="233"/>
        <v/>
      </c>
      <c r="AB671" s="213"/>
      <c r="AC671" s="204"/>
    </row>
    <row r="672" spans="1:29" ht="11.4">
      <c r="A672" s="211" t="str">
        <f t="shared" si="245"/>
        <v/>
      </c>
      <c r="B672" s="211"/>
      <c r="C672" s="185"/>
      <c r="D672" s="186" t="str">
        <f t="shared" si="234"/>
        <v/>
      </c>
      <c r="E672" s="186" t="str">
        <f>IF(OR(C672="",C672=Data!$B$3),"",IF(C672=Data!$B$4,"L","S"))</f>
        <v/>
      </c>
      <c r="F672" s="186" t="str">
        <f t="shared" si="235"/>
        <v/>
      </c>
      <c r="G672" s="187" t="str">
        <f t="shared" si="226"/>
        <v/>
      </c>
      <c r="H672" s="188"/>
      <c r="I672" s="189" t="str">
        <f t="shared" si="236"/>
        <v/>
      </c>
      <c r="J672" s="189" t="str">
        <f t="shared" si="237"/>
        <v/>
      </c>
      <c r="K672" s="190" t="str">
        <f t="shared" si="238"/>
        <v/>
      </c>
      <c r="L672" s="190" t="str">
        <f t="shared" si="239"/>
        <v/>
      </c>
      <c r="M672" s="214"/>
      <c r="N672" s="214"/>
      <c r="O672" s="189" t="str">
        <f t="shared" si="240"/>
        <v/>
      </c>
      <c r="P672" s="191" t="str">
        <f t="shared" si="227"/>
        <v/>
      </c>
      <c r="Q672" s="192" t="str">
        <f t="shared" si="241"/>
        <v/>
      </c>
      <c r="R672" s="191" t="str">
        <f t="shared" si="228"/>
        <v/>
      </c>
      <c r="S672" s="193" t="str">
        <f t="shared" si="242"/>
        <v/>
      </c>
      <c r="T672" s="194" t="str">
        <f t="shared" si="229"/>
        <v/>
      </c>
      <c r="U672" s="192" t="str">
        <f t="shared" si="243"/>
        <v/>
      </c>
      <c r="V672" s="195" t="str">
        <f t="shared" si="230"/>
        <v/>
      </c>
      <c r="W672" s="195" t="str">
        <f t="shared" si="231"/>
        <v/>
      </c>
      <c r="X672" s="196" t="str">
        <f t="shared" si="244"/>
        <v/>
      </c>
      <c r="Y672" s="191" t="str">
        <f t="shared" si="246"/>
        <v/>
      </c>
      <c r="Z672" s="197" t="str">
        <f t="shared" si="232"/>
        <v/>
      </c>
      <c r="AA672" s="197" t="str">
        <f t="shared" si="233"/>
        <v/>
      </c>
      <c r="AB672" s="213"/>
      <c r="AC672" s="204"/>
    </row>
    <row r="673" spans="1:29" ht="11.4">
      <c r="A673" s="211" t="str">
        <f t="shared" si="245"/>
        <v/>
      </c>
      <c r="B673" s="211"/>
      <c r="C673" s="185"/>
      <c r="D673" s="186" t="str">
        <f t="shared" si="234"/>
        <v/>
      </c>
      <c r="E673" s="186" t="str">
        <f>IF(OR(C673="",C673=Data!$B$3),"",IF(C673=Data!$B$4,"L","S"))</f>
        <v/>
      </c>
      <c r="F673" s="186" t="str">
        <f t="shared" si="235"/>
        <v/>
      </c>
      <c r="G673" s="187" t="str">
        <f t="shared" si="226"/>
        <v/>
      </c>
      <c r="H673" s="188"/>
      <c r="I673" s="189" t="str">
        <f t="shared" si="236"/>
        <v/>
      </c>
      <c r="J673" s="189" t="str">
        <f t="shared" si="237"/>
        <v/>
      </c>
      <c r="K673" s="190" t="str">
        <f t="shared" si="238"/>
        <v/>
      </c>
      <c r="L673" s="190" t="str">
        <f t="shared" si="239"/>
        <v/>
      </c>
      <c r="M673" s="214"/>
      <c r="N673" s="214"/>
      <c r="O673" s="189" t="str">
        <f t="shared" si="240"/>
        <v/>
      </c>
      <c r="P673" s="191" t="str">
        <f t="shared" si="227"/>
        <v/>
      </c>
      <c r="Q673" s="192" t="str">
        <f t="shared" si="241"/>
        <v/>
      </c>
      <c r="R673" s="191" t="str">
        <f t="shared" si="228"/>
        <v/>
      </c>
      <c r="S673" s="193" t="str">
        <f t="shared" si="242"/>
        <v/>
      </c>
      <c r="T673" s="194" t="str">
        <f t="shared" si="229"/>
        <v/>
      </c>
      <c r="U673" s="192" t="str">
        <f t="shared" si="243"/>
        <v/>
      </c>
      <c r="V673" s="195" t="str">
        <f t="shared" si="230"/>
        <v/>
      </c>
      <c r="W673" s="195" t="str">
        <f t="shared" si="231"/>
        <v/>
      </c>
      <c r="X673" s="196" t="str">
        <f t="shared" si="244"/>
        <v/>
      </c>
      <c r="Y673" s="191" t="str">
        <f t="shared" si="246"/>
        <v/>
      </c>
      <c r="Z673" s="197" t="str">
        <f t="shared" si="232"/>
        <v/>
      </c>
      <c r="AA673" s="197" t="str">
        <f t="shared" si="233"/>
        <v/>
      </c>
      <c r="AB673" s="213"/>
      <c r="AC673" s="204"/>
    </row>
    <row r="674" spans="1:29" ht="11.4">
      <c r="A674" s="211" t="str">
        <f t="shared" si="245"/>
        <v/>
      </c>
      <c r="B674" s="211"/>
      <c r="C674" s="185"/>
      <c r="D674" s="186" t="str">
        <f t="shared" si="234"/>
        <v/>
      </c>
      <c r="E674" s="186" t="str">
        <f>IF(OR(C674="",C674=Data!$B$3),"",IF(C674=Data!$B$4,"L","S"))</f>
        <v/>
      </c>
      <c r="F674" s="186" t="str">
        <f t="shared" si="235"/>
        <v/>
      </c>
      <c r="G674" s="187" t="str">
        <f t="shared" si="226"/>
        <v/>
      </c>
      <c r="H674" s="188"/>
      <c r="I674" s="189" t="str">
        <f t="shared" si="236"/>
        <v/>
      </c>
      <c r="J674" s="189" t="str">
        <f t="shared" si="237"/>
        <v/>
      </c>
      <c r="K674" s="190" t="str">
        <f t="shared" si="238"/>
        <v/>
      </c>
      <c r="L674" s="190" t="str">
        <f t="shared" si="239"/>
        <v/>
      </c>
      <c r="M674" s="214"/>
      <c r="N674" s="214"/>
      <c r="O674" s="189" t="str">
        <f t="shared" si="240"/>
        <v/>
      </c>
      <c r="P674" s="191" t="str">
        <f t="shared" si="227"/>
        <v/>
      </c>
      <c r="Q674" s="192" t="str">
        <f t="shared" si="241"/>
        <v/>
      </c>
      <c r="R674" s="191" t="str">
        <f t="shared" si="228"/>
        <v/>
      </c>
      <c r="S674" s="193" t="str">
        <f t="shared" si="242"/>
        <v/>
      </c>
      <c r="T674" s="194" t="str">
        <f t="shared" si="229"/>
        <v/>
      </c>
      <c r="U674" s="192" t="str">
        <f t="shared" si="243"/>
        <v/>
      </c>
      <c r="V674" s="195" t="str">
        <f t="shared" si="230"/>
        <v/>
      </c>
      <c r="W674" s="195" t="str">
        <f t="shared" si="231"/>
        <v/>
      </c>
      <c r="X674" s="196" t="str">
        <f t="shared" si="244"/>
        <v/>
      </c>
      <c r="Y674" s="191" t="str">
        <f t="shared" si="246"/>
        <v/>
      </c>
      <c r="Z674" s="197" t="str">
        <f t="shared" si="232"/>
        <v/>
      </c>
      <c r="AA674" s="197" t="str">
        <f t="shared" si="233"/>
        <v/>
      </c>
      <c r="AB674" s="213"/>
      <c r="AC674" s="204"/>
    </row>
    <row r="675" spans="1:29" ht="11.4">
      <c r="A675" s="211" t="str">
        <f t="shared" si="245"/>
        <v/>
      </c>
      <c r="B675" s="211"/>
      <c r="C675" s="185"/>
      <c r="D675" s="186" t="str">
        <f t="shared" si="234"/>
        <v/>
      </c>
      <c r="E675" s="186" t="str">
        <f>IF(OR(C675="",C675=Data!$B$3),"",IF(C675=Data!$B$4,"L","S"))</f>
        <v/>
      </c>
      <c r="F675" s="186" t="str">
        <f t="shared" si="235"/>
        <v/>
      </c>
      <c r="G675" s="187" t="str">
        <f t="shared" si="226"/>
        <v/>
      </c>
      <c r="H675" s="188"/>
      <c r="I675" s="189" t="str">
        <f t="shared" si="236"/>
        <v/>
      </c>
      <c r="J675" s="189" t="str">
        <f t="shared" si="237"/>
        <v/>
      </c>
      <c r="K675" s="190" t="str">
        <f t="shared" si="238"/>
        <v/>
      </c>
      <c r="L675" s="190" t="str">
        <f t="shared" si="239"/>
        <v/>
      </c>
      <c r="M675" s="214"/>
      <c r="N675" s="214"/>
      <c r="O675" s="189" t="str">
        <f t="shared" si="240"/>
        <v/>
      </c>
      <c r="P675" s="191" t="str">
        <f t="shared" si="227"/>
        <v/>
      </c>
      <c r="Q675" s="192" t="str">
        <f t="shared" si="241"/>
        <v/>
      </c>
      <c r="R675" s="191" t="str">
        <f t="shared" si="228"/>
        <v/>
      </c>
      <c r="S675" s="193" t="str">
        <f t="shared" si="242"/>
        <v/>
      </c>
      <c r="T675" s="194" t="str">
        <f t="shared" si="229"/>
        <v/>
      </c>
      <c r="U675" s="192" t="str">
        <f t="shared" si="243"/>
        <v/>
      </c>
      <c r="V675" s="195" t="str">
        <f t="shared" si="230"/>
        <v/>
      </c>
      <c r="W675" s="195" t="str">
        <f t="shared" si="231"/>
        <v/>
      </c>
      <c r="X675" s="196" t="str">
        <f t="shared" si="244"/>
        <v/>
      </c>
      <c r="Y675" s="191" t="str">
        <f t="shared" si="246"/>
        <v/>
      </c>
      <c r="Z675" s="197" t="str">
        <f t="shared" si="232"/>
        <v/>
      </c>
      <c r="AA675" s="197" t="str">
        <f t="shared" si="233"/>
        <v/>
      </c>
      <c r="AB675" s="213"/>
      <c r="AC675" s="204"/>
    </row>
    <row r="676" spans="1:29" ht="11.4">
      <c r="A676" s="211" t="str">
        <f t="shared" si="245"/>
        <v/>
      </c>
      <c r="B676" s="211"/>
      <c r="C676" s="185"/>
      <c r="D676" s="186" t="str">
        <f t="shared" si="234"/>
        <v/>
      </c>
      <c r="E676" s="186" t="str">
        <f>IF(OR(C676="",C676=Data!$B$3),"",IF(C676=Data!$B$4,"L","S"))</f>
        <v/>
      </c>
      <c r="F676" s="186" t="str">
        <f t="shared" si="235"/>
        <v/>
      </c>
      <c r="G676" s="187" t="str">
        <f t="shared" si="226"/>
        <v/>
      </c>
      <c r="H676" s="188"/>
      <c r="I676" s="189" t="str">
        <f t="shared" si="236"/>
        <v/>
      </c>
      <c r="J676" s="189" t="str">
        <f t="shared" si="237"/>
        <v/>
      </c>
      <c r="K676" s="190" t="str">
        <f t="shared" si="238"/>
        <v/>
      </c>
      <c r="L676" s="190" t="str">
        <f t="shared" si="239"/>
        <v/>
      </c>
      <c r="M676" s="214"/>
      <c r="N676" s="214"/>
      <c r="O676" s="189" t="str">
        <f t="shared" si="240"/>
        <v/>
      </c>
      <c r="P676" s="191" t="str">
        <f t="shared" si="227"/>
        <v/>
      </c>
      <c r="Q676" s="192" t="str">
        <f t="shared" si="241"/>
        <v/>
      </c>
      <c r="R676" s="191" t="str">
        <f t="shared" si="228"/>
        <v/>
      </c>
      <c r="S676" s="193" t="str">
        <f t="shared" si="242"/>
        <v/>
      </c>
      <c r="T676" s="194" t="str">
        <f t="shared" si="229"/>
        <v/>
      </c>
      <c r="U676" s="192" t="str">
        <f t="shared" si="243"/>
        <v/>
      </c>
      <c r="V676" s="195" t="str">
        <f t="shared" si="230"/>
        <v/>
      </c>
      <c r="W676" s="195" t="str">
        <f t="shared" si="231"/>
        <v/>
      </c>
      <c r="X676" s="196" t="str">
        <f t="shared" si="244"/>
        <v/>
      </c>
      <c r="Y676" s="191" t="str">
        <f t="shared" si="246"/>
        <v/>
      </c>
      <c r="Z676" s="197" t="str">
        <f t="shared" si="232"/>
        <v/>
      </c>
      <c r="AA676" s="197" t="str">
        <f t="shared" si="233"/>
        <v/>
      </c>
      <c r="AB676" s="213"/>
      <c r="AC676" s="204"/>
    </row>
    <row r="677" spans="1:29" ht="11.4">
      <c r="A677" s="211" t="str">
        <f t="shared" si="245"/>
        <v/>
      </c>
      <c r="B677" s="211"/>
      <c r="C677" s="185"/>
      <c r="D677" s="186" t="str">
        <f t="shared" si="234"/>
        <v/>
      </c>
      <c r="E677" s="186" t="str">
        <f>IF(OR(C677="",C677=Data!$B$3),"",IF(C677=Data!$B$4,"L","S"))</f>
        <v/>
      </c>
      <c r="F677" s="186" t="str">
        <f t="shared" si="235"/>
        <v/>
      </c>
      <c r="G677" s="187" t="str">
        <f t="shared" si="226"/>
        <v/>
      </c>
      <c r="H677" s="188"/>
      <c r="I677" s="189" t="str">
        <f t="shared" si="236"/>
        <v/>
      </c>
      <c r="J677" s="189" t="str">
        <f t="shared" si="237"/>
        <v/>
      </c>
      <c r="K677" s="190" t="str">
        <f t="shared" si="238"/>
        <v/>
      </c>
      <c r="L677" s="190" t="str">
        <f t="shared" si="239"/>
        <v/>
      </c>
      <c r="M677" s="214"/>
      <c r="N677" s="214"/>
      <c r="O677" s="189" t="str">
        <f t="shared" si="240"/>
        <v/>
      </c>
      <c r="P677" s="191" t="str">
        <f t="shared" si="227"/>
        <v/>
      </c>
      <c r="Q677" s="192" t="str">
        <f t="shared" si="241"/>
        <v/>
      </c>
      <c r="R677" s="191" t="str">
        <f t="shared" si="228"/>
        <v/>
      </c>
      <c r="S677" s="193" t="str">
        <f t="shared" si="242"/>
        <v/>
      </c>
      <c r="T677" s="194" t="str">
        <f t="shared" si="229"/>
        <v/>
      </c>
      <c r="U677" s="192" t="str">
        <f t="shared" si="243"/>
        <v/>
      </c>
      <c r="V677" s="195" t="str">
        <f t="shared" si="230"/>
        <v/>
      </c>
      <c r="W677" s="195" t="str">
        <f t="shared" si="231"/>
        <v/>
      </c>
      <c r="X677" s="196" t="str">
        <f t="shared" si="244"/>
        <v/>
      </c>
      <c r="Y677" s="191" t="str">
        <f t="shared" si="246"/>
        <v/>
      </c>
      <c r="Z677" s="197" t="str">
        <f t="shared" si="232"/>
        <v/>
      </c>
      <c r="AA677" s="197" t="str">
        <f t="shared" si="233"/>
        <v/>
      </c>
      <c r="AB677" s="213"/>
      <c r="AC677" s="204"/>
    </row>
    <row r="678" spans="1:29" ht="11.4">
      <c r="A678" s="211" t="str">
        <f t="shared" si="245"/>
        <v/>
      </c>
      <c r="B678" s="211"/>
      <c r="C678" s="185"/>
      <c r="D678" s="186" t="str">
        <f t="shared" si="234"/>
        <v/>
      </c>
      <c r="E678" s="186" t="str">
        <f>IF(OR(C678="",C678=Data!$B$3),"",IF(C678=Data!$B$4,"L","S"))</f>
        <v/>
      </c>
      <c r="F678" s="186" t="str">
        <f t="shared" si="235"/>
        <v/>
      </c>
      <c r="G678" s="187" t="str">
        <f t="shared" si="226"/>
        <v/>
      </c>
      <c r="H678" s="188"/>
      <c r="I678" s="189" t="str">
        <f t="shared" si="236"/>
        <v/>
      </c>
      <c r="J678" s="189" t="str">
        <f t="shared" si="237"/>
        <v/>
      </c>
      <c r="K678" s="190" t="str">
        <f t="shared" si="238"/>
        <v/>
      </c>
      <c r="L678" s="190" t="str">
        <f t="shared" si="239"/>
        <v/>
      </c>
      <c r="M678" s="214"/>
      <c r="N678" s="214"/>
      <c r="O678" s="189" t="str">
        <f t="shared" si="240"/>
        <v/>
      </c>
      <c r="P678" s="191" t="str">
        <f t="shared" si="227"/>
        <v/>
      </c>
      <c r="Q678" s="192" t="str">
        <f t="shared" si="241"/>
        <v/>
      </c>
      <c r="R678" s="191" t="str">
        <f t="shared" si="228"/>
        <v/>
      </c>
      <c r="S678" s="193" t="str">
        <f t="shared" si="242"/>
        <v/>
      </c>
      <c r="T678" s="194" t="str">
        <f t="shared" si="229"/>
        <v/>
      </c>
      <c r="U678" s="192" t="str">
        <f t="shared" si="243"/>
        <v/>
      </c>
      <c r="V678" s="195" t="str">
        <f t="shared" si="230"/>
        <v/>
      </c>
      <c r="W678" s="195" t="str">
        <f t="shared" si="231"/>
        <v/>
      </c>
      <c r="X678" s="196" t="str">
        <f t="shared" si="244"/>
        <v/>
      </c>
      <c r="Y678" s="191" t="str">
        <f t="shared" si="246"/>
        <v/>
      </c>
      <c r="Z678" s="197" t="str">
        <f t="shared" si="232"/>
        <v/>
      </c>
      <c r="AA678" s="197" t="str">
        <f t="shared" si="233"/>
        <v/>
      </c>
      <c r="AB678" s="213"/>
      <c r="AC678" s="204"/>
    </row>
    <row r="679" spans="1:29" ht="11.4">
      <c r="A679" s="211" t="str">
        <f t="shared" si="245"/>
        <v/>
      </c>
      <c r="B679" s="211"/>
      <c r="C679" s="185"/>
      <c r="D679" s="186" t="str">
        <f t="shared" si="234"/>
        <v/>
      </c>
      <c r="E679" s="186" t="str">
        <f>IF(OR(C679="",C679=Data!$B$3),"",IF(C679=Data!$B$4,"L","S"))</f>
        <v/>
      </c>
      <c r="F679" s="186" t="str">
        <f t="shared" si="235"/>
        <v/>
      </c>
      <c r="G679" s="187" t="str">
        <f t="shared" si="226"/>
        <v/>
      </c>
      <c r="H679" s="188"/>
      <c r="I679" s="189" t="str">
        <f t="shared" si="236"/>
        <v/>
      </c>
      <c r="J679" s="189" t="str">
        <f t="shared" si="237"/>
        <v/>
      </c>
      <c r="K679" s="190" t="str">
        <f t="shared" si="238"/>
        <v/>
      </c>
      <c r="L679" s="190" t="str">
        <f t="shared" si="239"/>
        <v/>
      </c>
      <c r="M679" s="214"/>
      <c r="N679" s="214"/>
      <c r="O679" s="189" t="str">
        <f t="shared" si="240"/>
        <v/>
      </c>
      <c r="P679" s="191" t="str">
        <f t="shared" si="227"/>
        <v/>
      </c>
      <c r="Q679" s="192" t="str">
        <f t="shared" si="241"/>
        <v/>
      </c>
      <c r="R679" s="191" t="str">
        <f t="shared" si="228"/>
        <v/>
      </c>
      <c r="S679" s="193" t="str">
        <f t="shared" si="242"/>
        <v/>
      </c>
      <c r="T679" s="194" t="str">
        <f t="shared" si="229"/>
        <v/>
      </c>
      <c r="U679" s="192" t="str">
        <f t="shared" si="243"/>
        <v/>
      </c>
      <c r="V679" s="195" t="str">
        <f t="shared" si="230"/>
        <v/>
      </c>
      <c r="W679" s="195" t="str">
        <f t="shared" si="231"/>
        <v/>
      </c>
      <c r="X679" s="196" t="str">
        <f t="shared" si="244"/>
        <v/>
      </c>
      <c r="Y679" s="191" t="str">
        <f t="shared" si="246"/>
        <v/>
      </c>
      <c r="Z679" s="197" t="str">
        <f t="shared" si="232"/>
        <v/>
      </c>
      <c r="AA679" s="197" t="str">
        <f t="shared" si="233"/>
        <v/>
      </c>
      <c r="AB679" s="213"/>
      <c r="AC679" s="204"/>
    </row>
    <row r="680" spans="1:29" ht="11.4">
      <c r="A680" s="211" t="str">
        <f t="shared" si="245"/>
        <v/>
      </c>
      <c r="B680" s="211"/>
      <c r="C680" s="185"/>
      <c r="D680" s="186" t="str">
        <f t="shared" si="234"/>
        <v/>
      </c>
      <c r="E680" s="186" t="str">
        <f>IF(OR(C680="",C680=Data!$B$3),"",IF(C680=Data!$B$4,"L","S"))</f>
        <v/>
      </c>
      <c r="F680" s="186" t="str">
        <f t="shared" si="235"/>
        <v/>
      </c>
      <c r="G680" s="187" t="str">
        <f t="shared" si="226"/>
        <v/>
      </c>
      <c r="H680" s="188"/>
      <c r="I680" s="189" t="str">
        <f t="shared" si="236"/>
        <v/>
      </c>
      <c r="J680" s="189" t="str">
        <f t="shared" si="237"/>
        <v/>
      </c>
      <c r="K680" s="190" t="str">
        <f t="shared" si="238"/>
        <v/>
      </c>
      <c r="L680" s="190" t="str">
        <f t="shared" si="239"/>
        <v/>
      </c>
      <c r="M680" s="214"/>
      <c r="N680" s="214"/>
      <c r="O680" s="189" t="str">
        <f t="shared" si="240"/>
        <v/>
      </c>
      <c r="P680" s="191" t="str">
        <f t="shared" si="227"/>
        <v/>
      </c>
      <c r="Q680" s="192" t="str">
        <f t="shared" si="241"/>
        <v/>
      </c>
      <c r="R680" s="191" t="str">
        <f t="shared" si="228"/>
        <v/>
      </c>
      <c r="S680" s="193" t="str">
        <f t="shared" si="242"/>
        <v/>
      </c>
      <c r="T680" s="194" t="str">
        <f t="shared" si="229"/>
        <v/>
      </c>
      <c r="U680" s="192" t="str">
        <f t="shared" si="243"/>
        <v/>
      </c>
      <c r="V680" s="195" t="str">
        <f t="shared" si="230"/>
        <v/>
      </c>
      <c r="W680" s="195" t="str">
        <f t="shared" si="231"/>
        <v/>
      </c>
      <c r="X680" s="196" t="str">
        <f t="shared" si="244"/>
        <v/>
      </c>
      <c r="Y680" s="191" t="str">
        <f t="shared" si="246"/>
        <v/>
      </c>
      <c r="Z680" s="197" t="str">
        <f t="shared" si="232"/>
        <v/>
      </c>
      <c r="AA680" s="197" t="str">
        <f t="shared" si="233"/>
        <v/>
      </c>
      <c r="AB680" s="213"/>
      <c r="AC680" s="204"/>
    </row>
    <row r="681" spans="1:29" ht="11.4">
      <c r="A681" s="211" t="str">
        <f t="shared" si="245"/>
        <v/>
      </c>
      <c r="B681" s="211"/>
      <c r="C681" s="185"/>
      <c r="D681" s="186" t="str">
        <f t="shared" si="234"/>
        <v/>
      </c>
      <c r="E681" s="186" t="str">
        <f>IF(OR(C681="",C681=Data!$B$3),"",IF(C681=Data!$B$4,"L","S"))</f>
        <v/>
      </c>
      <c r="F681" s="186" t="str">
        <f t="shared" si="235"/>
        <v/>
      </c>
      <c r="G681" s="187" t="str">
        <f t="shared" si="226"/>
        <v/>
      </c>
      <c r="H681" s="188"/>
      <c r="I681" s="189" t="str">
        <f t="shared" si="236"/>
        <v/>
      </c>
      <c r="J681" s="189" t="str">
        <f t="shared" si="237"/>
        <v/>
      </c>
      <c r="K681" s="190" t="str">
        <f t="shared" si="238"/>
        <v/>
      </c>
      <c r="L681" s="190" t="str">
        <f t="shared" si="239"/>
        <v/>
      </c>
      <c r="M681" s="214"/>
      <c r="N681" s="214"/>
      <c r="O681" s="189" t="str">
        <f t="shared" si="240"/>
        <v/>
      </c>
      <c r="P681" s="191" t="str">
        <f t="shared" si="227"/>
        <v/>
      </c>
      <c r="Q681" s="192" t="str">
        <f t="shared" si="241"/>
        <v/>
      </c>
      <c r="R681" s="191" t="str">
        <f t="shared" si="228"/>
        <v/>
      </c>
      <c r="S681" s="193" t="str">
        <f t="shared" si="242"/>
        <v/>
      </c>
      <c r="T681" s="194" t="str">
        <f t="shared" si="229"/>
        <v/>
      </c>
      <c r="U681" s="192" t="str">
        <f t="shared" si="243"/>
        <v/>
      </c>
      <c r="V681" s="195" t="str">
        <f t="shared" si="230"/>
        <v/>
      </c>
      <c r="W681" s="195" t="str">
        <f t="shared" si="231"/>
        <v/>
      </c>
      <c r="X681" s="196" t="str">
        <f t="shared" si="244"/>
        <v/>
      </c>
      <c r="Y681" s="191" t="str">
        <f t="shared" si="246"/>
        <v/>
      </c>
      <c r="Z681" s="197" t="str">
        <f t="shared" si="232"/>
        <v/>
      </c>
      <c r="AA681" s="197" t="str">
        <f t="shared" si="233"/>
        <v/>
      </c>
      <c r="AB681" s="213"/>
      <c r="AC681" s="204"/>
    </row>
    <row r="682" spans="1:29" ht="11.4">
      <c r="A682" s="211" t="str">
        <f t="shared" si="245"/>
        <v/>
      </c>
      <c r="B682" s="211"/>
      <c r="C682" s="185"/>
      <c r="D682" s="186" t="str">
        <f t="shared" si="234"/>
        <v/>
      </c>
      <c r="E682" s="186" t="str">
        <f>IF(OR(C682="",C682=Data!$B$3),"",IF(C682=Data!$B$4,"L","S"))</f>
        <v/>
      </c>
      <c r="F682" s="186" t="str">
        <f t="shared" si="235"/>
        <v/>
      </c>
      <c r="G682" s="187" t="str">
        <f t="shared" si="226"/>
        <v/>
      </c>
      <c r="H682" s="188"/>
      <c r="I682" s="189" t="str">
        <f t="shared" si="236"/>
        <v/>
      </c>
      <c r="J682" s="189" t="str">
        <f t="shared" si="237"/>
        <v/>
      </c>
      <c r="K682" s="190" t="str">
        <f t="shared" si="238"/>
        <v/>
      </c>
      <c r="L682" s="190" t="str">
        <f t="shared" si="239"/>
        <v/>
      </c>
      <c r="M682" s="214"/>
      <c r="N682" s="214"/>
      <c r="O682" s="189" t="str">
        <f t="shared" si="240"/>
        <v/>
      </c>
      <c r="P682" s="191" t="str">
        <f t="shared" si="227"/>
        <v/>
      </c>
      <c r="Q682" s="192" t="str">
        <f t="shared" si="241"/>
        <v/>
      </c>
      <c r="R682" s="191" t="str">
        <f t="shared" si="228"/>
        <v/>
      </c>
      <c r="S682" s="193" t="str">
        <f t="shared" si="242"/>
        <v/>
      </c>
      <c r="T682" s="194" t="str">
        <f t="shared" si="229"/>
        <v/>
      </c>
      <c r="U682" s="192" t="str">
        <f t="shared" si="243"/>
        <v/>
      </c>
      <c r="V682" s="195" t="str">
        <f t="shared" si="230"/>
        <v/>
      </c>
      <c r="W682" s="195" t="str">
        <f t="shared" si="231"/>
        <v/>
      </c>
      <c r="X682" s="196" t="str">
        <f t="shared" si="244"/>
        <v/>
      </c>
      <c r="Y682" s="191" t="str">
        <f t="shared" si="246"/>
        <v/>
      </c>
      <c r="Z682" s="197" t="str">
        <f t="shared" si="232"/>
        <v/>
      </c>
      <c r="AA682" s="197" t="str">
        <f t="shared" si="233"/>
        <v/>
      </c>
      <c r="AB682" s="213"/>
      <c r="AC682" s="204"/>
    </row>
    <row r="683" spans="1:29" ht="11.4">
      <c r="A683" s="211" t="str">
        <f t="shared" si="245"/>
        <v/>
      </c>
      <c r="B683" s="211"/>
      <c r="C683" s="185"/>
      <c r="D683" s="186" t="str">
        <f t="shared" si="234"/>
        <v/>
      </c>
      <c r="E683" s="186" t="str">
        <f>IF(OR(C683="",C683=Data!$B$3),"",IF(C683=Data!$B$4,"L","S"))</f>
        <v/>
      </c>
      <c r="F683" s="186" t="str">
        <f t="shared" si="235"/>
        <v/>
      </c>
      <c r="G683" s="187" t="str">
        <f t="shared" si="226"/>
        <v/>
      </c>
      <c r="H683" s="188"/>
      <c r="I683" s="189" t="str">
        <f t="shared" si="236"/>
        <v/>
      </c>
      <c r="J683" s="189" t="str">
        <f t="shared" si="237"/>
        <v/>
      </c>
      <c r="K683" s="190" t="str">
        <f t="shared" si="238"/>
        <v/>
      </c>
      <c r="L683" s="190" t="str">
        <f t="shared" si="239"/>
        <v/>
      </c>
      <c r="M683" s="214"/>
      <c r="N683" s="214"/>
      <c r="O683" s="189" t="str">
        <f t="shared" si="240"/>
        <v/>
      </c>
      <c r="P683" s="191" t="str">
        <f t="shared" si="227"/>
        <v/>
      </c>
      <c r="Q683" s="192" t="str">
        <f t="shared" si="241"/>
        <v/>
      </c>
      <c r="R683" s="191" t="str">
        <f t="shared" si="228"/>
        <v/>
      </c>
      <c r="S683" s="193" t="str">
        <f t="shared" si="242"/>
        <v/>
      </c>
      <c r="T683" s="194" t="str">
        <f t="shared" si="229"/>
        <v/>
      </c>
      <c r="U683" s="192" t="str">
        <f t="shared" si="243"/>
        <v/>
      </c>
      <c r="V683" s="195" t="str">
        <f t="shared" si="230"/>
        <v/>
      </c>
      <c r="W683" s="195" t="str">
        <f t="shared" si="231"/>
        <v/>
      </c>
      <c r="X683" s="196" t="str">
        <f t="shared" si="244"/>
        <v/>
      </c>
      <c r="Y683" s="191" t="str">
        <f t="shared" si="246"/>
        <v/>
      </c>
      <c r="Z683" s="197" t="str">
        <f t="shared" si="232"/>
        <v/>
      </c>
      <c r="AA683" s="197" t="str">
        <f t="shared" si="233"/>
        <v/>
      </c>
      <c r="AB683" s="213"/>
      <c r="AC683" s="204"/>
    </row>
    <row r="684" spans="1:29" ht="11.4">
      <c r="A684" s="211" t="str">
        <f t="shared" si="245"/>
        <v/>
      </c>
      <c r="B684" s="211"/>
      <c r="C684" s="185"/>
      <c r="D684" s="186" t="str">
        <f t="shared" si="234"/>
        <v/>
      </c>
      <c r="E684" s="186" t="str">
        <f>IF(OR(C684="",C684=Data!$B$3),"",IF(C684=Data!$B$4,"L","S"))</f>
        <v/>
      </c>
      <c r="F684" s="186" t="str">
        <f t="shared" si="235"/>
        <v/>
      </c>
      <c r="G684" s="187" t="str">
        <f t="shared" si="226"/>
        <v/>
      </c>
      <c r="H684" s="188"/>
      <c r="I684" s="189" t="str">
        <f t="shared" si="236"/>
        <v/>
      </c>
      <c r="J684" s="189" t="str">
        <f t="shared" si="237"/>
        <v/>
      </c>
      <c r="K684" s="190" t="str">
        <f t="shared" si="238"/>
        <v/>
      </c>
      <c r="L684" s="190" t="str">
        <f t="shared" si="239"/>
        <v/>
      </c>
      <c r="M684" s="214"/>
      <c r="N684" s="214"/>
      <c r="O684" s="189" t="str">
        <f t="shared" si="240"/>
        <v/>
      </c>
      <c r="P684" s="191" t="str">
        <f t="shared" si="227"/>
        <v/>
      </c>
      <c r="Q684" s="192" t="str">
        <f t="shared" si="241"/>
        <v/>
      </c>
      <c r="R684" s="191" t="str">
        <f t="shared" si="228"/>
        <v/>
      </c>
      <c r="S684" s="193" t="str">
        <f t="shared" si="242"/>
        <v/>
      </c>
      <c r="T684" s="194" t="str">
        <f t="shared" si="229"/>
        <v/>
      </c>
      <c r="U684" s="192" t="str">
        <f t="shared" si="243"/>
        <v/>
      </c>
      <c r="V684" s="195" t="str">
        <f t="shared" si="230"/>
        <v/>
      </c>
      <c r="W684" s="195" t="str">
        <f t="shared" si="231"/>
        <v/>
      </c>
      <c r="X684" s="196" t="str">
        <f t="shared" si="244"/>
        <v/>
      </c>
      <c r="Y684" s="191" t="str">
        <f t="shared" si="246"/>
        <v/>
      </c>
      <c r="Z684" s="197" t="str">
        <f t="shared" si="232"/>
        <v/>
      </c>
      <c r="AA684" s="197" t="str">
        <f t="shared" si="233"/>
        <v/>
      </c>
      <c r="AB684" s="213"/>
      <c r="AC684" s="204"/>
    </row>
    <row r="685" spans="1:29" ht="11.4">
      <c r="A685" s="211" t="str">
        <f t="shared" si="245"/>
        <v/>
      </c>
      <c r="B685" s="211"/>
      <c r="C685" s="185"/>
      <c r="D685" s="186" t="str">
        <f t="shared" si="234"/>
        <v/>
      </c>
      <c r="E685" s="186" t="str">
        <f>IF(OR(C685="",C685=Data!$B$3),"",IF(C685=Data!$B$4,"L","S"))</f>
        <v/>
      </c>
      <c r="F685" s="186" t="str">
        <f t="shared" si="235"/>
        <v/>
      </c>
      <c r="G685" s="187" t="str">
        <f t="shared" si="226"/>
        <v/>
      </c>
      <c r="H685" s="188"/>
      <c r="I685" s="189" t="str">
        <f t="shared" si="236"/>
        <v/>
      </c>
      <c r="J685" s="189" t="str">
        <f t="shared" si="237"/>
        <v/>
      </c>
      <c r="K685" s="190" t="str">
        <f t="shared" si="238"/>
        <v/>
      </c>
      <c r="L685" s="190" t="str">
        <f t="shared" si="239"/>
        <v/>
      </c>
      <c r="M685" s="214"/>
      <c r="N685" s="214"/>
      <c r="O685" s="189" t="str">
        <f t="shared" si="240"/>
        <v/>
      </c>
      <c r="P685" s="191" t="str">
        <f t="shared" si="227"/>
        <v/>
      </c>
      <c r="Q685" s="192" t="str">
        <f t="shared" si="241"/>
        <v/>
      </c>
      <c r="R685" s="191" t="str">
        <f t="shared" si="228"/>
        <v/>
      </c>
      <c r="S685" s="193" t="str">
        <f t="shared" si="242"/>
        <v/>
      </c>
      <c r="T685" s="194" t="str">
        <f t="shared" si="229"/>
        <v/>
      </c>
      <c r="U685" s="192" t="str">
        <f t="shared" si="243"/>
        <v/>
      </c>
      <c r="V685" s="195" t="str">
        <f t="shared" si="230"/>
        <v/>
      </c>
      <c r="W685" s="195" t="str">
        <f t="shared" si="231"/>
        <v/>
      </c>
      <c r="X685" s="196" t="str">
        <f t="shared" si="244"/>
        <v/>
      </c>
      <c r="Y685" s="191" t="str">
        <f t="shared" si="246"/>
        <v/>
      </c>
      <c r="Z685" s="197" t="str">
        <f t="shared" si="232"/>
        <v/>
      </c>
      <c r="AA685" s="197" t="str">
        <f t="shared" si="233"/>
        <v/>
      </c>
      <c r="AB685" s="213"/>
      <c r="AC685" s="204"/>
    </row>
    <row r="686" spans="1:29" ht="11.4">
      <c r="A686" s="211" t="str">
        <f t="shared" si="245"/>
        <v/>
      </c>
      <c r="B686" s="211"/>
      <c r="C686" s="185"/>
      <c r="D686" s="186" t="str">
        <f t="shared" si="234"/>
        <v/>
      </c>
      <c r="E686" s="186" t="str">
        <f>IF(OR(C686="",C686=Data!$B$3),"",IF(C686=Data!$B$4,"L","S"))</f>
        <v/>
      </c>
      <c r="F686" s="186" t="str">
        <f t="shared" si="235"/>
        <v/>
      </c>
      <c r="G686" s="187" t="str">
        <f t="shared" si="226"/>
        <v/>
      </c>
      <c r="H686" s="188"/>
      <c r="I686" s="189" t="str">
        <f t="shared" si="236"/>
        <v/>
      </c>
      <c r="J686" s="189" t="str">
        <f t="shared" si="237"/>
        <v/>
      </c>
      <c r="K686" s="190" t="str">
        <f t="shared" si="238"/>
        <v/>
      </c>
      <c r="L686" s="190" t="str">
        <f t="shared" si="239"/>
        <v/>
      </c>
      <c r="M686" s="214"/>
      <c r="N686" s="214"/>
      <c r="O686" s="189" t="str">
        <f t="shared" si="240"/>
        <v/>
      </c>
      <c r="P686" s="191" t="str">
        <f t="shared" si="227"/>
        <v/>
      </c>
      <c r="Q686" s="192" t="str">
        <f t="shared" si="241"/>
        <v/>
      </c>
      <c r="R686" s="191" t="str">
        <f t="shared" si="228"/>
        <v/>
      </c>
      <c r="S686" s="193" t="str">
        <f t="shared" si="242"/>
        <v/>
      </c>
      <c r="T686" s="194" t="str">
        <f t="shared" si="229"/>
        <v/>
      </c>
      <c r="U686" s="192" t="str">
        <f t="shared" si="243"/>
        <v/>
      </c>
      <c r="V686" s="195" t="str">
        <f t="shared" si="230"/>
        <v/>
      </c>
      <c r="W686" s="195" t="str">
        <f t="shared" si="231"/>
        <v/>
      </c>
      <c r="X686" s="196" t="str">
        <f t="shared" si="244"/>
        <v/>
      </c>
      <c r="Y686" s="191" t="str">
        <f t="shared" si="246"/>
        <v/>
      </c>
      <c r="Z686" s="197" t="str">
        <f t="shared" si="232"/>
        <v/>
      </c>
      <c r="AA686" s="197" t="str">
        <f t="shared" si="233"/>
        <v/>
      </c>
      <c r="AB686" s="213"/>
      <c r="AC686" s="204"/>
    </row>
    <row r="687" spans="1:29" ht="11.4">
      <c r="A687" s="211" t="str">
        <f t="shared" si="245"/>
        <v/>
      </c>
      <c r="B687" s="211"/>
      <c r="C687" s="185"/>
      <c r="D687" s="186" t="str">
        <f t="shared" si="234"/>
        <v/>
      </c>
      <c r="E687" s="186" t="str">
        <f>IF(OR(C687="",C687=Data!$B$3),"",IF(C687=Data!$B$4,"L","S"))</f>
        <v/>
      </c>
      <c r="F687" s="186" t="str">
        <f t="shared" si="235"/>
        <v/>
      </c>
      <c r="G687" s="187" t="str">
        <f t="shared" si="226"/>
        <v/>
      </c>
      <c r="H687" s="188"/>
      <c r="I687" s="189" t="str">
        <f t="shared" si="236"/>
        <v/>
      </c>
      <c r="J687" s="189" t="str">
        <f t="shared" si="237"/>
        <v/>
      </c>
      <c r="K687" s="190" t="str">
        <f t="shared" si="238"/>
        <v/>
      </c>
      <c r="L687" s="190" t="str">
        <f t="shared" si="239"/>
        <v/>
      </c>
      <c r="M687" s="214"/>
      <c r="N687" s="214"/>
      <c r="O687" s="189" t="str">
        <f t="shared" si="240"/>
        <v/>
      </c>
      <c r="P687" s="191" t="str">
        <f t="shared" si="227"/>
        <v/>
      </c>
      <c r="Q687" s="192" t="str">
        <f t="shared" si="241"/>
        <v/>
      </c>
      <c r="R687" s="191" t="str">
        <f t="shared" si="228"/>
        <v/>
      </c>
      <c r="S687" s="193" t="str">
        <f t="shared" si="242"/>
        <v/>
      </c>
      <c r="T687" s="194" t="str">
        <f t="shared" si="229"/>
        <v/>
      </c>
      <c r="U687" s="192" t="str">
        <f t="shared" si="243"/>
        <v/>
      </c>
      <c r="V687" s="195" t="str">
        <f t="shared" si="230"/>
        <v/>
      </c>
      <c r="W687" s="195" t="str">
        <f t="shared" si="231"/>
        <v/>
      </c>
      <c r="X687" s="196" t="str">
        <f t="shared" si="244"/>
        <v/>
      </c>
      <c r="Y687" s="191" t="str">
        <f t="shared" si="246"/>
        <v/>
      </c>
      <c r="Z687" s="197" t="str">
        <f t="shared" si="232"/>
        <v/>
      </c>
      <c r="AA687" s="197" t="str">
        <f t="shared" si="233"/>
        <v/>
      </c>
      <c r="AB687" s="213"/>
      <c r="AC687" s="204"/>
    </row>
    <row r="688" spans="1:29" ht="11.4">
      <c r="A688" s="211" t="str">
        <f t="shared" si="245"/>
        <v/>
      </c>
      <c r="B688" s="211"/>
      <c r="C688" s="185"/>
      <c r="D688" s="186" t="str">
        <f t="shared" si="234"/>
        <v/>
      </c>
      <c r="E688" s="186" t="str">
        <f>IF(OR(C688="",C688=Data!$B$3),"",IF(C688=Data!$B$4,"L","S"))</f>
        <v/>
      </c>
      <c r="F688" s="186" t="str">
        <f t="shared" si="235"/>
        <v/>
      </c>
      <c r="G688" s="187" t="str">
        <f t="shared" si="226"/>
        <v/>
      </c>
      <c r="H688" s="188"/>
      <c r="I688" s="189" t="str">
        <f t="shared" si="236"/>
        <v/>
      </c>
      <c r="J688" s="189" t="str">
        <f t="shared" si="237"/>
        <v/>
      </c>
      <c r="K688" s="190" t="str">
        <f t="shared" si="238"/>
        <v/>
      </c>
      <c r="L688" s="190" t="str">
        <f t="shared" si="239"/>
        <v/>
      </c>
      <c r="M688" s="214"/>
      <c r="N688" s="214"/>
      <c r="O688" s="189" t="str">
        <f t="shared" si="240"/>
        <v/>
      </c>
      <c r="P688" s="191" t="str">
        <f t="shared" si="227"/>
        <v/>
      </c>
      <c r="Q688" s="192" t="str">
        <f t="shared" si="241"/>
        <v/>
      </c>
      <c r="R688" s="191" t="str">
        <f t="shared" si="228"/>
        <v/>
      </c>
      <c r="S688" s="193" t="str">
        <f t="shared" si="242"/>
        <v/>
      </c>
      <c r="T688" s="194" t="str">
        <f t="shared" si="229"/>
        <v/>
      </c>
      <c r="U688" s="192" t="str">
        <f t="shared" si="243"/>
        <v/>
      </c>
      <c r="V688" s="195" t="str">
        <f t="shared" si="230"/>
        <v/>
      </c>
      <c r="W688" s="195" t="str">
        <f t="shared" si="231"/>
        <v/>
      </c>
      <c r="X688" s="196" t="str">
        <f t="shared" si="244"/>
        <v/>
      </c>
      <c r="Y688" s="191" t="str">
        <f t="shared" si="246"/>
        <v/>
      </c>
      <c r="Z688" s="197" t="str">
        <f t="shared" si="232"/>
        <v/>
      </c>
      <c r="AA688" s="197" t="str">
        <f t="shared" si="233"/>
        <v/>
      </c>
      <c r="AB688" s="213"/>
      <c r="AC688" s="204"/>
    </row>
    <row r="689" spans="1:29" ht="11.4">
      <c r="A689" s="211" t="str">
        <f t="shared" si="245"/>
        <v/>
      </c>
      <c r="B689" s="211"/>
      <c r="C689" s="185"/>
      <c r="D689" s="186" t="str">
        <f t="shared" si="234"/>
        <v/>
      </c>
      <c r="E689" s="186" t="str">
        <f>IF(OR(C689="",C689=Data!$B$3),"",IF(C689=Data!$B$4,"L","S"))</f>
        <v/>
      </c>
      <c r="F689" s="186" t="str">
        <f t="shared" si="235"/>
        <v/>
      </c>
      <c r="G689" s="187" t="str">
        <f t="shared" si="226"/>
        <v/>
      </c>
      <c r="H689" s="188"/>
      <c r="I689" s="189" t="str">
        <f t="shared" si="236"/>
        <v/>
      </c>
      <c r="J689" s="189" t="str">
        <f t="shared" si="237"/>
        <v/>
      </c>
      <c r="K689" s="190" t="str">
        <f t="shared" si="238"/>
        <v/>
      </c>
      <c r="L689" s="190" t="str">
        <f t="shared" si="239"/>
        <v/>
      </c>
      <c r="M689" s="214"/>
      <c r="N689" s="214"/>
      <c r="O689" s="189" t="str">
        <f t="shared" si="240"/>
        <v/>
      </c>
      <c r="P689" s="191" t="str">
        <f t="shared" si="227"/>
        <v/>
      </c>
      <c r="Q689" s="192" t="str">
        <f t="shared" si="241"/>
        <v/>
      </c>
      <c r="R689" s="191" t="str">
        <f t="shared" si="228"/>
        <v/>
      </c>
      <c r="S689" s="193" t="str">
        <f t="shared" si="242"/>
        <v/>
      </c>
      <c r="T689" s="194" t="str">
        <f t="shared" si="229"/>
        <v/>
      </c>
      <c r="U689" s="192" t="str">
        <f t="shared" si="243"/>
        <v/>
      </c>
      <c r="V689" s="195" t="str">
        <f t="shared" si="230"/>
        <v/>
      </c>
      <c r="W689" s="195" t="str">
        <f t="shared" si="231"/>
        <v/>
      </c>
      <c r="X689" s="196" t="str">
        <f t="shared" si="244"/>
        <v/>
      </c>
      <c r="Y689" s="191" t="str">
        <f t="shared" si="246"/>
        <v/>
      </c>
      <c r="Z689" s="197" t="str">
        <f t="shared" si="232"/>
        <v/>
      </c>
      <c r="AA689" s="197" t="str">
        <f t="shared" si="233"/>
        <v/>
      </c>
      <c r="AB689" s="213"/>
      <c r="AC689" s="204"/>
    </row>
    <row r="690" spans="1:29" ht="11.4">
      <c r="A690" s="211" t="str">
        <f t="shared" si="245"/>
        <v/>
      </c>
      <c r="B690" s="211"/>
      <c r="C690" s="185"/>
      <c r="D690" s="186" t="str">
        <f t="shared" si="234"/>
        <v/>
      </c>
      <c r="E690" s="186" t="str">
        <f>IF(OR(C690="",C690=Data!$B$3),"",IF(C690=Data!$B$4,"L","S"))</f>
        <v/>
      </c>
      <c r="F690" s="186" t="str">
        <f t="shared" si="235"/>
        <v/>
      </c>
      <c r="G690" s="187" t="str">
        <f t="shared" si="226"/>
        <v/>
      </c>
      <c r="H690" s="188"/>
      <c r="I690" s="189" t="str">
        <f t="shared" si="236"/>
        <v/>
      </c>
      <c r="J690" s="189" t="str">
        <f t="shared" si="237"/>
        <v/>
      </c>
      <c r="K690" s="190" t="str">
        <f t="shared" si="238"/>
        <v/>
      </c>
      <c r="L690" s="190" t="str">
        <f t="shared" si="239"/>
        <v/>
      </c>
      <c r="M690" s="214"/>
      <c r="N690" s="214"/>
      <c r="O690" s="189" t="str">
        <f t="shared" si="240"/>
        <v/>
      </c>
      <c r="P690" s="191" t="str">
        <f t="shared" si="227"/>
        <v/>
      </c>
      <c r="Q690" s="192" t="str">
        <f t="shared" si="241"/>
        <v/>
      </c>
      <c r="R690" s="191" t="str">
        <f t="shared" si="228"/>
        <v/>
      </c>
      <c r="S690" s="193" t="str">
        <f t="shared" si="242"/>
        <v/>
      </c>
      <c r="T690" s="194" t="str">
        <f t="shared" si="229"/>
        <v/>
      </c>
      <c r="U690" s="192" t="str">
        <f t="shared" si="243"/>
        <v/>
      </c>
      <c r="V690" s="195" t="str">
        <f t="shared" si="230"/>
        <v/>
      </c>
      <c r="W690" s="195" t="str">
        <f t="shared" si="231"/>
        <v/>
      </c>
      <c r="X690" s="196" t="str">
        <f t="shared" si="244"/>
        <v/>
      </c>
      <c r="Y690" s="191" t="str">
        <f t="shared" si="246"/>
        <v/>
      </c>
      <c r="Z690" s="197" t="str">
        <f t="shared" si="232"/>
        <v/>
      </c>
      <c r="AA690" s="197" t="str">
        <f t="shared" si="233"/>
        <v/>
      </c>
      <c r="AB690" s="213"/>
      <c r="AC690" s="204"/>
    </row>
    <row r="691" spans="1:29" ht="11.4">
      <c r="A691" s="211" t="str">
        <f t="shared" si="245"/>
        <v/>
      </c>
      <c r="B691" s="211"/>
      <c r="C691" s="185"/>
      <c r="D691" s="186" t="str">
        <f t="shared" si="234"/>
        <v/>
      </c>
      <c r="E691" s="186" t="str">
        <f>IF(OR(C691="",C691=Data!$B$3),"",IF(C691=Data!$B$4,"L","S"))</f>
        <v/>
      </c>
      <c r="F691" s="186" t="str">
        <f t="shared" si="235"/>
        <v/>
      </c>
      <c r="G691" s="187" t="str">
        <f t="shared" si="226"/>
        <v/>
      </c>
      <c r="H691" s="188"/>
      <c r="I691" s="189" t="str">
        <f t="shared" si="236"/>
        <v/>
      </c>
      <c r="J691" s="189" t="str">
        <f t="shared" si="237"/>
        <v/>
      </c>
      <c r="K691" s="190" t="str">
        <f t="shared" si="238"/>
        <v/>
      </c>
      <c r="L691" s="190" t="str">
        <f t="shared" si="239"/>
        <v/>
      </c>
      <c r="M691" s="214"/>
      <c r="N691" s="214"/>
      <c r="O691" s="189" t="str">
        <f t="shared" si="240"/>
        <v/>
      </c>
      <c r="P691" s="191" t="str">
        <f t="shared" si="227"/>
        <v/>
      </c>
      <c r="Q691" s="192" t="str">
        <f t="shared" si="241"/>
        <v/>
      </c>
      <c r="R691" s="191" t="str">
        <f t="shared" si="228"/>
        <v/>
      </c>
      <c r="S691" s="193" t="str">
        <f t="shared" si="242"/>
        <v/>
      </c>
      <c r="T691" s="194" t="str">
        <f t="shared" si="229"/>
        <v/>
      </c>
      <c r="U691" s="192" t="str">
        <f t="shared" si="243"/>
        <v/>
      </c>
      <c r="V691" s="195" t="str">
        <f t="shared" si="230"/>
        <v/>
      </c>
      <c r="W691" s="195" t="str">
        <f t="shared" si="231"/>
        <v/>
      </c>
      <c r="X691" s="196" t="str">
        <f t="shared" si="244"/>
        <v/>
      </c>
      <c r="Y691" s="191" t="str">
        <f t="shared" si="246"/>
        <v/>
      </c>
      <c r="Z691" s="197" t="str">
        <f t="shared" si="232"/>
        <v/>
      </c>
      <c r="AA691" s="197" t="str">
        <f t="shared" si="233"/>
        <v/>
      </c>
      <c r="AB691" s="213"/>
      <c r="AC691" s="204"/>
    </row>
    <row r="692" spans="1:29" ht="11.4">
      <c r="A692" s="211" t="str">
        <f t="shared" si="245"/>
        <v/>
      </c>
      <c r="B692" s="211"/>
      <c r="C692" s="185"/>
      <c r="D692" s="186" t="str">
        <f t="shared" si="234"/>
        <v/>
      </c>
      <c r="E692" s="186" t="str">
        <f>IF(OR(C692="",C692=Data!$B$3),"",IF(C692=Data!$B$4,"L","S"))</f>
        <v/>
      </c>
      <c r="F692" s="186" t="str">
        <f t="shared" si="235"/>
        <v/>
      </c>
      <c r="G692" s="187" t="str">
        <f t="shared" si="226"/>
        <v/>
      </c>
      <c r="H692" s="188"/>
      <c r="I692" s="189" t="str">
        <f t="shared" si="236"/>
        <v/>
      </c>
      <c r="J692" s="189" t="str">
        <f t="shared" si="237"/>
        <v/>
      </c>
      <c r="K692" s="190" t="str">
        <f t="shared" si="238"/>
        <v/>
      </c>
      <c r="L692" s="190" t="str">
        <f t="shared" si="239"/>
        <v/>
      </c>
      <c r="M692" s="214"/>
      <c r="N692" s="214"/>
      <c r="O692" s="189" t="str">
        <f t="shared" si="240"/>
        <v/>
      </c>
      <c r="P692" s="191" t="str">
        <f t="shared" si="227"/>
        <v/>
      </c>
      <c r="Q692" s="192" t="str">
        <f t="shared" si="241"/>
        <v/>
      </c>
      <c r="R692" s="191" t="str">
        <f t="shared" si="228"/>
        <v/>
      </c>
      <c r="S692" s="193" t="str">
        <f t="shared" si="242"/>
        <v/>
      </c>
      <c r="T692" s="194" t="str">
        <f t="shared" si="229"/>
        <v/>
      </c>
      <c r="U692" s="192" t="str">
        <f t="shared" si="243"/>
        <v/>
      </c>
      <c r="V692" s="195" t="str">
        <f t="shared" si="230"/>
        <v/>
      </c>
      <c r="W692" s="195" t="str">
        <f t="shared" si="231"/>
        <v/>
      </c>
      <c r="X692" s="196" t="str">
        <f t="shared" si="244"/>
        <v/>
      </c>
      <c r="Y692" s="191" t="str">
        <f t="shared" si="246"/>
        <v/>
      </c>
      <c r="Z692" s="197" t="str">
        <f t="shared" si="232"/>
        <v/>
      </c>
      <c r="AA692" s="197" t="str">
        <f t="shared" si="233"/>
        <v/>
      </c>
      <c r="AB692" s="213"/>
      <c r="AC692" s="204"/>
    </row>
    <row r="693" spans="1:29" ht="11.4">
      <c r="A693" s="211" t="str">
        <f t="shared" si="245"/>
        <v/>
      </c>
      <c r="B693" s="211"/>
      <c r="C693" s="185"/>
      <c r="D693" s="186" t="str">
        <f t="shared" si="234"/>
        <v/>
      </c>
      <c r="E693" s="186" t="str">
        <f>IF(OR(C693="",C693=Data!$B$3),"",IF(C693=Data!$B$4,"L","S"))</f>
        <v/>
      </c>
      <c r="F693" s="186" t="str">
        <f t="shared" si="235"/>
        <v/>
      </c>
      <c r="G693" s="187" t="str">
        <f t="shared" si="226"/>
        <v/>
      </c>
      <c r="H693" s="188"/>
      <c r="I693" s="189" t="str">
        <f t="shared" si="236"/>
        <v/>
      </c>
      <c r="J693" s="189" t="str">
        <f t="shared" si="237"/>
        <v/>
      </c>
      <c r="K693" s="190" t="str">
        <f t="shared" si="238"/>
        <v/>
      </c>
      <c r="L693" s="190" t="str">
        <f t="shared" si="239"/>
        <v/>
      </c>
      <c r="M693" s="214"/>
      <c r="N693" s="214"/>
      <c r="O693" s="189" t="str">
        <f t="shared" si="240"/>
        <v/>
      </c>
      <c r="P693" s="191" t="str">
        <f t="shared" si="227"/>
        <v/>
      </c>
      <c r="Q693" s="192" t="str">
        <f t="shared" si="241"/>
        <v/>
      </c>
      <c r="R693" s="191" t="str">
        <f t="shared" si="228"/>
        <v/>
      </c>
      <c r="S693" s="193" t="str">
        <f t="shared" si="242"/>
        <v/>
      </c>
      <c r="T693" s="194" t="str">
        <f t="shared" si="229"/>
        <v/>
      </c>
      <c r="U693" s="192" t="str">
        <f t="shared" si="243"/>
        <v/>
      </c>
      <c r="V693" s="195" t="str">
        <f t="shared" si="230"/>
        <v/>
      </c>
      <c r="W693" s="195" t="str">
        <f t="shared" si="231"/>
        <v/>
      </c>
      <c r="X693" s="196" t="str">
        <f t="shared" si="244"/>
        <v/>
      </c>
      <c r="Y693" s="191" t="str">
        <f t="shared" si="246"/>
        <v/>
      </c>
      <c r="Z693" s="197" t="str">
        <f t="shared" si="232"/>
        <v/>
      </c>
      <c r="AA693" s="197" t="str">
        <f t="shared" si="233"/>
        <v/>
      </c>
      <c r="AB693" s="213"/>
      <c r="AC693" s="204"/>
    </row>
    <row r="694" spans="1:29" ht="11.4">
      <c r="A694" s="211" t="str">
        <f t="shared" si="245"/>
        <v/>
      </c>
      <c r="B694" s="211"/>
      <c r="C694" s="185"/>
      <c r="D694" s="186" t="str">
        <f t="shared" si="234"/>
        <v/>
      </c>
      <c r="E694" s="186" t="str">
        <f>IF(OR(C694="",C694=Data!$B$3),"",IF(C694=Data!$B$4,"L","S"))</f>
        <v/>
      </c>
      <c r="F694" s="186" t="str">
        <f t="shared" si="235"/>
        <v/>
      </c>
      <c r="G694" s="187" t="str">
        <f t="shared" si="226"/>
        <v/>
      </c>
      <c r="H694" s="188"/>
      <c r="I694" s="189" t="str">
        <f t="shared" si="236"/>
        <v/>
      </c>
      <c r="J694" s="189" t="str">
        <f t="shared" si="237"/>
        <v/>
      </c>
      <c r="K694" s="190" t="str">
        <f t="shared" si="238"/>
        <v/>
      </c>
      <c r="L694" s="190" t="str">
        <f t="shared" si="239"/>
        <v/>
      </c>
      <c r="M694" s="214"/>
      <c r="N694" s="214"/>
      <c r="O694" s="189" t="str">
        <f t="shared" si="240"/>
        <v/>
      </c>
      <c r="P694" s="191" t="str">
        <f t="shared" si="227"/>
        <v/>
      </c>
      <c r="Q694" s="192" t="str">
        <f t="shared" si="241"/>
        <v/>
      </c>
      <c r="R694" s="191" t="str">
        <f t="shared" si="228"/>
        <v/>
      </c>
      <c r="S694" s="193" t="str">
        <f t="shared" si="242"/>
        <v/>
      </c>
      <c r="T694" s="194" t="str">
        <f t="shared" si="229"/>
        <v/>
      </c>
      <c r="U694" s="192" t="str">
        <f t="shared" si="243"/>
        <v/>
      </c>
      <c r="V694" s="195" t="str">
        <f t="shared" si="230"/>
        <v/>
      </c>
      <c r="W694" s="195" t="str">
        <f t="shared" si="231"/>
        <v/>
      </c>
      <c r="X694" s="196" t="str">
        <f t="shared" si="244"/>
        <v/>
      </c>
      <c r="Y694" s="191" t="str">
        <f t="shared" si="246"/>
        <v/>
      </c>
      <c r="Z694" s="197" t="str">
        <f t="shared" si="232"/>
        <v/>
      </c>
      <c r="AA694" s="197" t="str">
        <f t="shared" si="233"/>
        <v/>
      </c>
      <c r="AB694" s="213"/>
      <c r="AC694" s="204"/>
    </row>
    <row r="695" spans="1:29" ht="11.4">
      <c r="A695" s="211" t="str">
        <f t="shared" si="245"/>
        <v/>
      </c>
      <c r="B695" s="211"/>
      <c r="C695" s="185"/>
      <c r="D695" s="186" t="str">
        <f t="shared" si="234"/>
        <v/>
      </c>
      <c r="E695" s="186" t="str">
        <f>IF(OR(C695="",C695=Data!$B$3),"",IF(C695=Data!$B$4,"L","S"))</f>
        <v/>
      </c>
      <c r="F695" s="186" t="str">
        <f t="shared" si="235"/>
        <v/>
      </c>
      <c r="G695" s="187" t="str">
        <f t="shared" si="226"/>
        <v/>
      </c>
      <c r="H695" s="188"/>
      <c r="I695" s="189" t="str">
        <f t="shared" si="236"/>
        <v/>
      </c>
      <c r="J695" s="189" t="str">
        <f t="shared" si="237"/>
        <v/>
      </c>
      <c r="K695" s="190" t="str">
        <f t="shared" si="238"/>
        <v/>
      </c>
      <c r="L695" s="190" t="str">
        <f t="shared" si="239"/>
        <v/>
      </c>
      <c r="M695" s="214"/>
      <c r="N695" s="214"/>
      <c r="O695" s="189" t="str">
        <f t="shared" si="240"/>
        <v/>
      </c>
      <c r="P695" s="191" t="str">
        <f t="shared" si="227"/>
        <v/>
      </c>
      <c r="Q695" s="192" t="str">
        <f t="shared" si="241"/>
        <v/>
      </c>
      <c r="R695" s="191" t="str">
        <f t="shared" si="228"/>
        <v/>
      </c>
      <c r="S695" s="193" t="str">
        <f t="shared" si="242"/>
        <v/>
      </c>
      <c r="T695" s="194" t="str">
        <f t="shared" si="229"/>
        <v/>
      </c>
      <c r="U695" s="192" t="str">
        <f t="shared" si="243"/>
        <v/>
      </c>
      <c r="V695" s="195" t="str">
        <f t="shared" si="230"/>
        <v/>
      </c>
      <c r="W695" s="195" t="str">
        <f t="shared" si="231"/>
        <v/>
      </c>
      <c r="X695" s="196" t="str">
        <f t="shared" si="244"/>
        <v/>
      </c>
      <c r="Y695" s="191" t="str">
        <f t="shared" si="246"/>
        <v/>
      </c>
      <c r="Z695" s="197" t="str">
        <f t="shared" si="232"/>
        <v/>
      </c>
      <c r="AA695" s="197" t="str">
        <f t="shared" si="233"/>
        <v/>
      </c>
      <c r="AB695" s="213"/>
      <c r="AC695" s="204"/>
    </row>
    <row r="696" spans="1:29" ht="11.4">
      <c r="A696" s="211" t="str">
        <f t="shared" si="245"/>
        <v/>
      </c>
      <c r="B696" s="211"/>
      <c r="C696" s="185"/>
      <c r="D696" s="186" t="str">
        <f t="shared" si="234"/>
        <v/>
      </c>
      <c r="E696" s="186" t="str">
        <f>IF(OR(C696="",C696=Data!$B$3),"",IF(C696=Data!$B$4,"L","S"))</f>
        <v/>
      </c>
      <c r="F696" s="186" t="str">
        <f t="shared" si="235"/>
        <v/>
      </c>
      <c r="G696" s="187" t="str">
        <f t="shared" si="226"/>
        <v/>
      </c>
      <c r="H696" s="188"/>
      <c r="I696" s="189" t="str">
        <f t="shared" si="236"/>
        <v/>
      </c>
      <c r="J696" s="189" t="str">
        <f t="shared" si="237"/>
        <v/>
      </c>
      <c r="K696" s="190" t="str">
        <f t="shared" si="238"/>
        <v/>
      </c>
      <c r="L696" s="190" t="str">
        <f t="shared" si="239"/>
        <v/>
      </c>
      <c r="M696" s="214"/>
      <c r="N696" s="214"/>
      <c r="O696" s="189" t="str">
        <f t="shared" si="240"/>
        <v/>
      </c>
      <c r="P696" s="191" t="str">
        <f t="shared" si="227"/>
        <v/>
      </c>
      <c r="Q696" s="192" t="str">
        <f t="shared" si="241"/>
        <v/>
      </c>
      <c r="R696" s="191" t="str">
        <f t="shared" si="228"/>
        <v/>
      </c>
      <c r="S696" s="193" t="str">
        <f t="shared" si="242"/>
        <v/>
      </c>
      <c r="T696" s="194" t="str">
        <f t="shared" si="229"/>
        <v/>
      </c>
      <c r="U696" s="192" t="str">
        <f t="shared" si="243"/>
        <v/>
      </c>
      <c r="V696" s="195" t="str">
        <f t="shared" si="230"/>
        <v/>
      </c>
      <c r="W696" s="195" t="str">
        <f t="shared" si="231"/>
        <v/>
      </c>
      <c r="X696" s="196" t="str">
        <f t="shared" si="244"/>
        <v/>
      </c>
      <c r="Y696" s="191" t="str">
        <f t="shared" si="246"/>
        <v/>
      </c>
      <c r="Z696" s="197" t="str">
        <f t="shared" si="232"/>
        <v/>
      </c>
      <c r="AA696" s="197" t="str">
        <f t="shared" si="233"/>
        <v/>
      </c>
      <c r="AB696" s="213"/>
      <c r="AC696" s="204"/>
    </row>
    <row r="697" spans="1:29" ht="11.4">
      <c r="A697" s="211" t="str">
        <f t="shared" si="245"/>
        <v/>
      </c>
      <c r="B697" s="211"/>
      <c r="C697" s="185"/>
      <c r="D697" s="186" t="str">
        <f t="shared" si="234"/>
        <v/>
      </c>
      <c r="E697" s="186" t="str">
        <f>IF(OR(C697="",C697=Data!$B$3),"",IF(C697=Data!$B$4,"L","S"))</f>
        <v/>
      </c>
      <c r="F697" s="186" t="str">
        <f t="shared" si="235"/>
        <v/>
      </c>
      <c r="G697" s="187" t="str">
        <f t="shared" si="226"/>
        <v/>
      </c>
      <c r="H697" s="188"/>
      <c r="I697" s="189" t="str">
        <f t="shared" si="236"/>
        <v/>
      </c>
      <c r="J697" s="189" t="str">
        <f t="shared" si="237"/>
        <v/>
      </c>
      <c r="K697" s="190" t="str">
        <f t="shared" si="238"/>
        <v/>
      </c>
      <c r="L697" s="190" t="str">
        <f t="shared" si="239"/>
        <v/>
      </c>
      <c r="M697" s="214"/>
      <c r="N697" s="214"/>
      <c r="O697" s="189" t="str">
        <f t="shared" si="240"/>
        <v/>
      </c>
      <c r="P697" s="191" t="str">
        <f t="shared" si="227"/>
        <v/>
      </c>
      <c r="Q697" s="192" t="str">
        <f t="shared" si="241"/>
        <v/>
      </c>
      <c r="R697" s="191" t="str">
        <f t="shared" si="228"/>
        <v/>
      </c>
      <c r="S697" s="193" t="str">
        <f t="shared" si="242"/>
        <v/>
      </c>
      <c r="T697" s="194" t="str">
        <f t="shared" si="229"/>
        <v/>
      </c>
      <c r="U697" s="192" t="str">
        <f t="shared" si="243"/>
        <v/>
      </c>
      <c r="V697" s="195" t="str">
        <f t="shared" si="230"/>
        <v/>
      </c>
      <c r="W697" s="195" t="str">
        <f t="shared" si="231"/>
        <v/>
      </c>
      <c r="X697" s="196" t="str">
        <f t="shared" si="244"/>
        <v/>
      </c>
      <c r="Y697" s="191" t="str">
        <f t="shared" si="246"/>
        <v/>
      </c>
      <c r="Z697" s="197" t="str">
        <f t="shared" si="232"/>
        <v/>
      </c>
      <c r="AA697" s="197" t="str">
        <f t="shared" si="233"/>
        <v/>
      </c>
      <c r="AB697" s="213"/>
      <c r="AC697" s="204"/>
    </row>
    <row r="698" spans="1:29" ht="11.4">
      <c r="A698" s="211" t="str">
        <f t="shared" si="245"/>
        <v/>
      </c>
      <c r="B698" s="211"/>
      <c r="C698" s="185"/>
      <c r="D698" s="186" t="str">
        <f t="shared" si="234"/>
        <v/>
      </c>
      <c r="E698" s="186" t="str">
        <f>IF(OR(C698="",C698=Data!$B$3),"",IF(C698=Data!$B$4,"L","S"))</f>
        <v/>
      </c>
      <c r="F698" s="186" t="str">
        <f t="shared" si="235"/>
        <v/>
      </c>
      <c r="G698" s="187" t="str">
        <f t="shared" si="226"/>
        <v/>
      </c>
      <c r="H698" s="188"/>
      <c r="I698" s="189" t="str">
        <f t="shared" si="236"/>
        <v/>
      </c>
      <c r="J698" s="189" t="str">
        <f t="shared" si="237"/>
        <v/>
      </c>
      <c r="K698" s="190" t="str">
        <f t="shared" si="238"/>
        <v/>
      </c>
      <c r="L698" s="190" t="str">
        <f t="shared" si="239"/>
        <v/>
      </c>
      <c r="M698" s="214"/>
      <c r="N698" s="214"/>
      <c r="O698" s="189" t="str">
        <f t="shared" si="240"/>
        <v/>
      </c>
      <c r="P698" s="191" t="str">
        <f t="shared" si="227"/>
        <v/>
      </c>
      <c r="Q698" s="192" t="str">
        <f t="shared" si="241"/>
        <v/>
      </c>
      <c r="R698" s="191" t="str">
        <f t="shared" si="228"/>
        <v/>
      </c>
      <c r="S698" s="193" t="str">
        <f t="shared" si="242"/>
        <v/>
      </c>
      <c r="T698" s="194" t="str">
        <f t="shared" si="229"/>
        <v/>
      </c>
      <c r="U698" s="192" t="str">
        <f t="shared" si="243"/>
        <v/>
      </c>
      <c r="V698" s="195" t="str">
        <f t="shared" si="230"/>
        <v/>
      </c>
      <c r="W698" s="195" t="str">
        <f t="shared" si="231"/>
        <v/>
      </c>
      <c r="X698" s="196" t="str">
        <f t="shared" si="244"/>
        <v/>
      </c>
      <c r="Y698" s="191" t="str">
        <f t="shared" si="246"/>
        <v/>
      </c>
      <c r="Z698" s="197" t="str">
        <f t="shared" si="232"/>
        <v/>
      </c>
      <c r="AA698" s="197" t="str">
        <f t="shared" si="233"/>
        <v/>
      </c>
      <c r="AB698" s="213"/>
      <c r="AC698" s="204"/>
    </row>
    <row r="699" spans="1:29" ht="11.4">
      <c r="A699" s="211" t="str">
        <f t="shared" si="245"/>
        <v/>
      </c>
      <c r="B699" s="211"/>
      <c r="C699" s="185"/>
      <c r="D699" s="186" t="str">
        <f t="shared" si="234"/>
        <v/>
      </c>
      <c r="E699" s="186" t="str">
        <f>IF(OR(C699="",C699=Data!$B$3),"",IF(C699=Data!$B$4,"L","S"))</f>
        <v/>
      </c>
      <c r="F699" s="186" t="str">
        <f t="shared" si="235"/>
        <v/>
      </c>
      <c r="G699" s="187" t="str">
        <f t="shared" si="226"/>
        <v/>
      </c>
      <c r="H699" s="188"/>
      <c r="I699" s="189" t="str">
        <f t="shared" si="236"/>
        <v/>
      </c>
      <c r="J699" s="189" t="str">
        <f t="shared" si="237"/>
        <v/>
      </c>
      <c r="K699" s="190" t="str">
        <f t="shared" si="238"/>
        <v/>
      </c>
      <c r="L699" s="190" t="str">
        <f t="shared" si="239"/>
        <v/>
      </c>
      <c r="M699" s="214"/>
      <c r="N699" s="214"/>
      <c r="O699" s="189" t="str">
        <f t="shared" si="240"/>
        <v/>
      </c>
      <c r="P699" s="191" t="str">
        <f t="shared" si="227"/>
        <v/>
      </c>
      <c r="Q699" s="192" t="str">
        <f t="shared" si="241"/>
        <v/>
      </c>
      <c r="R699" s="191" t="str">
        <f t="shared" si="228"/>
        <v/>
      </c>
      <c r="S699" s="193" t="str">
        <f t="shared" si="242"/>
        <v/>
      </c>
      <c r="T699" s="194" t="str">
        <f t="shared" si="229"/>
        <v/>
      </c>
      <c r="U699" s="192" t="str">
        <f t="shared" si="243"/>
        <v/>
      </c>
      <c r="V699" s="195" t="str">
        <f t="shared" si="230"/>
        <v/>
      </c>
      <c r="W699" s="195" t="str">
        <f t="shared" si="231"/>
        <v/>
      </c>
      <c r="X699" s="196" t="str">
        <f t="shared" si="244"/>
        <v/>
      </c>
      <c r="Y699" s="191" t="str">
        <f t="shared" si="246"/>
        <v/>
      </c>
      <c r="Z699" s="197" t="str">
        <f t="shared" si="232"/>
        <v/>
      </c>
      <c r="AA699" s="197" t="str">
        <f t="shared" si="233"/>
        <v/>
      </c>
      <c r="AB699" s="213"/>
      <c r="AC699" s="204"/>
    </row>
    <row r="700" spans="1:29" ht="11.4">
      <c r="A700" s="211" t="str">
        <f t="shared" si="245"/>
        <v/>
      </c>
      <c r="B700" s="211"/>
      <c r="C700" s="185"/>
      <c r="D700" s="186" t="str">
        <f t="shared" si="234"/>
        <v/>
      </c>
      <c r="E700" s="186" t="str">
        <f>IF(OR(C700="",C700=Data!$B$3),"",IF(C700=Data!$B$4,"L","S"))</f>
        <v/>
      </c>
      <c r="F700" s="186" t="str">
        <f t="shared" si="235"/>
        <v/>
      </c>
      <c r="G700" s="187" t="str">
        <f t="shared" si="226"/>
        <v/>
      </c>
      <c r="H700" s="188"/>
      <c r="I700" s="189" t="str">
        <f t="shared" si="236"/>
        <v/>
      </c>
      <c r="J700" s="189" t="str">
        <f t="shared" si="237"/>
        <v/>
      </c>
      <c r="K700" s="190" t="str">
        <f t="shared" si="238"/>
        <v/>
      </c>
      <c r="L700" s="190" t="str">
        <f t="shared" si="239"/>
        <v/>
      </c>
      <c r="M700" s="214"/>
      <c r="N700" s="214"/>
      <c r="O700" s="189" t="str">
        <f t="shared" si="240"/>
        <v/>
      </c>
      <c r="P700" s="191" t="str">
        <f t="shared" si="227"/>
        <v/>
      </c>
      <c r="Q700" s="192" t="str">
        <f t="shared" si="241"/>
        <v/>
      </c>
      <c r="R700" s="191" t="str">
        <f t="shared" si="228"/>
        <v/>
      </c>
      <c r="S700" s="193" t="str">
        <f t="shared" si="242"/>
        <v/>
      </c>
      <c r="T700" s="194" t="str">
        <f t="shared" si="229"/>
        <v/>
      </c>
      <c r="U700" s="192" t="str">
        <f t="shared" si="243"/>
        <v/>
      </c>
      <c r="V700" s="195" t="str">
        <f t="shared" si="230"/>
        <v/>
      </c>
      <c r="W700" s="195" t="str">
        <f t="shared" si="231"/>
        <v/>
      </c>
      <c r="X700" s="196" t="str">
        <f t="shared" si="244"/>
        <v/>
      </c>
      <c r="Y700" s="191" t="str">
        <f t="shared" si="246"/>
        <v/>
      </c>
      <c r="Z700" s="197" t="str">
        <f t="shared" si="232"/>
        <v/>
      </c>
      <c r="AA700" s="197" t="str">
        <f t="shared" si="233"/>
        <v/>
      </c>
      <c r="AB700" s="213"/>
      <c r="AC700" s="204"/>
    </row>
    <row r="701" spans="1:29" ht="11.4">
      <c r="A701" s="211" t="str">
        <f t="shared" si="245"/>
        <v/>
      </c>
      <c r="B701" s="211"/>
      <c r="C701" s="185"/>
      <c r="D701" s="186" t="str">
        <f t="shared" si="234"/>
        <v/>
      </c>
      <c r="E701" s="186" t="str">
        <f>IF(OR(C701="",C701=Data!$B$3),"",IF(C701=Data!$B$4,"L","S"))</f>
        <v/>
      </c>
      <c r="F701" s="186" t="str">
        <f t="shared" si="235"/>
        <v/>
      </c>
      <c r="G701" s="187" t="str">
        <f t="shared" si="226"/>
        <v/>
      </c>
      <c r="H701" s="188"/>
      <c r="I701" s="189" t="str">
        <f t="shared" si="236"/>
        <v/>
      </c>
      <c r="J701" s="189" t="str">
        <f t="shared" si="237"/>
        <v/>
      </c>
      <c r="K701" s="190" t="str">
        <f t="shared" si="238"/>
        <v/>
      </c>
      <c r="L701" s="190" t="str">
        <f t="shared" si="239"/>
        <v/>
      </c>
      <c r="M701" s="214"/>
      <c r="N701" s="214"/>
      <c r="O701" s="189" t="str">
        <f t="shared" si="240"/>
        <v/>
      </c>
      <c r="P701" s="191" t="str">
        <f t="shared" si="227"/>
        <v/>
      </c>
      <c r="Q701" s="192" t="str">
        <f t="shared" si="241"/>
        <v/>
      </c>
      <c r="R701" s="191" t="str">
        <f t="shared" si="228"/>
        <v/>
      </c>
      <c r="S701" s="193" t="str">
        <f t="shared" si="242"/>
        <v/>
      </c>
      <c r="T701" s="194" t="str">
        <f t="shared" si="229"/>
        <v/>
      </c>
      <c r="U701" s="192" t="str">
        <f t="shared" si="243"/>
        <v/>
      </c>
      <c r="V701" s="195" t="str">
        <f t="shared" si="230"/>
        <v/>
      </c>
      <c r="W701" s="195" t="str">
        <f t="shared" si="231"/>
        <v/>
      </c>
      <c r="X701" s="196" t="str">
        <f t="shared" si="244"/>
        <v/>
      </c>
      <c r="Y701" s="191" t="str">
        <f t="shared" si="246"/>
        <v/>
      </c>
      <c r="Z701" s="197" t="str">
        <f t="shared" si="232"/>
        <v/>
      </c>
      <c r="AA701" s="197" t="str">
        <f t="shared" si="233"/>
        <v/>
      </c>
      <c r="AB701" s="213"/>
      <c r="AC701" s="204"/>
    </row>
    <row r="702" spans="1:29" ht="11.4">
      <c r="A702" s="211" t="str">
        <f t="shared" si="245"/>
        <v/>
      </c>
      <c r="B702" s="211"/>
      <c r="C702" s="185"/>
      <c r="D702" s="186" t="str">
        <f t="shared" si="234"/>
        <v/>
      </c>
      <c r="E702" s="186" t="str">
        <f>IF(OR(C702="",C702=Data!$B$3),"",IF(C702=Data!$B$4,"L","S"))</f>
        <v/>
      </c>
      <c r="F702" s="186" t="str">
        <f t="shared" si="235"/>
        <v/>
      </c>
      <c r="G702" s="187" t="str">
        <f t="shared" si="226"/>
        <v/>
      </c>
      <c r="H702" s="188"/>
      <c r="I702" s="189" t="str">
        <f t="shared" si="236"/>
        <v/>
      </c>
      <c r="J702" s="189" t="str">
        <f t="shared" si="237"/>
        <v/>
      </c>
      <c r="K702" s="190" t="str">
        <f t="shared" si="238"/>
        <v/>
      </c>
      <c r="L702" s="190" t="str">
        <f t="shared" si="239"/>
        <v/>
      </c>
      <c r="M702" s="214"/>
      <c r="N702" s="214"/>
      <c r="O702" s="189" t="str">
        <f t="shared" si="240"/>
        <v/>
      </c>
      <c r="P702" s="191" t="str">
        <f t="shared" si="227"/>
        <v/>
      </c>
      <c r="Q702" s="192" t="str">
        <f t="shared" si="241"/>
        <v/>
      </c>
      <c r="R702" s="191" t="str">
        <f t="shared" si="228"/>
        <v/>
      </c>
      <c r="S702" s="193" t="str">
        <f t="shared" si="242"/>
        <v/>
      </c>
      <c r="T702" s="194" t="str">
        <f t="shared" si="229"/>
        <v/>
      </c>
      <c r="U702" s="192" t="str">
        <f t="shared" si="243"/>
        <v/>
      </c>
      <c r="V702" s="195" t="str">
        <f t="shared" si="230"/>
        <v/>
      </c>
      <c r="W702" s="195" t="str">
        <f t="shared" si="231"/>
        <v/>
      </c>
      <c r="X702" s="196" t="str">
        <f t="shared" si="244"/>
        <v/>
      </c>
      <c r="Y702" s="191" t="str">
        <f t="shared" si="246"/>
        <v/>
      </c>
      <c r="Z702" s="197" t="str">
        <f t="shared" si="232"/>
        <v/>
      </c>
      <c r="AA702" s="197" t="str">
        <f t="shared" si="233"/>
        <v/>
      </c>
      <c r="AB702" s="213"/>
      <c r="AC702" s="204"/>
    </row>
    <row r="703" spans="1:29" ht="11.4">
      <c r="A703" s="211" t="str">
        <f t="shared" si="245"/>
        <v/>
      </c>
      <c r="B703" s="211"/>
      <c r="C703" s="185"/>
      <c r="D703" s="186" t="str">
        <f t="shared" si="234"/>
        <v/>
      </c>
      <c r="E703" s="186" t="str">
        <f>IF(OR(C703="",C703=Data!$B$3),"",IF(C703=Data!$B$4,"L","S"))</f>
        <v/>
      </c>
      <c r="F703" s="186" t="str">
        <f t="shared" si="235"/>
        <v/>
      </c>
      <c r="G703" s="187" t="str">
        <f t="shared" si="226"/>
        <v/>
      </c>
      <c r="H703" s="188"/>
      <c r="I703" s="189" t="str">
        <f t="shared" si="236"/>
        <v/>
      </c>
      <c r="J703" s="189" t="str">
        <f t="shared" si="237"/>
        <v/>
      </c>
      <c r="K703" s="190" t="str">
        <f t="shared" si="238"/>
        <v/>
      </c>
      <c r="L703" s="190" t="str">
        <f t="shared" si="239"/>
        <v/>
      </c>
      <c r="M703" s="214"/>
      <c r="N703" s="214"/>
      <c r="O703" s="189" t="str">
        <f t="shared" si="240"/>
        <v/>
      </c>
      <c r="P703" s="191" t="str">
        <f t="shared" si="227"/>
        <v/>
      </c>
      <c r="Q703" s="192" t="str">
        <f t="shared" si="241"/>
        <v/>
      </c>
      <c r="R703" s="191" t="str">
        <f t="shared" si="228"/>
        <v/>
      </c>
      <c r="S703" s="193" t="str">
        <f t="shared" si="242"/>
        <v/>
      </c>
      <c r="T703" s="194" t="str">
        <f t="shared" si="229"/>
        <v/>
      </c>
      <c r="U703" s="192" t="str">
        <f t="shared" si="243"/>
        <v/>
      </c>
      <c r="V703" s="195" t="str">
        <f t="shared" si="230"/>
        <v/>
      </c>
      <c r="W703" s="195" t="str">
        <f t="shared" si="231"/>
        <v/>
      </c>
      <c r="X703" s="196" t="str">
        <f t="shared" si="244"/>
        <v/>
      </c>
      <c r="Y703" s="191" t="str">
        <f t="shared" si="246"/>
        <v/>
      </c>
      <c r="Z703" s="197" t="str">
        <f t="shared" si="232"/>
        <v/>
      </c>
      <c r="AA703" s="197" t="str">
        <f t="shared" si="233"/>
        <v/>
      </c>
      <c r="AB703" s="213"/>
      <c r="AC703" s="204"/>
    </row>
    <row r="704" spans="1:29" ht="11.4">
      <c r="A704" s="211" t="str">
        <f t="shared" si="245"/>
        <v/>
      </c>
      <c r="B704" s="211"/>
      <c r="C704" s="185"/>
      <c r="D704" s="186" t="str">
        <f t="shared" si="234"/>
        <v/>
      </c>
      <c r="E704" s="186" t="str">
        <f>IF(OR(C704="",C704=Data!$B$3),"",IF(C704=Data!$B$4,"L","S"))</f>
        <v/>
      </c>
      <c r="F704" s="186" t="str">
        <f t="shared" si="235"/>
        <v/>
      </c>
      <c r="G704" s="187" t="str">
        <f t="shared" si="226"/>
        <v/>
      </c>
      <c r="H704" s="188"/>
      <c r="I704" s="189" t="str">
        <f t="shared" si="236"/>
        <v/>
      </c>
      <c r="J704" s="189" t="str">
        <f t="shared" si="237"/>
        <v/>
      </c>
      <c r="K704" s="190" t="str">
        <f t="shared" si="238"/>
        <v/>
      </c>
      <c r="L704" s="190" t="str">
        <f t="shared" si="239"/>
        <v/>
      </c>
      <c r="M704" s="214"/>
      <c r="N704" s="214"/>
      <c r="O704" s="189" t="str">
        <f t="shared" si="240"/>
        <v/>
      </c>
      <c r="P704" s="191" t="str">
        <f t="shared" si="227"/>
        <v/>
      </c>
      <c r="Q704" s="192" t="str">
        <f t="shared" si="241"/>
        <v/>
      </c>
      <c r="R704" s="191" t="str">
        <f t="shared" si="228"/>
        <v/>
      </c>
      <c r="S704" s="193" t="str">
        <f t="shared" si="242"/>
        <v/>
      </c>
      <c r="T704" s="194" t="str">
        <f t="shared" si="229"/>
        <v/>
      </c>
      <c r="U704" s="192" t="str">
        <f t="shared" si="243"/>
        <v/>
      </c>
      <c r="V704" s="195" t="str">
        <f t="shared" si="230"/>
        <v/>
      </c>
      <c r="W704" s="195" t="str">
        <f t="shared" si="231"/>
        <v/>
      </c>
      <c r="X704" s="196" t="str">
        <f t="shared" si="244"/>
        <v/>
      </c>
      <c r="Y704" s="191" t="str">
        <f t="shared" si="246"/>
        <v/>
      </c>
      <c r="Z704" s="197" t="str">
        <f t="shared" si="232"/>
        <v/>
      </c>
      <c r="AA704" s="197" t="str">
        <f t="shared" si="233"/>
        <v/>
      </c>
      <c r="AB704" s="213"/>
      <c r="AC704" s="204"/>
    </row>
    <row r="705" spans="1:29" ht="11.4">
      <c r="A705" s="211" t="str">
        <f t="shared" si="245"/>
        <v/>
      </c>
      <c r="B705" s="211"/>
      <c r="C705" s="185"/>
      <c r="D705" s="186" t="str">
        <f t="shared" si="234"/>
        <v/>
      </c>
      <c r="E705" s="186" t="str">
        <f>IF(OR(C705="",C705=Data!$B$3),"",IF(C705=Data!$B$4,"L","S"))</f>
        <v/>
      </c>
      <c r="F705" s="186" t="str">
        <f t="shared" si="235"/>
        <v/>
      </c>
      <c r="G705" s="187" t="str">
        <f t="shared" si="226"/>
        <v/>
      </c>
      <c r="H705" s="188"/>
      <c r="I705" s="189" t="str">
        <f t="shared" si="236"/>
        <v/>
      </c>
      <c r="J705" s="189" t="str">
        <f t="shared" si="237"/>
        <v/>
      </c>
      <c r="K705" s="190" t="str">
        <f t="shared" si="238"/>
        <v/>
      </c>
      <c r="L705" s="190" t="str">
        <f t="shared" si="239"/>
        <v/>
      </c>
      <c r="M705" s="214"/>
      <c r="N705" s="214"/>
      <c r="O705" s="189" t="str">
        <f t="shared" si="240"/>
        <v/>
      </c>
      <c r="P705" s="191" t="str">
        <f t="shared" si="227"/>
        <v/>
      </c>
      <c r="Q705" s="192" t="str">
        <f t="shared" si="241"/>
        <v/>
      </c>
      <c r="R705" s="191" t="str">
        <f t="shared" si="228"/>
        <v/>
      </c>
      <c r="S705" s="193" t="str">
        <f t="shared" si="242"/>
        <v/>
      </c>
      <c r="T705" s="194" t="str">
        <f t="shared" si="229"/>
        <v/>
      </c>
      <c r="U705" s="192" t="str">
        <f t="shared" si="243"/>
        <v/>
      </c>
      <c r="V705" s="195" t="str">
        <f t="shared" si="230"/>
        <v/>
      </c>
      <c r="W705" s="195" t="str">
        <f t="shared" si="231"/>
        <v/>
      </c>
      <c r="X705" s="196" t="str">
        <f t="shared" si="244"/>
        <v/>
      </c>
      <c r="Y705" s="191" t="str">
        <f t="shared" si="246"/>
        <v/>
      </c>
      <c r="Z705" s="197" t="str">
        <f t="shared" si="232"/>
        <v/>
      </c>
      <c r="AA705" s="197" t="str">
        <f t="shared" si="233"/>
        <v/>
      </c>
      <c r="AB705" s="213"/>
      <c r="AC705" s="204"/>
    </row>
    <row r="706" spans="1:29" ht="11.4">
      <c r="A706" s="211" t="str">
        <f t="shared" si="245"/>
        <v/>
      </c>
      <c r="B706" s="211"/>
      <c r="C706" s="185"/>
      <c r="D706" s="186" t="str">
        <f t="shared" si="234"/>
        <v/>
      </c>
      <c r="E706" s="186" t="str">
        <f>IF(OR(C706="",C706=Data!$B$3),"",IF(C706=Data!$B$4,"L","S"))</f>
        <v/>
      </c>
      <c r="F706" s="186" t="str">
        <f t="shared" si="235"/>
        <v/>
      </c>
      <c r="G706" s="187" t="str">
        <f t="shared" si="226"/>
        <v/>
      </c>
      <c r="H706" s="188"/>
      <c r="I706" s="189" t="str">
        <f t="shared" si="236"/>
        <v/>
      </c>
      <c r="J706" s="189" t="str">
        <f t="shared" si="237"/>
        <v/>
      </c>
      <c r="K706" s="190" t="str">
        <f t="shared" si="238"/>
        <v/>
      </c>
      <c r="L706" s="190" t="str">
        <f t="shared" si="239"/>
        <v/>
      </c>
      <c r="M706" s="214"/>
      <c r="N706" s="214"/>
      <c r="O706" s="189" t="str">
        <f t="shared" si="240"/>
        <v/>
      </c>
      <c r="P706" s="191" t="str">
        <f t="shared" si="227"/>
        <v/>
      </c>
      <c r="Q706" s="192" t="str">
        <f t="shared" si="241"/>
        <v/>
      </c>
      <c r="R706" s="191" t="str">
        <f t="shared" si="228"/>
        <v/>
      </c>
      <c r="S706" s="193" t="str">
        <f t="shared" si="242"/>
        <v/>
      </c>
      <c r="T706" s="194" t="str">
        <f t="shared" si="229"/>
        <v/>
      </c>
      <c r="U706" s="192" t="str">
        <f t="shared" si="243"/>
        <v/>
      </c>
      <c r="V706" s="195" t="str">
        <f t="shared" si="230"/>
        <v/>
      </c>
      <c r="W706" s="195" t="str">
        <f t="shared" si="231"/>
        <v/>
      </c>
      <c r="X706" s="196" t="str">
        <f t="shared" si="244"/>
        <v/>
      </c>
      <c r="Y706" s="191" t="str">
        <f t="shared" si="246"/>
        <v/>
      </c>
      <c r="Z706" s="197" t="str">
        <f t="shared" si="232"/>
        <v/>
      </c>
      <c r="AA706" s="197" t="str">
        <f t="shared" si="233"/>
        <v/>
      </c>
      <c r="AB706" s="213"/>
      <c r="AC706" s="204"/>
    </row>
    <row r="707" spans="1:29" ht="11.4">
      <c r="A707" s="211" t="str">
        <f t="shared" si="245"/>
        <v/>
      </c>
      <c r="B707" s="211"/>
      <c r="C707" s="185"/>
      <c r="D707" s="186" t="str">
        <f t="shared" si="234"/>
        <v/>
      </c>
      <c r="E707" s="186" t="str">
        <f>IF(OR(C707="",C707=Data!$B$3),"",IF(C707=Data!$B$4,"L","S"))</f>
        <v/>
      </c>
      <c r="F707" s="186" t="str">
        <f t="shared" si="235"/>
        <v/>
      </c>
      <c r="G707" s="187" t="str">
        <f t="shared" si="226"/>
        <v/>
      </c>
      <c r="H707" s="188"/>
      <c r="I707" s="189" t="str">
        <f t="shared" si="236"/>
        <v/>
      </c>
      <c r="J707" s="189" t="str">
        <f t="shared" si="237"/>
        <v/>
      </c>
      <c r="K707" s="190" t="str">
        <f t="shared" si="238"/>
        <v/>
      </c>
      <c r="L707" s="190" t="str">
        <f t="shared" si="239"/>
        <v/>
      </c>
      <c r="M707" s="214"/>
      <c r="N707" s="214"/>
      <c r="O707" s="189" t="str">
        <f t="shared" si="240"/>
        <v/>
      </c>
      <c r="P707" s="191" t="str">
        <f t="shared" si="227"/>
        <v/>
      </c>
      <c r="Q707" s="192" t="str">
        <f t="shared" si="241"/>
        <v/>
      </c>
      <c r="R707" s="191" t="str">
        <f t="shared" si="228"/>
        <v/>
      </c>
      <c r="S707" s="193" t="str">
        <f t="shared" si="242"/>
        <v/>
      </c>
      <c r="T707" s="194" t="str">
        <f t="shared" si="229"/>
        <v/>
      </c>
      <c r="U707" s="192" t="str">
        <f t="shared" si="243"/>
        <v/>
      </c>
      <c r="V707" s="195" t="str">
        <f t="shared" si="230"/>
        <v/>
      </c>
      <c r="W707" s="195" t="str">
        <f t="shared" si="231"/>
        <v/>
      </c>
      <c r="X707" s="196" t="str">
        <f t="shared" si="244"/>
        <v/>
      </c>
      <c r="Y707" s="191" t="str">
        <f t="shared" si="246"/>
        <v/>
      </c>
      <c r="Z707" s="197" t="str">
        <f t="shared" si="232"/>
        <v/>
      </c>
      <c r="AA707" s="197" t="str">
        <f t="shared" si="233"/>
        <v/>
      </c>
      <c r="AB707" s="213"/>
      <c r="AC707" s="204"/>
    </row>
    <row r="708" spans="1:29" ht="11.4">
      <c r="A708" s="211" t="str">
        <f t="shared" si="245"/>
        <v/>
      </c>
      <c r="B708" s="211"/>
      <c r="C708" s="185"/>
      <c r="D708" s="186" t="str">
        <f t="shared" si="234"/>
        <v/>
      </c>
      <c r="E708" s="186" t="str">
        <f>IF(OR(C708="",C708=Data!$B$3),"",IF(C708=Data!$B$4,"L","S"))</f>
        <v/>
      </c>
      <c r="F708" s="186" t="str">
        <f t="shared" si="235"/>
        <v/>
      </c>
      <c r="G708" s="187" t="str">
        <f t="shared" si="226"/>
        <v/>
      </c>
      <c r="H708" s="188"/>
      <c r="I708" s="189" t="str">
        <f t="shared" si="236"/>
        <v/>
      </c>
      <c r="J708" s="189" t="str">
        <f t="shared" si="237"/>
        <v/>
      </c>
      <c r="K708" s="190" t="str">
        <f t="shared" si="238"/>
        <v/>
      </c>
      <c r="L708" s="190" t="str">
        <f t="shared" si="239"/>
        <v/>
      </c>
      <c r="M708" s="214"/>
      <c r="N708" s="214"/>
      <c r="O708" s="189" t="str">
        <f t="shared" si="240"/>
        <v/>
      </c>
      <c r="P708" s="191" t="str">
        <f t="shared" si="227"/>
        <v/>
      </c>
      <c r="Q708" s="192" t="str">
        <f t="shared" si="241"/>
        <v/>
      </c>
      <c r="R708" s="191" t="str">
        <f t="shared" si="228"/>
        <v/>
      </c>
      <c r="S708" s="193" t="str">
        <f t="shared" si="242"/>
        <v/>
      </c>
      <c r="T708" s="194" t="str">
        <f t="shared" si="229"/>
        <v/>
      </c>
      <c r="U708" s="192" t="str">
        <f t="shared" si="243"/>
        <v/>
      </c>
      <c r="V708" s="195" t="str">
        <f t="shared" si="230"/>
        <v/>
      </c>
      <c r="W708" s="195" t="str">
        <f t="shared" si="231"/>
        <v/>
      </c>
      <c r="X708" s="196" t="str">
        <f t="shared" si="244"/>
        <v/>
      </c>
      <c r="Y708" s="191" t="str">
        <f t="shared" si="246"/>
        <v/>
      </c>
      <c r="Z708" s="197" t="str">
        <f t="shared" si="232"/>
        <v/>
      </c>
      <c r="AA708" s="197" t="str">
        <f t="shared" si="233"/>
        <v/>
      </c>
      <c r="AB708" s="213"/>
      <c r="AC708" s="204"/>
    </row>
    <row r="709" spans="1:29" ht="11.4">
      <c r="A709" s="211" t="str">
        <f t="shared" si="245"/>
        <v/>
      </c>
      <c r="B709" s="211"/>
      <c r="C709" s="185"/>
      <c r="D709" s="186" t="str">
        <f t="shared" si="234"/>
        <v/>
      </c>
      <c r="E709" s="186" t="str">
        <f>IF(OR(C709="",C709=Data!$B$3),"",IF(C709=Data!$B$4,"L","S"))</f>
        <v/>
      </c>
      <c r="F709" s="186" t="str">
        <f t="shared" si="235"/>
        <v/>
      </c>
      <c r="G709" s="187" t="str">
        <f t="shared" si="226"/>
        <v/>
      </c>
      <c r="H709" s="188"/>
      <c r="I709" s="189" t="str">
        <f t="shared" si="236"/>
        <v/>
      </c>
      <c r="J709" s="189" t="str">
        <f t="shared" si="237"/>
        <v/>
      </c>
      <c r="K709" s="190" t="str">
        <f t="shared" si="238"/>
        <v/>
      </c>
      <c r="L709" s="190" t="str">
        <f t="shared" si="239"/>
        <v/>
      </c>
      <c r="M709" s="214"/>
      <c r="N709" s="214"/>
      <c r="O709" s="189" t="str">
        <f t="shared" si="240"/>
        <v/>
      </c>
      <c r="P709" s="191" t="str">
        <f t="shared" si="227"/>
        <v/>
      </c>
      <c r="Q709" s="192" t="str">
        <f t="shared" si="241"/>
        <v/>
      </c>
      <c r="R709" s="191" t="str">
        <f t="shared" si="228"/>
        <v/>
      </c>
      <c r="S709" s="193" t="str">
        <f t="shared" si="242"/>
        <v/>
      </c>
      <c r="T709" s="194" t="str">
        <f t="shared" si="229"/>
        <v/>
      </c>
      <c r="U709" s="192" t="str">
        <f t="shared" si="243"/>
        <v/>
      </c>
      <c r="V709" s="195" t="str">
        <f t="shared" si="230"/>
        <v/>
      </c>
      <c r="W709" s="195" t="str">
        <f t="shared" si="231"/>
        <v/>
      </c>
      <c r="X709" s="196" t="str">
        <f t="shared" si="244"/>
        <v/>
      </c>
      <c r="Y709" s="191" t="str">
        <f t="shared" si="246"/>
        <v/>
      </c>
      <c r="Z709" s="197" t="str">
        <f t="shared" si="232"/>
        <v/>
      </c>
      <c r="AA709" s="197" t="str">
        <f t="shared" si="233"/>
        <v/>
      </c>
      <c r="AB709" s="213"/>
      <c r="AC709" s="204"/>
    </row>
    <row r="710" spans="1:29" ht="11.4">
      <c r="A710" s="211" t="str">
        <f t="shared" si="245"/>
        <v/>
      </c>
      <c r="B710" s="211"/>
      <c r="C710" s="185"/>
      <c r="D710" s="186" t="str">
        <f t="shared" si="234"/>
        <v/>
      </c>
      <c r="E710" s="186" t="str">
        <f>IF(OR(C710="",C710=Data!$B$3),"",IF(C710=Data!$B$4,"L","S"))</f>
        <v/>
      </c>
      <c r="F710" s="186" t="str">
        <f t="shared" si="235"/>
        <v/>
      </c>
      <c r="G710" s="187" t="str">
        <f t="shared" si="226"/>
        <v/>
      </c>
      <c r="H710" s="188"/>
      <c r="I710" s="189" t="str">
        <f t="shared" si="236"/>
        <v/>
      </c>
      <c r="J710" s="189" t="str">
        <f t="shared" si="237"/>
        <v/>
      </c>
      <c r="K710" s="190" t="str">
        <f t="shared" si="238"/>
        <v/>
      </c>
      <c r="L710" s="190" t="str">
        <f t="shared" si="239"/>
        <v/>
      </c>
      <c r="M710" s="214"/>
      <c r="N710" s="214"/>
      <c r="O710" s="189" t="str">
        <f t="shared" si="240"/>
        <v/>
      </c>
      <c r="P710" s="191" t="str">
        <f t="shared" si="227"/>
        <v/>
      </c>
      <c r="Q710" s="192" t="str">
        <f t="shared" si="241"/>
        <v/>
      </c>
      <c r="R710" s="191" t="str">
        <f t="shared" si="228"/>
        <v/>
      </c>
      <c r="S710" s="193" t="str">
        <f t="shared" si="242"/>
        <v/>
      </c>
      <c r="T710" s="194" t="str">
        <f t="shared" si="229"/>
        <v/>
      </c>
      <c r="U710" s="192" t="str">
        <f t="shared" si="243"/>
        <v/>
      </c>
      <c r="V710" s="195" t="str">
        <f t="shared" si="230"/>
        <v/>
      </c>
      <c r="W710" s="195" t="str">
        <f t="shared" si="231"/>
        <v/>
      </c>
      <c r="X710" s="196" t="str">
        <f t="shared" si="244"/>
        <v/>
      </c>
      <c r="Y710" s="191" t="str">
        <f t="shared" si="246"/>
        <v/>
      </c>
      <c r="Z710" s="197" t="str">
        <f t="shared" si="232"/>
        <v/>
      </c>
      <c r="AA710" s="197" t="str">
        <f t="shared" si="233"/>
        <v/>
      </c>
      <c r="AB710" s="213"/>
      <c r="AC710" s="204"/>
    </row>
    <row r="711" spans="1:29" ht="11.4">
      <c r="A711" s="211" t="str">
        <f t="shared" si="245"/>
        <v/>
      </c>
      <c r="B711" s="211"/>
      <c r="C711" s="185"/>
      <c r="D711" s="186" t="str">
        <f t="shared" si="234"/>
        <v/>
      </c>
      <c r="E711" s="186" t="str">
        <f>IF(OR(C711="",C711=Data!$B$3),"",IF(C711=Data!$B$4,"L","S"))</f>
        <v/>
      </c>
      <c r="F711" s="186" t="str">
        <f t="shared" si="235"/>
        <v/>
      </c>
      <c r="G711" s="187" t="str">
        <f t="shared" si="226"/>
        <v/>
      </c>
      <c r="H711" s="188"/>
      <c r="I711" s="189" t="str">
        <f t="shared" si="236"/>
        <v/>
      </c>
      <c r="J711" s="189" t="str">
        <f t="shared" si="237"/>
        <v/>
      </c>
      <c r="K711" s="190" t="str">
        <f t="shared" si="238"/>
        <v/>
      </c>
      <c r="L711" s="190" t="str">
        <f t="shared" si="239"/>
        <v/>
      </c>
      <c r="M711" s="214"/>
      <c r="N711" s="214"/>
      <c r="O711" s="189" t="str">
        <f t="shared" si="240"/>
        <v/>
      </c>
      <c r="P711" s="191" t="str">
        <f t="shared" si="227"/>
        <v/>
      </c>
      <c r="Q711" s="192" t="str">
        <f t="shared" si="241"/>
        <v/>
      </c>
      <c r="R711" s="191" t="str">
        <f t="shared" si="228"/>
        <v/>
      </c>
      <c r="S711" s="193" t="str">
        <f t="shared" si="242"/>
        <v/>
      </c>
      <c r="T711" s="194" t="str">
        <f t="shared" si="229"/>
        <v/>
      </c>
      <c r="U711" s="192" t="str">
        <f t="shared" si="243"/>
        <v/>
      </c>
      <c r="V711" s="195" t="str">
        <f t="shared" si="230"/>
        <v/>
      </c>
      <c r="W711" s="195" t="str">
        <f t="shared" si="231"/>
        <v/>
      </c>
      <c r="X711" s="196" t="str">
        <f t="shared" si="244"/>
        <v/>
      </c>
      <c r="Y711" s="191" t="str">
        <f t="shared" si="246"/>
        <v/>
      </c>
      <c r="Z711" s="197" t="str">
        <f t="shared" si="232"/>
        <v/>
      </c>
      <c r="AA711" s="197" t="str">
        <f t="shared" si="233"/>
        <v/>
      </c>
      <c r="AB711" s="213"/>
      <c r="AC711" s="204"/>
    </row>
    <row r="712" spans="1:29" ht="11.4">
      <c r="A712" s="211" t="str">
        <f t="shared" si="245"/>
        <v/>
      </c>
      <c r="B712" s="211"/>
      <c r="C712" s="185"/>
      <c r="D712" s="186" t="str">
        <f t="shared" si="234"/>
        <v/>
      </c>
      <c r="E712" s="186" t="str">
        <f>IF(OR(C712="",C712=Data!$B$3),"",IF(C712=Data!$B$4,"L","S"))</f>
        <v/>
      </c>
      <c r="F712" s="186" t="str">
        <f t="shared" si="235"/>
        <v/>
      </c>
      <c r="G712" s="187" t="str">
        <f t="shared" si="226"/>
        <v/>
      </c>
      <c r="H712" s="188"/>
      <c r="I712" s="189" t="str">
        <f t="shared" si="236"/>
        <v/>
      </c>
      <c r="J712" s="189" t="str">
        <f t="shared" si="237"/>
        <v/>
      </c>
      <c r="K712" s="190" t="str">
        <f t="shared" si="238"/>
        <v/>
      </c>
      <c r="L712" s="190" t="str">
        <f t="shared" si="239"/>
        <v/>
      </c>
      <c r="M712" s="214"/>
      <c r="N712" s="214"/>
      <c r="O712" s="189" t="str">
        <f t="shared" si="240"/>
        <v/>
      </c>
      <c r="P712" s="191" t="str">
        <f t="shared" si="227"/>
        <v/>
      </c>
      <c r="Q712" s="192" t="str">
        <f t="shared" si="241"/>
        <v/>
      </c>
      <c r="R712" s="191" t="str">
        <f t="shared" si="228"/>
        <v/>
      </c>
      <c r="S712" s="193" t="str">
        <f t="shared" si="242"/>
        <v/>
      </c>
      <c r="T712" s="194" t="str">
        <f t="shared" si="229"/>
        <v/>
      </c>
      <c r="U712" s="192" t="str">
        <f t="shared" si="243"/>
        <v/>
      </c>
      <c r="V712" s="195" t="str">
        <f t="shared" si="230"/>
        <v/>
      </c>
      <c r="W712" s="195" t="str">
        <f t="shared" si="231"/>
        <v/>
      </c>
      <c r="X712" s="196" t="str">
        <f t="shared" si="244"/>
        <v/>
      </c>
      <c r="Y712" s="191" t="str">
        <f t="shared" si="246"/>
        <v/>
      </c>
      <c r="Z712" s="197" t="str">
        <f t="shared" si="232"/>
        <v/>
      </c>
      <c r="AA712" s="197" t="str">
        <f t="shared" si="233"/>
        <v/>
      </c>
      <c r="AB712" s="213"/>
      <c r="AC712" s="204"/>
    </row>
    <row r="713" spans="1:29" ht="11.4">
      <c r="A713" s="211" t="str">
        <f t="shared" si="245"/>
        <v/>
      </c>
      <c r="B713" s="211"/>
      <c r="C713" s="185"/>
      <c r="D713" s="186" t="str">
        <f t="shared" si="234"/>
        <v/>
      </c>
      <c r="E713" s="186" t="str">
        <f>IF(OR(C713="",C713=Data!$B$3),"",IF(C713=Data!$B$4,"L","S"))</f>
        <v/>
      </c>
      <c r="F713" s="186" t="str">
        <f t="shared" si="235"/>
        <v/>
      </c>
      <c r="G713" s="187" t="str">
        <f t="shared" si="226"/>
        <v/>
      </c>
      <c r="H713" s="188"/>
      <c r="I713" s="189" t="str">
        <f t="shared" si="236"/>
        <v/>
      </c>
      <c r="J713" s="189" t="str">
        <f t="shared" si="237"/>
        <v/>
      </c>
      <c r="K713" s="190" t="str">
        <f t="shared" si="238"/>
        <v/>
      </c>
      <c r="L713" s="190" t="str">
        <f t="shared" si="239"/>
        <v/>
      </c>
      <c r="M713" s="214"/>
      <c r="N713" s="214"/>
      <c r="O713" s="189" t="str">
        <f t="shared" si="240"/>
        <v/>
      </c>
      <c r="P713" s="191" t="str">
        <f t="shared" si="227"/>
        <v/>
      </c>
      <c r="Q713" s="192" t="str">
        <f t="shared" si="241"/>
        <v/>
      </c>
      <c r="R713" s="191" t="str">
        <f t="shared" si="228"/>
        <v/>
      </c>
      <c r="S713" s="193" t="str">
        <f t="shared" si="242"/>
        <v/>
      </c>
      <c r="T713" s="194" t="str">
        <f t="shared" si="229"/>
        <v/>
      </c>
      <c r="U713" s="192" t="str">
        <f t="shared" si="243"/>
        <v/>
      </c>
      <c r="V713" s="195" t="str">
        <f t="shared" si="230"/>
        <v/>
      </c>
      <c r="W713" s="195" t="str">
        <f t="shared" si="231"/>
        <v/>
      </c>
      <c r="X713" s="196" t="str">
        <f t="shared" si="244"/>
        <v/>
      </c>
      <c r="Y713" s="191" t="str">
        <f t="shared" si="246"/>
        <v/>
      </c>
      <c r="Z713" s="197" t="str">
        <f t="shared" si="232"/>
        <v/>
      </c>
      <c r="AA713" s="197" t="str">
        <f t="shared" si="233"/>
        <v/>
      </c>
      <c r="AB713" s="213"/>
      <c r="AC713" s="204"/>
    </row>
    <row r="714" spans="1:29" ht="11.4">
      <c r="A714" s="211" t="str">
        <f t="shared" si="245"/>
        <v/>
      </c>
      <c r="B714" s="211"/>
      <c r="C714" s="185"/>
      <c r="D714" s="186" t="str">
        <f t="shared" si="234"/>
        <v/>
      </c>
      <c r="E714" s="186" t="str">
        <f>IF(OR(C714="",C714=Data!$B$3),"",IF(C714=Data!$B$4,"L","S"))</f>
        <v/>
      </c>
      <c r="F714" s="186" t="str">
        <f t="shared" si="235"/>
        <v/>
      </c>
      <c r="G714" s="187" t="str">
        <f t="shared" si="226"/>
        <v/>
      </c>
      <c r="H714" s="188"/>
      <c r="I714" s="189" t="str">
        <f t="shared" si="236"/>
        <v/>
      </c>
      <c r="J714" s="189" t="str">
        <f t="shared" si="237"/>
        <v/>
      </c>
      <c r="K714" s="190" t="str">
        <f t="shared" si="238"/>
        <v/>
      </c>
      <c r="L714" s="190" t="str">
        <f t="shared" si="239"/>
        <v/>
      </c>
      <c r="M714" s="214"/>
      <c r="N714" s="214"/>
      <c r="O714" s="189" t="str">
        <f t="shared" si="240"/>
        <v/>
      </c>
      <c r="P714" s="191" t="str">
        <f t="shared" si="227"/>
        <v/>
      </c>
      <c r="Q714" s="192" t="str">
        <f t="shared" si="241"/>
        <v/>
      </c>
      <c r="R714" s="191" t="str">
        <f t="shared" si="228"/>
        <v/>
      </c>
      <c r="S714" s="193" t="str">
        <f t="shared" si="242"/>
        <v/>
      </c>
      <c r="T714" s="194" t="str">
        <f t="shared" si="229"/>
        <v/>
      </c>
      <c r="U714" s="192" t="str">
        <f t="shared" si="243"/>
        <v/>
      </c>
      <c r="V714" s="195" t="str">
        <f t="shared" si="230"/>
        <v/>
      </c>
      <c r="W714" s="195" t="str">
        <f t="shared" si="231"/>
        <v/>
      </c>
      <c r="X714" s="196" t="str">
        <f t="shared" si="244"/>
        <v/>
      </c>
      <c r="Y714" s="191" t="str">
        <f t="shared" si="246"/>
        <v/>
      </c>
      <c r="Z714" s="197" t="str">
        <f t="shared" si="232"/>
        <v/>
      </c>
      <c r="AA714" s="197" t="str">
        <f t="shared" si="233"/>
        <v/>
      </c>
      <c r="AB714" s="213"/>
      <c r="AC714" s="204"/>
    </row>
    <row r="715" spans="1:29" ht="11.4">
      <c r="A715" s="211" t="str">
        <f t="shared" si="245"/>
        <v/>
      </c>
      <c r="B715" s="211"/>
      <c r="C715" s="185"/>
      <c r="D715" s="186" t="str">
        <f t="shared" si="234"/>
        <v/>
      </c>
      <c r="E715" s="186" t="str">
        <f>IF(OR(C715="",C715=Data!$B$3),"",IF(C715=Data!$B$4,"L","S"))</f>
        <v/>
      </c>
      <c r="F715" s="186" t="str">
        <f t="shared" si="235"/>
        <v/>
      </c>
      <c r="G715" s="187" t="str">
        <f t="shared" si="226"/>
        <v/>
      </c>
      <c r="H715" s="188"/>
      <c r="I715" s="189" t="str">
        <f t="shared" si="236"/>
        <v/>
      </c>
      <c r="J715" s="189" t="str">
        <f t="shared" si="237"/>
        <v/>
      </c>
      <c r="K715" s="190" t="str">
        <f t="shared" si="238"/>
        <v/>
      </c>
      <c r="L715" s="190" t="str">
        <f t="shared" si="239"/>
        <v/>
      </c>
      <c r="M715" s="214"/>
      <c r="N715" s="214"/>
      <c r="O715" s="189" t="str">
        <f t="shared" si="240"/>
        <v/>
      </c>
      <c r="P715" s="191" t="str">
        <f t="shared" si="227"/>
        <v/>
      </c>
      <c r="Q715" s="192" t="str">
        <f t="shared" si="241"/>
        <v/>
      </c>
      <c r="R715" s="191" t="str">
        <f t="shared" si="228"/>
        <v/>
      </c>
      <c r="S715" s="193" t="str">
        <f t="shared" si="242"/>
        <v/>
      </c>
      <c r="T715" s="194" t="str">
        <f t="shared" si="229"/>
        <v/>
      </c>
      <c r="U715" s="192" t="str">
        <f t="shared" si="243"/>
        <v/>
      </c>
      <c r="V715" s="195" t="str">
        <f t="shared" si="230"/>
        <v/>
      </c>
      <c r="W715" s="195" t="str">
        <f t="shared" si="231"/>
        <v/>
      </c>
      <c r="X715" s="196" t="str">
        <f t="shared" si="244"/>
        <v/>
      </c>
      <c r="Y715" s="191" t="str">
        <f t="shared" si="246"/>
        <v/>
      </c>
      <c r="Z715" s="197" t="str">
        <f t="shared" si="232"/>
        <v/>
      </c>
      <c r="AA715" s="197" t="str">
        <f t="shared" si="233"/>
        <v/>
      </c>
      <c r="AB715" s="213"/>
      <c r="AC715" s="204"/>
    </row>
    <row r="716" spans="1:29" ht="11.4">
      <c r="A716" s="211" t="str">
        <f t="shared" si="245"/>
        <v/>
      </c>
      <c r="B716" s="211"/>
      <c r="C716" s="185"/>
      <c r="D716" s="186" t="str">
        <f t="shared" si="234"/>
        <v/>
      </c>
      <c r="E716" s="186" t="str">
        <f>IF(OR(C716="",C716=Data!$B$3),"",IF(C716=Data!$B$4,"L","S"))</f>
        <v/>
      </c>
      <c r="F716" s="186" t="str">
        <f t="shared" si="235"/>
        <v/>
      </c>
      <c r="G716" s="187" t="str">
        <f t="shared" ref="G716:G779" si="247">IF(A716="","",$D$3)</f>
        <v/>
      </c>
      <c r="H716" s="188"/>
      <c r="I716" s="189" t="str">
        <f t="shared" si="236"/>
        <v/>
      </c>
      <c r="J716" s="189" t="str">
        <f t="shared" si="237"/>
        <v/>
      </c>
      <c r="K716" s="190" t="str">
        <f t="shared" si="238"/>
        <v/>
      </c>
      <c r="L716" s="190" t="str">
        <f t="shared" si="239"/>
        <v/>
      </c>
      <c r="M716" s="214"/>
      <c r="N716" s="214"/>
      <c r="O716" s="189" t="str">
        <f t="shared" si="240"/>
        <v/>
      </c>
      <c r="P716" s="191" t="str">
        <f t="shared" ref="P716:P779" si="248">IF(O716="","",IF(L716*F716*G716=0,0,L716*F716*G716))</f>
        <v/>
      </c>
      <c r="Q716" s="192" t="str">
        <f t="shared" si="241"/>
        <v/>
      </c>
      <c r="R716" s="191" t="str">
        <f t="shared" ref="R716:R779" si="249">IF(O716&lt;&gt;"",IF(K716*F716*G716=0,"",K716*F716*G716),"")</f>
        <v/>
      </c>
      <c r="S716" s="193" t="str">
        <f t="shared" si="242"/>
        <v/>
      </c>
      <c r="T716" s="194" t="str">
        <f t="shared" ref="T716:T779" si="250">IF(X716="","",X716*F716*G716)</f>
        <v/>
      </c>
      <c r="U716" s="192" t="str">
        <f t="shared" si="243"/>
        <v/>
      </c>
      <c r="V716" s="195" t="str">
        <f t="shared" ref="V716:V779" si="251">IF(O716="","",IF(AND(O716&gt;I716,E716="L"),1, IF(AND(I716&gt;O716,E716="S"),1,0)))</f>
        <v/>
      </c>
      <c r="W716" s="195" t="str">
        <f t="shared" ref="W716:W779" si="252">IF(O716="","",IF(AND(O716&lt;I716,E716="L"),1, IF(AND(I716&lt;O716,E716="S"),1,0)))</f>
        <v/>
      </c>
      <c r="X716" s="196" t="str">
        <f t="shared" si="244"/>
        <v/>
      </c>
      <c r="Y716" s="191" t="str">
        <f t="shared" si="246"/>
        <v/>
      </c>
      <c r="Z716" s="197" t="str">
        <f t="shared" ref="Z716:Z779" si="253">IF(M716="","",MONTH(M716))</f>
        <v/>
      </c>
      <c r="AA716" s="197" t="str">
        <f t="shared" ref="AA716:AA779" si="254">IF(M716="","",YEAR(M716))</f>
        <v/>
      </c>
      <c r="AB716" s="213"/>
      <c r="AC716" s="204"/>
    </row>
    <row r="717" spans="1:29" ht="11.4">
      <c r="A717" s="211" t="str">
        <f t="shared" si="245"/>
        <v/>
      </c>
      <c r="B717" s="211"/>
      <c r="C717" s="185"/>
      <c r="D717" s="186" t="str">
        <f t="shared" ref="D717:D780" si="255">IF(A717&lt;&gt;"","GBPUSD","")</f>
        <v/>
      </c>
      <c r="E717" s="186" t="str">
        <f>IF(OR(C717="",C717=Data!$B$3),"",IF(C717=Data!$B$4,"L","S"))</f>
        <v/>
      </c>
      <c r="F717" s="186" t="str">
        <f t="shared" ref="F717:F780" si="256">IF(A717&lt;&gt;"",$D$2,"")</f>
        <v/>
      </c>
      <c r="G717" s="187" t="str">
        <f t="shared" si="247"/>
        <v/>
      </c>
      <c r="H717" s="188"/>
      <c r="I717" s="189" t="str">
        <f t="shared" ref="I717:I780" si="257">IF(H717="","",IF(E717="L",H717+$D$4*0.0001,H717-$D$4*0.0001))</f>
        <v/>
      </c>
      <c r="J717" s="189" t="str">
        <f t="shared" ref="J717:J780" si="258">IF(AND(H717&lt;&gt;"",I717&lt;&gt;""),IF(E717="L",I717+(I717-H717)*3,I717-(H717-I717)*3),"")</f>
        <v/>
      </c>
      <c r="K717" s="190" t="str">
        <f t="shared" ref="K717:K780" si="259">IF(AND(E717&lt;&gt;"",AND(I717&lt;&gt;"",J717&lt;&gt;"")),IF(E717="L",(J717-I717)*IF(I717&gt;10,IF(SEARCH("JPY",D717),10,100),10000),(I717-J717)*IF(I717&gt;10,IF(SEARCH("JPY",D717),10,100),10000)),"")</f>
        <v/>
      </c>
      <c r="L717" s="190" t="str">
        <f t="shared" ref="L717:L780" si="260">IF(AND(E717&lt;&gt;"",AND(H717&lt;&gt;"",I717&lt;&gt;"")),IF(E717="L",(I717-H717)*IF(I717&gt;10,IF(SEARCH("JPY",D717),10,100),10000),(H717-I717)*IF(I717&gt;10,IF(SEARCH("JPY",D717),10,100),10000)),"")</f>
        <v/>
      </c>
      <c r="M717" s="214"/>
      <c r="N717" s="214"/>
      <c r="O717" s="189" t="str">
        <f t="shared" ref="O717:O780" si="261">IF(H717&lt;&gt;"",H717, "")</f>
        <v/>
      </c>
      <c r="P717" s="191" t="str">
        <f t="shared" si="248"/>
        <v/>
      </c>
      <c r="Q717" s="192" t="str">
        <f t="shared" ref="Q717:Q780" si="262">IF(P717="","",IF(P717=0,0,P717/$I$4))</f>
        <v/>
      </c>
      <c r="R717" s="191" t="str">
        <f t="shared" si="249"/>
        <v/>
      </c>
      <c r="S717" s="193" t="str">
        <f t="shared" ref="S717:S780" si="263">IF(P717="","",IF(P717=0,0,R717/P717))</f>
        <v/>
      </c>
      <c r="T717" s="194" t="str">
        <f t="shared" si="250"/>
        <v/>
      </c>
      <c r="U717" s="192" t="str">
        <f t="shared" ref="U717:U780" si="264">IF(T717="","",IF($I$4="","",T717/$I$4))</f>
        <v/>
      </c>
      <c r="V717" s="195" t="str">
        <f t="shared" si="251"/>
        <v/>
      </c>
      <c r="W717" s="195" t="str">
        <f t="shared" si="252"/>
        <v/>
      </c>
      <c r="X717" s="196" t="str">
        <f t="shared" ref="X717:X780" si="265">IF((O717=""),"",IF(E717="L",1,-1)*(O717-I717)*IF(O717&gt;10,IF(SEARCH("JPY",D717),10,100),10000))</f>
        <v/>
      </c>
      <c r="Y717" s="191" t="str">
        <f t="shared" si="246"/>
        <v/>
      </c>
      <c r="Z717" s="197" t="str">
        <f t="shared" si="253"/>
        <v/>
      </c>
      <c r="AA717" s="197" t="str">
        <f t="shared" si="254"/>
        <v/>
      </c>
      <c r="AB717" s="213"/>
      <c r="AC717" s="204"/>
    </row>
    <row r="718" spans="1:29" ht="11.4">
      <c r="A718" s="211" t="str">
        <f t="shared" ref="A718:A781" si="266">IF(C718="","",A717+1)</f>
        <v/>
      </c>
      <c r="B718" s="211"/>
      <c r="C718" s="185"/>
      <c r="D718" s="186" t="str">
        <f t="shared" si="255"/>
        <v/>
      </c>
      <c r="E718" s="186" t="str">
        <f>IF(OR(C718="",C718=Data!$B$3),"",IF(C718=Data!$B$4,"L","S"))</f>
        <v/>
      </c>
      <c r="F718" s="186" t="str">
        <f t="shared" si="256"/>
        <v/>
      </c>
      <c r="G718" s="187" t="str">
        <f t="shared" si="247"/>
        <v/>
      </c>
      <c r="H718" s="188"/>
      <c r="I718" s="189" t="str">
        <f t="shared" si="257"/>
        <v/>
      </c>
      <c r="J718" s="189" t="str">
        <f t="shared" si="258"/>
        <v/>
      </c>
      <c r="K718" s="190" t="str">
        <f t="shared" si="259"/>
        <v/>
      </c>
      <c r="L718" s="190" t="str">
        <f t="shared" si="260"/>
        <v/>
      </c>
      <c r="M718" s="214"/>
      <c r="N718" s="214"/>
      <c r="O718" s="189" t="str">
        <f t="shared" si="261"/>
        <v/>
      </c>
      <c r="P718" s="191" t="str">
        <f t="shared" si="248"/>
        <v/>
      </c>
      <c r="Q718" s="192" t="str">
        <f t="shared" si="262"/>
        <v/>
      </c>
      <c r="R718" s="191" t="str">
        <f t="shared" si="249"/>
        <v/>
      </c>
      <c r="S718" s="193" t="str">
        <f t="shared" si="263"/>
        <v/>
      </c>
      <c r="T718" s="194" t="str">
        <f t="shared" si="250"/>
        <v/>
      </c>
      <c r="U718" s="192" t="str">
        <f t="shared" si="264"/>
        <v/>
      </c>
      <c r="V718" s="195" t="str">
        <f t="shared" si="251"/>
        <v/>
      </c>
      <c r="W718" s="195" t="str">
        <f t="shared" si="252"/>
        <v/>
      </c>
      <c r="X718" s="196" t="str">
        <f t="shared" si="265"/>
        <v/>
      </c>
      <c r="Y718" s="191" t="str">
        <f t="shared" si="246"/>
        <v/>
      </c>
      <c r="Z718" s="197" t="str">
        <f t="shared" si="253"/>
        <v/>
      </c>
      <c r="AA718" s="197" t="str">
        <f t="shared" si="254"/>
        <v/>
      </c>
      <c r="AB718" s="213"/>
      <c r="AC718" s="204"/>
    </row>
    <row r="719" spans="1:29" ht="11.4">
      <c r="A719" s="211" t="str">
        <f t="shared" si="266"/>
        <v/>
      </c>
      <c r="B719" s="211"/>
      <c r="C719" s="185"/>
      <c r="D719" s="186" t="str">
        <f t="shared" si="255"/>
        <v/>
      </c>
      <c r="E719" s="186" t="str">
        <f>IF(OR(C719="",C719=Data!$B$3),"",IF(C719=Data!$B$4,"L","S"))</f>
        <v/>
      </c>
      <c r="F719" s="186" t="str">
        <f t="shared" si="256"/>
        <v/>
      </c>
      <c r="G719" s="187" t="str">
        <f t="shared" si="247"/>
        <v/>
      </c>
      <c r="H719" s="188"/>
      <c r="I719" s="189" t="str">
        <f t="shared" si="257"/>
        <v/>
      </c>
      <c r="J719" s="189" t="str">
        <f t="shared" si="258"/>
        <v/>
      </c>
      <c r="K719" s="190" t="str">
        <f t="shared" si="259"/>
        <v/>
      </c>
      <c r="L719" s="190" t="str">
        <f t="shared" si="260"/>
        <v/>
      </c>
      <c r="M719" s="214"/>
      <c r="N719" s="214"/>
      <c r="O719" s="189" t="str">
        <f t="shared" si="261"/>
        <v/>
      </c>
      <c r="P719" s="191" t="str">
        <f t="shared" si="248"/>
        <v/>
      </c>
      <c r="Q719" s="192" t="str">
        <f t="shared" si="262"/>
        <v/>
      </c>
      <c r="R719" s="191" t="str">
        <f t="shared" si="249"/>
        <v/>
      </c>
      <c r="S719" s="193" t="str">
        <f t="shared" si="263"/>
        <v/>
      </c>
      <c r="T719" s="194" t="str">
        <f t="shared" si="250"/>
        <v/>
      </c>
      <c r="U719" s="192" t="str">
        <f t="shared" si="264"/>
        <v/>
      </c>
      <c r="V719" s="195" t="str">
        <f t="shared" si="251"/>
        <v/>
      </c>
      <c r="W719" s="195" t="str">
        <f t="shared" si="252"/>
        <v/>
      </c>
      <c r="X719" s="196" t="str">
        <f t="shared" si="265"/>
        <v/>
      </c>
      <c r="Y719" s="191" t="str">
        <f t="shared" si="246"/>
        <v/>
      </c>
      <c r="Z719" s="197" t="str">
        <f t="shared" si="253"/>
        <v/>
      </c>
      <c r="AA719" s="197" t="str">
        <f t="shared" si="254"/>
        <v/>
      </c>
      <c r="AB719" s="213"/>
      <c r="AC719" s="204"/>
    </row>
    <row r="720" spans="1:29" ht="11.4">
      <c r="A720" s="211" t="str">
        <f t="shared" si="266"/>
        <v/>
      </c>
      <c r="B720" s="211"/>
      <c r="C720" s="185"/>
      <c r="D720" s="186" t="str">
        <f t="shared" si="255"/>
        <v/>
      </c>
      <c r="E720" s="186" t="str">
        <f>IF(OR(C720="",C720=Data!$B$3),"",IF(C720=Data!$B$4,"L","S"))</f>
        <v/>
      </c>
      <c r="F720" s="186" t="str">
        <f t="shared" si="256"/>
        <v/>
      </c>
      <c r="G720" s="187" t="str">
        <f t="shared" si="247"/>
        <v/>
      </c>
      <c r="H720" s="188"/>
      <c r="I720" s="189" t="str">
        <f t="shared" si="257"/>
        <v/>
      </c>
      <c r="J720" s="189" t="str">
        <f t="shared" si="258"/>
        <v/>
      </c>
      <c r="K720" s="190" t="str">
        <f t="shared" si="259"/>
        <v/>
      </c>
      <c r="L720" s="190" t="str">
        <f t="shared" si="260"/>
        <v/>
      </c>
      <c r="M720" s="214"/>
      <c r="N720" s="214"/>
      <c r="O720" s="189" t="str">
        <f t="shared" si="261"/>
        <v/>
      </c>
      <c r="P720" s="191" t="str">
        <f t="shared" si="248"/>
        <v/>
      </c>
      <c r="Q720" s="192" t="str">
        <f t="shared" si="262"/>
        <v/>
      </c>
      <c r="R720" s="191" t="str">
        <f t="shared" si="249"/>
        <v/>
      </c>
      <c r="S720" s="193" t="str">
        <f t="shared" si="263"/>
        <v/>
      </c>
      <c r="T720" s="194" t="str">
        <f t="shared" si="250"/>
        <v/>
      </c>
      <c r="U720" s="192" t="str">
        <f t="shared" si="264"/>
        <v/>
      </c>
      <c r="V720" s="195" t="str">
        <f t="shared" si="251"/>
        <v/>
      </c>
      <c r="W720" s="195" t="str">
        <f t="shared" si="252"/>
        <v/>
      </c>
      <c r="X720" s="196" t="str">
        <f t="shared" si="265"/>
        <v/>
      </c>
      <c r="Y720" s="191" t="str">
        <f t="shared" si="246"/>
        <v/>
      </c>
      <c r="Z720" s="197" t="str">
        <f t="shared" si="253"/>
        <v/>
      </c>
      <c r="AA720" s="197" t="str">
        <f t="shared" si="254"/>
        <v/>
      </c>
      <c r="AB720" s="213"/>
      <c r="AC720" s="204"/>
    </row>
    <row r="721" spans="1:29" ht="11.4">
      <c r="A721" s="211" t="str">
        <f t="shared" si="266"/>
        <v/>
      </c>
      <c r="B721" s="211"/>
      <c r="C721" s="185"/>
      <c r="D721" s="186" t="str">
        <f t="shared" si="255"/>
        <v/>
      </c>
      <c r="E721" s="186" t="str">
        <f>IF(OR(C721="",C721=Data!$B$3),"",IF(C721=Data!$B$4,"L","S"))</f>
        <v/>
      </c>
      <c r="F721" s="186" t="str">
        <f t="shared" si="256"/>
        <v/>
      </c>
      <c r="G721" s="187" t="str">
        <f t="shared" si="247"/>
        <v/>
      </c>
      <c r="H721" s="188"/>
      <c r="I721" s="189" t="str">
        <f t="shared" si="257"/>
        <v/>
      </c>
      <c r="J721" s="189" t="str">
        <f t="shared" si="258"/>
        <v/>
      </c>
      <c r="K721" s="190" t="str">
        <f t="shared" si="259"/>
        <v/>
      </c>
      <c r="L721" s="190" t="str">
        <f t="shared" si="260"/>
        <v/>
      </c>
      <c r="M721" s="214"/>
      <c r="N721" s="214"/>
      <c r="O721" s="189" t="str">
        <f t="shared" si="261"/>
        <v/>
      </c>
      <c r="P721" s="191" t="str">
        <f t="shared" si="248"/>
        <v/>
      </c>
      <c r="Q721" s="192" t="str">
        <f t="shared" si="262"/>
        <v/>
      </c>
      <c r="R721" s="191" t="str">
        <f t="shared" si="249"/>
        <v/>
      </c>
      <c r="S721" s="193" t="str">
        <f t="shared" si="263"/>
        <v/>
      </c>
      <c r="T721" s="194" t="str">
        <f t="shared" si="250"/>
        <v/>
      </c>
      <c r="U721" s="192" t="str">
        <f t="shared" si="264"/>
        <v/>
      </c>
      <c r="V721" s="195" t="str">
        <f t="shared" si="251"/>
        <v/>
      </c>
      <c r="W721" s="195" t="str">
        <f t="shared" si="252"/>
        <v/>
      </c>
      <c r="X721" s="196" t="str">
        <f t="shared" si="265"/>
        <v/>
      </c>
      <c r="Y721" s="191" t="str">
        <f t="shared" si="246"/>
        <v/>
      </c>
      <c r="Z721" s="197" t="str">
        <f t="shared" si="253"/>
        <v/>
      </c>
      <c r="AA721" s="197" t="str">
        <f t="shared" si="254"/>
        <v/>
      </c>
      <c r="AB721" s="213"/>
      <c r="AC721" s="204"/>
    </row>
    <row r="722" spans="1:29" ht="11.4">
      <c r="A722" s="211" t="str">
        <f t="shared" si="266"/>
        <v/>
      </c>
      <c r="B722" s="211"/>
      <c r="C722" s="185"/>
      <c r="D722" s="186" t="str">
        <f t="shared" si="255"/>
        <v/>
      </c>
      <c r="E722" s="186" t="str">
        <f>IF(OR(C722="",C722=Data!$B$3),"",IF(C722=Data!$B$4,"L","S"))</f>
        <v/>
      </c>
      <c r="F722" s="186" t="str">
        <f t="shared" si="256"/>
        <v/>
      </c>
      <c r="G722" s="187" t="str">
        <f t="shared" si="247"/>
        <v/>
      </c>
      <c r="H722" s="188"/>
      <c r="I722" s="189" t="str">
        <f t="shared" si="257"/>
        <v/>
      </c>
      <c r="J722" s="189" t="str">
        <f t="shared" si="258"/>
        <v/>
      </c>
      <c r="K722" s="190" t="str">
        <f t="shared" si="259"/>
        <v/>
      </c>
      <c r="L722" s="190" t="str">
        <f t="shared" si="260"/>
        <v/>
      </c>
      <c r="M722" s="214"/>
      <c r="N722" s="214"/>
      <c r="O722" s="189" t="str">
        <f t="shared" si="261"/>
        <v/>
      </c>
      <c r="P722" s="191" t="str">
        <f t="shared" si="248"/>
        <v/>
      </c>
      <c r="Q722" s="192" t="str">
        <f t="shared" si="262"/>
        <v/>
      </c>
      <c r="R722" s="191" t="str">
        <f t="shared" si="249"/>
        <v/>
      </c>
      <c r="S722" s="193" t="str">
        <f t="shared" si="263"/>
        <v/>
      </c>
      <c r="T722" s="194" t="str">
        <f t="shared" si="250"/>
        <v/>
      </c>
      <c r="U722" s="192" t="str">
        <f t="shared" si="264"/>
        <v/>
      </c>
      <c r="V722" s="195" t="str">
        <f t="shared" si="251"/>
        <v/>
      </c>
      <c r="W722" s="195" t="str">
        <f t="shared" si="252"/>
        <v/>
      </c>
      <c r="X722" s="196" t="str">
        <f t="shared" si="265"/>
        <v/>
      </c>
      <c r="Y722" s="191" t="str">
        <f t="shared" si="246"/>
        <v/>
      </c>
      <c r="Z722" s="197" t="str">
        <f t="shared" si="253"/>
        <v/>
      </c>
      <c r="AA722" s="197" t="str">
        <f t="shared" si="254"/>
        <v/>
      </c>
      <c r="AB722" s="213"/>
      <c r="AC722" s="204"/>
    </row>
    <row r="723" spans="1:29" ht="11.4">
      <c r="A723" s="211" t="str">
        <f t="shared" si="266"/>
        <v/>
      </c>
      <c r="B723" s="211"/>
      <c r="C723" s="185"/>
      <c r="D723" s="186" t="str">
        <f t="shared" si="255"/>
        <v/>
      </c>
      <c r="E723" s="186" t="str">
        <f>IF(OR(C723="",C723=Data!$B$3),"",IF(C723=Data!$B$4,"L","S"))</f>
        <v/>
      </c>
      <c r="F723" s="186" t="str">
        <f t="shared" si="256"/>
        <v/>
      </c>
      <c r="G723" s="187" t="str">
        <f t="shared" si="247"/>
        <v/>
      </c>
      <c r="H723" s="188"/>
      <c r="I723" s="189" t="str">
        <f t="shared" si="257"/>
        <v/>
      </c>
      <c r="J723" s="189" t="str">
        <f t="shared" si="258"/>
        <v/>
      </c>
      <c r="K723" s="190" t="str">
        <f t="shared" si="259"/>
        <v/>
      </c>
      <c r="L723" s="190" t="str">
        <f t="shared" si="260"/>
        <v/>
      </c>
      <c r="M723" s="214"/>
      <c r="N723" s="214"/>
      <c r="O723" s="189" t="str">
        <f t="shared" si="261"/>
        <v/>
      </c>
      <c r="P723" s="191" t="str">
        <f t="shared" si="248"/>
        <v/>
      </c>
      <c r="Q723" s="192" t="str">
        <f t="shared" si="262"/>
        <v/>
      </c>
      <c r="R723" s="191" t="str">
        <f t="shared" si="249"/>
        <v/>
      </c>
      <c r="S723" s="193" t="str">
        <f t="shared" si="263"/>
        <v/>
      </c>
      <c r="T723" s="194" t="str">
        <f t="shared" si="250"/>
        <v/>
      </c>
      <c r="U723" s="192" t="str">
        <f t="shared" si="264"/>
        <v/>
      </c>
      <c r="V723" s="195" t="str">
        <f t="shared" si="251"/>
        <v/>
      </c>
      <c r="W723" s="195" t="str">
        <f t="shared" si="252"/>
        <v/>
      </c>
      <c r="X723" s="196" t="str">
        <f t="shared" si="265"/>
        <v/>
      </c>
      <c r="Y723" s="191" t="str">
        <f t="shared" si="246"/>
        <v/>
      </c>
      <c r="Z723" s="197" t="str">
        <f t="shared" si="253"/>
        <v/>
      </c>
      <c r="AA723" s="197" t="str">
        <f t="shared" si="254"/>
        <v/>
      </c>
      <c r="AB723" s="213"/>
      <c r="AC723" s="204"/>
    </row>
    <row r="724" spans="1:29" ht="11.4">
      <c r="A724" s="211" t="str">
        <f t="shared" si="266"/>
        <v/>
      </c>
      <c r="B724" s="211"/>
      <c r="C724" s="185"/>
      <c r="D724" s="186" t="str">
        <f t="shared" si="255"/>
        <v/>
      </c>
      <c r="E724" s="186" t="str">
        <f>IF(OR(C724="",C724=Data!$B$3),"",IF(C724=Data!$B$4,"L","S"))</f>
        <v/>
      </c>
      <c r="F724" s="186" t="str">
        <f t="shared" si="256"/>
        <v/>
      </c>
      <c r="G724" s="187" t="str">
        <f t="shared" si="247"/>
        <v/>
      </c>
      <c r="H724" s="188"/>
      <c r="I724" s="189" t="str">
        <f t="shared" si="257"/>
        <v/>
      </c>
      <c r="J724" s="189" t="str">
        <f t="shared" si="258"/>
        <v/>
      </c>
      <c r="K724" s="190" t="str">
        <f t="shared" si="259"/>
        <v/>
      </c>
      <c r="L724" s="190" t="str">
        <f t="shared" si="260"/>
        <v/>
      </c>
      <c r="M724" s="214"/>
      <c r="N724" s="214"/>
      <c r="O724" s="189" t="str">
        <f t="shared" si="261"/>
        <v/>
      </c>
      <c r="P724" s="191" t="str">
        <f t="shared" si="248"/>
        <v/>
      </c>
      <c r="Q724" s="192" t="str">
        <f t="shared" si="262"/>
        <v/>
      </c>
      <c r="R724" s="191" t="str">
        <f t="shared" si="249"/>
        <v/>
      </c>
      <c r="S724" s="193" t="str">
        <f t="shared" si="263"/>
        <v/>
      </c>
      <c r="T724" s="194" t="str">
        <f t="shared" si="250"/>
        <v/>
      </c>
      <c r="U724" s="192" t="str">
        <f t="shared" si="264"/>
        <v/>
      </c>
      <c r="V724" s="195" t="str">
        <f t="shared" si="251"/>
        <v/>
      </c>
      <c r="W724" s="195" t="str">
        <f t="shared" si="252"/>
        <v/>
      </c>
      <c r="X724" s="196" t="str">
        <f t="shared" si="265"/>
        <v/>
      </c>
      <c r="Y724" s="191" t="str">
        <f t="shared" ref="Y724:Y787" si="267">IF(Y723="","",IF(T724="","",Y723+T724))</f>
        <v/>
      </c>
      <c r="Z724" s="197" t="str">
        <f t="shared" si="253"/>
        <v/>
      </c>
      <c r="AA724" s="197" t="str">
        <f t="shared" si="254"/>
        <v/>
      </c>
      <c r="AB724" s="213"/>
      <c r="AC724" s="204"/>
    </row>
    <row r="725" spans="1:29" ht="11.4">
      <c r="A725" s="211" t="str">
        <f t="shared" si="266"/>
        <v/>
      </c>
      <c r="B725" s="211"/>
      <c r="C725" s="185"/>
      <c r="D725" s="186" t="str">
        <f t="shared" si="255"/>
        <v/>
      </c>
      <c r="E725" s="186" t="str">
        <f>IF(OR(C725="",C725=Data!$B$3),"",IF(C725=Data!$B$4,"L","S"))</f>
        <v/>
      </c>
      <c r="F725" s="186" t="str">
        <f t="shared" si="256"/>
        <v/>
      </c>
      <c r="G725" s="187" t="str">
        <f t="shared" si="247"/>
        <v/>
      </c>
      <c r="H725" s="188"/>
      <c r="I725" s="189" t="str">
        <f t="shared" si="257"/>
        <v/>
      </c>
      <c r="J725" s="189" t="str">
        <f t="shared" si="258"/>
        <v/>
      </c>
      <c r="K725" s="190" t="str">
        <f t="shared" si="259"/>
        <v/>
      </c>
      <c r="L725" s="190" t="str">
        <f t="shared" si="260"/>
        <v/>
      </c>
      <c r="M725" s="214"/>
      <c r="N725" s="214"/>
      <c r="O725" s="189" t="str">
        <f t="shared" si="261"/>
        <v/>
      </c>
      <c r="P725" s="191" t="str">
        <f t="shared" si="248"/>
        <v/>
      </c>
      <c r="Q725" s="192" t="str">
        <f t="shared" si="262"/>
        <v/>
      </c>
      <c r="R725" s="191" t="str">
        <f t="shared" si="249"/>
        <v/>
      </c>
      <c r="S725" s="193" t="str">
        <f t="shared" si="263"/>
        <v/>
      </c>
      <c r="T725" s="194" t="str">
        <f t="shared" si="250"/>
        <v/>
      </c>
      <c r="U725" s="192" t="str">
        <f t="shared" si="264"/>
        <v/>
      </c>
      <c r="V725" s="195" t="str">
        <f t="shared" si="251"/>
        <v/>
      </c>
      <c r="W725" s="195" t="str">
        <f t="shared" si="252"/>
        <v/>
      </c>
      <c r="X725" s="196" t="str">
        <f t="shared" si="265"/>
        <v/>
      </c>
      <c r="Y725" s="191" t="str">
        <f t="shared" si="267"/>
        <v/>
      </c>
      <c r="Z725" s="197" t="str">
        <f t="shared" si="253"/>
        <v/>
      </c>
      <c r="AA725" s="197" t="str">
        <f t="shared" si="254"/>
        <v/>
      </c>
      <c r="AB725" s="213"/>
      <c r="AC725" s="204"/>
    </row>
    <row r="726" spans="1:29" ht="11.4">
      <c r="A726" s="211" t="str">
        <f t="shared" si="266"/>
        <v/>
      </c>
      <c r="B726" s="211"/>
      <c r="C726" s="185"/>
      <c r="D726" s="186" t="str">
        <f t="shared" si="255"/>
        <v/>
      </c>
      <c r="E726" s="186" t="str">
        <f>IF(OR(C726="",C726=Data!$B$3),"",IF(C726=Data!$B$4,"L","S"))</f>
        <v/>
      </c>
      <c r="F726" s="186" t="str">
        <f t="shared" si="256"/>
        <v/>
      </c>
      <c r="G726" s="187" t="str">
        <f t="shared" si="247"/>
        <v/>
      </c>
      <c r="H726" s="188"/>
      <c r="I726" s="189" t="str">
        <f t="shared" si="257"/>
        <v/>
      </c>
      <c r="J726" s="189" t="str">
        <f t="shared" si="258"/>
        <v/>
      </c>
      <c r="K726" s="190" t="str">
        <f t="shared" si="259"/>
        <v/>
      </c>
      <c r="L726" s="190" t="str">
        <f t="shared" si="260"/>
        <v/>
      </c>
      <c r="M726" s="214"/>
      <c r="N726" s="214"/>
      <c r="O726" s="189" t="str">
        <f t="shared" si="261"/>
        <v/>
      </c>
      <c r="P726" s="191" t="str">
        <f t="shared" si="248"/>
        <v/>
      </c>
      <c r="Q726" s="192" t="str">
        <f t="shared" si="262"/>
        <v/>
      </c>
      <c r="R726" s="191" t="str">
        <f t="shared" si="249"/>
        <v/>
      </c>
      <c r="S726" s="193" t="str">
        <f t="shared" si="263"/>
        <v/>
      </c>
      <c r="T726" s="194" t="str">
        <f t="shared" si="250"/>
        <v/>
      </c>
      <c r="U726" s="192" t="str">
        <f t="shared" si="264"/>
        <v/>
      </c>
      <c r="V726" s="195" t="str">
        <f t="shared" si="251"/>
        <v/>
      </c>
      <c r="W726" s="195" t="str">
        <f t="shared" si="252"/>
        <v/>
      </c>
      <c r="X726" s="196" t="str">
        <f t="shared" si="265"/>
        <v/>
      </c>
      <c r="Y726" s="191" t="str">
        <f t="shared" si="267"/>
        <v/>
      </c>
      <c r="Z726" s="197" t="str">
        <f t="shared" si="253"/>
        <v/>
      </c>
      <c r="AA726" s="197" t="str">
        <f t="shared" si="254"/>
        <v/>
      </c>
      <c r="AB726" s="213"/>
      <c r="AC726" s="204"/>
    </row>
    <row r="727" spans="1:29" ht="11.4">
      <c r="A727" s="211" t="str">
        <f t="shared" si="266"/>
        <v/>
      </c>
      <c r="B727" s="211"/>
      <c r="C727" s="185"/>
      <c r="D727" s="186" t="str">
        <f t="shared" si="255"/>
        <v/>
      </c>
      <c r="E727" s="186" t="str">
        <f>IF(OR(C727="",C727=Data!$B$3),"",IF(C727=Data!$B$4,"L","S"))</f>
        <v/>
      </c>
      <c r="F727" s="186" t="str">
        <f t="shared" si="256"/>
        <v/>
      </c>
      <c r="G727" s="187" t="str">
        <f t="shared" si="247"/>
        <v/>
      </c>
      <c r="H727" s="188"/>
      <c r="I727" s="189" t="str">
        <f t="shared" si="257"/>
        <v/>
      </c>
      <c r="J727" s="189" t="str">
        <f t="shared" si="258"/>
        <v/>
      </c>
      <c r="K727" s="190" t="str">
        <f t="shared" si="259"/>
        <v/>
      </c>
      <c r="L727" s="190" t="str">
        <f t="shared" si="260"/>
        <v/>
      </c>
      <c r="M727" s="214"/>
      <c r="N727" s="214"/>
      <c r="O727" s="189" t="str">
        <f t="shared" si="261"/>
        <v/>
      </c>
      <c r="P727" s="191" t="str">
        <f t="shared" si="248"/>
        <v/>
      </c>
      <c r="Q727" s="192" t="str">
        <f t="shared" si="262"/>
        <v/>
      </c>
      <c r="R727" s="191" t="str">
        <f t="shared" si="249"/>
        <v/>
      </c>
      <c r="S727" s="193" t="str">
        <f t="shared" si="263"/>
        <v/>
      </c>
      <c r="T727" s="194" t="str">
        <f t="shared" si="250"/>
        <v/>
      </c>
      <c r="U727" s="192" t="str">
        <f t="shared" si="264"/>
        <v/>
      </c>
      <c r="V727" s="195" t="str">
        <f t="shared" si="251"/>
        <v/>
      </c>
      <c r="W727" s="195" t="str">
        <f t="shared" si="252"/>
        <v/>
      </c>
      <c r="X727" s="196" t="str">
        <f t="shared" si="265"/>
        <v/>
      </c>
      <c r="Y727" s="191" t="str">
        <f t="shared" si="267"/>
        <v/>
      </c>
      <c r="Z727" s="197" t="str">
        <f t="shared" si="253"/>
        <v/>
      </c>
      <c r="AA727" s="197" t="str">
        <f t="shared" si="254"/>
        <v/>
      </c>
      <c r="AB727" s="213"/>
      <c r="AC727" s="204"/>
    </row>
    <row r="728" spans="1:29" ht="11.4">
      <c r="A728" s="211" t="str">
        <f t="shared" si="266"/>
        <v/>
      </c>
      <c r="B728" s="211"/>
      <c r="C728" s="185"/>
      <c r="D728" s="186" t="str">
        <f t="shared" si="255"/>
        <v/>
      </c>
      <c r="E728" s="186" t="str">
        <f>IF(OR(C728="",C728=Data!$B$3),"",IF(C728=Data!$B$4,"L","S"))</f>
        <v/>
      </c>
      <c r="F728" s="186" t="str">
        <f t="shared" si="256"/>
        <v/>
      </c>
      <c r="G728" s="187" t="str">
        <f t="shared" si="247"/>
        <v/>
      </c>
      <c r="H728" s="188"/>
      <c r="I728" s="189" t="str">
        <f t="shared" si="257"/>
        <v/>
      </c>
      <c r="J728" s="189" t="str">
        <f t="shared" si="258"/>
        <v/>
      </c>
      <c r="K728" s="190" t="str">
        <f t="shared" si="259"/>
        <v/>
      </c>
      <c r="L728" s="190" t="str">
        <f t="shared" si="260"/>
        <v/>
      </c>
      <c r="M728" s="214"/>
      <c r="N728" s="214"/>
      <c r="O728" s="189" t="str">
        <f t="shared" si="261"/>
        <v/>
      </c>
      <c r="P728" s="191" t="str">
        <f t="shared" si="248"/>
        <v/>
      </c>
      <c r="Q728" s="192" t="str">
        <f t="shared" si="262"/>
        <v/>
      </c>
      <c r="R728" s="191" t="str">
        <f t="shared" si="249"/>
        <v/>
      </c>
      <c r="S728" s="193" t="str">
        <f t="shared" si="263"/>
        <v/>
      </c>
      <c r="T728" s="194" t="str">
        <f t="shared" si="250"/>
        <v/>
      </c>
      <c r="U728" s="192" t="str">
        <f t="shared" si="264"/>
        <v/>
      </c>
      <c r="V728" s="195" t="str">
        <f t="shared" si="251"/>
        <v/>
      </c>
      <c r="W728" s="195" t="str">
        <f t="shared" si="252"/>
        <v/>
      </c>
      <c r="X728" s="196" t="str">
        <f t="shared" si="265"/>
        <v/>
      </c>
      <c r="Y728" s="191" t="str">
        <f t="shared" si="267"/>
        <v/>
      </c>
      <c r="Z728" s="197" t="str">
        <f t="shared" si="253"/>
        <v/>
      </c>
      <c r="AA728" s="197" t="str">
        <f t="shared" si="254"/>
        <v/>
      </c>
      <c r="AB728" s="213"/>
      <c r="AC728" s="204"/>
    </row>
    <row r="729" spans="1:29" ht="11.4">
      <c r="A729" s="211" t="str">
        <f t="shared" si="266"/>
        <v/>
      </c>
      <c r="B729" s="211"/>
      <c r="C729" s="185"/>
      <c r="D729" s="186" t="str">
        <f t="shared" si="255"/>
        <v/>
      </c>
      <c r="E729" s="186" t="str">
        <f>IF(OR(C729="",C729=Data!$B$3),"",IF(C729=Data!$B$4,"L","S"))</f>
        <v/>
      </c>
      <c r="F729" s="186" t="str">
        <f t="shared" si="256"/>
        <v/>
      </c>
      <c r="G729" s="187" t="str">
        <f t="shared" si="247"/>
        <v/>
      </c>
      <c r="H729" s="188"/>
      <c r="I729" s="189" t="str">
        <f t="shared" si="257"/>
        <v/>
      </c>
      <c r="J729" s="189" t="str">
        <f t="shared" si="258"/>
        <v/>
      </c>
      <c r="K729" s="190" t="str">
        <f t="shared" si="259"/>
        <v/>
      </c>
      <c r="L729" s="190" t="str">
        <f t="shared" si="260"/>
        <v/>
      </c>
      <c r="M729" s="214"/>
      <c r="N729" s="214"/>
      <c r="O729" s="189" t="str">
        <f t="shared" si="261"/>
        <v/>
      </c>
      <c r="P729" s="191" t="str">
        <f t="shared" si="248"/>
        <v/>
      </c>
      <c r="Q729" s="192" t="str">
        <f t="shared" si="262"/>
        <v/>
      </c>
      <c r="R729" s="191" t="str">
        <f t="shared" si="249"/>
        <v/>
      </c>
      <c r="S729" s="193" t="str">
        <f t="shared" si="263"/>
        <v/>
      </c>
      <c r="T729" s="194" t="str">
        <f t="shared" si="250"/>
        <v/>
      </c>
      <c r="U729" s="192" t="str">
        <f t="shared" si="264"/>
        <v/>
      </c>
      <c r="V729" s="195" t="str">
        <f t="shared" si="251"/>
        <v/>
      </c>
      <c r="W729" s="195" t="str">
        <f t="shared" si="252"/>
        <v/>
      </c>
      <c r="X729" s="196" t="str">
        <f t="shared" si="265"/>
        <v/>
      </c>
      <c r="Y729" s="191" t="str">
        <f t="shared" si="267"/>
        <v/>
      </c>
      <c r="Z729" s="197" t="str">
        <f t="shared" si="253"/>
        <v/>
      </c>
      <c r="AA729" s="197" t="str">
        <f t="shared" si="254"/>
        <v/>
      </c>
      <c r="AB729" s="213"/>
      <c r="AC729" s="204"/>
    </row>
    <row r="730" spans="1:29" ht="11.4">
      <c r="A730" s="211" t="str">
        <f t="shared" si="266"/>
        <v/>
      </c>
      <c r="B730" s="211"/>
      <c r="C730" s="185"/>
      <c r="D730" s="186" t="str">
        <f t="shared" si="255"/>
        <v/>
      </c>
      <c r="E730" s="186" t="str">
        <f>IF(OR(C730="",C730=Data!$B$3),"",IF(C730=Data!$B$4,"L","S"))</f>
        <v/>
      </c>
      <c r="F730" s="186" t="str">
        <f t="shared" si="256"/>
        <v/>
      </c>
      <c r="G730" s="187" t="str">
        <f t="shared" si="247"/>
        <v/>
      </c>
      <c r="H730" s="188"/>
      <c r="I730" s="189" t="str">
        <f t="shared" si="257"/>
        <v/>
      </c>
      <c r="J730" s="189" t="str">
        <f t="shared" si="258"/>
        <v/>
      </c>
      <c r="K730" s="190" t="str">
        <f t="shared" si="259"/>
        <v/>
      </c>
      <c r="L730" s="190" t="str">
        <f t="shared" si="260"/>
        <v/>
      </c>
      <c r="M730" s="214"/>
      <c r="N730" s="214"/>
      <c r="O730" s="189" t="str">
        <f t="shared" si="261"/>
        <v/>
      </c>
      <c r="P730" s="191" t="str">
        <f t="shared" si="248"/>
        <v/>
      </c>
      <c r="Q730" s="192" t="str">
        <f t="shared" si="262"/>
        <v/>
      </c>
      <c r="R730" s="191" t="str">
        <f t="shared" si="249"/>
        <v/>
      </c>
      <c r="S730" s="193" t="str">
        <f t="shared" si="263"/>
        <v/>
      </c>
      <c r="T730" s="194" t="str">
        <f t="shared" si="250"/>
        <v/>
      </c>
      <c r="U730" s="192" t="str">
        <f t="shared" si="264"/>
        <v/>
      </c>
      <c r="V730" s="195" t="str">
        <f t="shared" si="251"/>
        <v/>
      </c>
      <c r="W730" s="195" t="str">
        <f t="shared" si="252"/>
        <v/>
      </c>
      <c r="X730" s="196" t="str">
        <f t="shared" si="265"/>
        <v/>
      </c>
      <c r="Y730" s="191" t="str">
        <f t="shared" si="267"/>
        <v/>
      </c>
      <c r="Z730" s="197" t="str">
        <f t="shared" si="253"/>
        <v/>
      </c>
      <c r="AA730" s="197" t="str">
        <f t="shared" si="254"/>
        <v/>
      </c>
      <c r="AB730" s="213"/>
      <c r="AC730" s="204"/>
    </row>
    <row r="731" spans="1:29" ht="11.4">
      <c r="A731" s="211" t="str">
        <f t="shared" si="266"/>
        <v/>
      </c>
      <c r="B731" s="211"/>
      <c r="C731" s="185"/>
      <c r="D731" s="186" t="str">
        <f t="shared" si="255"/>
        <v/>
      </c>
      <c r="E731" s="186" t="str">
        <f>IF(OR(C731="",C731=Data!$B$3),"",IF(C731=Data!$B$4,"L","S"))</f>
        <v/>
      </c>
      <c r="F731" s="186" t="str">
        <f t="shared" si="256"/>
        <v/>
      </c>
      <c r="G731" s="187" t="str">
        <f t="shared" si="247"/>
        <v/>
      </c>
      <c r="H731" s="188"/>
      <c r="I731" s="189" t="str">
        <f t="shared" si="257"/>
        <v/>
      </c>
      <c r="J731" s="189" t="str">
        <f t="shared" si="258"/>
        <v/>
      </c>
      <c r="K731" s="190" t="str">
        <f t="shared" si="259"/>
        <v/>
      </c>
      <c r="L731" s="190" t="str">
        <f t="shared" si="260"/>
        <v/>
      </c>
      <c r="M731" s="214"/>
      <c r="N731" s="214"/>
      <c r="O731" s="189" t="str">
        <f t="shared" si="261"/>
        <v/>
      </c>
      <c r="P731" s="191" t="str">
        <f t="shared" si="248"/>
        <v/>
      </c>
      <c r="Q731" s="192" t="str">
        <f t="shared" si="262"/>
        <v/>
      </c>
      <c r="R731" s="191" t="str">
        <f t="shared" si="249"/>
        <v/>
      </c>
      <c r="S731" s="193" t="str">
        <f t="shared" si="263"/>
        <v/>
      </c>
      <c r="T731" s="194" t="str">
        <f t="shared" si="250"/>
        <v/>
      </c>
      <c r="U731" s="192" t="str">
        <f t="shared" si="264"/>
        <v/>
      </c>
      <c r="V731" s="195" t="str">
        <f t="shared" si="251"/>
        <v/>
      </c>
      <c r="W731" s="195" t="str">
        <f t="shared" si="252"/>
        <v/>
      </c>
      <c r="X731" s="196" t="str">
        <f t="shared" si="265"/>
        <v/>
      </c>
      <c r="Y731" s="191" t="str">
        <f t="shared" si="267"/>
        <v/>
      </c>
      <c r="Z731" s="197" t="str">
        <f t="shared" si="253"/>
        <v/>
      </c>
      <c r="AA731" s="197" t="str">
        <f t="shared" si="254"/>
        <v/>
      </c>
      <c r="AB731" s="213"/>
      <c r="AC731" s="204"/>
    </row>
    <row r="732" spans="1:29" ht="11.4">
      <c r="A732" s="211" t="str">
        <f t="shared" si="266"/>
        <v/>
      </c>
      <c r="B732" s="211"/>
      <c r="C732" s="185"/>
      <c r="D732" s="186" t="str">
        <f t="shared" si="255"/>
        <v/>
      </c>
      <c r="E732" s="186" t="str">
        <f>IF(OR(C732="",C732=Data!$B$3),"",IF(C732=Data!$B$4,"L","S"))</f>
        <v/>
      </c>
      <c r="F732" s="186" t="str">
        <f t="shared" si="256"/>
        <v/>
      </c>
      <c r="G732" s="187" t="str">
        <f t="shared" si="247"/>
        <v/>
      </c>
      <c r="H732" s="188"/>
      <c r="I732" s="189" t="str">
        <f t="shared" si="257"/>
        <v/>
      </c>
      <c r="J732" s="189" t="str">
        <f t="shared" si="258"/>
        <v/>
      </c>
      <c r="K732" s="190" t="str">
        <f t="shared" si="259"/>
        <v/>
      </c>
      <c r="L732" s="190" t="str">
        <f t="shared" si="260"/>
        <v/>
      </c>
      <c r="M732" s="214"/>
      <c r="N732" s="214"/>
      <c r="O732" s="189" t="str">
        <f t="shared" si="261"/>
        <v/>
      </c>
      <c r="P732" s="191" t="str">
        <f t="shared" si="248"/>
        <v/>
      </c>
      <c r="Q732" s="192" t="str">
        <f t="shared" si="262"/>
        <v/>
      </c>
      <c r="R732" s="191" t="str">
        <f t="shared" si="249"/>
        <v/>
      </c>
      <c r="S732" s="193" t="str">
        <f t="shared" si="263"/>
        <v/>
      </c>
      <c r="T732" s="194" t="str">
        <f t="shared" si="250"/>
        <v/>
      </c>
      <c r="U732" s="192" t="str">
        <f t="shared" si="264"/>
        <v/>
      </c>
      <c r="V732" s="195" t="str">
        <f t="shared" si="251"/>
        <v/>
      </c>
      <c r="W732" s="195" t="str">
        <f t="shared" si="252"/>
        <v/>
      </c>
      <c r="X732" s="196" t="str">
        <f t="shared" si="265"/>
        <v/>
      </c>
      <c r="Y732" s="191" t="str">
        <f t="shared" si="267"/>
        <v/>
      </c>
      <c r="Z732" s="197" t="str">
        <f t="shared" si="253"/>
        <v/>
      </c>
      <c r="AA732" s="197" t="str">
        <f t="shared" si="254"/>
        <v/>
      </c>
      <c r="AB732" s="213"/>
      <c r="AC732" s="204"/>
    </row>
    <row r="733" spans="1:29" ht="11.4">
      <c r="A733" s="211" t="str">
        <f t="shared" si="266"/>
        <v/>
      </c>
      <c r="B733" s="211"/>
      <c r="C733" s="185"/>
      <c r="D733" s="186" t="str">
        <f t="shared" si="255"/>
        <v/>
      </c>
      <c r="E733" s="186" t="str">
        <f>IF(OR(C733="",C733=Data!$B$3),"",IF(C733=Data!$B$4,"L","S"))</f>
        <v/>
      </c>
      <c r="F733" s="186" t="str">
        <f t="shared" si="256"/>
        <v/>
      </c>
      <c r="G733" s="187" t="str">
        <f t="shared" si="247"/>
        <v/>
      </c>
      <c r="H733" s="188"/>
      <c r="I733" s="189" t="str">
        <f t="shared" si="257"/>
        <v/>
      </c>
      <c r="J733" s="189" t="str">
        <f t="shared" si="258"/>
        <v/>
      </c>
      <c r="K733" s="190" t="str">
        <f t="shared" si="259"/>
        <v/>
      </c>
      <c r="L733" s="190" t="str">
        <f t="shared" si="260"/>
        <v/>
      </c>
      <c r="M733" s="214"/>
      <c r="N733" s="214"/>
      <c r="O733" s="189" t="str">
        <f t="shared" si="261"/>
        <v/>
      </c>
      <c r="P733" s="191" t="str">
        <f t="shared" si="248"/>
        <v/>
      </c>
      <c r="Q733" s="192" t="str">
        <f t="shared" si="262"/>
        <v/>
      </c>
      <c r="R733" s="191" t="str">
        <f t="shared" si="249"/>
        <v/>
      </c>
      <c r="S733" s="193" t="str">
        <f t="shared" si="263"/>
        <v/>
      </c>
      <c r="T733" s="194" t="str">
        <f t="shared" si="250"/>
        <v/>
      </c>
      <c r="U733" s="192" t="str">
        <f t="shared" si="264"/>
        <v/>
      </c>
      <c r="V733" s="195" t="str">
        <f t="shared" si="251"/>
        <v/>
      </c>
      <c r="W733" s="195" t="str">
        <f t="shared" si="252"/>
        <v/>
      </c>
      <c r="X733" s="196" t="str">
        <f t="shared" si="265"/>
        <v/>
      </c>
      <c r="Y733" s="191" t="str">
        <f t="shared" si="267"/>
        <v/>
      </c>
      <c r="Z733" s="197" t="str">
        <f t="shared" si="253"/>
        <v/>
      </c>
      <c r="AA733" s="197" t="str">
        <f t="shared" si="254"/>
        <v/>
      </c>
      <c r="AB733" s="213"/>
      <c r="AC733" s="204"/>
    </row>
    <row r="734" spans="1:29" ht="11.4">
      <c r="A734" s="211" t="str">
        <f t="shared" si="266"/>
        <v/>
      </c>
      <c r="B734" s="211"/>
      <c r="C734" s="185"/>
      <c r="D734" s="186" t="str">
        <f t="shared" si="255"/>
        <v/>
      </c>
      <c r="E734" s="186" t="str">
        <f>IF(OR(C734="",C734=Data!$B$3),"",IF(C734=Data!$B$4,"L","S"))</f>
        <v/>
      </c>
      <c r="F734" s="186" t="str">
        <f t="shared" si="256"/>
        <v/>
      </c>
      <c r="G734" s="187" t="str">
        <f t="shared" si="247"/>
        <v/>
      </c>
      <c r="H734" s="188"/>
      <c r="I734" s="189" t="str">
        <f t="shared" si="257"/>
        <v/>
      </c>
      <c r="J734" s="189" t="str">
        <f t="shared" si="258"/>
        <v/>
      </c>
      <c r="K734" s="190" t="str">
        <f t="shared" si="259"/>
        <v/>
      </c>
      <c r="L734" s="190" t="str">
        <f t="shared" si="260"/>
        <v/>
      </c>
      <c r="M734" s="214"/>
      <c r="N734" s="214"/>
      <c r="O734" s="189" t="str">
        <f t="shared" si="261"/>
        <v/>
      </c>
      <c r="P734" s="191" t="str">
        <f t="shared" si="248"/>
        <v/>
      </c>
      <c r="Q734" s="192" t="str">
        <f t="shared" si="262"/>
        <v/>
      </c>
      <c r="R734" s="191" t="str">
        <f t="shared" si="249"/>
        <v/>
      </c>
      <c r="S734" s="193" t="str">
        <f t="shared" si="263"/>
        <v/>
      </c>
      <c r="T734" s="194" t="str">
        <f t="shared" si="250"/>
        <v/>
      </c>
      <c r="U734" s="192" t="str">
        <f t="shared" si="264"/>
        <v/>
      </c>
      <c r="V734" s="195" t="str">
        <f t="shared" si="251"/>
        <v/>
      </c>
      <c r="W734" s="195" t="str">
        <f t="shared" si="252"/>
        <v/>
      </c>
      <c r="X734" s="196" t="str">
        <f t="shared" si="265"/>
        <v/>
      </c>
      <c r="Y734" s="191" t="str">
        <f t="shared" si="267"/>
        <v/>
      </c>
      <c r="Z734" s="197" t="str">
        <f t="shared" si="253"/>
        <v/>
      </c>
      <c r="AA734" s="197" t="str">
        <f t="shared" si="254"/>
        <v/>
      </c>
      <c r="AB734" s="213"/>
      <c r="AC734" s="204"/>
    </row>
    <row r="735" spans="1:29" ht="11.4">
      <c r="A735" s="211" t="str">
        <f t="shared" si="266"/>
        <v/>
      </c>
      <c r="B735" s="211"/>
      <c r="C735" s="185"/>
      <c r="D735" s="186" t="str">
        <f t="shared" si="255"/>
        <v/>
      </c>
      <c r="E735" s="186" t="str">
        <f>IF(OR(C735="",C735=Data!$B$3),"",IF(C735=Data!$B$4,"L","S"))</f>
        <v/>
      </c>
      <c r="F735" s="186" t="str">
        <f t="shared" si="256"/>
        <v/>
      </c>
      <c r="G735" s="187" t="str">
        <f t="shared" si="247"/>
        <v/>
      </c>
      <c r="H735" s="188"/>
      <c r="I735" s="189" t="str">
        <f t="shared" si="257"/>
        <v/>
      </c>
      <c r="J735" s="189" t="str">
        <f t="shared" si="258"/>
        <v/>
      </c>
      <c r="K735" s="190" t="str">
        <f t="shared" si="259"/>
        <v/>
      </c>
      <c r="L735" s="190" t="str">
        <f t="shared" si="260"/>
        <v/>
      </c>
      <c r="M735" s="214"/>
      <c r="N735" s="214"/>
      <c r="O735" s="189" t="str">
        <f t="shared" si="261"/>
        <v/>
      </c>
      <c r="P735" s="191" t="str">
        <f t="shared" si="248"/>
        <v/>
      </c>
      <c r="Q735" s="192" t="str">
        <f t="shared" si="262"/>
        <v/>
      </c>
      <c r="R735" s="191" t="str">
        <f t="shared" si="249"/>
        <v/>
      </c>
      <c r="S735" s="193" t="str">
        <f t="shared" si="263"/>
        <v/>
      </c>
      <c r="T735" s="194" t="str">
        <f t="shared" si="250"/>
        <v/>
      </c>
      <c r="U735" s="192" t="str">
        <f t="shared" si="264"/>
        <v/>
      </c>
      <c r="V735" s="195" t="str">
        <f t="shared" si="251"/>
        <v/>
      </c>
      <c r="W735" s="195" t="str">
        <f t="shared" si="252"/>
        <v/>
      </c>
      <c r="X735" s="196" t="str">
        <f t="shared" si="265"/>
        <v/>
      </c>
      <c r="Y735" s="191" t="str">
        <f t="shared" si="267"/>
        <v/>
      </c>
      <c r="Z735" s="197" t="str">
        <f t="shared" si="253"/>
        <v/>
      </c>
      <c r="AA735" s="197" t="str">
        <f t="shared" si="254"/>
        <v/>
      </c>
      <c r="AB735" s="213"/>
      <c r="AC735" s="204"/>
    </row>
    <row r="736" spans="1:29" ht="11.4">
      <c r="A736" s="211" t="str">
        <f t="shared" si="266"/>
        <v/>
      </c>
      <c r="B736" s="211"/>
      <c r="C736" s="185"/>
      <c r="D736" s="186" t="str">
        <f t="shared" si="255"/>
        <v/>
      </c>
      <c r="E736" s="186" t="str">
        <f>IF(OR(C736="",C736=Data!$B$3),"",IF(C736=Data!$B$4,"L","S"))</f>
        <v/>
      </c>
      <c r="F736" s="186" t="str">
        <f t="shared" si="256"/>
        <v/>
      </c>
      <c r="G736" s="187" t="str">
        <f t="shared" si="247"/>
        <v/>
      </c>
      <c r="H736" s="188"/>
      <c r="I736" s="189" t="str">
        <f t="shared" si="257"/>
        <v/>
      </c>
      <c r="J736" s="189" t="str">
        <f t="shared" si="258"/>
        <v/>
      </c>
      <c r="K736" s="190" t="str">
        <f t="shared" si="259"/>
        <v/>
      </c>
      <c r="L736" s="190" t="str">
        <f t="shared" si="260"/>
        <v/>
      </c>
      <c r="M736" s="214"/>
      <c r="N736" s="214"/>
      <c r="O736" s="189" t="str">
        <f t="shared" si="261"/>
        <v/>
      </c>
      <c r="P736" s="191" t="str">
        <f t="shared" si="248"/>
        <v/>
      </c>
      <c r="Q736" s="192" t="str">
        <f t="shared" si="262"/>
        <v/>
      </c>
      <c r="R736" s="191" t="str">
        <f t="shared" si="249"/>
        <v/>
      </c>
      <c r="S736" s="193" t="str">
        <f t="shared" si="263"/>
        <v/>
      </c>
      <c r="T736" s="194" t="str">
        <f t="shared" si="250"/>
        <v/>
      </c>
      <c r="U736" s="192" t="str">
        <f t="shared" si="264"/>
        <v/>
      </c>
      <c r="V736" s="195" t="str">
        <f t="shared" si="251"/>
        <v/>
      </c>
      <c r="W736" s="195" t="str">
        <f t="shared" si="252"/>
        <v/>
      </c>
      <c r="X736" s="196" t="str">
        <f t="shared" si="265"/>
        <v/>
      </c>
      <c r="Y736" s="191" t="str">
        <f t="shared" si="267"/>
        <v/>
      </c>
      <c r="Z736" s="197" t="str">
        <f t="shared" si="253"/>
        <v/>
      </c>
      <c r="AA736" s="197" t="str">
        <f t="shared" si="254"/>
        <v/>
      </c>
      <c r="AB736" s="213"/>
      <c r="AC736" s="204"/>
    </row>
    <row r="737" spans="1:29" ht="11.4">
      <c r="A737" s="211" t="str">
        <f t="shared" si="266"/>
        <v/>
      </c>
      <c r="B737" s="211"/>
      <c r="C737" s="185"/>
      <c r="D737" s="186" t="str">
        <f t="shared" si="255"/>
        <v/>
      </c>
      <c r="E737" s="186" t="str">
        <f>IF(OR(C737="",C737=Data!$B$3),"",IF(C737=Data!$B$4,"L","S"))</f>
        <v/>
      </c>
      <c r="F737" s="186" t="str">
        <f t="shared" si="256"/>
        <v/>
      </c>
      <c r="G737" s="187" t="str">
        <f t="shared" si="247"/>
        <v/>
      </c>
      <c r="H737" s="188"/>
      <c r="I737" s="189" t="str">
        <f t="shared" si="257"/>
        <v/>
      </c>
      <c r="J737" s="189" t="str">
        <f t="shared" si="258"/>
        <v/>
      </c>
      <c r="K737" s="190" t="str">
        <f t="shared" si="259"/>
        <v/>
      </c>
      <c r="L737" s="190" t="str">
        <f t="shared" si="260"/>
        <v/>
      </c>
      <c r="M737" s="214"/>
      <c r="N737" s="214"/>
      <c r="O737" s="189" t="str">
        <f t="shared" si="261"/>
        <v/>
      </c>
      <c r="P737" s="191" t="str">
        <f t="shared" si="248"/>
        <v/>
      </c>
      <c r="Q737" s="192" t="str">
        <f t="shared" si="262"/>
        <v/>
      </c>
      <c r="R737" s="191" t="str">
        <f t="shared" si="249"/>
        <v/>
      </c>
      <c r="S737" s="193" t="str">
        <f t="shared" si="263"/>
        <v/>
      </c>
      <c r="T737" s="194" t="str">
        <f t="shared" si="250"/>
        <v/>
      </c>
      <c r="U737" s="192" t="str">
        <f t="shared" si="264"/>
        <v/>
      </c>
      <c r="V737" s="195" t="str">
        <f t="shared" si="251"/>
        <v/>
      </c>
      <c r="W737" s="195" t="str">
        <f t="shared" si="252"/>
        <v/>
      </c>
      <c r="X737" s="196" t="str">
        <f t="shared" si="265"/>
        <v/>
      </c>
      <c r="Y737" s="191" t="str">
        <f t="shared" si="267"/>
        <v/>
      </c>
      <c r="Z737" s="197" t="str">
        <f t="shared" si="253"/>
        <v/>
      </c>
      <c r="AA737" s="197" t="str">
        <f t="shared" si="254"/>
        <v/>
      </c>
      <c r="AB737" s="213"/>
      <c r="AC737" s="204"/>
    </row>
    <row r="738" spans="1:29" ht="11.4">
      <c r="A738" s="211" t="str">
        <f t="shared" si="266"/>
        <v/>
      </c>
      <c r="B738" s="211"/>
      <c r="C738" s="185"/>
      <c r="D738" s="186" t="str">
        <f t="shared" si="255"/>
        <v/>
      </c>
      <c r="E738" s="186" t="str">
        <f>IF(OR(C738="",C738=Data!$B$3),"",IF(C738=Data!$B$4,"L","S"))</f>
        <v/>
      </c>
      <c r="F738" s="186" t="str">
        <f t="shared" si="256"/>
        <v/>
      </c>
      <c r="G738" s="187" t="str">
        <f t="shared" si="247"/>
        <v/>
      </c>
      <c r="H738" s="188"/>
      <c r="I738" s="189" t="str">
        <f t="shared" si="257"/>
        <v/>
      </c>
      <c r="J738" s="189" t="str">
        <f t="shared" si="258"/>
        <v/>
      </c>
      <c r="K738" s="190" t="str">
        <f t="shared" si="259"/>
        <v/>
      </c>
      <c r="L738" s="190" t="str">
        <f t="shared" si="260"/>
        <v/>
      </c>
      <c r="M738" s="214"/>
      <c r="N738" s="214"/>
      <c r="O738" s="189" t="str">
        <f t="shared" si="261"/>
        <v/>
      </c>
      <c r="P738" s="191" t="str">
        <f t="shared" si="248"/>
        <v/>
      </c>
      <c r="Q738" s="192" t="str">
        <f t="shared" si="262"/>
        <v/>
      </c>
      <c r="R738" s="191" t="str">
        <f t="shared" si="249"/>
        <v/>
      </c>
      <c r="S738" s="193" t="str">
        <f t="shared" si="263"/>
        <v/>
      </c>
      <c r="T738" s="194" t="str">
        <f t="shared" si="250"/>
        <v/>
      </c>
      <c r="U738" s="192" t="str">
        <f t="shared" si="264"/>
        <v/>
      </c>
      <c r="V738" s="195" t="str">
        <f t="shared" si="251"/>
        <v/>
      </c>
      <c r="W738" s="195" t="str">
        <f t="shared" si="252"/>
        <v/>
      </c>
      <c r="X738" s="196" t="str">
        <f t="shared" si="265"/>
        <v/>
      </c>
      <c r="Y738" s="191" t="str">
        <f t="shared" si="267"/>
        <v/>
      </c>
      <c r="Z738" s="197" t="str">
        <f t="shared" si="253"/>
        <v/>
      </c>
      <c r="AA738" s="197" t="str">
        <f t="shared" si="254"/>
        <v/>
      </c>
      <c r="AB738" s="213"/>
      <c r="AC738" s="204"/>
    </row>
    <row r="739" spans="1:29" ht="11.4">
      <c r="A739" s="211" t="str">
        <f t="shared" si="266"/>
        <v/>
      </c>
      <c r="B739" s="211"/>
      <c r="C739" s="185"/>
      <c r="D739" s="186" t="str">
        <f t="shared" si="255"/>
        <v/>
      </c>
      <c r="E739" s="186" t="str">
        <f>IF(OR(C739="",C739=Data!$B$3),"",IF(C739=Data!$B$4,"L","S"))</f>
        <v/>
      </c>
      <c r="F739" s="186" t="str">
        <f t="shared" si="256"/>
        <v/>
      </c>
      <c r="G739" s="187" t="str">
        <f t="shared" si="247"/>
        <v/>
      </c>
      <c r="H739" s="188"/>
      <c r="I739" s="189" t="str">
        <f t="shared" si="257"/>
        <v/>
      </c>
      <c r="J739" s="189" t="str">
        <f t="shared" si="258"/>
        <v/>
      </c>
      <c r="K739" s="190" t="str">
        <f t="shared" si="259"/>
        <v/>
      </c>
      <c r="L739" s="190" t="str">
        <f t="shared" si="260"/>
        <v/>
      </c>
      <c r="M739" s="214"/>
      <c r="N739" s="214"/>
      <c r="O739" s="189" t="str">
        <f t="shared" si="261"/>
        <v/>
      </c>
      <c r="P739" s="191" t="str">
        <f t="shared" si="248"/>
        <v/>
      </c>
      <c r="Q739" s="192" t="str">
        <f t="shared" si="262"/>
        <v/>
      </c>
      <c r="R739" s="191" t="str">
        <f t="shared" si="249"/>
        <v/>
      </c>
      <c r="S739" s="193" t="str">
        <f t="shared" si="263"/>
        <v/>
      </c>
      <c r="T739" s="194" t="str">
        <f t="shared" si="250"/>
        <v/>
      </c>
      <c r="U739" s="192" t="str">
        <f t="shared" si="264"/>
        <v/>
      </c>
      <c r="V739" s="195" t="str">
        <f t="shared" si="251"/>
        <v/>
      </c>
      <c r="W739" s="195" t="str">
        <f t="shared" si="252"/>
        <v/>
      </c>
      <c r="X739" s="196" t="str">
        <f t="shared" si="265"/>
        <v/>
      </c>
      <c r="Y739" s="191" t="str">
        <f t="shared" si="267"/>
        <v/>
      </c>
      <c r="Z739" s="197" t="str">
        <f t="shared" si="253"/>
        <v/>
      </c>
      <c r="AA739" s="197" t="str">
        <f t="shared" si="254"/>
        <v/>
      </c>
      <c r="AB739" s="213"/>
      <c r="AC739" s="204"/>
    </row>
    <row r="740" spans="1:29" ht="11.4">
      <c r="A740" s="211" t="str">
        <f t="shared" si="266"/>
        <v/>
      </c>
      <c r="B740" s="211"/>
      <c r="C740" s="185"/>
      <c r="D740" s="186" t="str">
        <f t="shared" si="255"/>
        <v/>
      </c>
      <c r="E740" s="186" t="str">
        <f>IF(OR(C740="",C740=Data!$B$3),"",IF(C740=Data!$B$4,"L","S"))</f>
        <v/>
      </c>
      <c r="F740" s="186" t="str">
        <f t="shared" si="256"/>
        <v/>
      </c>
      <c r="G740" s="187" t="str">
        <f t="shared" si="247"/>
        <v/>
      </c>
      <c r="H740" s="188"/>
      <c r="I740" s="189" t="str">
        <f t="shared" si="257"/>
        <v/>
      </c>
      <c r="J740" s="189" t="str">
        <f t="shared" si="258"/>
        <v/>
      </c>
      <c r="K740" s="190" t="str">
        <f t="shared" si="259"/>
        <v/>
      </c>
      <c r="L740" s="190" t="str">
        <f t="shared" si="260"/>
        <v/>
      </c>
      <c r="M740" s="214"/>
      <c r="N740" s="214"/>
      <c r="O740" s="189" t="str">
        <f t="shared" si="261"/>
        <v/>
      </c>
      <c r="P740" s="191" t="str">
        <f t="shared" si="248"/>
        <v/>
      </c>
      <c r="Q740" s="192" t="str">
        <f t="shared" si="262"/>
        <v/>
      </c>
      <c r="R740" s="191" t="str">
        <f t="shared" si="249"/>
        <v/>
      </c>
      <c r="S740" s="193" t="str">
        <f t="shared" si="263"/>
        <v/>
      </c>
      <c r="T740" s="194" t="str">
        <f t="shared" si="250"/>
        <v/>
      </c>
      <c r="U740" s="192" t="str">
        <f t="shared" si="264"/>
        <v/>
      </c>
      <c r="V740" s="195" t="str">
        <f t="shared" si="251"/>
        <v/>
      </c>
      <c r="W740" s="195" t="str">
        <f t="shared" si="252"/>
        <v/>
      </c>
      <c r="X740" s="196" t="str">
        <f t="shared" si="265"/>
        <v/>
      </c>
      <c r="Y740" s="191" t="str">
        <f t="shared" si="267"/>
        <v/>
      </c>
      <c r="Z740" s="197" t="str">
        <f t="shared" si="253"/>
        <v/>
      </c>
      <c r="AA740" s="197" t="str">
        <f t="shared" si="254"/>
        <v/>
      </c>
      <c r="AB740" s="213"/>
      <c r="AC740" s="204"/>
    </row>
    <row r="741" spans="1:29" ht="11.4">
      <c r="A741" s="211" t="str">
        <f t="shared" si="266"/>
        <v/>
      </c>
      <c r="B741" s="211"/>
      <c r="C741" s="185"/>
      <c r="D741" s="186" t="str">
        <f t="shared" si="255"/>
        <v/>
      </c>
      <c r="E741" s="186" t="str">
        <f>IF(OR(C741="",C741=Data!$B$3),"",IF(C741=Data!$B$4,"L","S"))</f>
        <v/>
      </c>
      <c r="F741" s="186" t="str">
        <f t="shared" si="256"/>
        <v/>
      </c>
      <c r="G741" s="187" t="str">
        <f t="shared" si="247"/>
        <v/>
      </c>
      <c r="H741" s="188"/>
      <c r="I741" s="189" t="str">
        <f t="shared" si="257"/>
        <v/>
      </c>
      <c r="J741" s="189" t="str">
        <f t="shared" si="258"/>
        <v/>
      </c>
      <c r="K741" s="190" t="str">
        <f t="shared" si="259"/>
        <v/>
      </c>
      <c r="L741" s="190" t="str">
        <f t="shared" si="260"/>
        <v/>
      </c>
      <c r="M741" s="214"/>
      <c r="N741" s="214"/>
      <c r="O741" s="189" t="str">
        <f t="shared" si="261"/>
        <v/>
      </c>
      <c r="P741" s="191" t="str">
        <f t="shared" si="248"/>
        <v/>
      </c>
      <c r="Q741" s="192" t="str">
        <f t="shared" si="262"/>
        <v/>
      </c>
      <c r="R741" s="191" t="str">
        <f t="shared" si="249"/>
        <v/>
      </c>
      <c r="S741" s="193" t="str">
        <f t="shared" si="263"/>
        <v/>
      </c>
      <c r="T741" s="194" t="str">
        <f t="shared" si="250"/>
        <v/>
      </c>
      <c r="U741" s="192" t="str">
        <f t="shared" si="264"/>
        <v/>
      </c>
      <c r="V741" s="195" t="str">
        <f t="shared" si="251"/>
        <v/>
      </c>
      <c r="W741" s="195" t="str">
        <f t="shared" si="252"/>
        <v/>
      </c>
      <c r="X741" s="196" t="str">
        <f t="shared" si="265"/>
        <v/>
      </c>
      <c r="Y741" s="191" t="str">
        <f t="shared" si="267"/>
        <v/>
      </c>
      <c r="Z741" s="197" t="str">
        <f t="shared" si="253"/>
        <v/>
      </c>
      <c r="AA741" s="197" t="str">
        <f t="shared" si="254"/>
        <v/>
      </c>
      <c r="AB741" s="213"/>
      <c r="AC741" s="204"/>
    </row>
    <row r="742" spans="1:29" ht="11.4">
      <c r="A742" s="211" t="str">
        <f t="shared" si="266"/>
        <v/>
      </c>
      <c r="B742" s="211"/>
      <c r="C742" s="185"/>
      <c r="D742" s="186" t="str">
        <f t="shared" si="255"/>
        <v/>
      </c>
      <c r="E742" s="186" t="str">
        <f>IF(OR(C742="",C742=Data!$B$3),"",IF(C742=Data!$B$4,"L","S"))</f>
        <v/>
      </c>
      <c r="F742" s="186" t="str">
        <f t="shared" si="256"/>
        <v/>
      </c>
      <c r="G742" s="187" t="str">
        <f t="shared" si="247"/>
        <v/>
      </c>
      <c r="H742" s="188"/>
      <c r="I742" s="189" t="str">
        <f t="shared" si="257"/>
        <v/>
      </c>
      <c r="J742" s="189" t="str">
        <f t="shared" si="258"/>
        <v/>
      </c>
      <c r="K742" s="190" t="str">
        <f t="shared" si="259"/>
        <v/>
      </c>
      <c r="L742" s="190" t="str">
        <f t="shared" si="260"/>
        <v/>
      </c>
      <c r="M742" s="214"/>
      <c r="N742" s="214"/>
      <c r="O742" s="189" t="str">
        <f t="shared" si="261"/>
        <v/>
      </c>
      <c r="P742" s="191" t="str">
        <f t="shared" si="248"/>
        <v/>
      </c>
      <c r="Q742" s="192" t="str">
        <f t="shared" si="262"/>
        <v/>
      </c>
      <c r="R742" s="191" t="str">
        <f t="shared" si="249"/>
        <v/>
      </c>
      <c r="S742" s="193" t="str">
        <f t="shared" si="263"/>
        <v/>
      </c>
      <c r="T742" s="194" t="str">
        <f t="shared" si="250"/>
        <v/>
      </c>
      <c r="U742" s="192" t="str">
        <f t="shared" si="264"/>
        <v/>
      </c>
      <c r="V742" s="195" t="str">
        <f t="shared" si="251"/>
        <v/>
      </c>
      <c r="W742" s="195" t="str">
        <f t="shared" si="252"/>
        <v/>
      </c>
      <c r="X742" s="196" t="str">
        <f t="shared" si="265"/>
        <v/>
      </c>
      <c r="Y742" s="191" t="str">
        <f t="shared" si="267"/>
        <v/>
      </c>
      <c r="Z742" s="197" t="str">
        <f t="shared" si="253"/>
        <v/>
      </c>
      <c r="AA742" s="197" t="str">
        <f t="shared" si="254"/>
        <v/>
      </c>
      <c r="AB742" s="213"/>
      <c r="AC742" s="204"/>
    </row>
    <row r="743" spans="1:29" ht="11.4">
      <c r="A743" s="211" t="str">
        <f t="shared" si="266"/>
        <v/>
      </c>
      <c r="B743" s="211"/>
      <c r="C743" s="185"/>
      <c r="D743" s="186" t="str">
        <f t="shared" si="255"/>
        <v/>
      </c>
      <c r="E743" s="186" t="str">
        <f>IF(OR(C743="",C743=Data!$B$3),"",IF(C743=Data!$B$4,"L","S"))</f>
        <v/>
      </c>
      <c r="F743" s="186" t="str">
        <f t="shared" si="256"/>
        <v/>
      </c>
      <c r="G743" s="187" t="str">
        <f t="shared" si="247"/>
        <v/>
      </c>
      <c r="H743" s="188"/>
      <c r="I743" s="189" t="str">
        <f t="shared" si="257"/>
        <v/>
      </c>
      <c r="J743" s="189" t="str">
        <f t="shared" si="258"/>
        <v/>
      </c>
      <c r="K743" s="190" t="str">
        <f t="shared" si="259"/>
        <v/>
      </c>
      <c r="L743" s="190" t="str">
        <f t="shared" si="260"/>
        <v/>
      </c>
      <c r="M743" s="214"/>
      <c r="N743" s="214"/>
      <c r="O743" s="189" t="str">
        <f t="shared" si="261"/>
        <v/>
      </c>
      <c r="P743" s="191" t="str">
        <f t="shared" si="248"/>
        <v/>
      </c>
      <c r="Q743" s="192" t="str">
        <f t="shared" si="262"/>
        <v/>
      </c>
      <c r="R743" s="191" t="str">
        <f t="shared" si="249"/>
        <v/>
      </c>
      <c r="S743" s="193" t="str">
        <f t="shared" si="263"/>
        <v/>
      </c>
      <c r="T743" s="194" t="str">
        <f t="shared" si="250"/>
        <v/>
      </c>
      <c r="U743" s="192" t="str">
        <f t="shared" si="264"/>
        <v/>
      </c>
      <c r="V743" s="195" t="str">
        <f t="shared" si="251"/>
        <v/>
      </c>
      <c r="W743" s="195" t="str">
        <f t="shared" si="252"/>
        <v/>
      </c>
      <c r="X743" s="196" t="str">
        <f t="shared" si="265"/>
        <v/>
      </c>
      <c r="Y743" s="191" t="str">
        <f t="shared" si="267"/>
        <v/>
      </c>
      <c r="Z743" s="197" t="str">
        <f t="shared" si="253"/>
        <v/>
      </c>
      <c r="AA743" s="197" t="str">
        <f t="shared" si="254"/>
        <v/>
      </c>
      <c r="AB743" s="213"/>
      <c r="AC743" s="204"/>
    </row>
    <row r="744" spans="1:29" ht="11.4">
      <c r="A744" s="211" t="str">
        <f t="shared" si="266"/>
        <v/>
      </c>
      <c r="B744" s="211"/>
      <c r="C744" s="185"/>
      <c r="D744" s="186" t="str">
        <f t="shared" si="255"/>
        <v/>
      </c>
      <c r="E744" s="186" t="str">
        <f>IF(OR(C744="",C744=Data!$B$3),"",IF(C744=Data!$B$4,"L","S"))</f>
        <v/>
      </c>
      <c r="F744" s="186" t="str">
        <f t="shared" si="256"/>
        <v/>
      </c>
      <c r="G744" s="187" t="str">
        <f t="shared" si="247"/>
        <v/>
      </c>
      <c r="H744" s="188"/>
      <c r="I744" s="189" t="str">
        <f t="shared" si="257"/>
        <v/>
      </c>
      <c r="J744" s="189" t="str">
        <f t="shared" si="258"/>
        <v/>
      </c>
      <c r="K744" s="190" t="str">
        <f t="shared" si="259"/>
        <v/>
      </c>
      <c r="L744" s="190" t="str">
        <f t="shared" si="260"/>
        <v/>
      </c>
      <c r="M744" s="214"/>
      <c r="N744" s="214"/>
      <c r="O744" s="189" t="str">
        <f t="shared" si="261"/>
        <v/>
      </c>
      <c r="P744" s="191" t="str">
        <f t="shared" si="248"/>
        <v/>
      </c>
      <c r="Q744" s="192" t="str">
        <f t="shared" si="262"/>
        <v/>
      </c>
      <c r="R744" s="191" t="str">
        <f t="shared" si="249"/>
        <v/>
      </c>
      <c r="S744" s="193" t="str">
        <f t="shared" si="263"/>
        <v/>
      </c>
      <c r="T744" s="194" t="str">
        <f t="shared" si="250"/>
        <v/>
      </c>
      <c r="U744" s="192" t="str">
        <f t="shared" si="264"/>
        <v/>
      </c>
      <c r="V744" s="195" t="str">
        <f t="shared" si="251"/>
        <v/>
      </c>
      <c r="W744" s="195" t="str">
        <f t="shared" si="252"/>
        <v/>
      </c>
      <c r="X744" s="196" t="str">
        <f t="shared" si="265"/>
        <v/>
      </c>
      <c r="Y744" s="191" t="str">
        <f t="shared" si="267"/>
        <v/>
      </c>
      <c r="Z744" s="197" t="str">
        <f t="shared" si="253"/>
        <v/>
      </c>
      <c r="AA744" s="197" t="str">
        <f t="shared" si="254"/>
        <v/>
      </c>
      <c r="AB744" s="213"/>
      <c r="AC744" s="204"/>
    </row>
    <row r="745" spans="1:29" ht="11.4">
      <c r="A745" s="211" t="str">
        <f t="shared" si="266"/>
        <v/>
      </c>
      <c r="B745" s="211"/>
      <c r="C745" s="185"/>
      <c r="D745" s="186" t="str">
        <f t="shared" si="255"/>
        <v/>
      </c>
      <c r="E745" s="186" t="str">
        <f>IF(OR(C745="",C745=Data!$B$3),"",IF(C745=Data!$B$4,"L","S"))</f>
        <v/>
      </c>
      <c r="F745" s="186" t="str">
        <f t="shared" si="256"/>
        <v/>
      </c>
      <c r="G745" s="187" t="str">
        <f t="shared" si="247"/>
        <v/>
      </c>
      <c r="H745" s="188"/>
      <c r="I745" s="189" t="str">
        <f t="shared" si="257"/>
        <v/>
      </c>
      <c r="J745" s="189" t="str">
        <f t="shared" si="258"/>
        <v/>
      </c>
      <c r="K745" s="190" t="str">
        <f t="shared" si="259"/>
        <v/>
      </c>
      <c r="L745" s="190" t="str">
        <f t="shared" si="260"/>
        <v/>
      </c>
      <c r="M745" s="214"/>
      <c r="N745" s="214"/>
      <c r="O745" s="189" t="str">
        <f t="shared" si="261"/>
        <v/>
      </c>
      <c r="P745" s="191" t="str">
        <f t="shared" si="248"/>
        <v/>
      </c>
      <c r="Q745" s="192" t="str">
        <f t="shared" si="262"/>
        <v/>
      </c>
      <c r="R745" s="191" t="str">
        <f t="shared" si="249"/>
        <v/>
      </c>
      <c r="S745" s="193" t="str">
        <f t="shared" si="263"/>
        <v/>
      </c>
      <c r="T745" s="194" t="str">
        <f t="shared" si="250"/>
        <v/>
      </c>
      <c r="U745" s="192" t="str">
        <f t="shared" si="264"/>
        <v/>
      </c>
      <c r="V745" s="195" t="str">
        <f t="shared" si="251"/>
        <v/>
      </c>
      <c r="W745" s="195" t="str">
        <f t="shared" si="252"/>
        <v/>
      </c>
      <c r="X745" s="196" t="str">
        <f t="shared" si="265"/>
        <v/>
      </c>
      <c r="Y745" s="191" t="str">
        <f t="shared" si="267"/>
        <v/>
      </c>
      <c r="Z745" s="197" t="str">
        <f t="shared" si="253"/>
        <v/>
      </c>
      <c r="AA745" s="197" t="str">
        <f t="shared" si="254"/>
        <v/>
      </c>
      <c r="AB745" s="213"/>
      <c r="AC745" s="204"/>
    </row>
    <row r="746" spans="1:29" ht="11.4">
      <c r="A746" s="211" t="str">
        <f t="shared" si="266"/>
        <v/>
      </c>
      <c r="B746" s="211"/>
      <c r="C746" s="185"/>
      <c r="D746" s="186" t="str">
        <f t="shared" si="255"/>
        <v/>
      </c>
      <c r="E746" s="186" t="str">
        <f>IF(OR(C746="",C746=Data!$B$3),"",IF(C746=Data!$B$4,"L","S"))</f>
        <v/>
      </c>
      <c r="F746" s="186" t="str">
        <f t="shared" si="256"/>
        <v/>
      </c>
      <c r="G746" s="187" t="str">
        <f t="shared" si="247"/>
        <v/>
      </c>
      <c r="H746" s="188"/>
      <c r="I746" s="189" t="str">
        <f t="shared" si="257"/>
        <v/>
      </c>
      <c r="J746" s="189" t="str">
        <f t="shared" si="258"/>
        <v/>
      </c>
      <c r="K746" s="190" t="str">
        <f t="shared" si="259"/>
        <v/>
      </c>
      <c r="L746" s="190" t="str">
        <f t="shared" si="260"/>
        <v/>
      </c>
      <c r="M746" s="214"/>
      <c r="N746" s="214"/>
      <c r="O746" s="189" t="str">
        <f t="shared" si="261"/>
        <v/>
      </c>
      <c r="P746" s="191" t="str">
        <f t="shared" si="248"/>
        <v/>
      </c>
      <c r="Q746" s="192" t="str">
        <f t="shared" si="262"/>
        <v/>
      </c>
      <c r="R746" s="191" t="str">
        <f t="shared" si="249"/>
        <v/>
      </c>
      <c r="S746" s="193" t="str">
        <f t="shared" si="263"/>
        <v/>
      </c>
      <c r="T746" s="194" t="str">
        <f t="shared" si="250"/>
        <v/>
      </c>
      <c r="U746" s="192" t="str">
        <f t="shared" si="264"/>
        <v/>
      </c>
      <c r="V746" s="195" t="str">
        <f t="shared" si="251"/>
        <v/>
      </c>
      <c r="W746" s="195" t="str">
        <f t="shared" si="252"/>
        <v/>
      </c>
      <c r="X746" s="196" t="str">
        <f t="shared" si="265"/>
        <v/>
      </c>
      <c r="Y746" s="191" t="str">
        <f t="shared" si="267"/>
        <v/>
      </c>
      <c r="Z746" s="197" t="str">
        <f t="shared" si="253"/>
        <v/>
      </c>
      <c r="AA746" s="197" t="str">
        <f t="shared" si="254"/>
        <v/>
      </c>
      <c r="AB746" s="213"/>
      <c r="AC746" s="204"/>
    </row>
    <row r="747" spans="1:29" ht="11.4">
      <c r="A747" s="211" t="str">
        <f t="shared" si="266"/>
        <v/>
      </c>
      <c r="B747" s="211"/>
      <c r="C747" s="185"/>
      <c r="D747" s="186" t="str">
        <f t="shared" si="255"/>
        <v/>
      </c>
      <c r="E747" s="186" t="str">
        <f>IF(OR(C747="",C747=Data!$B$3),"",IF(C747=Data!$B$4,"L","S"))</f>
        <v/>
      </c>
      <c r="F747" s="186" t="str">
        <f t="shared" si="256"/>
        <v/>
      </c>
      <c r="G747" s="187" t="str">
        <f t="shared" si="247"/>
        <v/>
      </c>
      <c r="H747" s="188"/>
      <c r="I747" s="189" t="str">
        <f t="shared" si="257"/>
        <v/>
      </c>
      <c r="J747" s="189" t="str">
        <f t="shared" si="258"/>
        <v/>
      </c>
      <c r="K747" s="190" t="str">
        <f t="shared" si="259"/>
        <v/>
      </c>
      <c r="L747" s="190" t="str">
        <f t="shared" si="260"/>
        <v/>
      </c>
      <c r="M747" s="214"/>
      <c r="N747" s="214"/>
      <c r="O747" s="189" t="str">
        <f t="shared" si="261"/>
        <v/>
      </c>
      <c r="P747" s="191" t="str">
        <f t="shared" si="248"/>
        <v/>
      </c>
      <c r="Q747" s="192" t="str">
        <f t="shared" si="262"/>
        <v/>
      </c>
      <c r="R747" s="191" t="str">
        <f t="shared" si="249"/>
        <v/>
      </c>
      <c r="S747" s="193" t="str">
        <f t="shared" si="263"/>
        <v/>
      </c>
      <c r="T747" s="194" t="str">
        <f t="shared" si="250"/>
        <v/>
      </c>
      <c r="U747" s="192" t="str">
        <f t="shared" si="264"/>
        <v/>
      </c>
      <c r="V747" s="195" t="str">
        <f t="shared" si="251"/>
        <v/>
      </c>
      <c r="W747" s="195" t="str">
        <f t="shared" si="252"/>
        <v/>
      </c>
      <c r="X747" s="196" t="str">
        <f t="shared" si="265"/>
        <v/>
      </c>
      <c r="Y747" s="191" t="str">
        <f t="shared" si="267"/>
        <v/>
      </c>
      <c r="Z747" s="197" t="str">
        <f t="shared" si="253"/>
        <v/>
      </c>
      <c r="AA747" s="197" t="str">
        <f t="shared" si="254"/>
        <v/>
      </c>
      <c r="AB747" s="213"/>
      <c r="AC747" s="204"/>
    </row>
    <row r="748" spans="1:29" ht="11.4">
      <c r="A748" s="211" t="str">
        <f t="shared" si="266"/>
        <v/>
      </c>
      <c r="B748" s="211"/>
      <c r="C748" s="185"/>
      <c r="D748" s="186" t="str">
        <f t="shared" si="255"/>
        <v/>
      </c>
      <c r="E748" s="186" t="str">
        <f>IF(OR(C748="",C748=Data!$B$3),"",IF(C748=Data!$B$4,"L","S"))</f>
        <v/>
      </c>
      <c r="F748" s="186" t="str">
        <f t="shared" si="256"/>
        <v/>
      </c>
      <c r="G748" s="187" t="str">
        <f t="shared" si="247"/>
        <v/>
      </c>
      <c r="H748" s="188"/>
      <c r="I748" s="189" t="str">
        <f t="shared" si="257"/>
        <v/>
      </c>
      <c r="J748" s="189" t="str">
        <f t="shared" si="258"/>
        <v/>
      </c>
      <c r="K748" s="190" t="str">
        <f t="shared" si="259"/>
        <v/>
      </c>
      <c r="L748" s="190" t="str">
        <f t="shared" si="260"/>
        <v/>
      </c>
      <c r="M748" s="214"/>
      <c r="N748" s="214"/>
      <c r="O748" s="189" t="str">
        <f t="shared" si="261"/>
        <v/>
      </c>
      <c r="P748" s="191" t="str">
        <f t="shared" si="248"/>
        <v/>
      </c>
      <c r="Q748" s="192" t="str">
        <f t="shared" si="262"/>
        <v/>
      </c>
      <c r="R748" s="191" t="str">
        <f t="shared" si="249"/>
        <v/>
      </c>
      <c r="S748" s="193" t="str">
        <f t="shared" si="263"/>
        <v/>
      </c>
      <c r="T748" s="194" t="str">
        <f t="shared" si="250"/>
        <v/>
      </c>
      <c r="U748" s="192" t="str">
        <f t="shared" si="264"/>
        <v/>
      </c>
      <c r="V748" s="195" t="str">
        <f t="shared" si="251"/>
        <v/>
      </c>
      <c r="W748" s="195" t="str">
        <f t="shared" si="252"/>
        <v/>
      </c>
      <c r="X748" s="196" t="str">
        <f t="shared" si="265"/>
        <v/>
      </c>
      <c r="Y748" s="191" t="str">
        <f t="shared" si="267"/>
        <v/>
      </c>
      <c r="Z748" s="197" t="str">
        <f t="shared" si="253"/>
        <v/>
      </c>
      <c r="AA748" s="197" t="str">
        <f t="shared" si="254"/>
        <v/>
      </c>
      <c r="AB748" s="213"/>
      <c r="AC748" s="204"/>
    </row>
    <row r="749" spans="1:29" ht="11.4">
      <c r="A749" s="211" t="str">
        <f t="shared" si="266"/>
        <v/>
      </c>
      <c r="B749" s="211"/>
      <c r="C749" s="185"/>
      <c r="D749" s="186" t="str">
        <f t="shared" si="255"/>
        <v/>
      </c>
      <c r="E749" s="186" t="str">
        <f>IF(OR(C749="",C749=Data!$B$3),"",IF(C749=Data!$B$4,"L","S"))</f>
        <v/>
      </c>
      <c r="F749" s="186" t="str">
        <f t="shared" si="256"/>
        <v/>
      </c>
      <c r="G749" s="187" t="str">
        <f t="shared" si="247"/>
        <v/>
      </c>
      <c r="H749" s="188"/>
      <c r="I749" s="189" t="str">
        <f t="shared" si="257"/>
        <v/>
      </c>
      <c r="J749" s="189" t="str">
        <f t="shared" si="258"/>
        <v/>
      </c>
      <c r="K749" s="190" t="str">
        <f t="shared" si="259"/>
        <v/>
      </c>
      <c r="L749" s="190" t="str">
        <f t="shared" si="260"/>
        <v/>
      </c>
      <c r="M749" s="214"/>
      <c r="N749" s="214"/>
      <c r="O749" s="189" t="str">
        <f t="shared" si="261"/>
        <v/>
      </c>
      <c r="P749" s="191" t="str">
        <f t="shared" si="248"/>
        <v/>
      </c>
      <c r="Q749" s="192" t="str">
        <f t="shared" si="262"/>
        <v/>
      </c>
      <c r="R749" s="191" t="str">
        <f t="shared" si="249"/>
        <v/>
      </c>
      <c r="S749" s="193" t="str">
        <f t="shared" si="263"/>
        <v/>
      </c>
      <c r="T749" s="194" t="str">
        <f t="shared" si="250"/>
        <v/>
      </c>
      <c r="U749" s="192" t="str">
        <f t="shared" si="264"/>
        <v/>
      </c>
      <c r="V749" s="195" t="str">
        <f t="shared" si="251"/>
        <v/>
      </c>
      <c r="W749" s="195" t="str">
        <f t="shared" si="252"/>
        <v/>
      </c>
      <c r="X749" s="196" t="str">
        <f t="shared" si="265"/>
        <v/>
      </c>
      <c r="Y749" s="191" t="str">
        <f t="shared" si="267"/>
        <v/>
      </c>
      <c r="Z749" s="197" t="str">
        <f t="shared" si="253"/>
        <v/>
      </c>
      <c r="AA749" s="197" t="str">
        <f t="shared" si="254"/>
        <v/>
      </c>
      <c r="AB749" s="213"/>
      <c r="AC749" s="204"/>
    </row>
    <row r="750" spans="1:29" ht="11.4">
      <c r="A750" s="211" t="str">
        <f t="shared" si="266"/>
        <v/>
      </c>
      <c r="B750" s="211"/>
      <c r="C750" s="185"/>
      <c r="D750" s="186" t="str">
        <f t="shared" si="255"/>
        <v/>
      </c>
      <c r="E750" s="186" t="str">
        <f>IF(OR(C750="",C750=Data!$B$3),"",IF(C750=Data!$B$4,"L","S"))</f>
        <v/>
      </c>
      <c r="F750" s="186" t="str">
        <f t="shared" si="256"/>
        <v/>
      </c>
      <c r="G750" s="187" t="str">
        <f t="shared" si="247"/>
        <v/>
      </c>
      <c r="H750" s="188"/>
      <c r="I750" s="189" t="str">
        <f t="shared" si="257"/>
        <v/>
      </c>
      <c r="J750" s="189" t="str">
        <f t="shared" si="258"/>
        <v/>
      </c>
      <c r="K750" s="190" t="str">
        <f t="shared" si="259"/>
        <v/>
      </c>
      <c r="L750" s="190" t="str">
        <f t="shared" si="260"/>
        <v/>
      </c>
      <c r="M750" s="214"/>
      <c r="N750" s="214"/>
      <c r="O750" s="189" t="str">
        <f t="shared" si="261"/>
        <v/>
      </c>
      <c r="P750" s="191" t="str">
        <f t="shared" si="248"/>
        <v/>
      </c>
      <c r="Q750" s="192" t="str">
        <f t="shared" si="262"/>
        <v/>
      </c>
      <c r="R750" s="191" t="str">
        <f t="shared" si="249"/>
        <v/>
      </c>
      <c r="S750" s="193" t="str">
        <f t="shared" si="263"/>
        <v/>
      </c>
      <c r="T750" s="194" t="str">
        <f t="shared" si="250"/>
        <v/>
      </c>
      <c r="U750" s="192" t="str">
        <f t="shared" si="264"/>
        <v/>
      </c>
      <c r="V750" s="195" t="str">
        <f t="shared" si="251"/>
        <v/>
      </c>
      <c r="W750" s="195" t="str">
        <f t="shared" si="252"/>
        <v/>
      </c>
      <c r="X750" s="196" t="str">
        <f t="shared" si="265"/>
        <v/>
      </c>
      <c r="Y750" s="191" t="str">
        <f t="shared" si="267"/>
        <v/>
      </c>
      <c r="Z750" s="197" t="str">
        <f t="shared" si="253"/>
        <v/>
      </c>
      <c r="AA750" s="197" t="str">
        <f t="shared" si="254"/>
        <v/>
      </c>
      <c r="AB750" s="213"/>
      <c r="AC750" s="204"/>
    </row>
    <row r="751" spans="1:29" ht="11.4">
      <c r="A751" s="211" t="str">
        <f t="shared" si="266"/>
        <v/>
      </c>
      <c r="B751" s="211"/>
      <c r="C751" s="185"/>
      <c r="D751" s="186" t="str">
        <f t="shared" si="255"/>
        <v/>
      </c>
      <c r="E751" s="186" t="str">
        <f>IF(OR(C751="",C751=Data!$B$3),"",IF(C751=Data!$B$4,"L","S"))</f>
        <v/>
      </c>
      <c r="F751" s="186" t="str">
        <f t="shared" si="256"/>
        <v/>
      </c>
      <c r="G751" s="187" t="str">
        <f t="shared" si="247"/>
        <v/>
      </c>
      <c r="H751" s="188"/>
      <c r="I751" s="189" t="str">
        <f t="shared" si="257"/>
        <v/>
      </c>
      <c r="J751" s="189" t="str">
        <f t="shared" si="258"/>
        <v/>
      </c>
      <c r="K751" s="190" t="str">
        <f t="shared" si="259"/>
        <v/>
      </c>
      <c r="L751" s="190" t="str">
        <f t="shared" si="260"/>
        <v/>
      </c>
      <c r="M751" s="214"/>
      <c r="N751" s="214"/>
      <c r="O751" s="189" t="str">
        <f t="shared" si="261"/>
        <v/>
      </c>
      <c r="P751" s="191" t="str">
        <f t="shared" si="248"/>
        <v/>
      </c>
      <c r="Q751" s="192" t="str">
        <f t="shared" si="262"/>
        <v/>
      </c>
      <c r="R751" s="191" t="str">
        <f t="shared" si="249"/>
        <v/>
      </c>
      <c r="S751" s="193" t="str">
        <f t="shared" si="263"/>
        <v/>
      </c>
      <c r="T751" s="194" t="str">
        <f t="shared" si="250"/>
        <v/>
      </c>
      <c r="U751" s="192" t="str">
        <f t="shared" si="264"/>
        <v/>
      </c>
      <c r="V751" s="195" t="str">
        <f t="shared" si="251"/>
        <v/>
      </c>
      <c r="W751" s="195" t="str">
        <f t="shared" si="252"/>
        <v/>
      </c>
      <c r="X751" s="196" t="str">
        <f t="shared" si="265"/>
        <v/>
      </c>
      <c r="Y751" s="191" t="str">
        <f t="shared" si="267"/>
        <v/>
      </c>
      <c r="Z751" s="197" t="str">
        <f t="shared" si="253"/>
        <v/>
      </c>
      <c r="AA751" s="197" t="str">
        <f t="shared" si="254"/>
        <v/>
      </c>
      <c r="AB751" s="213"/>
      <c r="AC751" s="204"/>
    </row>
    <row r="752" spans="1:29" ht="11.4">
      <c r="A752" s="211" t="str">
        <f t="shared" si="266"/>
        <v/>
      </c>
      <c r="B752" s="211"/>
      <c r="C752" s="185"/>
      <c r="D752" s="186" t="str">
        <f t="shared" si="255"/>
        <v/>
      </c>
      <c r="E752" s="186" t="str">
        <f>IF(OR(C752="",C752=Data!$B$3),"",IF(C752=Data!$B$4,"L","S"))</f>
        <v/>
      </c>
      <c r="F752" s="186" t="str">
        <f t="shared" si="256"/>
        <v/>
      </c>
      <c r="G752" s="187" t="str">
        <f t="shared" si="247"/>
        <v/>
      </c>
      <c r="H752" s="188"/>
      <c r="I752" s="189" t="str">
        <f t="shared" si="257"/>
        <v/>
      </c>
      <c r="J752" s="189" t="str">
        <f t="shared" si="258"/>
        <v/>
      </c>
      <c r="K752" s="190" t="str">
        <f t="shared" si="259"/>
        <v/>
      </c>
      <c r="L752" s="190" t="str">
        <f t="shared" si="260"/>
        <v/>
      </c>
      <c r="M752" s="214"/>
      <c r="N752" s="214"/>
      <c r="O752" s="189" t="str">
        <f t="shared" si="261"/>
        <v/>
      </c>
      <c r="P752" s="191" t="str">
        <f t="shared" si="248"/>
        <v/>
      </c>
      <c r="Q752" s="192" t="str">
        <f t="shared" si="262"/>
        <v/>
      </c>
      <c r="R752" s="191" t="str">
        <f t="shared" si="249"/>
        <v/>
      </c>
      <c r="S752" s="193" t="str">
        <f t="shared" si="263"/>
        <v/>
      </c>
      <c r="T752" s="194" t="str">
        <f t="shared" si="250"/>
        <v/>
      </c>
      <c r="U752" s="192" t="str">
        <f t="shared" si="264"/>
        <v/>
      </c>
      <c r="V752" s="195" t="str">
        <f t="shared" si="251"/>
        <v/>
      </c>
      <c r="W752" s="195" t="str">
        <f t="shared" si="252"/>
        <v/>
      </c>
      <c r="X752" s="196" t="str">
        <f t="shared" si="265"/>
        <v/>
      </c>
      <c r="Y752" s="191" t="str">
        <f t="shared" si="267"/>
        <v/>
      </c>
      <c r="Z752" s="197" t="str">
        <f t="shared" si="253"/>
        <v/>
      </c>
      <c r="AA752" s="197" t="str">
        <f t="shared" si="254"/>
        <v/>
      </c>
      <c r="AB752" s="213"/>
      <c r="AC752" s="204"/>
    </row>
    <row r="753" spans="1:29" ht="11.4">
      <c r="A753" s="211" t="str">
        <f t="shared" si="266"/>
        <v/>
      </c>
      <c r="B753" s="211"/>
      <c r="C753" s="185"/>
      <c r="D753" s="186" t="str">
        <f t="shared" si="255"/>
        <v/>
      </c>
      <c r="E753" s="186" t="str">
        <f>IF(OR(C753="",C753=Data!$B$3),"",IF(C753=Data!$B$4,"L","S"))</f>
        <v/>
      </c>
      <c r="F753" s="186" t="str">
        <f t="shared" si="256"/>
        <v/>
      </c>
      <c r="G753" s="187" t="str">
        <f t="shared" si="247"/>
        <v/>
      </c>
      <c r="H753" s="188"/>
      <c r="I753" s="189" t="str">
        <f t="shared" si="257"/>
        <v/>
      </c>
      <c r="J753" s="189" t="str">
        <f t="shared" si="258"/>
        <v/>
      </c>
      <c r="K753" s="190" t="str">
        <f t="shared" si="259"/>
        <v/>
      </c>
      <c r="L753" s="190" t="str">
        <f t="shared" si="260"/>
        <v/>
      </c>
      <c r="M753" s="214"/>
      <c r="N753" s="214"/>
      <c r="O753" s="189" t="str">
        <f t="shared" si="261"/>
        <v/>
      </c>
      <c r="P753" s="191" t="str">
        <f t="shared" si="248"/>
        <v/>
      </c>
      <c r="Q753" s="192" t="str">
        <f t="shared" si="262"/>
        <v/>
      </c>
      <c r="R753" s="191" t="str">
        <f t="shared" si="249"/>
        <v/>
      </c>
      <c r="S753" s="193" t="str">
        <f t="shared" si="263"/>
        <v/>
      </c>
      <c r="T753" s="194" t="str">
        <f t="shared" si="250"/>
        <v/>
      </c>
      <c r="U753" s="192" t="str">
        <f t="shared" si="264"/>
        <v/>
      </c>
      <c r="V753" s="195" t="str">
        <f t="shared" si="251"/>
        <v/>
      </c>
      <c r="W753" s="195" t="str">
        <f t="shared" si="252"/>
        <v/>
      </c>
      <c r="X753" s="196" t="str">
        <f t="shared" si="265"/>
        <v/>
      </c>
      <c r="Y753" s="191" t="str">
        <f t="shared" si="267"/>
        <v/>
      </c>
      <c r="Z753" s="197" t="str">
        <f t="shared" si="253"/>
        <v/>
      </c>
      <c r="AA753" s="197" t="str">
        <f t="shared" si="254"/>
        <v/>
      </c>
      <c r="AB753" s="213"/>
      <c r="AC753" s="204"/>
    </row>
    <row r="754" spans="1:29" ht="11.4">
      <c r="A754" s="211" t="str">
        <f t="shared" si="266"/>
        <v/>
      </c>
      <c r="B754" s="211"/>
      <c r="C754" s="185"/>
      <c r="D754" s="186" t="str">
        <f t="shared" si="255"/>
        <v/>
      </c>
      <c r="E754" s="186" t="str">
        <f>IF(OR(C754="",C754=Data!$B$3),"",IF(C754=Data!$B$4,"L","S"))</f>
        <v/>
      </c>
      <c r="F754" s="186" t="str">
        <f t="shared" si="256"/>
        <v/>
      </c>
      <c r="G754" s="187" t="str">
        <f t="shared" si="247"/>
        <v/>
      </c>
      <c r="H754" s="188"/>
      <c r="I754" s="189" t="str">
        <f t="shared" si="257"/>
        <v/>
      </c>
      <c r="J754" s="189" t="str">
        <f t="shared" si="258"/>
        <v/>
      </c>
      <c r="K754" s="190" t="str">
        <f t="shared" si="259"/>
        <v/>
      </c>
      <c r="L754" s="190" t="str">
        <f t="shared" si="260"/>
        <v/>
      </c>
      <c r="M754" s="214"/>
      <c r="N754" s="214"/>
      <c r="O754" s="189" t="str">
        <f t="shared" si="261"/>
        <v/>
      </c>
      <c r="P754" s="191" t="str">
        <f t="shared" si="248"/>
        <v/>
      </c>
      <c r="Q754" s="192" t="str">
        <f t="shared" si="262"/>
        <v/>
      </c>
      <c r="R754" s="191" t="str">
        <f t="shared" si="249"/>
        <v/>
      </c>
      <c r="S754" s="193" t="str">
        <f t="shared" si="263"/>
        <v/>
      </c>
      <c r="T754" s="194" t="str">
        <f t="shared" si="250"/>
        <v/>
      </c>
      <c r="U754" s="192" t="str">
        <f t="shared" si="264"/>
        <v/>
      </c>
      <c r="V754" s="195" t="str">
        <f t="shared" si="251"/>
        <v/>
      </c>
      <c r="W754" s="195" t="str">
        <f t="shared" si="252"/>
        <v/>
      </c>
      <c r="X754" s="196" t="str">
        <f t="shared" si="265"/>
        <v/>
      </c>
      <c r="Y754" s="191" t="str">
        <f t="shared" si="267"/>
        <v/>
      </c>
      <c r="Z754" s="197" t="str">
        <f t="shared" si="253"/>
        <v/>
      </c>
      <c r="AA754" s="197" t="str">
        <f t="shared" si="254"/>
        <v/>
      </c>
      <c r="AB754" s="213"/>
      <c r="AC754" s="204"/>
    </row>
    <row r="755" spans="1:29" ht="11.4">
      <c r="A755" s="211" t="str">
        <f t="shared" si="266"/>
        <v/>
      </c>
      <c r="B755" s="211"/>
      <c r="C755" s="185"/>
      <c r="D755" s="186" t="str">
        <f t="shared" si="255"/>
        <v/>
      </c>
      <c r="E755" s="186" t="str">
        <f>IF(OR(C755="",C755=Data!$B$3),"",IF(C755=Data!$B$4,"L","S"))</f>
        <v/>
      </c>
      <c r="F755" s="186" t="str">
        <f t="shared" si="256"/>
        <v/>
      </c>
      <c r="G755" s="187" t="str">
        <f t="shared" si="247"/>
        <v/>
      </c>
      <c r="H755" s="188"/>
      <c r="I755" s="189" t="str">
        <f t="shared" si="257"/>
        <v/>
      </c>
      <c r="J755" s="189" t="str">
        <f t="shared" si="258"/>
        <v/>
      </c>
      <c r="K755" s="190" t="str">
        <f t="shared" si="259"/>
        <v/>
      </c>
      <c r="L755" s="190" t="str">
        <f t="shared" si="260"/>
        <v/>
      </c>
      <c r="M755" s="214"/>
      <c r="N755" s="214"/>
      <c r="O755" s="189" t="str">
        <f t="shared" si="261"/>
        <v/>
      </c>
      <c r="P755" s="191" t="str">
        <f t="shared" si="248"/>
        <v/>
      </c>
      <c r="Q755" s="192" t="str">
        <f t="shared" si="262"/>
        <v/>
      </c>
      <c r="R755" s="191" t="str">
        <f t="shared" si="249"/>
        <v/>
      </c>
      <c r="S755" s="193" t="str">
        <f t="shared" si="263"/>
        <v/>
      </c>
      <c r="T755" s="194" t="str">
        <f t="shared" si="250"/>
        <v/>
      </c>
      <c r="U755" s="192" t="str">
        <f t="shared" si="264"/>
        <v/>
      </c>
      <c r="V755" s="195" t="str">
        <f t="shared" si="251"/>
        <v/>
      </c>
      <c r="W755" s="195" t="str">
        <f t="shared" si="252"/>
        <v/>
      </c>
      <c r="X755" s="196" t="str">
        <f t="shared" si="265"/>
        <v/>
      </c>
      <c r="Y755" s="191" t="str">
        <f t="shared" si="267"/>
        <v/>
      </c>
      <c r="Z755" s="197" t="str">
        <f t="shared" si="253"/>
        <v/>
      </c>
      <c r="AA755" s="197" t="str">
        <f t="shared" si="254"/>
        <v/>
      </c>
      <c r="AB755" s="213"/>
      <c r="AC755" s="204"/>
    </row>
    <row r="756" spans="1:29" ht="11.4">
      <c r="A756" s="211" t="str">
        <f t="shared" si="266"/>
        <v/>
      </c>
      <c r="B756" s="211"/>
      <c r="C756" s="185"/>
      <c r="D756" s="186" t="str">
        <f t="shared" si="255"/>
        <v/>
      </c>
      <c r="E756" s="186" t="str">
        <f>IF(OR(C756="",C756=Data!$B$3),"",IF(C756=Data!$B$4,"L","S"))</f>
        <v/>
      </c>
      <c r="F756" s="186" t="str">
        <f t="shared" si="256"/>
        <v/>
      </c>
      <c r="G756" s="187" t="str">
        <f t="shared" si="247"/>
        <v/>
      </c>
      <c r="H756" s="188"/>
      <c r="I756" s="189" t="str">
        <f t="shared" si="257"/>
        <v/>
      </c>
      <c r="J756" s="189" t="str">
        <f t="shared" si="258"/>
        <v/>
      </c>
      <c r="K756" s="190" t="str">
        <f t="shared" si="259"/>
        <v/>
      </c>
      <c r="L756" s="190" t="str">
        <f t="shared" si="260"/>
        <v/>
      </c>
      <c r="M756" s="214"/>
      <c r="N756" s="214"/>
      <c r="O756" s="189" t="str">
        <f t="shared" si="261"/>
        <v/>
      </c>
      <c r="P756" s="191" t="str">
        <f t="shared" si="248"/>
        <v/>
      </c>
      <c r="Q756" s="192" t="str">
        <f t="shared" si="262"/>
        <v/>
      </c>
      <c r="R756" s="191" t="str">
        <f t="shared" si="249"/>
        <v/>
      </c>
      <c r="S756" s="193" t="str">
        <f t="shared" si="263"/>
        <v/>
      </c>
      <c r="T756" s="194" t="str">
        <f t="shared" si="250"/>
        <v/>
      </c>
      <c r="U756" s="192" t="str">
        <f t="shared" si="264"/>
        <v/>
      </c>
      <c r="V756" s="195" t="str">
        <f t="shared" si="251"/>
        <v/>
      </c>
      <c r="W756" s="195" t="str">
        <f t="shared" si="252"/>
        <v/>
      </c>
      <c r="X756" s="196" t="str">
        <f t="shared" si="265"/>
        <v/>
      </c>
      <c r="Y756" s="191" t="str">
        <f t="shared" si="267"/>
        <v/>
      </c>
      <c r="Z756" s="197" t="str">
        <f t="shared" si="253"/>
        <v/>
      </c>
      <c r="AA756" s="197" t="str">
        <f t="shared" si="254"/>
        <v/>
      </c>
      <c r="AB756" s="213"/>
      <c r="AC756" s="204"/>
    </row>
    <row r="757" spans="1:29" ht="11.4">
      <c r="A757" s="211" t="str">
        <f t="shared" si="266"/>
        <v/>
      </c>
      <c r="B757" s="211"/>
      <c r="C757" s="185"/>
      <c r="D757" s="186" t="str">
        <f t="shared" si="255"/>
        <v/>
      </c>
      <c r="E757" s="186" t="str">
        <f>IF(OR(C757="",C757=Data!$B$3),"",IF(C757=Data!$B$4,"L","S"))</f>
        <v/>
      </c>
      <c r="F757" s="186" t="str">
        <f t="shared" si="256"/>
        <v/>
      </c>
      <c r="G757" s="187" t="str">
        <f t="shared" si="247"/>
        <v/>
      </c>
      <c r="H757" s="188"/>
      <c r="I757" s="189" t="str">
        <f t="shared" si="257"/>
        <v/>
      </c>
      <c r="J757" s="189" t="str">
        <f t="shared" si="258"/>
        <v/>
      </c>
      <c r="K757" s="190" t="str">
        <f t="shared" si="259"/>
        <v/>
      </c>
      <c r="L757" s="190" t="str">
        <f t="shared" si="260"/>
        <v/>
      </c>
      <c r="M757" s="214"/>
      <c r="N757" s="214"/>
      <c r="O757" s="189" t="str">
        <f t="shared" si="261"/>
        <v/>
      </c>
      <c r="P757" s="191" t="str">
        <f t="shared" si="248"/>
        <v/>
      </c>
      <c r="Q757" s="192" t="str">
        <f t="shared" si="262"/>
        <v/>
      </c>
      <c r="R757" s="191" t="str">
        <f t="shared" si="249"/>
        <v/>
      </c>
      <c r="S757" s="193" t="str">
        <f t="shared" si="263"/>
        <v/>
      </c>
      <c r="T757" s="194" t="str">
        <f t="shared" si="250"/>
        <v/>
      </c>
      <c r="U757" s="192" t="str">
        <f t="shared" si="264"/>
        <v/>
      </c>
      <c r="V757" s="195" t="str">
        <f t="shared" si="251"/>
        <v/>
      </c>
      <c r="W757" s="195" t="str">
        <f t="shared" si="252"/>
        <v/>
      </c>
      <c r="X757" s="196" t="str">
        <f t="shared" si="265"/>
        <v/>
      </c>
      <c r="Y757" s="191" t="str">
        <f t="shared" si="267"/>
        <v/>
      </c>
      <c r="Z757" s="197" t="str">
        <f t="shared" si="253"/>
        <v/>
      </c>
      <c r="AA757" s="197" t="str">
        <f t="shared" si="254"/>
        <v/>
      </c>
      <c r="AB757" s="213"/>
      <c r="AC757" s="204"/>
    </row>
    <row r="758" spans="1:29" ht="11.4">
      <c r="A758" s="211" t="str">
        <f t="shared" si="266"/>
        <v/>
      </c>
      <c r="B758" s="211"/>
      <c r="C758" s="185"/>
      <c r="D758" s="186" t="str">
        <f t="shared" si="255"/>
        <v/>
      </c>
      <c r="E758" s="186" t="str">
        <f>IF(OR(C758="",C758=Data!$B$3),"",IF(C758=Data!$B$4,"L","S"))</f>
        <v/>
      </c>
      <c r="F758" s="186" t="str">
        <f t="shared" si="256"/>
        <v/>
      </c>
      <c r="G758" s="187" t="str">
        <f t="shared" si="247"/>
        <v/>
      </c>
      <c r="H758" s="188"/>
      <c r="I758" s="189" t="str">
        <f t="shared" si="257"/>
        <v/>
      </c>
      <c r="J758" s="189" t="str">
        <f t="shared" si="258"/>
        <v/>
      </c>
      <c r="K758" s="190" t="str">
        <f t="shared" si="259"/>
        <v/>
      </c>
      <c r="L758" s="190" t="str">
        <f t="shared" si="260"/>
        <v/>
      </c>
      <c r="M758" s="214"/>
      <c r="N758" s="214"/>
      <c r="O758" s="189" t="str">
        <f t="shared" si="261"/>
        <v/>
      </c>
      <c r="P758" s="191" t="str">
        <f t="shared" si="248"/>
        <v/>
      </c>
      <c r="Q758" s="192" t="str">
        <f t="shared" si="262"/>
        <v/>
      </c>
      <c r="R758" s="191" t="str">
        <f t="shared" si="249"/>
        <v/>
      </c>
      <c r="S758" s="193" t="str">
        <f t="shared" si="263"/>
        <v/>
      </c>
      <c r="T758" s="194" t="str">
        <f t="shared" si="250"/>
        <v/>
      </c>
      <c r="U758" s="192" t="str">
        <f t="shared" si="264"/>
        <v/>
      </c>
      <c r="V758" s="195" t="str">
        <f t="shared" si="251"/>
        <v/>
      </c>
      <c r="W758" s="195" t="str">
        <f t="shared" si="252"/>
        <v/>
      </c>
      <c r="X758" s="196" t="str">
        <f t="shared" si="265"/>
        <v/>
      </c>
      <c r="Y758" s="191" t="str">
        <f t="shared" si="267"/>
        <v/>
      </c>
      <c r="Z758" s="197" t="str">
        <f t="shared" si="253"/>
        <v/>
      </c>
      <c r="AA758" s="197" t="str">
        <f t="shared" si="254"/>
        <v/>
      </c>
      <c r="AB758" s="213"/>
      <c r="AC758" s="204"/>
    </row>
    <row r="759" spans="1:29" ht="11.4">
      <c r="A759" s="211" t="str">
        <f t="shared" si="266"/>
        <v/>
      </c>
      <c r="B759" s="211"/>
      <c r="C759" s="185"/>
      <c r="D759" s="186" t="str">
        <f t="shared" si="255"/>
        <v/>
      </c>
      <c r="E759" s="186" t="str">
        <f>IF(OR(C759="",C759=Data!$B$3),"",IF(C759=Data!$B$4,"L","S"))</f>
        <v/>
      </c>
      <c r="F759" s="186" t="str">
        <f t="shared" si="256"/>
        <v/>
      </c>
      <c r="G759" s="187" t="str">
        <f t="shared" si="247"/>
        <v/>
      </c>
      <c r="H759" s="188"/>
      <c r="I759" s="189" t="str">
        <f t="shared" si="257"/>
        <v/>
      </c>
      <c r="J759" s="189" t="str">
        <f t="shared" si="258"/>
        <v/>
      </c>
      <c r="K759" s="190" t="str">
        <f t="shared" si="259"/>
        <v/>
      </c>
      <c r="L759" s="190" t="str">
        <f t="shared" si="260"/>
        <v/>
      </c>
      <c r="M759" s="214"/>
      <c r="N759" s="214"/>
      <c r="O759" s="189" t="str">
        <f t="shared" si="261"/>
        <v/>
      </c>
      <c r="P759" s="191" t="str">
        <f t="shared" si="248"/>
        <v/>
      </c>
      <c r="Q759" s="192" t="str">
        <f t="shared" si="262"/>
        <v/>
      </c>
      <c r="R759" s="191" t="str">
        <f t="shared" si="249"/>
        <v/>
      </c>
      <c r="S759" s="193" t="str">
        <f t="shared" si="263"/>
        <v/>
      </c>
      <c r="T759" s="194" t="str">
        <f t="shared" si="250"/>
        <v/>
      </c>
      <c r="U759" s="192" t="str">
        <f t="shared" si="264"/>
        <v/>
      </c>
      <c r="V759" s="195" t="str">
        <f t="shared" si="251"/>
        <v/>
      </c>
      <c r="W759" s="195" t="str">
        <f t="shared" si="252"/>
        <v/>
      </c>
      <c r="X759" s="196" t="str">
        <f t="shared" si="265"/>
        <v/>
      </c>
      <c r="Y759" s="191" t="str">
        <f t="shared" si="267"/>
        <v/>
      </c>
      <c r="Z759" s="197" t="str">
        <f t="shared" si="253"/>
        <v/>
      </c>
      <c r="AA759" s="197" t="str">
        <f t="shared" si="254"/>
        <v/>
      </c>
      <c r="AB759" s="213"/>
      <c r="AC759" s="204"/>
    </row>
    <row r="760" spans="1:29" ht="11.4">
      <c r="A760" s="211" t="str">
        <f t="shared" si="266"/>
        <v/>
      </c>
      <c r="B760" s="211"/>
      <c r="C760" s="185"/>
      <c r="D760" s="186" t="str">
        <f t="shared" si="255"/>
        <v/>
      </c>
      <c r="E760" s="186" t="str">
        <f>IF(OR(C760="",C760=Data!$B$3),"",IF(C760=Data!$B$4,"L","S"))</f>
        <v/>
      </c>
      <c r="F760" s="186" t="str">
        <f t="shared" si="256"/>
        <v/>
      </c>
      <c r="G760" s="187" t="str">
        <f t="shared" si="247"/>
        <v/>
      </c>
      <c r="H760" s="188"/>
      <c r="I760" s="189" t="str">
        <f t="shared" si="257"/>
        <v/>
      </c>
      <c r="J760" s="189" t="str">
        <f t="shared" si="258"/>
        <v/>
      </c>
      <c r="K760" s="190" t="str">
        <f t="shared" si="259"/>
        <v/>
      </c>
      <c r="L760" s="190" t="str">
        <f t="shared" si="260"/>
        <v/>
      </c>
      <c r="M760" s="214"/>
      <c r="N760" s="214"/>
      <c r="O760" s="189" t="str">
        <f t="shared" si="261"/>
        <v/>
      </c>
      <c r="P760" s="191" t="str">
        <f t="shared" si="248"/>
        <v/>
      </c>
      <c r="Q760" s="192" t="str">
        <f t="shared" si="262"/>
        <v/>
      </c>
      <c r="R760" s="191" t="str">
        <f t="shared" si="249"/>
        <v/>
      </c>
      <c r="S760" s="193" t="str">
        <f t="shared" si="263"/>
        <v/>
      </c>
      <c r="T760" s="194" t="str">
        <f t="shared" si="250"/>
        <v/>
      </c>
      <c r="U760" s="192" t="str">
        <f t="shared" si="264"/>
        <v/>
      </c>
      <c r="V760" s="195" t="str">
        <f t="shared" si="251"/>
        <v/>
      </c>
      <c r="W760" s="195" t="str">
        <f t="shared" si="252"/>
        <v/>
      </c>
      <c r="X760" s="196" t="str">
        <f t="shared" si="265"/>
        <v/>
      </c>
      <c r="Y760" s="191" t="str">
        <f t="shared" si="267"/>
        <v/>
      </c>
      <c r="Z760" s="197" t="str">
        <f t="shared" si="253"/>
        <v/>
      </c>
      <c r="AA760" s="197" t="str">
        <f t="shared" si="254"/>
        <v/>
      </c>
      <c r="AB760" s="213"/>
      <c r="AC760" s="204"/>
    </row>
    <row r="761" spans="1:29" ht="11.4">
      <c r="A761" s="211" t="str">
        <f t="shared" si="266"/>
        <v/>
      </c>
      <c r="B761" s="211"/>
      <c r="C761" s="185"/>
      <c r="D761" s="186" t="str">
        <f t="shared" si="255"/>
        <v/>
      </c>
      <c r="E761" s="186" t="str">
        <f>IF(OR(C761="",C761=Data!$B$3),"",IF(C761=Data!$B$4,"L","S"))</f>
        <v/>
      </c>
      <c r="F761" s="186" t="str">
        <f t="shared" si="256"/>
        <v/>
      </c>
      <c r="G761" s="187" t="str">
        <f t="shared" si="247"/>
        <v/>
      </c>
      <c r="H761" s="188"/>
      <c r="I761" s="189" t="str">
        <f t="shared" si="257"/>
        <v/>
      </c>
      <c r="J761" s="189" t="str">
        <f t="shared" si="258"/>
        <v/>
      </c>
      <c r="K761" s="190" t="str">
        <f t="shared" si="259"/>
        <v/>
      </c>
      <c r="L761" s="190" t="str">
        <f t="shared" si="260"/>
        <v/>
      </c>
      <c r="M761" s="214"/>
      <c r="N761" s="214"/>
      <c r="O761" s="189" t="str">
        <f t="shared" si="261"/>
        <v/>
      </c>
      <c r="P761" s="191" t="str">
        <f t="shared" si="248"/>
        <v/>
      </c>
      <c r="Q761" s="192" t="str">
        <f t="shared" si="262"/>
        <v/>
      </c>
      <c r="R761" s="191" t="str">
        <f t="shared" si="249"/>
        <v/>
      </c>
      <c r="S761" s="193" t="str">
        <f t="shared" si="263"/>
        <v/>
      </c>
      <c r="T761" s="194" t="str">
        <f t="shared" si="250"/>
        <v/>
      </c>
      <c r="U761" s="192" t="str">
        <f t="shared" si="264"/>
        <v/>
      </c>
      <c r="V761" s="195" t="str">
        <f t="shared" si="251"/>
        <v/>
      </c>
      <c r="W761" s="195" t="str">
        <f t="shared" si="252"/>
        <v/>
      </c>
      <c r="X761" s="196" t="str">
        <f t="shared" si="265"/>
        <v/>
      </c>
      <c r="Y761" s="191" t="str">
        <f t="shared" si="267"/>
        <v/>
      </c>
      <c r="Z761" s="197" t="str">
        <f t="shared" si="253"/>
        <v/>
      </c>
      <c r="AA761" s="197" t="str">
        <f t="shared" si="254"/>
        <v/>
      </c>
      <c r="AB761" s="213"/>
      <c r="AC761" s="204"/>
    </row>
    <row r="762" spans="1:29" ht="11.4">
      <c r="A762" s="211" t="str">
        <f t="shared" si="266"/>
        <v/>
      </c>
      <c r="B762" s="211"/>
      <c r="C762" s="185"/>
      <c r="D762" s="186" t="str">
        <f t="shared" si="255"/>
        <v/>
      </c>
      <c r="E762" s="186" t="str">
        <f>IF(OR(C762="",C762=Data!$B$3),"",IF(C762=Data!$B$4,"L","S"))</f>
        <v/>
      </c>
      <c r="F762" s="186" t="str">
        <f t="shared" si="256"/>
        <v/>
      </c>
      <c r="G762" s="187" t="str">
        <f t="shared" si="247"/>
        <v/>
      </c>
      <c r="H762" s="188"/>
      <c r="I762" s="189" t="str">
        <f t="shared" si="257"/>
        <v/>
      </c>
      <c r="J762" s="189" t="str">
        <f t="shared" si="258"/>
        <v/>
      </c>
      <c r="K762" s="190" t="str">
        <f t="shared" si="259"/>
        <v/>
      </c>
      <c r="L762" s="190" t="str">
        <f t="shared" si="260"/>
        <v/>
      </c>
      <c r="M762" s="214"/>
      <c r="N762" s="214"/>
      <c r="O762" s="189" t="str">
        <f t="shared" si="261"/>
        <v/>
      </c>
      <c r="P762" s="191" t="str">
        <f t="shared" si="248"/>
        <v/>
      </c>
      <c r="Q762" s="192" t="str">
        <f t="shared" si="262"/>
        <v/>
      </c>
      <c r="R762" s="191" t="str">
        <f t="shared" si="249"/>
        <v/>
      </c>
      <c r="S762" s="193" t="str">
        <f t="shared" si="263"/>
        <v/>
      </c>
      <c r="T762" s="194" t="str">
        <f t="shared" si="250"/>
        <v/>
      </c>
      <c r="U762" s="192" t="str">
        <f t="shared" si="264"/>
        <v/>
      </c>
      <c r="V762" s="195" t="str">
        <f t="shared" si="251"/>
        <v/>
      </c>
      <c r="W762" s="195" t="str">
        <f t="shared" si="252"/>
        <v/>
      </c>
      <c r="X762" s="196" t="str">
        <f t="shared" si="265"/>
        <v/>
      </c>
      <c r="Y762" s="191" t="str">
        <f t="shared" si="267"/>
        <v/>
      </c>
      <c r="Z762" s="197" t="str">
        <f t="shared" si="253"/>
        <v/>
      </c>
      <c r="AA762" s="197" t="str">
        <f t="shared" si="254"/>
        <v/>
      </c>
      <c r="AB762" s="213"/>
      <c r="AC762" s="204"/>
    </row>
    <row r="763" spans="1:29" ht="11.4">
      <c r="A763" s="211" t="str">
        <f t="shared" si="266"/>
        <v/>
      </c>
      <c r="B763" s="211"/>
      <c r="C763" s="185"/>
      <c r="D763" s="186" t="str">
        <f t="shared" si="255"/>
        <v/>
      </c>
      <c r="E763" s="186" t="str">
        <f>IF(OR(C763="",C763=Data!$B$3),"",IF(C763=Data!$B$4,"L","S"))</f>
        <v/>
      </c>
      <c r="F763" s="186" t="str">
        <f t="shared" si="256"/>
        <v/>
      </c>
      <c r="G763" s="187" t="str">
        <f t="shared" si="247"/>
        <v/>
      </c>
      <c r="H763" s="188"/>
      <c r="I763" s="189" t="str">
        <f t="shared" si="257"/>
        <v/>
      </c>
      <c r="J763" s="189" t="str">
        <f t="shared" si="258"/>
        <v/>
      </c>
      <c r="K763" s="190" t="str">
        <f t="shared" si="259"/>
        <v/>
      </c>
      <c r="L763" s="190" t="str">
        <f t="shared" si="260"/>
        <v/>
      </c>
      <c r="M763" s="214"/>
      <c r="N763" s="214"/>
      <c r="O763" s="189" t="str">
        <f t="shared" si="261"/>
        <v/>
      </c>
      <c r="P763" s="191" t="str">
        <f t="shared" si="248"/>
        <v/>
      </c>
      <c r="Q763" s="192" t="str">
        <f t="shared" si="262"/>
        <v/>
      </c>
      <c r="R763" s="191" t="str">
        <f t="shared" si="249"/>
        <v/>
      </c>
      <c r="S763" s="193" t="str">
        <f t="shared" si="263"/>
        <v/>
      </c>
      <c r="T763" s="194" t="str">
        <f t="shared" si="250"/>
        <v/>
      </c>
      <c r="U763" s="192" t="str">
        <f t="shared" si="264"/>
        <v/>
      </c>
      <c r="V763" s="195" t="str">
        <f t="shared" si="251"/>
        <v/>
      </c>
      <c r="W763" s="195" t="str">
        <f t="shared" si="252"/>
        <v/>
      </c>
      <c r="X763" s="196" t="str">
        <f t="shared" si="265"/>
        <v/>
      </c>
      <c r="Y763" s="191" t="str">
        <f t="shared" si="267"/>
        <v/>
      </c>
      <c r="Z763" s="197" t="str">
        <f t="shared" si="253"/>
        <v/>
      </c>
      <c r="AA763" s="197" t="str">
        <f t="shared" si="254"/>
        <v/>
      </c>
      <c r="AB763" s="213"/>
      <c r="AC763" s="204"/>
    </row>
    <row r="764" spans="1:29" ht="11.4">
      <c r="A764" s="211" t="str">
        <f t="shared" si="266"/>
        <v/>
      </c>
      <c r="B764" s="211"/>
      <c r="C764" s="185"/>
      <c r="D764" s="186" t="str">
        <f t="shared" si="255"/>
        <v/>
      </c>
      <c r="E764" s="186" t="str">
        <f>IF(OR(C764="",C764=Data!$B$3),"",IF(C764=Data!$B$4,"L","S"))</f>
        <v/>
      </c>
      <c r="F764" s="186" t="str">
        <f t="shared" si="256"/>
        <v/>
      </c>
      <c r="G764" s="187" t="str">
        <f t="shared" si="247"/>
        <v/>
      </c>
      <c r="H764" s="188"/>
      <c r="I764" s="189" t="str">
        <f t="shared" si="257"/>
        <v/>
      </c>
      <c r="J764" s="189" t="str">
        <f t="shared" si="258"/>
        <v/>
      </c>
      <c r="K764" s="190" t="str">
        <f t="shared" si="259"/>
        <v/>
      </c>
      <c r="L764" s="190" t="str">
        <f t="shared" si="260"/>
        <v/>
      </c>
      <c r="M764" s="214"/>
      <c r="N764" s="214"/>
      <c r="O764" s="189" t="str">
        <f t="shared" si="261"/>
        <v/>
      </c>
      <c r="P764" s="191" t="str">
        <f t="shared" si="248"/>
        <v/>
      </c>
      <c r="Q764" s="192" t="str">
        <f t="shared" si="262"/>
        <v/>
      </c>
      <c r="R764" s="191" t="str">
        <f t="shared" si="249"/>
        <v/>
      </c>
      <c r="S764" s="193" t="str">
        <f t="shared" si="263"/>
        <v/>
      </c>
      <c r="T764" s="194" t="str">
        <f t="shared" si="250"/>
        <v/>
      </c>
      <c r="U764" s="192" t="str">
        <f t="shared" si="264"/>
        <v/>
      </c>
      <c r="V764" s="195" t="str">
        <f t="shared" si="251"/>
        <v/>
      </c>
      <c r="W764" s="195" t="str">
        <f t="shared" si="252"/>
        <v/>
      </c>
      <c r="X764" s="196" t="str">
        <f t="shared" si="265"/>
        <v/>
      </c>
      <c r="Y764" s="191" t="str">
        <f t="shared" si="267"/>
        <v/>
      </c>
      <c r="Z764" s="197" t="str">
        <f t="shared" si="253"/>
        <v/>
      </c>
      <c r="AA764" s="197" t="str">
        <f t="shared" si="254"/>
        <v/>
      </c>
      <c r="AB764" s="213"/>
      <c r="AC764" s="204"/>
    </row>
    <row r="765" spans="1:29" ht="11.4">
      <c r="A765" s="211" t="str">
        <f t="shared" si="266"/>
        <v/>
      </c>
      <c r="B765" s="211"/>
      <c r="C765" s="185"/>
      <c r="D765" s="186" t="str">
        <f t="shared" si="255"/>
        <v/>
      </c>
      <c r="E765" s="186" t="str">
        <f>IF(OR(C765="",C765=Data!$B$3),"",IF(C765=Data!$B$4,"L","S"))</f>
        <v/>
      </c>
      <c r="F765" s="186" t="str">
        <f t="shared" si="256"/>
        <v/>
      </c>
      <c r="G765" s="187" t="str">
        <f t="shared" si="247"/>
        <v/>
      </c>
      <c r="H765" s="188"/>
      <c r="I765" s="189" t="str">
        <f t="shared" si="257"/>
        <v/>
      </c>
      <c r="J765" s="189" t="str">
        <f t="shared" si="258"/>
        <v/>
      </c>
      <c r="K765" s="190" t="str">
        <f t="shared" si="259"/>
        <v/>
      </c>
      <c r="L765" s="190" t="str">
        <f t="shared" si="260"/>
        <v/>
      </c>
      <c r="M765" s="214"/>
      <c r="N765" s="214"/>
      <c r="O765" s="189" t="str">
        <f t="shared" si="261"/>
        <v/>
      </c>
      <c r="P765" s="191" t="str">
        <f t="shared" si="248"/>
        <v/>
      </c>
      <c r="Q765" s="192" t="str">
        <f t="shared" si="262"/>
        <v/>
      </c>
      <c r="R765" s="191" t="str">
        <f t="shared" si="249"/>
        <v/>
      </c>
      <c r="S765" s="193" t="str">
        <f t="shared" si="263"/>
        <v/>
      </c>
      <c r="T765" s="194" t="str">
        <f t="shared" si="250"/>
        <v/>
      </c>
      <c r="U765" s="192" t="str">
        <f t="shared" si="264"/>
        <v/>
      </c>
      <c r="V765" s="195" t="str">
        <f t="shared" si="251"/>
        <v/>
      </c>
      <c r="W765" s="195" t="str">
        <f t="shared" si="252"/>
        <v/>
      </c>
      <c r="X765" s="196" t="str">
        <f t="shared" si="265"/>
        <v/>
      </c>
      <c r="Y765" s="191" t="str">
        <f t="shared" si="267"/>
        <v/>
      </c>
      <c r="Z765" s="197" t="str">
        <f t="shared" si="253"/>
        <v/>
      </c>
      <c r="AA765" s="197" t="str">
        <f t="shared" si="254"/>
        <v/>
      </c>
      <c r="AB765" s="213"/>
      <c r="AC765" s="204"/>
    </row>
    <row r="766" spans="1:29" ht="11.4">
      <c r="A766" s="211" t="str">
        <f t="shared" si="266"/>
        <v/>
      </c>
      <c r="B766" s="211"/>
      <c r="C766" s="185"/>
      <c r="D766" s="186" t="str">
        <f t="shared" si="255"/>
        <v/>
      </c>
      <c r="E766" s="186" t="str">
        <f>IF(OR(C766="",C766=Data!$B$3),"",IF(C766=Data!$B$4,"L","S"))</f>
        <v/>
      </c>
      <c r="F766" s="186" t="str">
        <f t="shared" si="256"/>
        <v/>
      </c>
      <c r="G766" s="187" t="str">
        <f t="shared" si="247"/>
        <v/>
      </c>
      <c r="H766" s="188"/>
      <c r="I766" s="189" t="str">
        <f t="shared" si="257"/>
        <v/>
      </c>
      <c r="J766" s="189" t="str">
        <f t="shared" si="258"/>
        <v/>
      </c>
      <c r="K766" s="190" t="str">
        <f t="shared" si="259"/>
        <v/>
      </c>
      <c r="L766" s="190" t="str">
        <f t="shared" si="260"/>
        <v/>
      </c>
      <c r="M766" s="214"/>
      <c r="N766" s="214"/>
      <c r="O766" s="189" t="str">
        <f t="shared" si="261"/>
        <v/>
      </c>
      <c r="P766" s="191" t="str">
        <f t="shared" si="248"/>
        <v/>
      </c>
      <c r="Q766" s="192" t="str">
        <f t="shared" si="262"/>
        <v/>
      </c>
      <c r="R766" s="191" t="str">
        <f t="shared" si="249"/>
        <v/>
      </c>
      <c r="S766" s="193" t="str">
        <f t="shared" si="263"/>
        <v/>
      </c>
      <c r="T766" s="194" t="str">
        <f t="shared" si="250"/>
        <v/>
      </c>
      <c r="U766" s="192" t="str">
        <f t="shared" si="264"/>
        <v/>
      </c>
      <c r="V766" s="195" t="str">
        <f t="shared" si="251"/>
        <v/>
      </c>
      <c r="W766" s="195" t="str">
        <f t="shared" si="252"/>
        <v/>
      </c>
      <c r="X766" s="196" t="str">
        <f t="shared" si="265"/>
        <v/>
      </c>
      <c r="Y766" s="191" t="str">
        <f t="shared" si="267"/>
        <v/>
      </c>
      <c r="Z766" s="197" t="str">
        <f t="shared" si="253"/>
        <v/>
      </c>
      <c r="AA766" s="197" t="str">
        <f t="shared" si="254"/>
        <v/>
      </c>
      <c r="AB766" s="213"/>
      <c r="AC766" s="204"/>
    </row>
    <row r="767" spans="1:29" ht="11.4">
      <c r="A767" s="211" t="str">
        <f t="shared" si="266"/>
        <v/>
      </c>
      <c r="B767" s="211"/>
      <c r="C767" s="185"/>
      <c r="D767" s="186" t="str">
        <f t="shared" si="255"/>
        <v/>
      </c>
      <c r="E767" s="186" t="str">
        <f>IF(OR(C767="",C767=Data!$B$3),"",IF(C767=Data!$B$4,"L","S"))</f>
        <v/>
      </c>
      <c r="F767" s="186" t="str">
        <f t="shared" si="256"/>
        <v/>
      </c>
      <c r="G767" s="187" t="str">
        <f t="shared" si="247"/>
        <v/>
      </c>
      <c r="H767" s="188"/>
      <c r="I767" s="189" t="str">
        <f t="shared" si="257"/>
        <v/>
      </c>
      <c r="J767" s="189" t="str">
        <f t="shared" si="258"/>
        <v/>
      </c>
      <c r="K767" s="190" t="str">
        <f t="shared" si="259"/>
        <v/>
      </c>
      <c r="L767" s="190" t="str">
        <f t="shared" si="260"/>
        <v/>
      </c>
      <c r="M767" s="214"/>
      <c r="N767" s="214"/>
      <c r="O767" s="189" t="str">
        <f t="shared" si="261"/>
        <v/>
      </c>
      <c r="P767" s="191" t="str">
        <f t="shared" si="248"/>
        <v/>
      </c>
      <c r="Q767" s="192" t="str">
        <f t="shared" si="262"/>
        <v/>
      </c>
      <c r="R767" s="191" t="str">
        <f t="shared" si="249"/>
        <v/>
      </c>
      <c r="S767" s="193" t="str">
        <f t="shared" si="263"/>
        <v/>
      </c>
      <c r="T767" s="194" t="str">
        <f t="shared" si="250"/>
        <v/>
      </c>
      <c r="U767" s="192" t="str">
        <f t="shared" si="264"/>
        <v/>
      </c>
      <c r="V767" s="195" t="str">
        <f t="shared" si="251"/>
        <v/>
      </c>
      <c r="W767" s="195" t="str">
        <f t="shared" si="252"/>
        <v/>
      </c>
      <c r="X767" s="196" t="str">
        <f t="shared" si="265"/>
        <v/>
      </c>
      <c r="Y767" s="191" t="str">
        <f t="shared" si="267"/>
        <v/>
      </c>
      <c r="Z767" s="197" t="str">
        <f t="shared" si="253"/>
        <v/>
      </c>
      <c r="AA767" s="197" t="str">
        <f t="shared" si="254"/>
        <v/>
      </c>
      <c r="AB767" s="213"/>
      <c r="AC767" s="204"/>
    </row>
    <row r="768" spans="1:29" ht="11.4">
      <c r="A768" s="211" t="str">
        <f t="shared" si="266"/>
        <v/>
      </c>
      <c r="B768" s="211"/>
      <c r="C768" s="185"/>
      <c r="D768" s="186" t="str">
        <f t="shared" si="255"/>
        <v/>
      </c>
      <c r="E768" s="186" t="str">
        <f>IF(OR(C768="",C768=Data!$B$3),"",IF(C768=Data!$B$4,"L","S"))</f>
        <v/>
      </c>
      <c r="F768" s="186" t="str">
        <f t="shared" si="256"/>
        <v/>
      </c>
      <c r="G768" s="187" t="str">
        <f t="shared" si="247"/>
        <v/>
      </c>
      <c r="H768" s="188"/>
      <c r="I768" s="189" t="str">
        <f t="shared" si="257"/>
        <v/>
      </c>
      <c r="J768" s="189" t="str">
        <f t="shared" si="258"/>
        <v/>
      </c>
      <c r="K768" s="190" t="str">
        <f t="shared" si="259"/>
        <v/>
      </c>
      <c r="L768" s="190" t="str">
        <f t="shared" si="260"/>
        <v/>
      </c>
      <c r="M768" s="214"/>
      <c r="N768" s="214"/>
      <c r="O768" s="189" t="str">
        <f t="shared" si="261"/>
        <v/>
      </c>
      <c r="P768" s="191" t="str">
        <f t="shared" si="248"/>
        <v/>
      </c>
      <c r="Q768" s="192" t="str">
        <f t="shared" si="262"/>
        <v/>
      </c>
      <c r="R768" s="191" t="str">
        <f t="shared" si="249"/>
        <v/>
      </c>
      <c r="S768" s="193" t="str">
        <f t="shared" si="263"/>
        <v/>
      </c>
      <c r="T768" s="194" t="str">
        <f t="shared" si="250"/>
        <v/>
      </c>
      <c r="U768" s="192" t="str">
        <f t="shared" si="264"/>
        <v/>
      </c>
      <c r="V768" s="195" t="str">
        <f t="shared" si="251"/>
        <v/>
      </c>
      <c r="W768" s="195" t="str">
        <f t="shared" si="252"/>
        <v/>
      </c>
      <c r="X768" s="196" t="str">
        <f t="shared" si="265"/>
        <v/>
      </c>
      <c r="Y768" s="191" t="str">
        <f t="shared" si="267"/>
        <v/>
      </c>
      <c r="Z768" s="197" t="str">
        <f t="shared" si="253"/>
        <v/>
      </c>
      <c r="AA768" s="197" t="str">
        <f t="shared" si="254"/>
        <v/>
      </c>
      <c r="AB768" s="213"/>
      <c r="AC768" s="204"/>
    </row>
    <row r="769" spans="1:29" ht="11.4">
      <c r="A769" s="211" t="str">
        <f t="shared" si="266"/>
        <v/>
      </c>
      <c r="B769" s="211"/>
      <c r="C769" s="185"/>
      <c r="D769" s="186" t="str">
        <f t="shared" si="255"/>
        <v/>
      </c>
      <c r="E769" s="186" t="str">
        <f>IF(OR(C769="",C769=Data!$B$3),"",IF(C769=Data!$B$4,"L","S"))</f>
        <v/>
      </c>
      <c r="F769" s="186" t="str">
        <f t="shared" si="256"/>
        <v/>
      </c>
      <c r="G769" s="187" t="str">
        <f t="shared" si="247"/>
        <v/>
      </c>
      <c r="H769" s="188"/>
      <c r="I769" s="189" t="str">
        <f t="shared" si="257"/>
        <v/>
      </c>
      <c r="J769" s="189" t="str">
        <f t="shared" si="258"/>
        <v/>
      </c>
      <c r="K769" s="190" t="str">
        <f t="shared" si="259"/>
        <v/>
      </c>
      <c r="L769" s="190" t="str">
        <f t="shared" si="260"/>
        <v/>
      </c>
      <c r="M769" s="214"/>
      <c r="N769" s="214"/>
      <c r="O769" s="189" t="str">
        <f t="shared" si="261"/>
        <v/>
      </c>
      <c r="P769" s="191" t="str">
        <f t="shared" si="248"/>
        <v/>
      </c>
      <c r="Q769" s="192" t="str">
        <f t="shared" si="262"/>
        <v/>
      </c>
      <c r="R769" s="191" t="str">
        <f t="shared" si="249"/>
        <v/>
      </c>
      <c r="S769" s="193" t="str">
        <f t="shared" si="263"/>
        <v/>
      </c>
      <c r="T769" s="194" t="str">
        <f t="shared" si="250"/>
        <v/>
      </c>
      <c r="U769" s="192" t="str">
        <f t="shared" si="264"/>
        <v/>
      </c>
      <c r="V769" s="195" t="str">
        <f t="shared" si="251"/>
        <v/>
      </c>
      <c r="W769" s="195" t="str">
        <f t="shared" si="252"/>
        <v/>
      </c>
      <c r="X769" s="196" t="str">
        <f t="shared" si="265"/>
        <v/>
      </c>
      <c r="Y769" s="191" t="str">
        <f t="shared" si="267"/>
        <v/>
      </c>
      <c r="Z769" s="197" t="str">
        <f t="shared" si="253"/>
        <v/>
      </c>
      <c r="AA769" s="197" t="str">
        <f t="shared" si="254"/>
        <v/>
      </c>
      <c r="AB769" s="213"/>
      <c r="AC769" s="204"/>
    </row>
    <row r="770" spans="1:29" ht="11.4">
      <c r="A770" s="211" t="str">
        <f t="shared" si="266"/>
        <v/>
      </c>
      <c r="B770" s="211"/>
      <c r="C770" s="185"/>
      <c r="D770" s="186" t="str">
        <f t="shared" si="255"/>
        <v/>
      </c>
      <c r="E770" s="186" t="str">
        <f>IF(OR(C770="",C770=Data!$B$3),"",IF(C770=Data!$B$4,"L","S"))</f>
        <v/>
      </c>
      <c r="F770" s="186" t="str">
        <f t="shared" si="256"/>
        <v/>
      </c>
      <c r="G770" s="187" t="str">
        <f t="shared" si="247"/>
        <v/>
      </c>
      <c r="H770" s="188"/>
      <c r="I770" s="189" t="str">
        <f t="shared" si="257"/>
        <v/>
      </c>
      <c r="J770" s="189" t="str">
        <f t="shared" si="258"/>
        <v/>
      </c>
      <c r="K770" s="190" t="str">
        <f t="shared" si="259"/>
        <v/>
      </c>
      <c r="L770" s="190" t="str">
        <f t="shared" si="260"/>
        <v/>
      </c>
      <c r="M770" s="214"/>
      <c r="N770" s="214"/>
      <c r="O770" s="189" t="str">
        <f t="shared" si="261"/>
        <v/>
      </c>
      <c r="P770" s="191" t="str">
        <f t="shared" si="248"/>
        <v/>
      </c>
      <c r="Q770" s="192" t="str">
        <f t="shared" si="262"/>
        <v/>
      </c>
      <c r="R770" s="191" t="str">
        <f t="shared" si="249"/>
        <v/>
      </c>
      <c r="S770" s="193" t="str">
        <f t="shared" si="263"/>
        <v/>
      </c>
      <c r="T770" s="194" t="str">
        <f t="shared" si="250"/>
        <v/>
      </c>
      <c r="U770" s="192" t="str">
        <f t="shared" si="264"/>
        <v/>
      </c>
      <c r="V770" s="195" t="str">
        <f t="shared" si="251"/>
        <v/>
      </c>
      <c r="W770" s="195" t="str">
        <f t="shared" si="252"/>
        <v/>
      </c>
      <c r="X770" s="196" t="str">
        <f t="shared" si="265"/>
        <v/>
      </c>
      <c r="Y770" s="191" t="str">
        <f t="shared" si="267"/>
        <v/>
      </c>
      <c r="Z770" s="197" t="str">
        <f t="shared" si="253"/>
        <v/>
      </c>
      <c r="AA770" s="197" t="str">
        <f t="shared" si="254"/>
        <v/>
      </c>
      <c r="AB770" s="213"/>
      <c r="AC770" s="204"/>
    </row>
    <row r="771" spans="1:29" ht="11.4">
      <c r="A771" s="211" t="str">
        <f t="shared" si="266"/>
        <v/>
      </c>
      <c r="B771" s="211"/>
      <c r="C771" s="185"/>
      <c r="D771" s="186" t="str">
        <f t="shared" si="255"/>
        <v/>
      </c>
      <c r="E771" s="186" t="str">
        <f>IF(OR(C771="",C771=Data!$B$3),"",IF(C771=Data!$B$4,"L","S"))</f>
        <v/>
      </c>
      <c r="F771" s="186" t="str">
        <f t="shared" si="256"/>
        <v/>
      </c>
      <c r="G771" s="187" t="str">
        <f t="shared" si="247"/>
        <v/>
      </c>
      <c r="H771" s="188"/>
      <c r="I771" s="189" t="str">
        <f t="shared" si="257"/>
        <v/>
      </c>
      <c r="J771" s="189" t="str">
        <f t="shared" si="258"/>
        <v/>
      </c>
      <c r="K771" s="190" t="str">
        <f t="shared" si="259"/>
        <v/>
      </c>
      <c r="L771" s="190" t="str">
        <f t="shared" si="260"/>
        <v/>
      </c>
      <c r="M771" s="214"/>
      <c r="N771" s="214"/>
      <c r="O771" s="189" t="str">
        <f t="shared" si="261"/>
        <v/>
      </c>
      <c r="P771" s="191" t="str">
        <f t="shared" si="248"/>
        <v/>
      </c>
      <c r="Q771" s="192" t="str">
        <f t="shared" si="262"/>
        <v/>
      </c>
      <c r="R771" s="191" t="str">
        <f t="shared" si="249"/>
        <v/>
      </c>
      <c r="S771" s="193" t="str">
        <f t="shared" si="263"/>
        <v/>
      </c>
      <c r="T771" s="194" t="str">
        <f t="shared" si="250"/>
        <v/>
      </c>
      <c r="U771" s="192" t="str">
        <f t="shared" si="264"/>
        <v/>
      </c>
      <c r="V771" s="195" t="str">
        <f t="shared" si="251"/>
        <v/>
      </c>
      <c r="W771" s="195" t="str">
        <f t="shared" si="252"/>
        <v/>
      </c>
      <c r="X771" s="196" t="str">
        <f t="shared" si="265"/>
        <v/>
      </c>
      <c r="Y771" s="191" t="str">
        <f t="shared" si="267"/>
        <v/>
      </c>
      <c r="Z771" s="197" t="str">
        <f t="shared" si="253"/>
        <v/>
      </c>
      <c r="AA771" s="197" t="str">
        <f t="shared" si="254"/>
        <v/>
      </c>
      <c r="AB771" s="213"/>
      <c r="AC771" s="204"/>
    </row>
    <row r="772" spans="1:29" ht="11.4">
      <c r="A772" s="211" t="str">
        <f t="shared" si="266"/>
        <v/>
      </c>
      <c r="B772" s="211"/>
      <c r="C772" s="185"/>
      <c r="D772" s="186" t="str">
        <f t="shared" si="255"/>
        <v/>
      </c>
      <c r="E772" s="186" t="str">
        <f>IF(OR(C772="",C772=Data!$B$3),"",IF(C772=Data!$B$4,"L","S"))</f>
        <v/>
      </c>
      <c r="F772" s="186" t="str">
        <f t="shared" si="256"/>
        <v/>
      </c>
      <c r="G772" s="187" t="str">
        <f t="shared" si="247"/>
        <v/>
      </c>
      <c r="H772" s="188"/>
      <c r="I772" s="189" t="str">
        <f t="shared" si="257"/>
        <v/>
      </c>
      <c r="J772" s="189" t="str">
        <f t="shared" si="258"/>
        <v/>
      </c>
      <c r="K772" s="190" t="str">
        <f t="shared" si="259"/>
        <v/>
      </c>
      <c r="L772" s="190" t="str">
        <f t="shared" si="260"/>
        <v/>
      </c>
      <c r="M772" s="214"/>
      <c r="N772" s="214"/>
      <c r="O772" s="189" t="str">
        <f t="shared" si="261"/>
        <v/>
      </c>
      <c r="P772" s="191" t="str">
        <f t="shared" si="248"/>
        <v/>
      </c>
      <c r="Q772" s="192" t="str">
        <f t="shared" si="262"/>
        <v/>
      </c>
      <c r="R772" s="191" t="str">
        <f t="shared" si="249"/>
        <v/>
      </c>
      <c r="S772" s="193" t="str">
        <f t="shared" si="263"/>
        <v/>
      </c>
      <c r="T772" s="194" t="str">
        <f t="shared" si="250"/>
        <v/>
      </c>
      <c r="U772" s="192" t="str">
        <f t="shared" si="264"/>
        <v/>
      </c>
      <c r="V772" s="195" t="str">
        <f t="shared" si="251"/>
        <v/>
      </c>
      <c r="W772" s="195" t="str">
        <f t="shared" si="252"/>
        <v/>
      </c>
      <c r="X772" s="196" t="str">
        <f t="shared" si="265"/>
        <v/>
      </c>
      <c r="Y772" s="191" t="str">
        <f t="shared" si="267"/>
        <v/>
      </c>
      <c r="Z772" s="197" t="str">
        <f t="shared" si="253"/>
        <v/>
      </c>
      <c r="AA772" s="197" t="str">
        <f t="shared" si="254"/>
        <v/>
      </c>
      <c r="AB772" s="213"/>
      <c r="AC772" s="204"/>
    </row>
    <row r="773" spans="1:29" ht="11.4">
      <c r="A773" s="211" t="str">
        <f t="shared" si="266"/>
        <v/>
      </c>
      <c r="B773" s="211"/>
      <c r="C773" s="185"/>
      <c r="D773" s="186" t="str">
        <f t="shared" si="255"/>
        <v/>
      </c>
      <c r="E773" s="186" t="str">
        <f>IF(OR(C773="",C773=Data!$B$3),"",IF(C773=Data!$B$4,"L","S"))</f>
        <v/>
      </c>
      <c r="F773" s="186" t="str">
        <f t="shared" si="256"/>
        <v/>
      </c>
      <c r="G773" s="187" t="str">
        <f t="shared" si="247"/>
        <v/>
      </c>
      <c r="H773" s="188"/>
      <c r="I773" s="189" t="str">
        <f t="shared" si="257"/>
        <v/>
      </c>
      <c r="J773" s="189" t="str">
        <f t="shared" si="258"/>
        <v/>
      </c>
      <c r="K773" s="190" t="str">
        <f t="shared" si="259"/>
        <v/>
      </c>
      <c r="L773" s="190" t="str">
        <f t="shared" si="260"/>
        <v/>
      </c>
      <c r="M773" s="214"/>
      <c r="N773" s="214"/>
      <c r="O773" s="189" t="str">
        <f t="shared" si="261"/>
        <v/>
      </c>
      <c r="P773" s="191" t="str">
        <f t="shared" si="248"/>
        <v/>
      </c>
      <c r="Q773" s="192" t="str">
        <f t="shared" si="262"/>
        <v/>
      </c>
      <c r="R773" s="191" t="str">
        <f t="shared" si="249"/>
        <v/>
      </c>
      <c r="S773" s="193" t="str">
        <f t="shared" si="263"/>
        <v/>
      </c>
      <c r="T773" s="194" t="str">
        <f t="shared" si="250"/>
        <v/>
      </c>
      <c r="U773" s="192" t="str">
        <f t="shared" si="264"/>
        <v/>
      </c>
      <c r="V773" s="195" t="str">
        <f t="shared" si="251"/>
        <v/>
      </c>
      <c r="W773" s="195" t="str">
        <f t="shared" si="252"/>
        <v/>
      </c>
      <c r="X773" s="196" t="str">
        <f t="shared" si="265"/>
        <v/>
      </c>
      <c r="Y773" s="191" t="str">
        <f t="shared" si="267"/>
        <v/>
      </c>
      <c r="Z773" s="197" t="str">
        <f t="shared" si="253"/>
        <v/>
      </c>
      <c r="AA773" s="197" t="str">
        <f t="shared" si="254"/>
        <v/>
      </c>
      <c r="AB773" s="213"/>
      <c r="AC773" s="204"/>
    </row>
    <row r="774" spans="1:29" ht="11.4">
      <c r="A774" s="211" t="str">
        <f t="shared" si="266"/>
        <v/>
      </c>
      <c r="B774" s="211"/>
      <c r="C774" s="185"/>
      <c r="D774" s="186" t="str">
        <f t="shared" si="255"/>
        <v/>
      </c>
      <c r="E774" s="186" t="str">
        <f>IF(OR(C774="",C774=Data!$B$3),"",IF(C774=Data!$B$4,"L","S"))</f>
        <v/>
      </c>
      <c r="F774" s="186" t="str">
        <f t="shared" si="256"/>
        <v/>
      </c>
      <c r="G774" s="187" t="str">
        <f t="shared" si="247"/>
        <v/>
      </c>
      <c r="H774" s="188"/>
      <c r="I774" s="189" t="str">
        <f t="shared" si="257"/>
        <v/>
      </c>
      <c r="J774" s="189" t="str">
        <f t="shared" si="258"/>
        <v/>
      </c>
      <c r="K774" s="190" t="str">
        <f t="shared" si="259"/>
        <v/>
      </c>
      <c r="L774" s="190" t="str">
        <f t="shared" si="260"/>
        <v/>
      </c>
      <c r="M774" s="214"/>
      <c r="N774" s="214"/>
      <c r="O774" s="189" t="str">
        <f t="shared" si="261"/>
        <v/>
      </c>
      <c r="P774" s="191" t="str">
        <f t="shared" si="248"/>
        <v/>
      </c>
      <c r="Q774" s="192" t="str">
        <f t="shared" si="262"/>
        <v/>
      </c>
      <c r="R774" s="191" t="str">
        <f t="shared" si="249"/>
        <v/>
      </c>
      <c r="S774" s="193" t="str">
        <f t="shared" si="263"/>
        <v/>
      </c>
      <c r="T774" s="194" t="str">
        <f t="shared" si="250"/>
        <v/>
      </c>
      <c r="U774" s="192" t="str">
        <f t="shared" si="264"/>
        <v/>
      </c>
      <c r="V774" s="195" t="str">
        <f t="shared" si="251"/>
        <v/>
      </c>
      <c r="W774" s="195" t="str">
        <f t="shared" si="252"/>
        <v/>
      </c>
      <c r="X774" s="196" t="str">
        <f t="shared" si="265"/>
        <v/>
      </c>
      <c r="Y774" s="191" t="str">
        <f t="shared" si="267"/>
        <v/>
      </c>
      <c r="Z774" s="197" t="str">
        <f t="shared" si="253"/>
        <v/>
      </c>
      <c r="AA774" s="197" t="str">
        <f t="shared" si="254"/>
        <v/>
      </c>
      <c r="AB774" s="213"/>
      <c r="AC774" s="204"/>
    </row>
    <row r="775" spans="1:29" ht="11.4">
      <c r="A775" s="211" t="str">
        <f t="shared" si="266"/>
        <v/>
      </c>
      <c r="B775" s="211"/>
      <c r="C775" s="185"/>
      <c r="D775" s="186" t="str">
        <f t="shared" si="255"/>
        <v/>
      </c>
      <c r="E775" s="186" t="str">
        <f>IF(OR(C775="",C775=Data!$B$3),"",IF(C775=Data!$B$4,"L","S"))</f>
        <v/>
      </c>
      <c r="F775" s="186" t="str">
        <f t="shared" si="256"/>
        <v/>
      </c>
      <c r="G775" s="187" t="str">
        <f t="shared" si="247"/>
        <v/>
      </c>
      <c r="H775" s="188"/>
      <c r="I775" s="189" t="str">
        <f t="shared" si="257"/>
        <v/>
      </c>
      <c r="J775" s="189" t="str">
        <f t="shared" si="258"/>
        <v/>
      </c>
      <c r="K775" s="190" t="str">
        <f t="shared" si="259"/>
        <v/>
      </c>
      <c r="L775" s="190" t="str">
        <f t="shared" si="260"/>
        <v/>
      </c>
      <c r="M775" s="214"/>
      <c r="N775" s="214"/>
      <c r="O775" s="189" t="str">
        <f t="shared" si="261"/>
        <v/>
      </c>
      <c r="P775" s="191" t="str">
        <f t="shared" si="248"/>
        <v/>
      </c>
      <c r="Q775" s="192" t="str">
        <f t="shared" si="262"/>
        <v/>
      </c>
      <c r="R775" s="191" t="str">
        <f t="shared" si="249"/>
        <v/>
      </c>
      <c r="S775" s="193" t="str">
        <f t="shared" si="263"/>
        <v/>
      </c>
      <c r="T775" s="194" t="str">
        <f t="shared" si="250"/>
        <v/>
      </c>
      <c r="U775" s="192" t="str">
        <f t="shared" si="264"/>
        <v/>
      </c>
      <c r="V775" s="195" t="str">
        <f t="shared" si="251"/>
        <v/>
      </c>
      <c r="W775" s="195" t="str">
        <f t="shared" si="252"/>
        <v/>
      </c>
      <c r="X775" s="196" t="str">
        <f t="shared" si="265"/>
        <v/>
      </c>
      <c r="Y775" s="191" t="str">
        <f t="shared" si="267"/>
        <v/>
      </c>
      <c r="Z775" s="197" t="str">
        <f t="shared" si="253"/>
        <v/>
      </c>
      <c r="AA775" s="197" t="str">
        <f t="shared" si="254"/>
        <v/>
      </c>
      <c r="AB775" s="213"/>
      <c r="AC775" s="204"/>
    </row>
    <row r="776" spans="1:29" ht="11.4">
      <c r="A776" s="211" t="str">
        <f t="shared" si="266"/>
        <v/>
      </c>
      <c r="B776" s="211"/>
      <c r="C776" s="185"/>
      <c r="D776" s="186" t="str">
        <f t="shared" si="255"/>
        <v/>
      </c>
      <c r="E776" s="186" t="str">
        <f>IF(OR(C776="",C776=Data!$B$3),"",IF(C776=Data!$B$4,"L","S"))</f>
        <v/>
      </c>
      <c r="F776" s="186" t="str">
        <f t="shared" si="256"/>
        <v/>
      </c>
      <c r="G776" s="187" t="str">
        <f t="shared" si="247"/>
        <v/>
      </c>
      <c r="H776" s="188"/>
      <c r="I776" s="189" t="str">
        <f t="shared" si="257"/>
        <v/>
      </c>
      <c r="J776" s="189" t="str">
        <f t="shared" si="258"/>
        <v/>
      </c>
      <c r="K776" s="190" t="str">
        <f t="shared" si="259"/>
        <v/>
      </c>
      <c r="L776" s="190" t="str">
        <f t="shared" si="260"/>
        <v/>
      </c>
      <c r="M776" s="214"/>
      <c r="N776" s="214"/>
      <c r="O776" s="189" t="str">
        <f t="shared" si="261"/>
        <v/>
      </c>
      <c r="P776" s="191" t="str">
        <f t="shared" si="248"/>
        <v/>
      </c>
      <c r="Q776" s="192" t="str">
        <f t="shared" si="262"/>
        <v/>
      </c>
      <c r="R776" s="191" t="str">
        <f t="shared" si="249"/>
        <v/>
      </c>
      <c r="S776" s="193" t="str">
        <f t="shared" si="263"/>
        <v/>
      </c>
      <c r="T776" s="194" t="str">
        <f t="shared" si="250"/>
        <v/>
      </c>
      <c r="U776" s="192" t="str">
        <f t="shared" si="264"/>
        <v/>
      </c>
      <c r="V776" s="195" t="str">
        <f t="shared" si="251"/>
        <v/>
      </c>
      <c r="W776" s="195" t="str">
        <f t="shared" si="252"/>
        <v/>
      </c>
      <c r="X776" s="196" t="str">
        <f t="shared" si="265"/>
        <v/>
      </c>
      <c r="Y776" s="191" t="str">
        <f t="shared" si="267"/>
        <v/>
      </c>
      <c r="Z776" s="197" t="str">
        <f t="shared" si="253"/>
        <v/>
      </c>
      <c r="AA776" s="197" t="str">
        <f t="shared" si="254"/>
        <v/>
      </c>
      <c r="AB776" s="213"/>
      <c r="AC776" s="204"/>
    </row>
    <row r="777" spans="1:29" ht="11.4">
      <c r="A777" s="211" t="str">
        <f t="shared" si="266"/>
        <v/>
      </c>
      <c r="B777" s="211"/>
      <c r="C777" s="185"/>
      <c r="D777" s="186" t="str">
        <f t="shared" si="255"/>
        <v/>
      </c>
      <c r="E777" s="186" t="str">
        <f>IF(OR(C777="",C777=Data!$B$3),"",IF(C777=Data!$B$4,"L","S"))</f>
        <v/>
      </c>
      <c r="F777" s="186" t="str">
        <f t="shared" si="256"/>
        <v/>
      </c>
      <c r="G777" s="187" t="str">
        <f t="shared" si="247"/>
        <v/>
      </c>
      <c r="H777" s="188"/>
      <c r="I777" s="189" t="str">
        <f t="shared" si="257"/>
        <v/>
      </c>
      <c r="J777" s="189" t="str">
        <f t="shared" si="258"/>
        <v/>
      </c>
      <c r="K777" s="190" t="str">
        <f t="shared" si="259"/>
        <v/>
      </c>
      <c r="L777" s="190" t="str">
        <f t="shared" si="260"/>
        <v/>
      </c>
      <c r="M777" s="214"/>
      <c r="N777" s="214"/>
      <c r="O777" s="189" t="str">
        <f t="shared" si="261"/>
        <v/>
      </c>
      <c r="P777" s="191" t="str">
        <f t="shared" si="248"/>
        <v/>
      </c>
      <c r="Q777" s="192" t="str">
        <f t="shared" si="262"/>
        <v/>
      </c>
      <c r="R777" s="191" t="str">
        <f t="shared" si="249"/>
        <v/>
      </c>
      <c r="S777" s="193" t="str">
        <f t="shared" si="263"/>
        <v/>
      </c>
      <c r="T777" s="194" t="str">
        <f t="shared" si="250"/>
        <v/>
      </c>
      <c r="U777" s="192" t="str">
        <f t="shared" si="264"/>
        <v/>
      </c>
      <c r="V777" s="195" t="str">
        <f t="shared" si="251"/>
        <v/>
      </c>
      <c r="W777" s="195" t="str">
        <f t="shared" si="252"/>
        <v/>
      </c>
      <c r="X777" s="196" t="str">
        <f t="shared" si="265"/>
        <v/>
      </c>
      <c r="Y777" s="191" t="str">
        <f t="shared" si="267"/>
        <v/>
      </c>
      <c r="Z777" s="197" t="str">
        <f t="shared" si="253"/>
        <v/>
      </c>
      <c r="AA777" s="197" t="str">
        <f t="shared" si="254"/>
        <v/>
      </c>
      <c r="AB777" s="213"/>
      <c r="AC777" s="204"/>
    </row>
    <row r="778" spans="1:29" ht="11.4">
      <c r="A778" s="211" t="str">
        <f t="shared" si="266"/>
        <v/>
      </c>
      <c r="B778" s="211"/>
      <c r="C778" s="185"/>
      <c r="D778" s="186" t="str">
        <f t="shared" si="255"/>
        <v/>
      </c>
      <c r="E778" s="186" t="str">
        <f>IF(OR(C778="",C778=Data!$B$3),"",IF(C778=Data!$B$4,"L","S"))</f>
        <v/>
      </c>
      <c r="F778" s="186" t="str">
        <f t="shared" si="256"/>
        <v/>
      </c>
      <c r="G778" s="187" t="str">
        <f t="shared" si="247"/>
        <v/>
      </c>
      <c r="H778" s="188"/>
      <c r="I778" s="189" t="str">
        <f t="shared" si="257"/>
        <v/>
      </c>
      <c r="J778" s="189" t="str">
        <f t="shared" si="258"/>
        <v/>
      </c>
      <c r="K778" s="190" t="str">
        <f t="shared" si="259"/>
        <v/>
      </c>
      <c r="L778" s="190" t="str">
        <f t="shared" si="260"/>
        <v/>
      </c>
      <c r="M778" s="214"/>
      <c r="N778" s="214"/>
      <c r="O778" s="189" t="str">
        <f t="shared" si="261"/>
        <v/>
      </c>
      <c r="P778" s="191" t="str">
        <f t="shared" si="248"/>
        <v/>
      </c>
      <c r="Q778" s="192" t="str">
        <f t="shared" si="262"/>
        <v/>
      </c>
      <c r="R778" s="191" t="str">
        <f t="shared" si="249"/>
        <v/>
      </c>
      <c r="S778" s="193" t="str">
        <f t="shared" si="263"/>
        <v/>
      </c>
      <c r="T778" s="194" t="str">
        <f t="shared" si="250"/>
        <v/>
      </c>
      <c r="U778" s="192" t="str">
        <f t="shared" si="264"/>
        <v/>
      </c>
      <c r="V778" s="195" t="str">
        <f t="shared" si="251"/>
        <v/>
      </c>
      <c r="W778" s="195" t="str">
        <f t="shared" si="252"/>
        <v/>
      </c>
      <c r="X778" s="196" t="str">
        <f t="shared" si="265"/>
        <v/>
      </c>
      <c r="Y778" s="191" t="str">
        <f t="shared" si="267"/>
        <v/>
      </c>
      <c r="Z778" s="197" t="str">
        <f t="shared" si="253"/>
        <v/>
      </c>
      <c r="AA778" s="197" t="str">
        <f t="shared" si="254"/>
        <v/>
      </c>
      <c r="AB778" s="213"/>
      <c r="AC778" s="204"/>
    </row>
    <row r="779" spans="1:29" ht="11.4">
      <c r="A779" s="211" t="str">
        <f t="shared" si="266"/>
        <v/>
      </c>
      <c r="B779" s="211"/>
      <c r="C779" s="185"/>
      <c r="D779" s="186" t="str">
        <f t="shared" si="255"/>
        <v/>
      </c>
      <c r="E779" s="186" t="str">
        <f>IF(OR(C779="",C779=Data!$B$3),"",IF(C779=Data!$B$4,"L","S"))</f>
        <v/>
      </c>
      <c r="F779" s="186" t="str">
        <f t="shared" si="256"/>
        <v/>
      </c>
      <c r="G779" s="187" t="str">
        <f t="shared" si="247"/>
        <v/>
      </c>
      <c r="H779" s="188"/>
      <c r="I779" s="189" t="str">
        <f t="shared" si="257"/>
        <v/>
      </c>
      <c r="J779" s="189" t="str">
        <f t="shared" si="258"/>
        <v/>
      </c>
      <c r="K779" s="190" t="str">
        <f t="shared" si="259"/>
        <v/>
      </c>
      <c r="L779" s="190" t="str">
        <f t="shared" si="260"/>
        <v/>
      </c>
      <c r="M779" s="214"/>
      <c r="N779" s="214"/>
      <c r="O779" s="189" t="str">
        <f t="shared" si="261"/>
        <v/>
      </c>
      <c r="P779" s="191" t="str">
        <f t="shared" si="248"/>
        <v/>
      </c>
      <c r="Q779" s="192" t="str">
        <f t="shared" si="262"/>
        <v/>
      </c>
      <c r="R779" s="191" t="str">
        <f t="shared" si="249"/>
        <v/>
      </c>
      <c r="S779" s="193" t="str">
        <f t="shared" si="263"/>
        <v/>
      </c>
      <c r="T779" s="194" t="str">
        <f t="shared" si="250"/>
        <v/>
      </c>
      <c r="U779" s="192" t="str">
        <f t="shared" si="264"/>
        <v/>
      </c>
      <c r="V779" s="195" t="str">
        <f t="shared" si="251"/>
        <v/>
      </c>
      <c r="W779" s="195" t="str">
        <f t="shared" si="252"/>
        <v/>
      </c>
      <c r="X779" s="196" t="str">
        <f t="shared" si="265"/>
        <v/>
      </c>
      <c r="Y779" s="191" t="str">
        <f t="shared" si="267"/>
        <v/>
      </c>
      <c r="Z779" s="197" t="str">
        <f t="shared" si="253"/>
        <v/>
      </c>
      <c r="AA779" s="197" t="str">
        <f t="shared" si="254"/>
        <v/>
      </c>
      <c r="AB779" s="213"/>
      <c r="AC779" s="204"/>
    </row>
    <row r="780" spans="1:29" ht="11.4">
      <c r="A780" s="211" t="str">
        <f t="shared" si="266"/>
        <v/>
      </c>
      <c r="B780" s="211"/>
      <c r="C780" s="185"/>
      <c r="D780" s="186" t="str">
        <f t="shared" si="255"/>
        <v/>
      </c>
      <c r="E780" s="186" t="str">
        <f>IF(OR(C780="",C780=Data!$B$3),"",IF(C780=Data!$B$4,"L","S"))</f>
        <v/>
      </c>
      <c r="F780" s="186" t="str">
        <f t="shared" si="256"/>
        <v/>
      </c>
      <c r="G780" s="187" t="str">
        <f t="shared" ref="G780:G843" si="268">IF(A780="","",$D$3)</f>
        <v/>
      </c>
      <c r="H780" s="188"/>
      <c r="I780" s="189" t="str">
        <f t="shared" si="257"/>
        <v/>
      </c>
      <c r="J780" s="189" t="str">
        <f t="shared" si="258"/>
        <v/>
      </c>
      <c r="K780" s="190" t="str">
        <f t="shared" si="259"/>
        <v/>
      </c>
      <c r="L780" s="190" t="str">
        <f t="shared" si="260"/>
        <v/>
      </c>
      <c r="M780" s="214"/>
      <c r="N780" s="214"/>
      <c r="O780" s="189" t="str">
        <f t="shared" si="261"/>
        <v/>
      </c>
      <c r="P780" s="191" t="str">
        <f t="shared" ref="P780:P843" si="269">IF(O780="","",IF(L780*F780*G780=0,0,L780*F780*G780))</f>
        <v/>
      </c>
      <c r="Q780" s="192" t="str">
        <f t="shared" si="262"/>
        <v/>
      </c>
      <c r="R780" s="191" t="str">
        <f t="shared" ref="R780:R843" si="270">IF(O780&lt;&gt;"",IF(K780*F780*G780=0,"",K780*F780*G780),"")</f>
        <v/>
      </c>
      <c r="S780" s="193" t="str">
        <f t="shared" si="263"/>
        <v/>
      </c>
      <c r="T780" s="194" t="str">
        <f t="shared" ref="T780:T843" si="271">IF(X780="","",X780*F780*G780)</f>
        <v/>
      </c>
      <c r="U780" s="192" t="str">
        <f t="shared" si="264"/>
        <v/>
      </c>
      <c r="V780" s="195" t="str">
        <f t="shared" ref="V780:V843" si="272">IF(O780="","",IF(AND(O780&gt;I780,E780="L"),1, IF(AND(I780&gt;O780,E780="S"),1,0)))</f>
        <v/>
      </c>
      <c r="W780" s="195" t="str">
        <f t="shared" ref="W780:W843" si="273">IF(O780="","",IF(AND(O780&lt;I780,E780="L"),1, IF(AND(I780&lt;O780,E780="S"),1,0)))</f>
        <v/>
      </c>
      <c r="X780" s="196" t="str">
        <f t="shared" si="265"/>
        <v/>
      </c>
      <c r="Y780" s="191" t="str">
        <f t="shared" si="267"/>
        <v/>
      </c>
      <c r="Z780" s="197" t="str">
        <f t="shared" ref="Z780:Z843" si="274">IF(M780="","",MONTH(M780))</f>
        <v/>
      </c>
      <c r="AA780" s="197" t="str">
        <f t="shared" ref="AA780:AA843" si="275">IF(M780="","",YEAR(M780))</f>
        <v/>
      </c>
      <c r="AB780" s="213"/>
      <c r="AC780" s="204"/>
    </row>
    <row r="781" spans="1:29" ht="11.4">
      <c r="A781" s="211" t="str">
        <f t="shared" si="266"/>
        <v/>
      </c>
      <c r="B781" s="211"/>
      <c r="C781" s="185"/>
      <c r="D781" s="186" t="str">
        <f t="shared" ref="D781:D844" si="276">IF(A781&lt;&gt;"","GBPUSD","")</f>
        <v/>
      </c>
      <c r="E781" s="186" t="str">
        <f>IF(OR(C781="",C781=Data!$B$3),"",IF(C781=Data!$B$4,"L","S"))</f>
        <v/>
      </c>
      <c r="F781" s="186" t="str">
        <f t="shared" ref="F781:F844" si="277">IF(A781&lt;&gt;"",$D$2,"")</f>
        <v/>
      </c>
      <c r="G781" s="187" t="str">
        <f t="shared" si="268"/>
        <v/>
      </c>
      <c r="H781" s="188"/>
      <c r="I781" s="189" t="str">
        <f t="shared" ref="I781:I844" si="278">IF(H781="","",IF(E781="L",H781+$D$4*0.0001,H781-$D$4*0.0001))</f>
        <v/>
      </c>
      <c r="J781" s="189" t="str">
        <f t="shared" ref="J781:J844" si="279">IF(AND(H781&lt;&gt;"",I781&lt;&gt;""),IF(E781="L",I781+(I781-H781)*3,I781-(H781-I781)*3),"")</f>
        <v/>
      </c>
      <c r="K781" s="190" t="str">
        <f t="shared" ref="K781:K844" si="280">IF(AND(E781&lt;&gt;"",AND(I781&lt;&gt;"",J781&lt;&gt;"")),IF(E781="L",(J781-I781)*IF(I781&gt;10,IF(SEARCH("JPY",D781),10,100),10000),(I781-J781)*IF(I781&gt;10,IF(SEARCH("JPY",D781),10,100),10000)),"")</f>
        <v/>
      </c>
      <c r="L781" s="190" t="str">
        <f t="shared" ref="L781:L844" si="281">IF(AND(E781&lt;&gt;"",AND(H781&lt;&gt;"",I781&lt;&gt;"")),IF(E781="L",(I781-H781)*IF(I781&gt;10,IF(SEARCH("JPY",D781),10,100),10000),(H781-I781)*IF(I781&gt;10,IF(SEARCH("JPY",D781),10,100),10000)),"")</f>
        <v/>
      </c>
      <c r="M781" s="214"/>
      <c r="N781" s="214"/>
      <c r="O781" s="189" t="str">
        <f t="shared" ref="O781:O844" si="282">IF(H781&lt;&gt;"",H781, "")</f>
        <v/>
      </c>
      <c r="P781" s="191" t="str">
        <f t="shared" si="269"/>
        <v/>
      </c>
      <c r="Q781" s="192" t="str">
        <f t="shared" ref="Q781:Q844" si="283">IF(P781="","",IF(P781=0,0,P781/$I$4))</f>
        <v/>
      </c>
      <c r="R781" s="191" t="str">
        <f t="shared" si="270"/>
        <v/>
      </c>
      <c r="S781" s="193" t="str">
        <f t="shared" ref="S781:S844" si="284">IF(P781="","",IF(P781=0,0,R781/P781))</f>
        <v/>
      </c>
      <c r="T781" s="194" t="str">
        <f t="shared" si="271"/>
        <v/>
      </c>
      <c r="U781" s="192" t="str">
        <f t="shared" ref="U781:U844" si="285">IF(T781="","",IF($I$4="","",T781/$I$4))</f>
        <v/>
      </c>
      <c r="V781" s="195" t="str">
        <f t="shared" si="272"/>
        <v/>
      </c>
      <c r="W781" s="195" t="str">
        <f t="shared" si="273"/>
        <v/>
      </c>
      <c r="X781" s="196" t="str">
        <f t="shared" ref="X781:X844" si="286">IF((O781=""),"",IF(E781="L",1,-1)*(O781-I781)*IF(O781&gt;10,IF(SEARCH("JPY",D781),10,100),10000))</f>
        <v/>
      </c>
      <c r="Y781" s="191" t="str">
        <f t="shared" si="267"/>
        <v/>
      </c>
      <c r="Z781" s="197" t="str">
        <f t="shared" si="274"/>
        <v/>
      </c>
      <c r="AA781" s="197" t="str">
        <f t="shared" si="275"/>
        <v/>
      </c>
      <c r="AB781" s="213"/>
      <c r="AC781" s="204"/>
    </row>
    <row r="782" spans="1:29" ht="11.4">
      <c r="A782" s="211" t="str">
        <f t="shared" ref="A782:A845" si="287">IF(C782="","",A781+1)</f>
        <v/>
      </c>
      <c r="B782" s="211"/>
      <c r="C782" s="185"/>
      <c r="D782" s="186" t="str">
        <f t="shared" si="276"/>
        <v/>
      </c>
      <c r="E782" s="186" t="str">
        <f>IF(OR(C782="",C782=Data!$B$3),"",IF(C782=Data!$B$4,"L","S"))</f>
        <v/>
      </c>
      <c r="F782" s="186" t="str">
        <f t="shared" si="277"/>
        <v/>
      </c>
      <c r="G782" s="187" t="str">
        <f t="shared" si="268"/>
        <v/>
      </c>
      <c r="H782" s="188"/>
      <c r="I782" s="189" t="str">
        <f t="shared" si="278"/>
        <v/>
      </c>
      <c r="J782" s="189" t="str">
        <f t="shared" si="279"/>
        <v/>
      </c>
      <c r="K782" s="190" t="str">
        <f t="shared" si="280"/>
        <v/>
      </c>
      <c r="L782" s="190" t="str">
        <f t="shared" si="281"/>
        <v/>
      </c>
      <c r="M782" s="214"/>
      <c r="N782" s="214"/>
      <c r="O782" s="189" t="str">
        <f t="shared" si="282"/>
        <v/>
      </c>
      <c r="P782" s="191" t="str">
        <f t="shared" si="269"/>
        <v/>
      </c>
      <c r="Q782" s="192" t="str">
        <f t="shared" si="283"/>
        <v/>
      </c>
      <c r="R782" s="191" t="str">
        <f t="shared" si="270"/>
        <v/>
      </c>
      <c r="S782" s="193" t="str">
        <f t="shared" si="284"/>
        <v/>
      </c>
      <c r="T782" s="194" t="str">
        <f t="shared" si="271"/>
        <v/>
      </c>
      <c r="U782" s="192" t="str">
        <f t="shared" si="285"/>
        <v/>
      </c>
      <c r="V782" s="195" t="str">
        <f t="shared" si="272"/>
        <v/>
      </c>
      <c r="W782" s="195" t="str">
        <f t="shared" si="273"/>
        <v/>
      </c>
      <c r="X782" s="196" t="str">
        <f t="shared" si="286"/>
        <v/>
      </c>
      <c r="Y782" s="191" t="str">
        <f t="shared" si="267"/>
        <v/>
      </c>
      <c r="Z782" s="197" t="str">
        <f t="shared" si="274"/>
        <v/>
      </c>
      <c r="AA782" s="197" t="str">
        <f t="shared" si="275"/>
        <v/>
      </c>
      <c r="AB782" s="213"/>
      <c r="AC782" s="204"/>
    </row>
    <row r="783" spans="1:29" ht="11.4">
      <c r="A783" s="211" t="str">
        <f t="shared" si="287"/>
        <v/>
      </c>
      <c r="B783" s="211"/>
      <c r="C783" s="185"/>
      <c r="D783" s="186" t="str">
        <f t="shared" si="276"/>
        <v/>
      </c>
      <c r="E783" s="186" t="str">
        <f>IF(OR(C783="",C783=Data!$B$3),"",IF(C783=Data!$B$4,"L","S"))</f>
        <v/>
      </c>
      <c r="F783" s="186" t="str">
        <f t="shared" si="277"/>
        <v/>
      </c>
      <c r="G783" s="187" t="str">
        <f t="shared" si="268"/>
        <v/>
      </c>
      <c r="H783" s="188"/>
      <c r="I783" s="189" t="str">
        <f t="shared" si="278"/>
        <v/>
      </c>
      <c r="J783" s="189" t="str">
        <f t="shared" si="279"/>
        <v/>
      </c>
      <c r="K783" s="190" t="str">
        <f t="shared" si="280"/>
        <v/>
      </c>
      <c r="L783" s="190" t="str">
        <f t="shared" si="281"/>
        <v/>
      </c>
      <c r="M783" s="214"/>
      <c r="N783" s="214"/>
      <c r="O783" s="189" t="str">
        <f t="shared" si="282"/>
        <v/>
      </c>
      <c r="P783" s="191" t="str">
        <f t="shared" si="269"/>
        <v/>
      </c>
      <c r="Q783" s="192" t="str">
        <f t="shared" si="283"/>
        <v/>
      </c>
      <c r="R783" s="191" t="str">
        <f t="shared" si="270"/>
        <v/>
      </c>
      <c r="S783" s="193" t="str">
        <f t="shared" si="284"/>
        <v/>
      </c>
      <c r="T783" s="194" t="str">
        <f t="shared" si="271"/>
        <v/>
      </c>
      <c r="U783" s="192" t="str">
        <f t="shared" si="285"/>
        <v/>
      </c>
      <c r="V783" s="195" t="str">
        <f t="shared" si="272"/>
        <v/>
      </c>
      <c r="W783" s="195" t="str">
        <f t="shared" si="273"/>
        <v/>
      </c>
      <c r="X783" s="196" t="str">
        <f t="shared" si="286"/>
        <v/>
      </c>
      <c r="Y783" s="191" t="str">
        <f t="shared" si="267"/>
        <v/>
      </c>
      <c r="Z783" s="197" t="str">
        <f t="shared" si="274"/>
        <v/>
      </c>
      <c r="AA783" s="197" t="str">
        <f t="shared" si="275"/>
        <v/>
      </c>
      <c r="AB783" s="213"/>
      <c r="AC783" s="204"/>
    </row>
    <row r="784" spans="1:29" ht="11.4">
      <c r="A784" s="211" t="str">
        <f t="shared" si="287"/>
        <v/>
      </c>
      <c r="B784" s="211"/>
      <c r="C784" s="185"/>
      <c r="D784" s="186" t="str">
        <f t="shared" si="276"/>
        <v/>
      </c>
      <c r="E784" s="186" t="str">
        <f>IF(OR(C784="",C784=Data!$B$3),"",IF(C784=Data!$B$4,"L","S"))</f>
        <v/>
      </c>
      <c r="F784" s="186" t="str">
        <f t="shared" si="277"/>
        <v/>
      </c>
      <c r="G784" s="187" t="str">
        <f t="shared" si="268"/>
        <v/>
      </c>
      <c r="H784" s="188"/>
      <c r="I784" s="189" t="str">
        <f t="shared" si="278"/>
        <v/>
      </c>
      <c r="J784" s="189" t="str">
        <f t="shared" si="279"/>
        <v/>
      </c>
      <c r="K784" s="190" t="str">
        <f t="shared" si="280"/>
        <v/>
      </c>
      <c r="L784" s="190" t="str">
        <f t="shared" si="281"/>
        <v/>
      </c>
      <c r="M784" s="214"/>
      <c r="N784" s="214"/>
      <c r="O784" s="189" t="str">
        <f t="shared" si="282"/>
        <v/>
      </c>
      <c r="P784" s="191" t="str">
        <f t="shared" si="269"/>
        <v/>
      </c>
      <c r="Q784" s="192" t="str">
        <f t="shared" si="283"/>
        <v/>
      </c>
      <c r="R784" s="191" t="str">
        <f t="shared" si="270"/>
        <v/>
      </c>
      <c r="S784" s="193" t="str">
        <f t="shared" si="284"/>
        <v/>
      </c>
      <c r="T784" s="194" t="str">
        <f t="shared" si="271"/>
        <v/>
      </c>
      <c r="U784" s="192" t="str">
        <f t="shared" si="285"/>
        <v/>
      </c>
      <c r="V784" s="195" t="str">
        <f t="shared" si="272"/>
        <v/>
      </c>
      <c r="W784" s="195" t="str">
        <f t="shared" si="273"/>
        <v/>
      </c>
      <c r="X784" s="196" t="str">
        <f t="shared" si="286"/>
        <v/>
      </c>
      <c r="Y784" s="191" t="str">
        <f t="shared" si="267"/>
        <v/>
      </c>
      <c r="Z784" s="197" t="str">
        <f t="shared" si="274"/>
        <v/>
      </c>
      <c r="AA784" s="197" t="str">
        <f t="shared" si="275"/>
        <v/>
      </c>
      <c r="AB784" s="213"/>
      <c r="AC784" s="204"/>
    </row>
    <row r="785" spans="1:29" ht="11.4">
      <c r="A785" s="211" t="str">
        <f t="shared" si="287"/>
        <v/>
      </c>
      <c r="B785" s="211"/>
      <c r="C785" s="185"/>
      <c r="D785" s="186" t="str">
        <f t="shared" si="276"/>
        <v/>
      </c>
      <c r="E785" s="186" t="str">
        <f>IF(OR(C785="",C785=Data!$B$3),"",IF(C785=Data!$B$4,"L","S"))</f>
        <v/>
      </c>
      <c r="F785" s="186" t="str">
        <f t="shared" si="277"/>
        <v/>
      </c>
      <c r="G785" s="187" t="str">
        <f t="shared" si="268"/>
        <v/>
      </c>
      <c r="H785" s="188"/>
      <c r="I785" s="189" t="str">
        <f t="shared" si="278"/>
        <v/>
      </c>
      <c r="J785" s="189" t="str">
        <f t="shared" si="279"/>
        <v/>
      </c>
      <c r="K785" s="190" t="str">
        <f t="shared" si="280"/>
        <v/>
      </c>
      <c r="L785" s="190" t="str">
        <f t="shared" si="281"/>
        <v/>
      </c>
      <c r="M785" s="214"/>
      <c r="N785" s="214"/>
      <c r="O785" s="189" t="str">
        <f t="shared" si="282"/>
        <v/>
      </c>
      <c r="P785" s="191" t="str">
        <f t="shared" si="269"/>
        <v/>
      </c>
      <c r="Q785" s="192" t="str">
        <f t="shared" si="283"/>
        <v/>
      </c>
      <c r="R785" s="191" t="str">
        <f t="shared" si="270"/>
        <v/>
      </c>
      <c r="S785" s="193" t="str">
        <f t="shared" si="284"/>
        <v/>
      </c>
      <c r="T785" s="194" t="str">
        <f t="shared" si="271"/>
        <v/>
      </c>
      <c r="U785" s="192" t="str">
        <f t="shared" si="285"/>
        <v/>
      </c>
      <c r="V785" s="195" t="str">
        <f t="shared" si="272"/>
        <v/>
      </c>
      <c r="W785" s="195" t="str">
        <f t="shared" si="273"/>
        <v/>
      </c>
      <c r="X785" s="196" t="str">
        <f t="shared" si="286"/>
        <v/>
      </c>
      <c r="Y785" s="191" t="str">
        <f t="shared" si="267"/>
        <v/>
      </c>
      <c r="Z785" s="197" t="str">
        <f t="shared" si="274"/>
        <v/>
      </c>
      <c r="AA785" s="197" t="str">
        <f t="shared" si="275"/>
        <v/>
      </c>
      <c r="AB785" s="213"/>
      <c r="AC785" s="204"/>
    </row>
    <row r="786" spans="1:29" ht="11.4">
      <c r="A786" s="211" t="str">
        <f t="shared" si="287"/>
        <v/>
      </c>
      <c r="B786" s="211"/>
      <c r="C786" s="185"/>
      <c r="D786" s="186" t="str">
        <f t="shared" si="276"/>
        <v/>
      </c>
      <c r="E786" s="186" t="str">
        <f>IF(OR(C786="",C786=Data!$B$3),"",IF(C786=Data!$B$4,"L","S"))</f>
        <v/>
      </c>
      <c r="F786" s="186" t="str">
        <f t="shared" si="277"/>
        <v/>
      </c>
      <c r="G786" s="187" t="str">
        <f t="shared" si="268"/>
        <v/>
      </c>
      <c r="H786" s="188"/>
      <c r="I786" s="189" t="str">
        <f t="shared" si="278"/>
        <v/>
      </c>
      <c r="J786" s="189" t="str">
        <f t="shared" si="279"/>
        <v/>
      </c>
      <c r="K786" s="190" t="str">
        <f t="shared" si="280"/>
        <v/>
      </c>
      <c r="L786" s="190" t="str">
        <f t="shared" si="281"/>
        <v/>
      </c>
      <c r="M786" s="214"/>
      <c r="N786" s="214"/>
      <c r="O786" s="189" t="str">
        <f t="shared" si="282"/>
        <v/>
      </c>
      <c r="P786" s="191" t="str">
        <f t="shared" si="269"/>
        <v/>
      </c>
      <c r="Q786" s="192" t="str">
        <f t="shared" si="283"/>
        <v/>
      </c>
      <c r="R786" s="191" t="str">
        <f t="shared" si="270"/>
        <v/>
      </c>
      <c r="S786" s="193" t="str">
        <f t="shared" si="284"/>
        <v/>
      </c>
      <c r="T786" s="194" t="str">
        <f t="shared" si="271"/>
        <v/>
      </c>
      <c r="U786" s="192" t="str">
        <f t="shared" si="285"/>
        <v/>
      </c>
      <c r="V786" s="195" t="str">
        <f t="shared" si="272"/>
        <v/>
      </c>
      <c r="W786" s="195" t="str">
        <f t="shared" si="273"/>
        <v/>
      </c>
      <c r="X786" s="196" t="str">
        <f t="shared" si="286"/>
        <v/>
      </c>
      <c r="Y786" s="191" t="str">
        <f t="shared" si="267"/>
        <v/>
      </c>
      <c r="Z786" s="197" t="str">
        <f t="shared" si="274"/>
        <v/>
      </c>
      <c r="AA786" s="197" t="str">
        <f t="shared" si="275"/>
        <v/>
      </c>
      <c r="AB786" s="213"/>
      <c r="AC786" s="204"/>
    </row>
    <row r="787" spans="1:29" ht="11.4">
      <c r="A787" s="211" t="str">
        <f t="shared" si="287"/>
        <v/>
      </c>
      <c r="B787" s="211"/>
      <c r="C787" s="185"/>
      <c r="D787" s="186" t="str">
        <f t="shared" si="276"/>
        <v/>
      </c>
      <c r="E787" s="186" t="str">
        <f>IF(OR(C787="",C787=Data!$B$3),"",IF(C787=Data!$B$4,"L","S"))</f>
        <v/>
      </c>
      <c r="F787" s="186" t="str">
        <f t="shared" si="277"/>
        <v/>
      </c>
      <c r="G787" s="187" t="str">
        <f t="shared" si="268"/>
        <v/>
      </c>
      <c r="H787" s="188"/>
      <c r="I787" s="189" t="str">
        <f t="shared" si="278"/>
        <v/>
      </c>
      <c r="J787" s="189" t="str">
        <f t="shared" si="279"/>
        <v/>
      </c>
      <c r="K787" s="190" t="str">
        <f t="shared" si="280"/>
        <v/>
      </c>
      <c r="L787" s="190" t="str">
        <f t="shared" si="281"/>
        <v/>
      </c>
      <c r="M787" s="214"/>
      <c r="N787" s="214"/>
      <c r="O787" s="189" t="str">
        <f t="shared" si="282"/>
        <v/>
      </c>
      <c r="P787" s="191" t="str">
        <f t="shared" si="269"/>
        <v/>
      </c>
      <c r="Q787" s="192" t="str">
        <f t="shared" si="283"/>
        <v/>
      </c>
      <c r="R787" s="191" t="str">
        <f t="shared" si="270"/>
        <v/>
      </c>
      <c r="S787" s="193" t="str">
        <f t="shared" si="284"/>
        <v/>
      </c>
      <c r="T787" s="194" t="str">
        <f t="shared" si="271"/>
        <v/>
      </c>
      <c r="U787" s="192" t="str">
        <f t="shared" si="285"/>
        <v/>
      </c>
      <c r="V787" s="195" t="str">
        <f t="shared" si="272"/>
        <v/>
      </c>
      <c r="W787" s="195" t="str">
        <f t="shared" si="273"/>
        <v/>
      </c>
      <c r="X787" s="196" t="str">
        <f t="shared" si="286"/>
        <v/>
      </c>
      <c r="Y787" s="191" t="str">
        <f t="shared" si="267"/>
        <v/>
      </c>
      <c r="Z787" s="197" t="str">
        <f t="shared" si="274"/>
        <v/>
      </c>
      <c r="AA787" s="197" t="str">
        <f t="shared" si="275"/>
        <v/>
      </c>
      <c r="AB787" s="213"/>
      <c r="AC787" s="204"/>
    </row>
    <row r="788" spans="1:29" ht="11.4">
      <c r="A788" s="211" t="str">
        <f t="shared" si="287"/>
        <v/>
      </c>
      <c r="B788" s="211"/>
      <c r="C788" s="185"/>
      <c r="D788" s="186" t="str">
        <f t="shared" si="276"/>
        <v/>
      </c>
      <c r="E788" s="186" t="str">
        <f>IF(OR(C788="",C788=Data!$B$3),"",IF(C788=Data!$B$4,"L","S"))</f>
        <v/>
      </c>
      <c r="F788" s="186" t="str">
        <f t="shared" si="277"/>
        <v/>
      </c>
      <c r="G788" s="187" t="str">
        <f t="shared" si="268"/>
        <v/>
      </c>
      <c r="H788" s="188"/>
      <c r="I788" s="189" t="str">
        <f t="shared" si="278"/>
        <v/>
      </c>
      <c r="J788" s="189" t="str">
        <f t="shared" si="279"/>
        <v/>
      </c>
      <c r="K788" s="190" t="str">
        <f t="shared" si="280"/>
        <v/>
      </c>
      <c r="L788" s="190" t="str">
        <f t="shared" si="281"/>
        <v/>
      </c>
      <c r="M788" s="214"/>
      <c r="N788" s="214"/>
      <c r="O788" s="189" t="str">
        <f t="shared" si="282"/>
        <v/>
      </c>
      <c r="P788" s="191" t="str">
        <f t="shared" si="269"/>
        <v/>
      </c>
      <c r="Q788" s="192" t="str">
        <f t="shared" si="283"/>
        <v/>
      </c>
      <c r="R788" s="191" t="str">
        <f t="shared" si="270"/>
        <v/>
      </c>
      <c r="S788" s="193" t="str">
        <f t="shared" si="284"/>
        <v/>
      </c>
      <c r="T788" s="194" t="str">
        <f t="shared" si="271"/>
        <v/>
      </c>
      <c r="U788" s="192" t="str">
        <f t="shared" si="285"/>
        <v/>
      </c>
      <c r="V788" s="195" t="str">
        <f t="shared" si="272"/>
        <v/>
      </c>
      <c r="W788" s="195" t="str">
        <f t="shared" si="273"/>
        <v/>
      </c>
      <c r="X788" s="196" t="str">
        <f t="shared" si="286"/>
        <v/>
      </c>
      <c r="Y788" s="191" t="str">
        <f t="shared" ref="Y788:Y851" si="288">IF(Y787="","",IF(T788="","",Y787+T788))</f>
        <v/>
      </c>
      <c r="Z788" s="197" t="str">
        <f t="shared" si="274"/>
        <v/>
      </c>
      <c r="AA788" s="197" t="str">
        <f t="shared" si="275"/>
        <v/>
      </c>
      <c r="AB788" s="213"/>
      <c r="AC788" s="204"/>
    </row>
    <row r="789" spans="1:29" ht="11.4">
      <c r="A789" s="211" t="str">
        <f t="shared" si="287"/>
        <v/>
      </c>
      <c r="B789" s="211"/>
      <c r="C789" s="185"/>
      <c r="D789" s="186" t="str">
        <f t="shared" si="276"/>
        <v/>
      </c>
      <c r="E789" s="186" t="str">
        <f>IF(OR(C789="",C789=Data!$B$3),"",IF(C789=Data!$B$4,"L","S"))</f>
        <v/>
      </c>
      <c r="F789" s="186" t="str">
        <f t="shared" si="277"/>
        <v/>
      </c>
      <c r="G789" s="187" t="str">
        <f t="shared" si="268"/>
        <v/>
      </c>
      <c r="H789" s="188"/>
      <c r="I789" s="189" t="str">
        <f t="shared" si="278"/>
        <v/>
      </c>
      <c r="J789" s="189" t="str">
        <f t="shared" si="279"/>
        <v/>
      </c>
      <c r="K789" s="190" t="str">
        <f t="shared" si="280"/>
        <v/>
      </c>
      <c r="L789" s="190" t="str">
        <f t="shared" si="281"/>
        <v/>
      </c>
      <c r="M789" s="214"/>
      <c r="N789" s="214"/>
      <c r="O789" s="189" t="str">
        <f t="shared" si="282"/>
        <v/>
      </c>
      <c r="P789" s="191" t="str">
        <f t="shared" si="269"/>
        <v/>
      </c>
      <c r="Q789" s="192" t="str">
        <f t="shared" si="283"/>
        <v/>
      </c>
      <c r="R789" s="191" t="str">
        <f t="shared" si="270"/>
        <v/>
      </c>
      <c r="S789" s="193" t="str">
        <f t="shared" si="284"/>
        <v/>
      </c>
      <c r="T789" s="194" t="str">
        <f t="shared" si="271"/>
        <v/>
      </c>
      <c r="U789" s="192" t="str">
        <f t="shared" si="285"/>
        <v/>
      </c>
      <c r="V789" s="195" t="str">
        <f t="shared" si="272"/>
        <v/>
      </c>
      <c r="W789" s="195" t="str">
        <f t="shared" si="273"/>
        <v/>
      </c>
      <c r="X789" s="196" t="str">
        <f t="shared" si="286"/>
        <v/>
      </c>
      <c r="Y789" s="191" t="str">
        <f t="shared" si="288"/>
        <v/>
      </c>
      <c r="Z789" s="197" t="str">
        <f t="shared" si="274"/>
        <v/>
      </c>
      <c r="AA789" s="197" t="str">
        <f t="shared" si="275"/>
        <v/>
      </c>
      <c r="AB789" s="213"/>
      <c r="AC789" s="204"/>
    </row>
    <row r="790" spans="1:29" ht="11.4">
      <c r="A790" s="211" t="str">
        <f t="shared" si="287"/>
        <v/>
      </c>
      <c r="B790" s="211"/>
      <c r="C790" s="185"/>
      <c r="D790" s="186" t="str">
        <f t="shared" si="276"/>
        <v/>
      </c>
      <c r="E790" s="186" t="str">
        <f>IF(OR(C790="",C790=Data!$B$3),"",IF(C790=Data!$B$4,"L","S"))</f>
        <v/>
      </c>
      <c r="F790" s="186" t="str">
        <f t="shared" si="277"/>
        <v/>
      </c>
      <c r="G790" s="187" t="str">
        <f t="shared" si="268"/>
        <v/>
      </c>
      <c r="H790" s="188"/>
      <c r="I790" s="189" t="str">
        <f t="shared" si="278"/>
        <v/>
      </c>
      <c r="J790" s="189" t="str">
        <f t="shared" si="279"/>
        <v/>
      </c>
      <c r="K790" s="190" t="str">
        <f t="shared" si="280"/>
        <v/>
      </c>
      <c r="L790" s="190" t="str">
        <f t="shared" si="281"/>
        <v/>
      </c>
      <c r="M790" s="214"/>
      <c r="N790" s="214"/>
      <c r="O790" s="189" t="str">
        <f t="shared" si="282"/>
        <v/>
      </c>
      <c r="P790" s="191" t="str">
        <f t="shared" si="269"/>
        <v/>
      </c>
      <c r="Q790" s="192" t="str">
        <f t="shared" si="283"/>
        <v/>
      </c>
      <c r="R790" s="191" t="str">
        <f t="shared" si="270"/>
        <v/>
      </c>
      <c r="S790" s="193" t="str">
        <f t="shared" si="284"/>
        <v/>
      </c>
      <c r="T790" s="194" t="str">
        <f t="shared" si="271"/>
        <v/>
      </c>
      <c r="U790" s="192" t="str">
        <f t="shared" si="285"/>
        <v/>
      </c>
      <c r="V790" s="195" t="str">
        <f t="shared" si="272"/>
        <v/>
      </c>
      <c r="W790" s="195" t="str">
        <f t="shared" si="273"/>
        <v/>
      </c>
      <c r="X790" s="196" t="str">
        <f t="shared" si="286"/>
        <v/>
      </c>
      <c r="Y790" s="191" t="str">
        <f t="shared" si="288"/>
        <v/>
      </c>
      <c r="Z790" s="197" t="str">
        <f t="shared" si="274"/>
        <v/>
      </c>
      <c r="AA790" s="197" t="str">
        <f t="shared" si="275"/>
        <v/>
      </c>
      <c r="AB790" s="213"/>
      <c r="AC790" s="204"/>
    </row>
    <row r="791" spans="1:29" ht="11.4">
      <c r="A791" s="211" t="str">
        <f t="shared" si="287"/>
        <v/>
      </c>
      <c r="B791" s="211"/>
      <c r="C791" s="185"/>
      <c r="D791" s="186" t="str">
        <f t="shared" si="276"/>
        <v/>
      </c>
      <c r="E791" s="186" t="str">
        <f>IF(OR(C791="",C791=Data!$B$3),"",IF(C791=Data!$B$4,"L","S"))</f>
        <v/>
      </c>
      <c r="F791" s="186" t="str">
        <f t="shared" si="277"/>
        <v/>
      </c>
      <c r="G791" s="187" t="str">
        <f t="shared" si="268"/>
        <v/>
      </c>
      <c r="H791" s="188"/>
      <c r="I791" s="189" t="str">
        <f t="shared" si="278"/>
        <v/>
      </c>
      <c r="J791" s="189" t="str">
        <f t="shared" si="279"/>
        <v/>
      </c>
      <c r="K791" s="190" t="str">
        <f t="shared" si="280"/>
        <v/>
      </c>
      <c r="L791" s="190" t="str">
        <f t="shared" si="281"/>
        <v/>
      </c>
      <c r="M791" s="214"/>
      <c r="N791" s="214"/>
      <c r="O791" s="189" t="str">
        <f t="shared" si="282"/>
        <v/>
      </c>
      <c r="P791" s="191" t="str">
        <f t="shared" si="269"/>
        <v/>
      </c>
      <c r="Q791" s="192" t="str">
        <f t="shared" si="283"/>
        <v/>
      </c>
      <c r="R791" s="191" t="str">
        <f t="shared" si="270"/>
        <v/>
      </c>
      <c r="S791" s="193" t="str">
        <f t="shared" si="284"/>
        <v/>
      </c>
      <c r="T791" s="194" t="str">
        <f t="shared" si="271"/>
        <v/>
      </c>
      <c r="U791" s="192" t="str">
        <f t="shared" si="285"/>
        <v/>
      </c>
      <c r="V791" s="195" t="str">
        <f t="shared" si="272"/>
        <v/>
      </c>
      <c r="W791" s="195" t="str">
        <f t="shared" si="273"/>
        <v/>
      </c>
      <c r="X791" s="196" t="str">
        <f t="shared" si="286"/>
        <v/>
      </c>
      <c r="Y791" s="191" t="str">
        <f t="shared" si="288"/>
        <v/>
      </c>
      <c r="Z791" s="197" t="str">
        <f t="shared" si="274"/>
        <v/>
      </c>
      <c r="AA791" s="197" t="str">
        <f t="shared" si="275"/>
        <v/>
      </c>
      <c r="AB791" s="213"/>
      <c r="AC791" s="204"/>
    </row>
    <row r="792" spans="1:29" ht="11.4">
      <c r="A792" s="211" t="str">
        <f t="shared" si="287"/>
        <v/>
      </c>
      <c r="B792" s="211"/>
      <c r="C792" s="185"/>
      <c r="D792" s="186" t="str">
        <f t="shared" si="276"/>
        <v/>
      </c>
      <c r="E792" s="186" t="str">
        <f>IF(OR(C792="",C792=Data!$B$3),"",IF(C792=Data!$B$4,"L","S"))</f>
        <v/>
      </c>
      <c r="F792" s="186" t="str">
        <f t="shared" si="277"/>
        <v/>
      </c>
      <c r="G792" s="187" t="str">
        <f t="shared" si="268"/>
        <v/>
      </c>
      <c r="H792" s="188"/>
      <c r="I792" s="189" t="str">
        <f t="shared" si="278"/>
        <v/>
      </c>
      <c r="J792" s="189" t="str">
        <f t="shared" si="279"/>
        <v/>
      </c>
      <c r="K792" s="190" t="str">
        <f t="shared" si="280"/>
        <v/>
      </c>
      <c r="L792" s="190" t="str">
        <f t="shared" si="281"/>
        <v/>
      </c>
      <c r="M792" s="214"/>
      <c r="N792" s="214"/>
      <c r="O792" s="189" t="str">
        <f t="shared" si="282"/>
        <v/>
      </c>
      <c r="P792" s="191" t="str">
        <f t="shared" si="269"/>
        <v/>
      </c>
      <c r="Q792" s="192" t="str">
        <f t="shared" si="283"/>
        <v/>
      </c>
      <c r="R792" s="191" t="str">
        <f t="shared" si="270"/>
        <v/>
      </c>
      <c r="S792" s="193" t="str">
        <f t="shared" si="284"/>
        <v/>
      </c>
      <c r="T792" s="194" t="str">
        <f t="shared" si="271"/>
        <v/>
      </c>
      <c r="U792" s="192" t="str">
        <f t="shared" si="285"/>
        <v/>
      </c>
      <c r="V792" s="195" t="str">
        <f t="shared" si="272"/>
        <v/>
      </c>
      <c r="W792" s="195" t="str">
        <f t="shared" si="273"/>
        <v/>
      </c>
      <c r="X792" s="196" t="str">
        <f t="shared" si="286"/>
        <v/>
      </c>
      <c r="Y792" s="191" t="str">
        <f t="shared" si="288"/>
        <v/>
      </c>
      <c r="Z792" s="197" t="str">
        <f t="shared" si="274"/>
        <v/>
      </c>
      <c r="AA792" s="197" t="str">
        <f t="shared" si="275"/>
        <v/>
      </c>
      <c r="AB792" s="213"/>
      <c r="AC792" s="204"/>
    </row>
    <row r="793" spans="1:29" ht="11.4">
      <c r="A793" s="211" t="str">
        <f t="shared" si="287"/>
        <v/>
      </c>
      <c r="B793" s="211"/>
      <c r="C793" s="185"/>
      <c r="D793" s="186" t="str">
        <f t="shared" si="276"/>
        <v/>
      </c>
      <c r="E793" s="186" t="str">
        <f>IF(OR(C793="",C793=Data!$B$3),"",IF(C793=Data!$B$4,"L","S"))</f>
        <v/>
      </c>
      <c r="F793" s="186" t="str">
        <f t="shared" si="277"/>
        <v/>
      </c>
      <c r="G793" s="187" t="str">
        <f t="shared" si="268"/>
        <v/>
      </c>
      <c r="H793" s="188"/>
      <c r="I793" s="189" t="str">
        <f t="shared" si="278"/>
        <v/>
      </c>
      <c r="J793" s="189" t="str">
        <f t="shared" si="279"/>
        <v/>
      </c>
      <c r="K793" s="190" t="str">
        <f t="shared" si="280"/>
        <v/>
      </c>
      <c r="L793" s="190" t="str">
        <f t="shared" si="281"/>
        <v/>
      </c>
      <c r="M793" s="214"/>
      <c r="N793" s="214"/>
      <c r="O793" s="189" t="str">
        <f t="shared" si="282"/>
        <v/>
      </c>
      <c r="P793" s="191" t="str">
        <f t="shared" si="269"/>
        <v/>
      </c>
      <c r="Q793" s="192" t="str">
        <f t="shared" si="283"/>
        <v/>
      </c>
      <c r="R793" s="191" t="str">
        <f t="shared" si="270"/>
        <v/>
      </c>
      <c r="S793" s="193" t="str">
        <f t="shared" si="284"/>
        <v/>
      </c>
      <c r="T793" s="194" t="str">
        <f t="shared" si="271"/>
        <v/>
      </c>
      <c r="U793" s="192" t="str">
        <f t="shared" si="285"/>
        <v/>
      </c>
      <c r="V793" s="195" t="str">
        <f t="shared" si="272"/>
        <v/>
      </c>
      <c r="W793" s="195" t="str">
        <f t="shared" si="273"/>
        <v/>
      </c>
      <c r="X793" s="196" t="str">
        <f t="shared" si="286"/>
        <v/>
      </c>
      <c r="Y793" s="191" t="str">
        <f t="shared" si="288"/>
        <v/>
      </c>
      <c r="Z793" s="197" t="str">
        <f t="shared" si="274"/>
        <v/>
      </c>
      <c r="AA793" s="197" t="str">
        <f t="shared" si="275"/>
        <v/>
      </c>
      <c r="AB793" s="213"/>
      <c r="AC793" s="204"/>
    </row>
    <row r="794" spans="1:29" ht="11.4">
      <c r="A794" s="211" t="str">
        <f t="shared" si="287"/>
        <v/>
      </c>
      <c r="B794" s="211"/>
      <c r="C794" s="185"/>
      <c r="D794" s="186" t="str">
        <f t="shared" si="276"/>
        <v/>
      </c>
      <c r="E794" s="186" t="str">
        <f>IF(OR(C794="",C794=Data!$B$3),"",IF(C794=Data!$B$4,"L","S"))</f>
        <v/>
      </c>
      <c r="F794" s="186" t="str">
        <f t="shared" si="277"/>
        <v/>
      </c>
      <c r="G794" s="187" t="str">
        <f t="shared" si="268"/>
        <v/>
      </c>
      <c r="H794" s="188"/>
      <c r="I794" s="189" t="str">
        <f t="shared" si="278"/>
        <v/>
      </c>
      <c r="J794" s="189" t="str">
        <f t="shared" si="279"/>
        <v/>
      </c>
      <c r="K794" s="190" t="str">
        <f t="shared" si="280"/>
        <v/>
      </c>
      <c r="L794" s="190" t="str">
        <f t="shared" si="281"/>
        <v/>
      </c>
      <c r="M794" s="214"/>
      <c r="N794" s="214"/>
      <c r="O794" s="189" t="str">
        <f t="shared" si="282"/>
        <v/>
      </c>
      <c r="P794" s="191" t="str">
        <f t="shared" si="269"/>
        <v/>
      </c>
      <c r="Q794" s="192" t="str">
        <f t="shared" si="283"/>
        <v/>
      </c>
      <c r="R794" s="191" t="str">
        <f t="shared" si="270"/>
        <v/>
      </c>
      <c r="S794" s="193" t="str">
        <f t="shared" si="284"/>
        <v/>
      </c>
      <c r="T794" s="194" t="str">
        <f t="shared" si="271"/>
        <v/>
      </c>
      <c r="U794" s="192" t="str">
        <f t="shared" si="285"/>
        <v/>
      </c>
      <c r="V794" s="195" t="str">
        <f t="shared" si="272"/>
        <v/>
      </c>
      <c r="W794" s="195" t="str">
        <f t="shared" si="273"/>
        <v/>
      </c>
      <c r="X794" s="196" t="str">
        <f t="shared" si="286"/>
        <v/>
      </c>
      <c r="Y794" s="191" t="str">
        <f t="shared" si="288"/>
        <v/>
      </c>
      <c r="Z794" s="197" t="str">
        <f t="shared" si="274"/>
        <v/>
      </c>
      <c r="AA794" s="197" t="str">
        <f t="shared" si="275"/>
        <v/>
      </c>
      <c r="AB794" s="213"/>
      <c r="AC794" s="204"/>
    </row>
    <row r="795" spans="1:29" ht="11.4">
      <c r="A795" s="211" t="str">
        <f t="shared" si="287"/>
        <v/>
      </c>
      <c r="B795" s="211"/>
      <c r="C795" s="185"/>
      <c r="D795" s="186" t="str">
        <f t="shared" si="276"/>
        <v/>
      </c>
      <c r="E795" s="186" t="str">
        <f>IF(OR(C795="",C795=Data!$B$3),"",IF(C795=Data!$B$4,"L","S"))</f>
        <v/>
      </c>
      <c r="F795" s="186" t="str">
        <f t="shared" si="277"/>
        <v/>
      </c>
      <c r="G795" s="187" t="str">
        <f t="shared" si="268"/>
        <v/>
      </c>
      <c r="H795" s="188"/>
      <c r="I795" s="189" t="str">
        <f t="shared" si="278"/>
        <v/>
      </c>
      <c r="J795" s="189" t="str">
        <f t="shared" si="279"/>
        <v/>
      </c>
      <c r="K795" s="190" t="str">
        <f t="shared" si="280"/>
        <v/>
      </c>
      <c r="L795" s="190" t="str">
        <f t="shared" si="281"/>
        <v/>
      </c>
      <c r="M795" s="214"/>
      <c r="N795" s="214"/>
      <c r="O795" s="189" t="str">
        <f t="shared" si="282"/>
        <v/>
      </c>
      <c r="P795" s="191" t="str">
        <f t="shared" si="269"/>
        <v/>
      </c>
      <c r="Q795" s="192" t="str">
        <f t="shared" si="283"/>
        <v/>
      </c>
      <c r="R795" s="191" t="str">
        <f t="shared" si="270"/>
        <v/>
      </c>
      <c r="S795" s="193" t="str">
        <f t="shared" si="284"/>
        <v/>
      </c>
      <c r="T795" s="194" t="str">
        <f t="shared" si="271"/>
        <v/>
      </c>
      <c r="U795" s="192" t="str">
        <f t="shared" si="285"/>
        <v/>
      </c>
      <c r="V795" s="195" t="str">
        <f t="shared" si="272"/>
        <v/>
      </c>
      <c r="W795" s="195" t="str">
        <f t="shared" si="273"/>
        <v/>
      </c>
      <c r="X795" s="196" t="str">
        <f t="shared" si="286"/>
        <v/>
      </c>
      <c r="Y795" s="191" t="str">
        <f t="shared" si="288"/>
        <v/>
      </c>
      <c r="Z795" s="197" t="str">
        <f t="shared" si="274"/>
        <v/>
      </c>
      <c r="AA795" s="197" t="str">
        <f t="shared" si="275"/>
        <v/>
      </c>
      <c r="AB795" s="213"/>
      <c r="AC795" s="204"/>
    </row>
    <row r="796" spans="1:29" ht="11.4">
      <c r="A796" s="211" t="str">
        <f t="shared" si="287"/>
        <v/>
      </c>
      <c r="B796" s="211"/>
      <c r="C796" s="185"/>
      <c r="D796" s="186" t="str">
        <f t="shared" si="276"/>
        <v/>
      </c>
      <c r="E796" s="186" t="str">
        <f>IF(OR(C796="",C796=Data!$B$3),"",IF(C796=Data!$B$4,"L","S"))</f>
        <v/>
      </c>
      <c r="F796" s="186" t="str">
        <f t="shared" si="277"/>
        <v/>
      </c>
      <c r="G796" s="187" t="str">
        <f t="shared" si="268"/>
        <v/>
      </c>
      <c r="H796" s="188"/>
      <c r="I796" s="189" t="str">
        <f t="shared" si="278"/>
        <v/>
      </c>
      <c r="J796" s="189" t="str">
        <f t="shared" si="279"/>
        <v/>
      </c>
      <c r="K796" s="190" t="str">
        <f t="shared" si="280"/>
        <v/>
      </c>
      <c r="L796" s="190" t="str">
        <f t="shared" si="281"/>
        <v/>
      </c>
      <c r="M796" s="214"/>
      <c r="N796" s="214"/>
      <c r="O796" s="189" t="str">
        <f t="shared" si="282"/>
        <v/>
      </c>
      <c r="P796" s="191" t="str">
        <f t="shared" si="269"/>
        <v/>
      </c>
      <c r="Q796" s="192" t="str">
        <f t="shared" si="283"/>
        <v/>
      </c>
      <c r="R796" s="191" t="str">
        <f t="shared" si="270"/>
        <v/>
      </c>
      <c r="S796" s="193" t="str">
        <f t="shared" si="284"/>
        <v/>
      </c>
      <c r="T796" s="194" t="str">
        <f t="shared" si="271"/>
        <v/>
      </c>
      <c r="U796" s="192" t="str">
        <f t="shared" si="285"/>
        <v/>
      </c>
      <c r="V796" s="195" t="str">
        <f t="shared" si="272"/>
        <v/>
      </c>
      <c r="W796" s="195" t="str">
        <f t="shared" si="273"/>
        <v/>
      </c>
      <c r="X796" s="196" t="str">
        <f t="shared" si="286"/>
        <v/>
      </c>
      <c r="Y796" s="191" t="str">
        <f t="shared" si="288"/>
        <v/>
      </c>
      <c r="Z796" s="197" t="str">
        <f t="shared" si="274"/>
        <v/>
      </c>
      <c r="AA796" s="197" t="str">
        <f t="shared" si="275"/>
        <v/>
      </c>
      <c r="AB796" s="213"/>
      <c r="AC796" s="204"/>
    </row>
    <row r="797" spans="1:29" ht="11.4">
      <c r="A797" s="211" t="str">
        <f t="shared" si="287"/>
        <v/>
      </c>
      <c r="B797" s="211"/>
      <c r="C797" s="185"/>
      <c r="D797" s="186" t="str">
        <f t="shared" si="276"/>
        <v/>
      </c>
      <c r="E797" s="186" t="str">
        <f>IF(OR(C797="",C797=Data!$B$3),"",IF(C797=Data!$B$4,"L","S"))</f>
        <v/>
      </c>
      <c r="F797" s="186" t="str">
        <f t="shared" si="277"/>
        <v/>
      </c>
      <c r="G797" s="187" t="str">
        <f t="shared" si="268"/>
        <v/>
      </c>
      <c r="H797" s="188"/>
      <c r="I797" s="189" t="str">
        <f t="shared" si="278"/>
        <v/>
      </c>
      <c r="J797" s="189" t="str">
        <f t="shared" si="279"/>
        <v/>
      </c>
      <c r="K797" s="190" t="str">
        <f t="shared" si="280"/>
        <v/>
      </c>
      <c r="L797" s="190" t="str">
        <f t="shared" si="281"/>
        <v/>
      </c>
      <c r="M797" s="214"/>
      <c r="N797" s="214"/>
      <c r="O797" s="189" t="str">
        <f t="shared" si="282"/>
        <v/>
      </c>
      <c r="P797" s="191" t="str">
        <f t="shared" si="269"/>
        <v/>
      </c>
      <c r="Q797" s="192" t="str">
        <f t="shared" si="283"/>
        <v/>
      </c>
      <c r="R797" s="191" t="str">
        <f t="shared" si="270"/>
        <v/>
      </c>
      <c r="S797" s="193" t="str">
        <f t="shared" si="284"/>
        <v/>
      </c>
      <c r="T797" s="194" t="str">
        <f t="shared" si="271"/>
        <v/>
      </c>
      <c r="U797" s="192" t="str">
        <f t="shared" si="285"/>
        <v/>
      </c>
      <c r="V797" s="195" t="str">
        <f t="shared" si="272"/>
        <v/>
      </c>
      <c r="W797" s="195" t="str">
        <f t="shared" si="273"/>
        <v/>
      </c>
      <c r="X797" s="196" t="str">
        <f t="shared" si="286"/>
        <v/>
      </c>
      <c r="Y797" s="191" t="str">
        <f t="shared" si="288"/>
        <v/>
      </c>
      <c r="Z797" s="197" t="str">
        <f t="shared" si="274"/>
        <v/>
      </c>
      <c r="AA797" s="197" t="str">
        <f t="shared" si="275"/>
        <v/>
      </c>
      <c r="AB797" s="213"/>
      <c r="AC797" s="204"/>
    </row>
    <row r="798" spans="1:29" ht="11.4">
      <c r="A798" s="211" t="str">
        <f t="shared" si="287"/>
        <v/>
      </c>
      <c r="B798" s="211"/>
      <c r="C798" s="185"/>
      <c r="D798" s="186" t="str">
        <f t="shared" si="276"/>
        <v/>
      </c>
      <c r="E798" s="186" t="str">
        <f>IF(OR(C798="",C798=Data!$B$3),"",IF(C798=Data!$B$4,"L","S"))</f>
        <v/>
      </c>
      <c r="F798" s="186" t="str">
        <f t="shared" si="277"/>
        <v/>
      </c>
      <c r="G798" s="187" t="str">
        <f t="shared" si="268"/>
        <v/>
      </c>
      <c r="H798" s="188"/>
      <c r="I798" s="189" t="str">
        <f t="shared" si="278"/>
        <v/>
      </c>
      <c r="J798" s="189" t="str">
        <f t="shared" si="279"/>
        <v/>
      </c>
      <c r="K798" s="190" t="str">
        <f t="shared" si="280"/>
        <v/>
      </c>
      <c r="L798" s="190" t="str">
        <f t="shared" si="281"/>
        <v/>
      </c>
      <c r="M798" s="214"/>
      <c r="N798" s="214"/>
      <c r="O798" s="189" t="str">
        <f t="shared" si="282"/>
        <v/>
      </c>
      <c r="P798" s="191" t="str">
        <f t="shared" si="269"/>
        <v/>
      </c>
      <c r="Q798" s="192" t="str">
        <f t="shared" si="283"/>
        <v/>
      </c>
      <c r="R798" s="191" t="str">
        <f t="shared" si="270"/>
        <v/>
      </c>
      <c r="S798" s="193" t="str">
        <f t="shared" si="284"/>
        <v/>
      </c>
      <c r="T798" s="194" t="str">
        <f t="shared" si="271"/>
        <v/>
      </c>
      <c r="U798" s="192" t="str">
        <f t="shared" si="285"/>
        <v/>
      </c>
      <c r="V798" s="195" t="str">
        <f t="shared" si="272"/>
        <v/>
      </c>
      <c r="W798" s="195" t="str">
        <f t="shared" si="273"/>
        <v/>
      </c>
      <c r="X798" s="196" t="str">
        <f t="shared" si="286"/>
        <v/>
      </c>
      <c r="Y798" s="191" t="str">
        <f t="shared" si="288"/>
        <v/>
      </c>
      <c r="Z798" s="197" t="str">
        <f t="shared" si="274"/>
        <v/>
      </c>
      <c r="AA798" s="197" t="str">
        <f t="shared" si="275"/>
        <v/>
      </c>
      <c r="AB798" s="213"/>
      <c r="AC798" s="204"/>
    </row>
    <row r="799" spans="1:29" ht="11.4">
      <c r="A799" s="211" t="str">
        <f t="shared" si="287"/>
        <v/>
      </c>
      <c r="B799" s="211"/>
      <c r="C799" s="185"/>
      <c r="D799" s="186" t="str">
        <f t="shared" si="276"/>
        <v/>
      </c>
      <c r="E799" s="186" t="str">
        <f>IF(OR(C799="",C799=Data!$B$3),"",IF(C799=Data!$B$4,"L","S"))</f>
        <v/>
      </c>
      <c r="F799" s="186" t="str">
        <f t="shared" si="277"/>
        <v/>
      </c>
      <c r="G799" s="187" t="str">
        <f t="shared" si="268"/>
        <v/>
      </c>
      <c r="H799" s="188"/>
      <c r="I799" s="189" t="str">
        <f t="shared" si="278"/>
        <v/>
      </c>
      <c r="J799" s="189" t="str">
        <f t="shared" si="279"/>
        <v/>
      </c>
      <c r="K799" s="190" t="str">
        <f t="shared" si="280"/>
        <v/>
      </c>
      <c r="L799" s="190" t="str">
        <f t="shared" si="281"/>
        <v/>
      </c>
      <c r="M799" s="214"/>
      <c r="N799" s="214"/>
      <c r="O799" s="189" t="str">
        <f t="shared" si="282"/>
        <v/>
      </c>
      <c r="P799" s="191" t="str">
        <f t="shared" si="269"/>
        <v/>
      </c>
      <c r="Q799" s="192" t="str">
        <f t="shared" si="283"/>
        <v/>
      </c>
      <c r="R799" s="191" t="str">
        <f t="shared" si="270"/>
        <v/>
      </c>
      <c r="S799" s="193" t="str">
        <f t="shared" si="284"/>
        <v/>
      </c>
      <c r="T799" s="194" t="str">
        <f t="shared" si="271"/>
        <v/>
      </c>
      <c r="U799" s="192" t="str">
        <f t="shared" si="285"/>
        <v/>
      </c>
      <c r="V799" s="195" t="str">
        <f t="shared" si="272"/>
        <v/>
      </c>
      <c r="W799" s="195" t="str">
        <f t="shared" si="273"/>
        <v/>
      </c>
      <c r="X799" s="196" t="str">
        <f t="shared" si="286"/>
        <v/>
      </c>
      <c r="Y799" s="191" t="str">
        <f t="shared" si="288"/>
        <v/>
      </c>
      <c r="Z799" s="197" t="str">
        <f t="shared" si="274"/>
        <v/>
      </c>
      <c r="AA799" s="197" t="str">
        <f t="shared" si="275"/>
        <v/>
      </c>
      <c r="AB799" s="213"/>
      <c r="AC799" s="204"/>
    </row>
    <row r="800" spans="1:29" ht="11.4">
      <c r="A800" s="211" t="str">
        <f t="shared" si="287"/>
        <v/>
      </c>
      <c r="B800" s="211"/>
      <c r="C800" s="185"/>
      <c r="D800" s="186" t="str">
        <f t="shared" si="276"/>
        <v/>
      </c>
      <c r="E800" s="186" t="str">
        <f>IF(OR(C800="",C800=Data!$B$3),"",IF(C800=Data!$B$4,"L","S"))</f>
        <v/>
      </c>
      <c r="F800" s="186" t="str">
        <f t="shared" si="277"/>
        <v/>
      </c>
      <c r="G800" s="187" t="str">
        <f t="shared" si="268"/>
        <v/>
      </c>
      <c r="H800" s="188"/>
      <c r="I800" s="189" t="str">
        <f t="shared" si="278"/>
        <v/>
      </c>
      <c r="J800" s="189" t="str">
        <f t="shared" si="279"/>
        <v/>
      </c>
      <c r="K800" s="190" t="str">
        <f t="shared" si="280"/>
        <v/>
      </c>
      <c r="L800" s="190" t="str">
        <f t="shared" si="281"/>
        <v/>
      </c>
      <c r="M800" s="214"/>
      <c r="N800" s="214"/>
      <c r="O800" s="189" t="str">
        <f t="shared" si="282"/>
        <v/>
      </c>
      <c r="P800" s="191" t="str">
        <f t="shared" si="269"/>
        <v/>
      </c>
      <c r="Q800" s="192" t="str">
        <f t="shared" si="283"/>
        <v/>
      </c>
      <c r="R800" s="191" t="str">
        <f t="shared" si="270"/>
        <v/>
      </c>
      <c r="S800" s="193" t="str">
        <f t="shared" si="284"/>
        <v/>
      </c>
      <c r="T800" s="194" t="str">
        <f t="shared" si="271"/>
        <v/>
      </c>
      <c r="U800" s="192" t="str">
        <f t="shared" si="285"/>
        <v/>
      </c>
      <c r="V800" s="195" t="str">
        <f t="shared" si="272"/>
        <v/>
      </c>
      <c r="W800" s="195" t="str">
        <f t="shared" si="273"/>
        <v/>
      </c>
      <c r="X800" s="196" t="str">
        <f t="shared" si="286"/>
        <v/>
      </c>
      <c r="Y800" s="191" t="str">
        <f t="shared" si="288"/>
        <v/>
      </c>
      <c r="Z800" s="197" t="str">
        <f t="shared" si="274"/>
        <v/>
      </c>
      <c r="AA800" s="197" t="str">
        <f t="shared" si="275"/>
        <v/>
      </c>
      <c r="AB800" s="213"/>
      <c r="AC800" s="204"/>
    </row>
    <row r="801" spans="1:29" ht="11.4">
      <c r="A801" s="211" t="str">
        <f t="shared" si="287"/>
        <v/>
      </c>
      <c r="B801" s="211"/>
      <c r="C801" s="185"/>
      <c r="D801" s="186" t="str">
        <f t="shared" si="276"/>
        <v/>
      </c>
      <c r="E801" s="186" t="str">
        <f>IF(OR(C801="",C801=Data!$B$3),"",IF(C801=Data!$B$4,"L","S"))</f>
        <v/>
      </c>
      <c r="F801" s="186" t="str">
        <f t="shared" si="277"/>
        <v/>
      </c>
      <c r="G801" s="187" t="str">
        <f t="shared" si="268"/>
        <v/>
      </c>
      <c r="H801" s="188"/>
      <c r="I801" s="189" t="str">
        <f t="shared" si="278"/>
        <v/>
      </c>
      <c r="J801" s="189" t="str">
        <f t="shared" si="279"/>
        <v/>
      </c>
      <c r="K801" s="190" t="str">
        <f t="shared" si="280"/>
        <v/>
      </c>
      <c r="L801" s="190" t="str">
        <f t="shared" si="281"/>
        <v/>
      </c>
      <c r="M801" s="214"/>
      <c r="N801" s="214"/>
      <c r="O801" s="189" t="str">
        <f t="shared" si="282"/>
        <v/>
      </c>
      <c r="P801" s="191" t="str">
        <f t="shared" si="269"/>
        <v/>
      </c>
      <c r="Q801" s="192" t="str">
        <f t="shared" si="283"/>
        <v/>
      </c>
      <c r="R801" s="191" t="str">
        <f t="shared" si="270"/>
        <v/>
      </c>
      <c r="S801" s="193" t="str">
        <f t="shared" si="284"/>
        <v/>
      </c>
      <c r="T801" s="194" t="str">
        <f t="shared" si="271"/>
        <v/>
      </c>
      <c r="U801" s="192" t="str">
        <f t="shared" si="285"/>
        <v/>
      </c>
      <c r="V801" s="195" t="str">
        <f t="shared" si="272"/>
        <v/>
      </c>
      <c r="W801" s="195" t="str">
        <f t="shared" si="273"/>
        <v/>
      </c>
      <c r="X801" s="196" t="str">
        <f t="shared" si="286"/>
        <v/>
      </c>
      <c r="Y801" s="191" t="str">
        <f t="shared" si="288"/>
        <v/>
      </c>
      <c r="Z801" s="197" t="str">
        <f t="shared" si="274"/>
        <v/>
      </c>
      <c r="AA801" s="197" t="str">
        <f t="shared" si="275"/>
        <v/>
      </c>
      <c r="AB801" s="213"/>
      <c r="AC801" s="204"/>
    </row>
    <row r="802" spans="1:29" ht="11.4">
      <c r="A802" s="211" t="str">
        <f t="shared" si="287"/>
        <v/>
      </c>
      <c r="B802" s="211"/>
      <c r="C802" s="185"/>
      <c r="D802" s="186" t="str">
        <f t="shared" si="276"/>
        <v/>
      </c>
      <c r="E802" s="186" t="str">
        <f>IF(OR(C802="",C802=Data!$B$3),"",IF(C802=Data!$B$4,"L","S"))</f>
        <v/>
      </c>
      <c r="F802" s="186" t="str">
        <f t="shared" si="277"/>
        <v/>
      </c>
      <c r="G802" s="187" t="str">
        <f t="shared" si="268"/>
        <v/>
      </c>
      <c r="H802" s="188"/>
      <c r="I802" s="189" t="str">
        <f t="shared" si="278"/>
        <v/>
      </c>
      <c r="J802" s="189" t="str">
        <f t="shared" si="279"/>
        <v/>
      </c>
      <c r="K802" s="190" t="str">
        <f t="shared" si="280"/>
        <v/>
      </c>
      <c r="L802" s="190" t="str">
        <f t="shared" si="281"/>
        <v/>
      </c>
      <c r="M802" s="214"/>
      <c r="N802" s="214"/>
      <c r="O802" s="189" t="str">
        <f t="shared" si="282"/>
        <v/>
      </c>
      <c r="P802" s="191" t="str">
        <f t="shared" si="269"/>
        <v/>
      </c>
      <c r="Q802" s="192" t="str">
        <f t="shared" si="283"/>
        <v/>
      </c>
      <c r="R802" s="191" t="str">
        <f t="shared" si="270"/>
        <v/>
      </c>
      <c r="S802" s="193" t="str">
        <f t="shared" si="284"/>
        <v/>
      </c>
      <c r="T802" s="194" t="str">
        <f t="shared" si="271"/>
        <v/>
      </c>
      <c r="U802" s="192" t="str">
        <f t="shared" si="285"/>
        <v/>
      </c>
      <c r="V802" s="195" t="str">
        <f t="shared" si="272"/>
        <v/>
      </c>
      <c r="W802" s="195" t="str">
        <f t="shared" si="273"/>
        <v/>
      </c>
      <c r="X802" s="196" t="str">
        <f t="shared" si="286"/>
        <v/>
      </c>
      <c r="Y802" s="191" t="str">
        <f t="shared" si="288"/>
        <v/>
      </c>
      <c r="Z802" s="197" t="str">
        <f t="shared" si="274"/>
        <v/>
      </c>
      <c r="AA802" s="197" t="str">
        <f t="shared" si="275"/>
        <v/>
      </c>
      <c r="AB802" s="213"/>
      <c r="AC802" s="204"/>
    </row>
    <row r="803" spans="1:29" ht="11.4">
      <c r="A803" s="211" t="str">
        <f t="shared" si="287"/>
        <v/>
      </c>
      <c r="B803" s="211"/>
      <c r="C803" s="185"/>
      <c r="D803" s="186" t="str">
        <f t="shared" si="276"/>
        <v/>
      </c>
      <c r="E803" s="186" t="str">
        <f>IF(OR(C803="",C803=Data!$B$3),"",IF(C803=Data!$B$4,"L","S"))</f>
        <v/>
      </c>
      <c r="F803" s="186" t="str">
        <f t="shared" si="277"/>
        <v/>
      </c>
      <c r="G803" s="187" t="str">
        <f t="shared" si="268"/>
        <v/>
      </c>
      <c r="H803" s="188"/>
      <c r="I803" s="189" t="str">
        <f t="shared" si="278"/>
        <v/>
      </c>
      <c r="J803" s="189" t="str">
        <f t="shared" si="279"/>
        <v/>
      </c>
      <c r="K803" s="190" t="str">
        <f t="shared" si="280"/>
        <v/>
      </c>
      <c r="L803" s="190" t="str">
        <f t="shared" si="281"/>
        <v/>
      </c>
      <c r="M803" s="214"/>
      <c r="N803" s="214"/>
      <c r="O803" s="189" t="str">
        <f t="shared" si="282"/>
        <v/>
      </c>
      <c r="P803" s="191" t="str">
        <f t="shared" si="269"/>
        <v/>
      </c>
      <c r="Q803" s="192" t="str">
        <f t="shared" si="283"/>
        <v/>
      </c>
      <c r="R803" s="191" t="str">
        <f t="shared" si="270"/>
        <v/>
      </c>
      <c r="S803" s="193" t="str">
        <f t="shared" si="284"/>
        <v/>
      </c>
      <c r="T803" s="194" t="str">
        <f t="shared" si="271"/>
        <v/>
      </c>
      <c r="U803" s="192" t="str">
        <f t="shared" si="285"/>
        <v/>
      </c>
      <c r="V803" s="195" t="str">
        <f t="shared" si="272"/>
        <v/>
      </c>
      <c r="W803" s="195" t="str">
        <f t="shared" si="273"/>
        <v/>
      </c>
      <c r="X803" s="196" t="str">
        <f t="shared" si="286"/>
        <v/>
      </c>
      <c r="Y803" s="191" t="str">
        <f t="shared" si="288"/>
        <v/>
      </c>
      <c r="Z803" s="197" t="str">
        <f t="shared" si="274"/>
        <v/>
      </c>
      <c r="AA803" s="197" t="str">
        <f t="shared" si="275"/>
        <v/>
      </c>
      <c r="AB803" s="213"/>
      <c r="AC803" s="204"/>
    </row>
    <row r="804" spans="1:29" ht="11.4">
      <c r="A804" s="211" t="str">
        <f t="shared" si="287"/>
        <v/>
      </c>
      <c r="B804" s="211"/>
      <c r="C804" s="185"/>
      <c r="D804" s="186" t="str">
        <f t="shared" si="276"/>
        <v/>
      </c>
      <c r="E804" s="186" t="str">
        <f>IF(OR(C804="",C804=Data!$B$3),"",IF(C804=Data!$B$4,"L","S"))</f>
        <v/>
      </c>
      <c r="F804" s="186" t="str">
        <f t="shared" si="277"/>
        <v/>
      </c>
      <c r="G804" s="187" t="str">
        <f t="shared" si="268"/>
        <v/>
      </c>
      <c r="H804" s="188"/>
      <c r="I804" s="189" t="str">
        <f t="shared" si="278"/>
        <v/>
      </c>
      <c r="J804" s="189" t="str">
        <f t="shared" si="279"/>
        <v/>
      </c>
      <c r="K804" s="190" t="str">
        <f t="shared" si="280"/>
        <v/>
      </c>
      <c r="L804" s="190" t="str">
        <f t="shared" si="281"/>
        <v/>
      </c>
      <c r="M804" s="214"/>
      <c r="N804" s="214"/>
      <c r="O804" s="189" t="str">
        <f t="shared" si="282"/>
        <v/>
      </c>
      <c r="P804" s="191" t="str">
        <f t="shared" si="269"/>
        <v/>
      </c>
      <c r="Q804" s="192" t="str">
        <f t="shared" si="283"/>
        <v/>
      </c>
      <c r="R804" s="191" t="str">
        <f t="shared" si="270"/>
        <v/>
      </c>
      <c r="S804" s="193" t="str">
        <f t="shared" si="284"/>
        <v/>
      </c>
      <c r="T804" s="194" t="str">
        <f t="shared" si="271"/>
        <v/>
      </c>
      <c r="U804" s="192" t="str">
        <f t="shared" si="285"/>
        <v/>
      </c>
      <c r="V804" s="195" t="str">
        <f t="shared" si="272"/>
        <v/>
      </c>
      <c r="W804" s="195" t="str">
        <f t="shared" si="273"/>
        <v/>
      </c>
      <c r="X804" s="196" t="str">
        <f t="shared" si="286"/>
        <v/>
      </c>
      <c r="Y804" s="191" t="str">
        <f t="shared" si="288"/>
        <v/>
      </c>
      <c r="Z804" s="197" t="str">
        <f t="shared" si="274"/>
        <v/>
      </c>
      <c r="AA804" s="197" t="str">
        <f t="shared" si="275"/>
        <v/>
      </c>
      <c r="AB804" s="213"/>
      <c r="AC804" s="204"/>
    </row>
    <row r="805" spans="1:29" ht="11.4">
      <c r="A805" s="211" t="str">
        <f t="shared" si="287"/>
        <v/>
      </c>
      <c r="B805" s="211"/>
      <c r="C805" s="185"/>
      <c r="D805" s="186" t="str">
        <f t="shared" si="276"/>
        <v/>
      </c>
      <c r="E805" s="186" t="str">
        <f>IF(OR(C805="",C805=Data!$B$3),"",IF(C805=Data!$B$4,"L","S"))</f>
        <v/>
      </c>
      <c r="F805" s="186" t="str">
        <f t="shared" si="277"/>
        <v/>
      </c>
      <c r="G805" s="187" t="str">
        <f t="shared" si="268"/>
        <v/>
      </c>
      <c r="H805" s="188"/>
      <c r="I805" s="189" t="str">
        <f t="shared" si="278"/>
        <v/>
      </c>
      <c r="J805" s="189" t="str">
        <f t="shared" si="279"/>
        <v/>
      </c>
      <c r="K805" s="190" t="str">
        <f t="shared" si="280"/>
        <v/>
      </c>
      <c r="L805" s="190" t="str">
        <f t="shared" si="281"/>
        <v/>
      </c>
      <c r="M805" s="214"/>
      <c r="N805" s="214"/>
      <c r="O805" s="189" t="str">
        <f t="shared" si="282"/>
        <v/>
      </c>
      <c r="P805" s="191" t="str">
        <f t="shared" si="269"/>
        <v/>
      </c>
      <c r="Q805" s="192" t="str">
        <f t="shared" si="283"/>
        <v/>
      </c>
      <c r="R805" s="191" t="str">
        <f t="shared" si="270"/>
        <v/>
      </c>
      <c r="S805" s="193" t="str">
        <f t="shared" si="284"/>
        <v/>
      </c>
      <c r="T805" s="194" t="str">
        <f t="shared" si="271"/>
        <v/>
      </c>
      <c r="U805" s="192" t="str">
        <f t="shared" si="285"/>
        <v/>
      </c>
      <c r="V805" s="195" t="str">
        <f t="shared" si="272"/>
        <v/>
      </c>
      <c r="W805" s="195" t="str">
        <f t="shared" si="273"/>
        <v/>
      </c>
      <c r="X805" s="196" t="str">
        <f t="shared" si="286"/>
        <v/>
      </c>
      <c r="Y805" s="191" t="str">
        <f t="shared" si="288"/>
        <v/>
      </c>
      <c r="Z805" s="197" t="str">
        <f t="shared" si="274"/>
        <v/>
      </c>
      <c r="AA805" s="197" t="str">
        <f t="shared" si="275"/>
        <v/>
      </c>
      <c r="AB805" s="213"/>
      <c r="AC805" s="204"/>
    </row>
    <row r="806" spans="1:29" ht="11.4">
      <c r="A806" s="211" t="str">
        <f t="shared" si="287"/>
        <v/>
      </c>
      <c r="B806" s="211"/>
      <c r="C806" s="185"/>
      <c r="D806" s="186" t="str">
        <f t="shared" si="276"/>
        <v/>
      </c>
      <c r="E806" s="186" t="str">
        <f>IF(OR(C806="",C806=Data!$B$3),"",IF(C806=Data!$B$4,"L","S"))</f>
        <v/>
      </c>
      <c r="F806" s="186" t="str">
        <f t="shared" si="277"/>
        <v/>
      </c>
      <c r="G806" s="187" t="str">
        <f t="shared" si="268"/>
        <v/>
      </c>
      <c r="H806" s="188"/>
      <c r="I806" s="189" t="str">
        <f t="shared" si="278"/>
        <v/>
      </c>
      <c r="J806" s="189" t="str">
        <f t="shared" si="279"/>
        <v/>
      </c>
      <c r="K806" s="190" t="str">
        <f t="shared" si="280"/>
        <v/>
      </c>
      <c r="L806" s="190" t="str">
        <f t="shared" si="281"/>
        <v/>
      </c>
      <c r="M806" s="214"/>
      <c r="N806" s="214"/>
      <c r="O806" s="189" t="str">
        <f t="shared" si="282"/>
        <v/>
      </c>
      <c r="P806" s="191" t="str">
        <f t="shared" si="269"/>
        <v/>
      </c>
      <c r="Q806" s="192" t="str">
        <f t="shared" si="283"/>
        <v/>
      </c>
      <c r="R806" s="191" t="str">
        <f t="shared" si="270"/>
        <v/>
      </c>
      <c r="S806" s="193" t="str">
        <f t="shared" si="284"/>
        <v/>
      </c>
      <c r="T806" s="194" t="str">
        <f t="shared" si="271"/>
        <v/>
      </c>
      <c r="U806" s="192" t="str">
        <f t="shared" si="285"/>
        <v/>
      </c>
      <c r="V806" s="195" t="str">
        <f t="shared" si="272"/>
        <v/>
      </c>
      <c r="W806" s="195" t="str">
        <f t="shared" si="273"/>
        <v/>
      </c>
      <c r="X806" s="196" t="str">
        <f t="shared" si="286"/>
        <v/>
      </c>
      <c r="Y806" s="191" t="str">
        <f t="shared" si="288"/>
        <v/>
      </c>
      <c r="Z806" s="197" t="str">
        <f t="shared" si="274"/>
        <v/>
      </c>
      <c r="AA806" s="197" t="str">
        <f t="shared" si="275"/>
        <v/>
      </c>
      <c r="AB806" s="213"/>
      <c r="AC806" s="204"/>
    </row>
    <row r="807" spans="1:29" ht="11.4">
      <c r="A807" s="211" t="str">
        <f t="shared" si="287"/>
        <v/>
      </c>
      <c r="B807" s="211"/>
      <c r="C807" s="185"/>
      <c r="D807" s="186" t="str">
        <f t="shared" si="276"/>
        <v/>
      </c>
      <c r="E807" s="186" t="str">
        <f>IF(OR(C807="",C807=Data!$B$3),"",IF(C807=Data!$B$4,"L","S"))</f>
        <v/>
      </c>
      <c r="F807" s="186" t="str">
        <f t="shared" si="277"/>
        <v/>
      </c>
      <c r="G807" s="187" t="str">
        <f t="shared" si="268"/>
        <v/>
      </c>
      <c r="H807" s="188"/>
      <c r="I807" s="189" t="str">
        <f t="shared" si="278"/>
        <v/>
      </c>
      <c r="J807" s="189" t="str">
        <f t="shared" si="279"/>
        <v/>
      </c>
      <c r="K807" s="190" t="str">
        <f t="shared" si="280"/>
        <v/>
      </c>
      <c r="L807" s="190" t="str">
        <f t="shared" si="281"/>
        <v/>
      </c>
      <c r="M807" s="214"/>
      <c r="N807" s="214"/>
      <c r="O807" s="189" t="str">
        <f t="shared" si="282"/>
        <v/>
      </c>
      <c r="P807" s="191" t="str">
        <f t="shared" si="269"/>
        <v/>
      </c>
      <c r="Q807" s="192" t="str">
        <f t="shared" si="283"/>
        <v/>
      </c>
      <c r="R807" s="191" t="str">
        <f t="shared" si="270"/>
        <v/>
      </c>
      <c r="S807" s="193" t="str">
        <f t="shared" si="284"/>
        <v/>
      </c>
      <c r="T807" s="194" t="str">
        <f t="shared" si="271"/>
        <v/>
      </c>
      <c r="U807" s="192" t="str">
        <f t="shared" si="285"/>
        <v/>
      </c>
      <c r="V807" s="195" t="str">
        <f t="shared" si="272"/>
        <v/>
      </c>
      <c r="W807" s="195" t="str">
        <f t="shared" si="273"/>
        <v/>
      </c>
      <c r="X807" s="196" t="str">
        <f t="shared" si="286"/>
        <v/>
      </c>
      <c r="Y807" s="191" t="str">
        <f t="shared" si="288"/>
        <v/>
      </c>
      <c r="Z807" s="197" t="str">
        <f t="shared" si="274"/>
        <v/>
      </c>
      <c r="AA807" s="197" t="str">
        <f t="shared" si="275"/>
        <v/>
      </c>
      <c r="AB807" s="213"/>
      <c r="AC807" s="204"/>
    </row>
    <row r="808" spans="1:29" ht="11.4">
      <c r="A808" s="211" t="str">
        <f t="shared" si="287"/>
        <v/>
      </c>
      <c r="B808" s="211"/>
      <c r="C808" s="185"/>
      <c r="D808" s="186" t="str">
        <f t="shared" si="276"/>
        <v/>
      </c>
      <c r="E808" s="186" t="str">
        <f>IF(OR(C808="",C808=Data!$B$3),"",IF(C808=Data!$B$4,"L","S"))</f>
        <v/>
      </c>
      <c r="F808" s="186" t="str">
        <f t="shared" si="277"/>
        <v/>
      </c>
      <c r="G808" s="187" t="str">
        <f t="shared" si="268"/>
        <v/>
      </c>
      <c r="H808" s="188"/>
      <c r="I808" s="189" t="str">
        <f t="shared" si="278"/>
        <v/>
      </c>
      <c r="J808" s="189" t="str">
        <f t="shared" si="279"/>
        <v/>
      </c>
      <c r="K808" s="190" t="str">
        <f t="shared" si="280"/>
        <v/>
      </c>
      <c r="L808" s="190" t="str">
        <f t="shared" si="281"/>
        <v/>
      </c>
      <c r="M808" s="214"/>
      <c r="N808" s="214"/>
      <c r="O808" s="189" t="str">
        <f t="shared" si="282"/>
        <v/>
      </c>
      <c r="P808" s="191" t="str">
        <f t="shared" si="269"/>
        <v/>
      </c>
      <c r="Q808" s="192" t="str">
        <f t="shared" si="283"/>
        <v/>
      </c>
      <c r="R808" s="191" t="str">
        <f t="shared" si="270"/>
        <v/>
      </c>
      <c r="S808" s="193" t="str">
        <f t="shared" si="284"/>
        <v/>
      </c>
      <c r="T808" s="194" t="str">
        <f t="shared" si="271"/>
        <v/>
      </c>
      <c r="U808" s="192" t="str">
        <f t="shared" si="285"/>
        <v/>
      </c>
      <c r="V808" s="195" t="str">
        <f t="shared" si="272"/>
        <v/>
      </c>
      <c r="W808" s="195" t="str">
        <f t="shared" si="273"/>
        <v/>
      </c>
      <c r="X808" s="196" t="str">
        <f t="shared" si="286"/>
        <v/>
      </c>
      <c r="Y808" s="191" t="str">
        <f t="shared" si="288"/>
        <v/>
      </c>
      <c r="Z808" s="197" t="str">
        <f t="shared" si="274"/>
        <v/>
      </c>
      <c r="AA808" s="197" t="str">
        <f t="shared" si="275"/>
        <v/>
      </c>
      <c r="AB808" s="213"/>
      <c r="AC808" s="204"/>
    </row>
    <row r="809" spans="1:29" ht="11.4">
      <c r="A809" s="211" t="str">
        <f t="shared" si="287"/>
        <v/>
      </c>
      <c r="B809" s="211"/>
      <c r="C809" s="185"/>
      <c r="D809" s="186" t="str">
        <f t="shared" si="276"/>
        <v/>
      </c>
      <c r="E809" s="186" t="str">
        <f>IF(OR(C809="",C809=Data!$B$3),"",IF(C809=Data!$B$4,"L","S"))</f>
        <v/>
      </c>
      <c r="F809" s="186" t="str">
        <f t="shared" si="277"/>
        <v/>
      </c>
      <c r="G809" s="187" t="str">
        <f t="shared" si="268"/>
        <v/>
      </c>
      <c r="H809" s="188"/>
      <c r="I809" s="189" t="str">
        <f t="shared" si="278"/>
        <v/>
      </c>
      <c r="J809" s="189" t="str">
        <f t="shared" si="279"/>
        <v/>
      </c>
      <c r="K809" s="190" t="str">
        <f t="shared" si="280"/>
        <v/>
      </c>
      <c r="L809" s="190" t="str">
        <f t="shared" si="281"/>
        <v/>
      </c>
      <c r="M809" s="214"/>
      <c r="N809" s="214"/>
      <c r="O809" s="189" t="str">
        <f t="shared" si="282"/>
        <v/>
      </c>
      <c r="P809" s="191" t="str">
        <f t="shared" si="269"/>
        <v/>
      </c>
      <c r="Q809" s="192" t="str">
        <f t="shared" si="283"/>
        <v/>
      </c>
      <c r="R809" s="191" t="str">
        <f t="shared" si="270"/>
        <v/>
      </c>
      <c r="S809" s="193" t="str">
        <f t="shared" si="284"/>
        <v/>
      </c>
      <c r="T809" s="194" t="str">
        <f t="shared" si="271"/>
        <v/>
      </c>
      <c r="U809" s="192" t="str">
        <f t="shared" si="285"/>
        <v/>
      </c>
      <c r="V809" s="195" t="str">
        <f t="shared" si="272"/>
        <v/>
      </c>
      <c r="W809" s="195" t="str">
        <f t="shared" si="273"/>
        <v/>
      </c>
      <c r="X809" s="196" t="str">
        <f t="shared" si="286"/>
        <v/>
      </c>
      <c r="Y809" s="191" t="str">
        <f t="shared" si="288"/>
        <v/>
      </c>
      <c r="Z809" s="197" t="str">
        <f t="shared" si="274"/>
        <v/>
      </c>
      <c r="AA809" s="197" t="str">
        <f t="shared" si="275"/>
        <v/>
      </c>
      <c r="AB809" s="213"/>
      <c r="AC809" s="204"/>
    </row>
    <row r="810" spans="1:29" ht="11.4">
      <c r="A810" s="211" t="str">
        <f t="shared" si="287"/>
        <v/>
      </c>
      <c r="B810" s="211"/>
      <c r="C810" s="185"/>
      <c r="D810" s="186" t="str">
        <f t="shared" si="276"/>
        <v/>
      </c>
      <c r="E810" s="186" t="str">
        <f>IF(OR(C810="",C810=Data!$B$3),"",IF(C810=Data!$B$4,"L","S"))</f>
        <v/>
      </c>
      <c r="F810" s="186" t="str">
        <f t="shared" si="277"/>
        <v/>
      </c>
      <c r="G810" s="187" t="str">
        <f t="shared" si="268"/>
        <v/>
      </c>
      <c r="H810" s="188"/>
      <c r="I810" s="189" t="str">
        <f t="shared" si="278"/>
        <v/>
      </c>
      <c r="J810" s="189" t="str">
        <f t="shared" si="279"/>
        <v/>
      </c>
      <c r="K810" s="190" t="str">
        <f t="shared" si="280"/>
        <v/>
      </c>
      <c r="L810" s="190" t="str">
        <f t="shared" si="281"/>
        <v/>
      </c>
      <c r="M810" s="214"/>
      <c r="N810" s="214"/>
      <c r="O810" s="189" t="str">
        <f t="shared" si="282"/>
        <v/>
      </c>
      <c r="P810" s="191" t="str">
        <f t="shared" si="269"/>
        <v/>
      </c>
      <c r="Q810" s="192" t="str">
        <f t="shared" si="283"/>
        <v/>
      </c>
      <c r="R810" s="191" t="str">
        <f t="shared" si="270"/>
        <v/>
      </c>
      <c r="S810" s="193" t="str">
        <f t="shared" si="284"/>
        <v/>
      </c>
      <c r="T810" s="194" t="str">
        <f t="shared" si="271"/>
        <v/>
      </c>
      <c r="U810" s="192" t="str">
        <f t="shared" si="285"/>
        <v/>
      </c>
      <c r="V810" s="195" t="str">
        <f t="shared" si="272"/>
        <v/>
      </c>
      <c r="W810" s="195" t="str">
        <f t="shared" si="273"/>
        <v/>
      </c>
      <c r="X810" s="196" t="str">
        <f t="shared" si="286"/>
        <v/>
      </c>
      <c r="Y810" s="191" t="str">
        <f t="shared" si="288"/>
        <v/>
      </c>
      <c r="Z810" s="197" t="str">
        <f t="shared" si="274"/>
        <v/>
      </c>
      <c r="AA810" s="197" t="str">
        <f t="shared" si="275"/>
        <v/>
      </c>
      <c r="AB810" s="213"/>
      <c r="AC810" s="204"/>
    </row>
    <row r="811" spans="1:29" ht="11.4">
      <c r="A811" s="211" t="str">
        <f t="shared" si="287"/>
        <v/>
      </c>
      <c r="B811" s="211"/>
      <c r="C811" s="185"/>
      <c r="D811" s="186" t="str">
        <f t="shared" si="276"/>
        <v/>
      </c>
      <c r="E811" s="186" t="str">
        <f>IF(OR(C811="",C811=Data!$B$3),"",IF(C811=Data!$B$4,"L","S"))</f>
        <v/>
      </c>
      <c r="F811" s="186" t="str">
        <f t="shared" si="277"/>
        <v/>
      </c>
      <c r="G811" s="187" t="str">
        <f t="shared" si="268"/>
        <v/>
      </c>
      <c r="H811" s="188"/>
      <c r="I811" s="189" t="str">
        <f t="shared" si="278"/>
        <v/>
      </c>
      <c r="J811" s="189" t="str">
        <f t="shared" si="279"/>
        <v/>
      </c>
      <c r="K811" s="190" t="str">
        <f t="shared" si="280"/>
        <v/>
      </c>
      <c r="L811" s="190" t="str">
        <f t="shared" si="281"/>
        <v/>
      </c>
      <c r="M811" s="214"/>
      <c r="N811" s="214"/>
      <c r="O811" s="189" t="str">
        <f t="shared" si="282"/>
        <v/>
      </c>
      <c r="P811" s="191" t="str">
        <f t="shared" si="269"/>
        <v/>
      </c>
      <c r="Q811" s="192" t="str">
        <f t="shared" si="283"/>
        <v/>
      </c>
      <c r="R811" s="191" t="str">
        <f t="shared" si="270"/>
        <v/>
      </c>
      <c r="S811" s="193" t="str">
        <f t="shared" si="284"/>
        <v/>
      </c>
      <c r="T811" s="194" t="str">
        <f t="shared" si="271"/>
        <v/>
      </c>
      <c r="U811" s="192" t="str">
        <f t="shared" si="285"/>
        <v/>
      </c>
      <c r="V811" s="195" t="str">
        <f t="shared" si="272"/>
        <v/>
      </c>
      <c r="W811" s="195" t="str">
        <f t="shared" si="273"/>
        <v/>
      </c>
      <c r="X811" s="196" t="str">
        <f t="shared" si="286"/>
        <v/>
      </c>
      <c r="Y811" s="191" t="str">
        <f t="shared" si="288"/>
        <v/>
      </c>
      <c r="Z811" s="197" t="str">
        <f t="shared" si="274"/>
        <v/>
      </c>
      <c r="AA811" s="197" t="str">
        <f t="shared" si="275"/>
        <v/>
      </c>
      <c r="AB811" s="213"/>
      <c r="AC811" s="204"/>
    </row>
    <row r="812" spans="1:29" ht="11.4">
      <c r="A812" s="211" t="str">
        <f t="shared" si="287"/>
        <v/>
      </c>
      <c r="B812" s="211"/>
      <c r="C812" s="185"/>
      <c r="D812" s="186" t="str">
        <f t="shared" si="276"/>
        <v/>
      </c>
      <c r="E812" s="186" t="str">
        <f>IF(OR(C812="",C812=Data!$B$3),"",IF(C812=Data!$B$4,"L","S"))</f>
        <v/>
      </c>
      <c r="F812" s="186" t="str">
        <f t="shared" si="277"/>
        <v/>
      </c>
      <c r="G812" s="187" t="str">
        <f t="shared" si="268"/>
        <v/>
      </c>
      <c r="H812" s="188"/>
      <c r="I812" s="189" t="str">
        <f t="shared" si="278"/>
        <v/>
      </c>
      <c r="J812" s="189" t="str">
        <f t="shared" si="279"/>
        <v/>
      </c>
      <c r="K812" s="190" t="str">
        <f t="shared" si="280"/>
        <v/>
      </c>
      <c r="L812" s="190" t="str">
        <f t="shared" si="281"/>
        <v/>
      </c>
      <c r="M812" s="214"/>
      <c r="N812" s="214"/>
      <c r="O812" s="189" t="str">
        <f t="shared" si="282"/>
        <v/>
      </c>
      <c r="P812" s="191" t="str">
        <f t="shared" si="269"/>
        <v/>
      </c>
      <c r="Q812" s="192" t="str">
        <f t="shared" si="283"/>
        <v/>
      </c>
      <c r="R812" s="191" t="str">
        <f t="shared" si="270"/>
        <v/>
      </c>
      <c r="S812" s="193" t="str">
        <f t="shared" si="284"/>
        <v/>
      </c>
      <c r="T812" s="194" t="str">
        <f t="shared" si="271"/>
        <v/>
      </c>
      <c r="U812" s="192" t="str">
        <f t="shared" si="285"/>
        <v/>
      </c>
      <c r="V812" s="195" t="str">
        <f t="shared" si="272"/>
        <v/>
      </c>
      <c r="W812" s="195" t="str">
        <f t="shared" si="273"/>
        <v/>
      </c>
      <c r="X812" s="196" t="str">
        <f t="shared" si="286"/>
        <v/>
      </c>
      <c r="Y812" s="191" t="str">
        <f t="shared" si="288"/>
        <v/>
      </c>
      <c r="Z812" s="197" t="str">
        <f t="shared" si="274"/>
        <v/>
      </c>
      <c r="AA812" s="197" t="str">
        <f t="shared" si="275"/>
        <v/>
      </c>
      <c r="AB812" s="213"/>
      <c r="AC812" s="204"/>
    </row>
    <row r="813" spans="1:29" ht="11.4">
      <c r="A813" s="211" t="str">
        <f t="shared" si="287"/>
        <v/>
      </c>
      <c r="B813" s="211"/>
      <c r="C813" s="185"/>
      <c r="D813" s="186" t="str">
        <f t="shared" si="276"/>
        <v/>
      </c>
      <c r="E813" s="186" t="str">
        <f>IF(OR(C813="",C813=Data!$B$3),"",IF(C813=Data!$B$4,"L","S"))</f>
        <v/>
      </c>
      <c r="F813" s="186" t="str">
        <f t="shared" si="277"/>
        <v/>
      </c>
      <c r="G813" s="187" t="str">
        <f t="shared" si="268"/>
        <v/>
      </c>
      <c r="H813" s="188"/>
      <c r="I813" s="189" t="str">
        <f t="shared" si="278"/>
        <v/>
      </c>
      <c r="J813" s="189" t="str">
        <f t="shared" si="279"/>
        <v/>
      </c>
      <c r="K813" s="190" t="str">
        <f t="shared" si="280"/>
        <v/>
      </c>
      <c r="L813" s="190" t="str">
        <f t="shared" si="281"/>
        <v/>
      </c>
      <c r="M813" s="214"/>
      <c r="N813" s="214"/>
      <c r="O813" s="189" t="str">
        <f t="shared" si="282"/>
        <v/>
      </c>
      <c r="P813" s="191" t="str">
        <f t="shared" si="269"/>
        <v/>
      </c>
      <c r="Q813" s="192" t="str">
        <f t="shared" si="283"/>
        <v/>
      </c>
      <c r="R813" s="191" t="str">
        <f t="shared" si="270"/>
        <v/>
      </c>
      <c r="S813" s="193" t="str">
        <f t="shared" si="284"/>
        <v/>
      </c>
      <c r="T813" s="194" t="str">
        <f t="shared" si="271"/>
        <v/>
      </c>
      <c r="U813" s="192" t="str">
        <f t="shared" si="285"/>
        <v/>
      </c>
      <c r="V813" s="195" t="str">
        <f t="shared" si="272"/>
        <v/>
      </c>
      <c r="W813" s="195" t="str">
        <f t="shared" si="273"/>
        <v/>
      </c>
      <c r="X813" s="196" t="str">
        <f t="shared" si="286"/>
        <v/>
      </c>
      <c r="Y813" s="191" t="str">
        <f t="shared" si="288"/>
        <v/>
      </c>
      <c r="Z813" s="197" t="str">
        <f t="shared" si="274"/>
        <v/>
      </c>
      <c r="AA813" s="197" t="str">
        <f t="shared" si="275"/>
        <v/>
      </c>
      <c r="AB813" s="213"/>
      <c r="AC813" s="204"/>
    </row>
    <row r="814" spans="1:29" ht="11.4">
      <c r="A814" s="211" t="str">
        <f t="shared" si="287"/>
        <v/>
      </c>
      <c r="B814" s="211"/>
      <c r="C814" s="185"/>
      <c r="D814" s="186" t="str">
        <f t="shared" si="276"/>
        <v/>
      </c>
      <c r="E814" s="186" t="str">
        <f>IF(OR(C814="",C814=Data!$B$3),"",IF(C814=Data!$B$4,"L","S"))</f>
        <v/>
      </c>
      <c r="F814" s="186" t="str">
        <f t="shared" si="277"/>
        <v/>
      </c>
      <c r="G814" s="187" t="str">
        <f t="shared" si="268"/>
        <v/>
      </c>
      <c r="H814" s="188"/>
      <c r="I814" s="189" t="str">
        <f t="shared" si="278"/>
        <v/>
      </c>
      <c r="J814" s="189" t="str">
        <f t="shared" si="279"/>
        <v/>
      </c>
      <c r="K814" s="190" t="str">
        <f t="shared" si="280"/>
        <v/>
      </c>
      <c r="L814" s="190" t="str">
        <f t="shared" si="281"/>
        <v/>
      </c>
      <c r="M814" s="214"/>
      <c r="N814" s="214"/>
      <c r="O814" s="189" t="str">
        <f t="shared" si="282"/>
        <v/>
      </c>
      <c r="P814" s="191" t="str">
        <f t="shared" si="269"/>
        <v/>
      </c>
      <c r="Q814" s="192" t="str">
        <f t="shared" si="283"/>
        <v/>
      </c>
      <c r="R814" s="191" t="str">
        <f t="shared" si="270"/>
        <v/>
      </c>
      <c r="S814" s="193" t="str">
        <f t="shared" si="284"/>
        <v/>
      </c>
      <c r="T814" s="194" t="str">
        <f t="shared" si="271"/>
        <v/>
      </c>
      <c r="U814" s="192" t="str">
        <f t="shared" si="285"/>
        <v/>
      </c>
      <c r="V814" s="195" t="str">
        <f t="shared" si="272"/>
        <v/>
      </c>
      <c r="W814" s="195" t="str">
        <f t="shared" si="273"/>
        <v/>
      </c>
      <c r="X814" s="196" t="str">
        <f t="shared" si="286"/>
        <v/>
      </c>
      <c r="Y814" s="191" t="str">
        <f t="shared" si="288"/>
        <v/>
      </c>
      <c r="Z814" s="197" t="str">
        <f t="shared" si="274"/>
        <v/>
      </c>
      <c r="AA814" s="197" t="str">
        <f t="shared" si="275"/>
        <v/>
      </c>
      <c r="AB814" s="213"/>
      <c r="AC814" s="204"/>
    </row>
    <row r="815" spans="1:29" ht="11.4">
      <c r="A815" s="211" t="str">
        <f t="shared" si="287"/>
        <v/>
      </c>
      <c r="B815" s="211"/>
      <c r="C815" s="185"/>
      <c r="D815" s="186" t="str">
        <f t="shared" si="276"/>
        <v/>
      </c>
      <c r="E815" s="186" t="str">
        <f>IF(OR(C815="",C815=Data!$B$3),"",IF(C815=Data!$B$4,"L","S"))</f>
        <v/>
      </c>
      <c r="F815" s="186" t="str">
        <f t="shared" si="277"/>
        <v/>
      </c>
      <c r="G815" s="187" t="str">
        <f t="shared" si="268"/>
        <v/>
      </c>
      <c r="H815" s="188"/>
      <c r="I815" s="189" t="str">
        <f t="shared" si="278"/>
        <v/>
      </c>
      <c r="J815" s="189" t="str">
        <f t="shared" si="279"/>
        <v/>
      </c>
      <c r="K815" s="190" t="str">
        <f t="shared" si="280"/>
        <v/>
      </c>
      <c r="L815" s="190" t="str">
        <f t="shared" si="281"/>
        <v/>
      </c>
      <c r="M815" s="214"/>
      <c r="N815" s="214"/>
      <c r="O815" s="189" t="str">
        <f t="shared" si="282"/>
        <v/>
      </c>
      <c r="P815" s="191" t="str">
        <f t="shared" si="269"/>
        <v/>
      </c>
      <c r="Q815" s="192" t="str">
        <f t="shared" si="283"/>
        <v/>
      </c>
      <c r="R815" s="191" t="str">
        <f t="shared" si="270"/>
        <v/>
      </c>
      <c r="S815" s="193" t="str">
        <f t="shared" si="284"/>
        <v/>
      </c>
      <c r="T815" s="194" t="str">
        <f t="shared" si="271"/>
        <v/>
      </c>
      <c r="U815" s="192" t="str">
        <f t="shared" si="285"/>
        <v/>
      </c>
      <c r="V815" s="195" t="str">
        <f t="shared" si="272"/>
        <v/>
      </c>
      <c r="W815" s="195" t="str">
        <f t="shared" si="273"/>
        <v/>
      </c>
      <c r="X815" s="196" t="str">
        <f t="shared" si="286"/>
        <v/>
      </c>
      <c r="Y815" s="191" t="str">
        <f t="shared" si="288"/>
        <v/>
      </c>
      <c r="Z815" s="197" t="str">
        <f t="shared" si="274"/>
        <v/>
      </c>
      <c r="AA815" s="197" t="str">
        <f t="shared" si="275"/>
        <v/>
      </c>
      <c r="AB815" s="213"/>
      <c r="AC815" s="204"/>
    </row>
    <row r="816" spans="1:29" ht="11.4">
      <c r="A816" s="211" t="str">
        <f t="shared" si="287"/>
        <v/>
      </c>
      <c r="B816" s="211"/>
      <c r="C816" s="185"/>
      <c r="D816" s="186" t="str">
        <f t="shared" si="276"/>
        <v/>
      </c>
      <c r="E816" s="186" t="str">
        <f>IF(OR(C816="",C816=Data!$B$3),"",IF(C816=Data!$B$4,"L","S"))</f>
        <v/>
      </c>
      <c r="F816" s="186" t="str">
        <f t="shared" si="277"/>
        <v/>
      </c>
      <c r="G816" s="187" t="str">
        <f t="shared" si="268"/>
        <v/>
      </c>
      <c r="H816" s="188"/>
      <c r="I816" s="189" t="str">
        <f t="shared" si="278"/>
        <v/>
      </c>
      <c r="J816" s="189" t="str">
        <f t="shared" si="279"/>
        <v/>
      </c>
      <c r="K816" s="190" t="str">
        <f t="shared" si="280"/>
        <v/>
      </c>
      <c r="L816" s="190" t="str">
        <f t="shared" si="281"/>
        <v/>
      </c>
      <c r="M816" s="214"/>
      <c r="N816" s="214"/>
      <c r="O816" s="189" t="str">
        <f t="shared" si="282"/>
        <v/>
      </c>
      <c r="P816" s="191" t="str">
        <f t="shared" si="269"/>
        <v/>
      </c>
      <c r="Q816" s="192" t="str">
        <f t="shared" si="283"/>
        <v/>
      </c>
      <c r="R816" s="191" t="str">
        <f t="shared" si="270"/>
        <v/>
      </c>
      <c r="S816" s="193" t="str">
        <f t="shared" si="284"/>
        <v/>
      </c>
      <c r="T816" s="194" t="str">
        <f t="shared" si="271"/>
        <v/>
      </c>
      <c r="U816" s="192" t="str">
        <f t="shared" si="285"/>
        <v/>
      </c>
      <c r="V816" s="195" t="str">
        <f t="shared" si="272"/>
        <v/>
      </c>
      <c r="W816" s="195" t="str">
        <f t="shared" si="273"/>
        <v/>
      </c>
      <c r="X816" s="196" t="str">
        <f t="shared" si="286"/>
        <v/>
      </c>
      <c r="Y816" s="191" t="str">
        <f t="shared" si="288"/>
        <v/>
      </c>
      <c r="Z816" s="197" t="str">
        <f t="shared" si="274"/>
        <v/>
      </c>
      <c r="AA816" s="197" t="str">
        <f t="shared" si="275"/>
        <v/>
      </c>
      <c r="AB816" s="213"/>
      <c r="AC816" s="204"/>
    </row>
    <row r="817" spans="1:29" ht="11.4">
      <c r="A817" s="211" t="str">
        <f t="shared" si="287"/>
        <v/>
      </c>
      <c r="B817" s="211"/>
      <c r="C817" s="185"/>
      <c r="D817" s="186" t="str">
        <f t="shared" si="276"/>
        <v/>
      </c>
      <c r="E817" s="186" t="str">
        <f>IF(OR(C817="",C817=Data!$B$3),"",IF(C817=Data!$B$4,"L","S"))</f>
        <v/>
      </c>
      <c r="F817" s="186" t="str">
        <f t="shared" si="277"/>
        <v/>
      </c>
      <c r="G817" s="187" t="str">
        <f t="shared" si="268"/>
        <v/>
      </c>
      <c r="H817" s="188"/>
      <c r="I817" s="189" t="str">
        <f t="shared" si="278"/>
        <v/>
      </c>
      <c r="J817" s="189" t="str">
        <f t="shared" si="279"/>
        <v/>
      </c>
      <c r="K817" s="190" t="str">
        <f t="shared" si="280"/>
        <v/>
      </c>
      <c r="L817" s="190" t="str">
        <f t="shared" si="281"/>
        <v/>
      </c>
      <c r="M817" s="214"/>
      <c r="N817" s="214"/>
      <c r="O817" s="189" t="str">
        <f t="shared" si="282"/>
        <v/>
      </c>
      <c r="P817" s="191" t="str">
        <f t="shared" si="269"/>
        <v/>
      </c>
      <c r="Q817" s="192" t="str">
        <f t="shared" si="283"/>
        <v/>
      </c>
      <c r="R817" s="191" t="str">
        <f t="shared" si="270"/>
        <v/>
      </c>
      <c r="S817" s="193" t="str">
        <f t="shared" si="284"/>
        <v/>
      </c>
      <c r="T817" s="194" t="str">
        <f t="shared" si="271"/>
        <v/>
      </c>
      <c r="U817" s="192" t="str">
        <f t="shared" si="285"/>
        <v/>
      </c>
      <c r="V817" s="195" t="str">
        <f t="shared" si="272"/>
        <v/>
      </c>
      <c r="W817" s="195" t="str">
        <f t="shared" si="273"/>
        <v/>
      </c>
      <c r="X817" s="196" t="str">
        <f t="shared" si="286"/>
        <v/>
      </c>
      <c r="Y817" s="191" t="str">
        <f t="shared" si="288"/>
        <v/>
      </c>
      <c r="Z817" s="197" t="str">
        <f t="shared" si="274"/>
        <v/>
      </c>
      <c r="AA817" s="197" t="str">
        <f t="shared" si="275"/>
        <v/>
      </c>
      <c r="AB817" s="213"/>
      <c r="AC817" s="204"/>
    </row>
    <row r="818" spans="1:29" ht="11.4">
      <c r="A818" s="211" t="str">
        <f t="shared" si="287"/>
        <v/>
      </c>
      <c r="B818" s="211"/>
      <c r="C818" s="185"/>
      <c r="D818" s="186" t="str">
        <f t="shared" si="276"/>
        <v/>
      </c>
      <c r="E818" s="186" t="str">
        <f>IF(OR(C818="",C818=Data!$B$3),"",IF(C818=Data!$B$4,"L","S"))</f>
        <v/>
      </c>
      <c r="F818" s="186" t="str">
        <f t="shared" si="277"/>
        <v/>
      </c>
      <c r="G818" s="187" t="str">
        <f t="shared" si="268"/>
        <v/>
      </c>
      <c r="H818" s="188"/>
      <c r="I818" s="189" t="str">
        <f t="shared" si="278"/>
        <v/>
      </c>
      <c r="J818" s="189" t="str">
        <f t="shared" si="279"/>
        <v/>
      </c>
      <c r="K818" s="190" t="str">
        <f t="shared" si="280"/>
        <v/>
      </c>
      <c r="L818" s="190" t="str">
        <f t="shared" si="281"/>
        <v/>
      </c>
      <c r="M818" s="214"/>
      <c r="N818" s="214"/>
      <c r="O818" s="189" t="str">
        <f t="shared" si="282"/>
        <v/>
      </c>
      <c r="P818" s="191" t="str">
        <f t="shared" si="269"/>
        <v/>
      </c>
      <c r="Q818" s="192" t="str">
        <f t="shared" si="283"/>
        <v/>
      </c>
      <c r="R818" s="191" t="str">
        <f t="shared" si="270"/>
        <v/>
      </c>
      <c r="S818" s="193" t="str">
        <f t="shared" si="284"/>
        <v/>
      </c>
      <c r="T818" s="194" t="str">
        <f t="shared" si="271"/>
        <v/>
      </c>
      <c r="U818" s="192" t="str">
        <f t="shared" si="285"/>
        <v/>
      </c>
      <c r="V818" s="195" t="str">
        <f t="shared" si="272"/>
        <v/>
      </c>
      <c r="W818" s="195" t="str">
        <f t="shared" si="273"/>
        <v/>
      </c>
      <c r="X818" s="196" t="str">
        <f t="shared" si="286"/>
        <v/>
      </c>
      <c r="Y818" s="191" t="str">
        <f t="shared" si="288"/>
        <v/>
      </c>
      <c r="Z818" s="197" t="str">
        <f t="shared" si="274"/>
        <v/>
      </c>
      <c r="AA818" s="197" t="str">
        <f t="shared" si="275"/>
        <v/>
      </c>
      <c r="AB818" s="213"/>
      <c r="AC818" s="204"/>
    </row>
    <row r="819" spans="1:29" ht="11.4">
      <c r="A819" s="211" t="str">
        <f t="shared" si="287"/>
        <v/>
      </c>
      <c r="B819" s="211"/>
      <c r="C819" s="185"/>
      <c r="D819" s="186" t="str">
        <f t="shared" si="276"/>
        <v/>
      </c>
      <c r="E819" s="186" t="str">
        <f>IF(OR(C819="",C819=Data!$B$3),"",IF(C819=Data!$B$4,"L","S"))</f>
        <v/>
      </c>
      <c r="F819" s="186" t="str">
        <f t="shared" si="277"/>
        <v/>
      </c>
      <c r="G819" s="187" t="str">
        <f t="shared" si="268"/>
        <v/>
      </c>
      <c r="H819" s="188"/>
      <c r="I819" s="189" t="str">
        <f t="shared" si="278"/>
        <v/>
      </c>
      <c r="J819" s="189" t="str">
        <f t="shared" si="279"/>
        <v/>
      </c>
      <c r="K819" s="190" t="str">
        <f t="shared" si="280"/>
        <v/>
      </c>
      <c r="L819" s="190" t="str">
        <f t="shared" si="281"/>
        <v/>
      </c>
      <c r="M819" s="214"/>
      <c r="N819" s="214"/>
      <c r="O819" s="189" t="str">
        <f t="shared" si="282"/>
        <v/>
      </c>
      <c r="P819" s="191" t="str">
        <f t="shared" si="269"/>
        <v/>
      </c>
      <c r="Q819" s="192" t="str">
        <f t="shared" si="283"/>
        <v/>
      </c>
      <c r="R819" s="191" t="str">
        <f t="shared" si="270"/>
        <v/>
      </c>
      <c r="S819" s="193" t="str">
        <f t="shared" si="284"/>
        <v/>
      </c>
      <c r="T819" s="194" t="str">
        <f t="shared" si="271"/>
        <v/>
      </c>
      <c r="U819" s="192" t="str">
        <f t="shared" si="285"/>
        <v/>
      </c>
      <c r="V819" s="195" t="str">
        <f t="shared" si="272"/>
        <v/>
      </c>
      <c r="W819" s="195" t="str">
        <f t="shared" si="273"/>
        <v/>
      </c>
      <c r="X819" s="196" t="str">
        <f t="shared" si="286"/>
        <v/>
      </c>
      <c r="Y819" s="191" t="str">
        <f t="shared" si="288"/>
        <v/>
      </c>
      <c r="Z819" s="197" t="str">
        <f t="shared" si="274"/>
        <v/>
      </c>
      <c r="AA819" s="197" t="str">
        <f t="shared" si="275"/>
        <v/>
      </c>
      <c r="AB819" s="213"/>
      <c r="AC819" s="204"/>
    </row>
    <row r="820" spans="1:29" ht="11.4">
      <c r="A820" s="211" t="str">
        <f t="shared" si="287"/>
        <v/>
      </c>
      <c r="B820" s="211"/>
      <c r="C820" s="185"/>
      <c r="D820" s="186" t="str">
        <f t="shared" si="276"/>
        <v/>
      </c>
      <c r="E820" s="186" t="str">
        <f>IF(OR(C820="",C820=Data!$B$3),"",IF(C820=Data!$B$4,"L","S"))</f>
        <v/>
      </c>
      <c r="F820" s="186" t="str">
        <f t="shared" si="277"/>
        <v/>
      </c>
      <c r="G820" s="187" t="str">
        <f t="shared" si="268"/>
        <v/>
      </c>
      <c r="H820" s="188"/>
      <c r="I820" s="189" t="str">
        <f t="shared" si="278"/>
        <v/>
      </c>
      <c r="J820" s="189" t="str">
        <f t="shared" si="279"/>
        <v/>
      </c>
      <c r="K820" s="190" t="str">
        <f t="shared" si="280"/>
        <v/>
      </c>
      <c r="L820" s="190" t="str">
        <f t="shared" si="281"/>
        <v/>
      </c>
      <c r="M820" s="214"/>
      <c r="N820" s="214"/>
      <c r="O820" s="189" t="str">
        <f t="shared" si="282"/>
        <v/>
      </c>
      <c r="P820" s="191" t="str">
        <f t="shared" si="269"/>
        <v/>
      </c>
      <c r="Q820" s="192" t="str">
        <f t="shared" si="283"/>
        <v/>
      </c>
      <c r="R820" s="191" t="str">
        <f t="shared" si="270"/>
        <v/>
      </c>
      <c r="S820" s="193" t="str">
        <f t="shared" si="284"/>
        <v/>
      </c>
      <c r="T820" s="194" t="str">
        <f t="shared" si="271"/>
        <v/>
      </c>
      <c r="U820" s="192" t="str">
        <f t="shared" si="285"/>
        <v/>
      </c>
      <c r="V820" s="195" t="str">
        <f t="shared" si="272"/>
        <v/>
      </c>
      <c r="W820" s="195" t="str">
        <f t="shared" si="273"/>
        <v/>
      </c>
      <c r="X820" s="196" t="str">
        <f t="shared" si="286"/>
        <v/>
      </c>
      <c r="Y820" s="191" t="str">
        <f t="shared" si="288"/>
        <v/>
      </c>
      <c r="Z820" s="197" t="str">
        <f t="shared" si="274"/>
        <v/>
      </c>
      <c r="AA820" s="197" t="str">
        <f t="shared" si="275"/>
        <v/>
      </c>
      <c r="AB820" s="213"/>
      <c r="AC820" s="204"/>
    </row>
    <row r="821" spans="1:29" ht="11.4">
      <c r="A821" s="211" t="str">
        <f t="shared" si="287"/>
        <v/>
      </c>
      <c r="B821" s="211"/>
      <c r="C821" s="185"/>
      <c r="D821" s="186" t="str">
        <f t="shared" si="276"/>
        <v/>
      </c>
      <c r="E821" s="186" t="str">
        <f>IF(OR(C821="",C821=Data!$B$3),"",IF(C821=Data!$B$4,"L","S"))</f>
        <v/>
      </c>
      <c r="F821" s="186" t="str">
        <f t="shared" si="277"/>
        <v/>
      </c>
      <c r="G821" s="187" t="str">
        <f t="shared" si="268"/>
        <v/>
      </c>
      <c r="H821" s="188"/>
      <c r="I821" s="189" t="str">
        <f t="shared" si="278"/>
        <v/>
      </c>
      <c r="J821" s="189" t="str">
        <f t="shared" si="279"/>
        <v/>
      </c>
      <c r="K821" s="190" t="str">
        <f t="shared" si="280"/>
        <v/>
      </c>
      <c r="L821" s="190" t="str">
        <f t="shared" si="281"/>
        <v/>
      </c>
      <c r="M821" s="214"/>
      <c r="N821" s="214"/>
      <c r="O821" s="189" t="str">
        <f t="shared" si="282"/>
        <v/>
      </c>
      <c r="P821" s="191" t="str">
        <f t="shared" si="269"/>
        <v/>
      </c>
      <c r="Q821" s="192" t="str">
        <f t="shared" si="283"/>
        <v/>
      </c>
      <c r="R821" s="191" t="str">
        <f t="shared" si="270"/>
        <v/>
      </c>
      <c r="S821" s="193" t="str">
        <f t="shared" si="284"/>
        <v/>
      </c>
      <c r="T821" s="194" t="str">
        <f t="shared" si="271"/>
        <v/>
      </c>
      <c r="U821" s="192" t="str">
        <f t="shared" si="285"/>
        <v/>
      </c>
      <c r="V821" s="195" t="str">
        <f t="shared" si="272"/>
        <v/>
      </c>
      <c r="W821" s="195" t="str">
        <f t="shared" si="273"/>
        <v/>
      </c>
      <c r="X821" s="196" t="str">
        <f t="shared" si="286"/>
        <v/>
      </c>
      <c r="Y821" s="191" t="str">
        <f t="shared" si="288"/>
        <v/>
      </c>
      <c r="Z821" s="197" t="str">
        <f t="shared" si="274"/>
        <v/>
      </c>
      <c r="AA821" s="197" t="str">
        <f t="shared" si="275"/>
        <v/>
      </c>
      <c r="AB821" s="213"/>
      <c r="AC821" s="204"/>
    </row>
    <row r="822" spans="1:29" ht="11.4">
      <c r="A822" s="211" t="str">
        <f t="shared" si="287"/>
        <v/>
      </c>
      <c r="B822" s="211"/>
      <c r="C822" s="185"/>
      <c r="D822" s="186" t="str">
        <f t="shared" si="276"/>
        <v/>
      </c>
      <c r="E822" s="186" t="str">
        <f>IF(OR(C822="",C822=Data!$B$3),"",IF(C822=Data!$B$4,"L","S"))</f>
        <v/>
      </c>
      <c r="F822" s="186" t="str">
        <f t="shared" si="277"/>
        <v/>
      </c>
      <c r="G822" s="187" t="str">
        <f t="shared" si="268"/>
        <v/>
      </c>
      <c r="H822" s="188"/>
      <c r="I822" s="189" t="str">
        <f t="shared" si="278"/>
        <v/>
      </c>
      <c r="J822" s="189" t="str">
        <f t="shared" si="279"/>
        <v/>
      </c>
      <c r="K822" s="190" t="str">
        <f t="shared" si="280"/>
        <v/>
      </c>
      <c r="L822" s="190" t="str">
        <f t="shared" si="281"/>
        <v/>
      </c>
      <c r="M822" s="214"/>
      <c r="N822" s="214"/>
      <c r="O822" s="189" t="str">
        <f t="shared" si="282"/>
        <v/>
      </c>
      <c r="P822" s="191" t="str">
        <f t="shared" si="269"/>
        <v/>
      </c>
      <c r="Q822" s="192" t="str">
        <f t="shared" si="283"/>
        <v/>
      </c>
      <c r="R822" s="191" t="str">
        <f t="shared" si="270"/>
        <v/>
      </c>
      <c r="S822" s="193" t="str">
        <f t="shared" si="284"/>
        <v/>
      </c>
      <c r="T822" s="194" t="str">
        <f t="shared" si="271"/>
        <v/>
      </c>
      <c r="U822" s="192" t="str">
        <f t="shared" si="285"/>
        <v/>
      </c>
      <c r="V822" s="195" t="str">
        <f t="shared" si="272"/>
        <v/>
      </c>
      <c r="W822" s="195" t="str">
        <f t="shared" si="273"/>
        <v/>
      </c>
      <c r="X822" s="196" t="str">
        <f t="shared" si="286"/>
        <v/>
      </c>
      <c r="Y822" s="191" t="str">
        <f t="shared" si="288"/>
        <v/>
      </c>
      <c r="Z822" s="197" t="str">
        <f t="shared" si="274"/>
        <v/>
      </c>
      <c r="AA822" s="197" t="str">
        <f t="shared" si="275"/>
        <v/>
      </c>
      <c r="AB822" s="213"/>
      <c r="AC822" s="204"/>
    </row>
    <row r="823" spans="1:29" ht="11.4">
      <c r="A823" s="211" t="str">
        <f t="shared" si="287"/>
        <v/>
      </c>
      <c r="B823" s="211"/>
      <c r="C823" s="185"/>
      <c r="D823" s="186" t="str">
        <f t="shared" si="276"/>
        <v/>
      </c>
      <c r="E823" s="186" t="str">
        <f>IF(OR(C823="",C823=Data!$B$3),"",IF(C823=Data!$B$4,"L","S"))</f>
        <v/>
      </c>
      <c r="F823" s="186" t="str">
        <f t="shared" si="277"/>
        <v/>
      </c>
      <c r="G823" s="187" t="str">
        <f t="shared" si="268"/>
        <v/>
      </c>
      <c r="H823" s="188"/>
      <c r="I823" s="189" t="str">
        <f t="shared" si="278"/>
        <v/>
      </c>
      <c r="J823" s="189" t="str">
        <f t="shared" si="279"/>
        <v/>
      </c>
      <c r="K823" s="190" t="str">
        <f t="shared" si="280"/>
        <v/>
      </c>
      <c r="L823" s="190" t="str">
        <f t="shared" si="281"/>
        <v/>
      </c>
      <c r="M823" s="214"/>
      <c r="N823" s="214"/>
      <c r="O823" s="189" t="str">
        <f t="shared" si="282"/>
        <v/>
      </c>
      <c r="P823" s="191" t="str">
        <f t="shared" si="269"/>
        <v/>
      </c>
      <c r="Q823" s="192" t="str">
        <f t="shared" si="283"/>
        <v/>
      </c>
      <c r="R823" s="191" t="str">
        <f t="shared" si="270"/>
        <v/>
      </c>
      <c r="S823" s="193" t="str">
        <f t="shared" si="284"/>
        <v/>
      </c>
      <c r="T823" s="194" t="str">
        <f t="shared" si="271"/>
        <v/>
      </c>
      <c r="U823" s="192" t="str">
        <f t="shared" si="285"/>
        <v/>
      </c>
      <c r="V823" s="195" t="str">
        <f t="shared" si="272"/>
        <v/>
      </c>
      <c r="W823" s="195" t="str">
        <f t="shared" si="273"/>
        <v/>
      </c>
      <c r="X823" s="196" t="str">
        <f t="shared" si="286"/>
        <v/>
      </c>
      <c r="Y823" s="191" t="str">
        <f t="shared" si="288"/>
        <v/>
      </c>
      <c r="Z823" s="197" t="str">
        <f t="shared" si="274"/>
        <v/>
      </c>
      <c r="AA823" s="197" t="str">
        <f t="shared" si="275"/>
        <v/>
      </c>
      <c r="AB823" s="213"/>
      <c r="AC823" s="204"/>
    </row>
    <row r="824" spans="1:29" ht="11.4">
      <c r="A824" s="211" t="str">
        <f t="shared" si="287"/>
        <v/>
      </c>
      <c r="B824" s="211"/>
      <c r="C824" s="185"/>
      <c r="D824" s="186" t="str">
        <f t="shared" si="276"/>
        <v/>
      </c>
      <c r="E824" s="186" t="str">
        <f>IF(OR(C824="",C824=Data!$B$3),"",IF(C824=Data!$B$4,"L","S"))</f>
        <v/>
      </c>
      <c r="F824" s="186" t="str">
        <f t="shared" si="277"/>
        <v/>
      </c>
      <c r="G824" s="187" t="str">
        <f t="shared" si="268"/>
        <v/>
      </c>
      <c r="H824" s="188"/>
      <c r="I824" s="189" t="str">
        <f t="shared" si="278"/>
        <v/>
      </c>
      <c r="J824" s="189" t="str">
        <f t="shared" si="279"/>
        <v/>
      </c>
      <c r="K824" s="190" t="str">
        <f t="shared" si="280"/>
        <v/>
      </c>
      <c r="L824" s="190" t="str">
        <f t="shared" si="281"/>
        <v/>
      </c>
      <c r="M824" s="214"/>
      <c r="N824" s="214"/>
      <c r="O824" s="189" t="str">
        <f t="shared" si="282"/>
        <v/>
      </c>
      <c r="P824" s="191" t="str">
        <f t="shared" si="269"/>
        <v/>
      </c>
      <c r="Q824" s="192" t="str">
        <f t="shared" si="283"/>
        <v/>
      </c>
      <c r="R824" s="191" t="str">
        <f t="shared" si="270"/>
        <v/>
      </c>
      <c r="S824" s="193" t="str">
        <f t="shared" si="284"/>
        <v/>
      </c>
      <c r="T824" s="194" t="str">
        <f t="shared" si="271"/>
        <v/>
      </c>
      <c r="U824" s="192" t="str">
        <f t="shared" si="285"/>
        <v/>
      </c>
      <c r="V824" s="195" t="str">
        <f t="shared" si="272"/>
        <v/>
      </c>
      <c r="W824" s="195" t="str">
        <f t="shared" si="273"/>
        <v/>
      </c>
      <c r="X824" s="196" t="str">
        <f t="shared" si="286"/>
        <v/>
      </c>
      <c r="Y824" s="191" t="str">
        <f t="shared" si="288"/>
        <v/>
      </c>
      <c r="Z824" s="197" t="str">
        <f t="shared" si="274"/>
        <v/>
      </c>
      <c r="AA824" s="197" t="str">
        <f t="shared" si="275"/>
        <v/>
      </c>
      <c r="AB824" s="213"/>
      <c r="AC824" s="204"/>
    </row>
    <row r="825" spans="1:29" ht="11.4">
      <c r="A825" s="211" t="str">
        <f t="shared" si="287"/>
        <v/>
      </c>
      <c r="B825" s="211"/>
      <c r="C825" s="185"/>
      <c r="D825" s="186" t="str">
        <f t="shared" si="276"/>
        <v/>
      </c>
      <c r="E825" s="186" t="str">
        <f>IF(OR(C825="",C825=Data!$B$3),"",IF(C825=Data!$B$4,"L","S"))</f>
        <v/>
      </c>
      <c r="F825" s="186" t="str">
        <f t="shared" si="277"/>
        <v/>
      </c>
      <c r="G825" s="187" t="str">
        <f t="shared" si="268"/>
        <v/>
      </c>
      <c r="H825" s="188"/>
      <c r="I825" s="189" t="str">
        <f t="shared" si="278"/>
        <v/>
      </c>
      <c r="J825" s="189" t="str">
        <f t="shared" si="279"/>
        <v/>
      </c>
      <c r="K825" s="190" t="str">
        <f t="shared" si="280"/>
        <v/>
      </c>
      <c r="L825" s="190" t="str">
        <f t="shared" si="281"/>
        <v/>
      </c>
      <c r="M825" s="214"/>
      <c r="N825" s="214"/>
      <c r="O825" s="189" t="str">
        <f t="shared" si="282"/>
        <v/>
      </c>
      <c r="P825" s="191" t="str">
        <f t="shared" si="269"/>
        <v/>
      </c>
      <c r="Q825" s="192" t="str">
        <f t="shared" si="283"/>
        <v/>
      </c>
      <c r="R825" s="191" t="str">
        <f t="shared" si="270"/>
        <v/>
      </c>
      <c r="S825" s="193" t="str">
        <f t="shared" si="284"/>
        <v/>
      </c>
      <c r="T825" s="194" t="str">
        <f t="shared" si="271"/>
        <v/>
      </c>
      <c r="U825" s="192" t="str">
        <f t="shared" si="285"/>
        <v/>
      </c>
      <c r="V825" s="195" t="str">
        <f t="shared" si="272"/>
        <v/>
      </c>
      <c r="W825" s="195" t="str">
        <f t="shared" si="273"/>
        <v/>
      </c>
      <c r="X825" s="196" t="str">
        <f t="shared" si="286"/>
        <v/>
      </c>
      <c r="Y825" s="191" t="str">
        <f t="shared" si="288"/>
        <v/>
      </c>
      <c r="Z825" s="197" t="str">
        <f t="shared" si="274"/>
        <v/>
      </c>
      <c r="AA825" s="197" t="str">
        <f t="shared" si="275"/>
        <v/>
      </c>
      <c r="AB825" s="213"/>
      <c r="AC825" s="204"/>
    </row>
    <row r="826" spans="1:29" ht="11.4">
      <c r="A826" s="211" t="str">
        <f t="shared" si="287"/>
        <v/>
      </c>
      <c r="B826" s="211"/>
      <c r="C826" s="185"/>
      <c r="D826" s="186" t="str">
        <f t="shared" si="276"/>
        <v/>
      </c>
      <c r="E826" s="186" t="str">
        <f>IF(OR(C826="",C826=Data!$B$3),"",IF(C826=Data!$B$4,"L","S"))</f>
        <v/>
      </c>
      <c r="F826" s="186" t="str">
        <f t="shared" si="277"/>
        <v/>
      </c>
      <c r="G826" s="187" t="str">
        <f t="shared" si="268"/>
        <v/>
      </c>
      <c r="H826" s="188"/>
      <c r="I826" s="189" t="str">
        <f t="shared" si="278"/>
        <v/>
      </c>
      <c r="J826" s="189" t="str">
        <f t="shared" si="279"/>
        <v/>
      </c>
      <c r="K826" s="190" t="str">
        <f t="shared" si="280"/>
        <v/>
      </c>
      <c r="L826" s="190" t="str">
        <f t="shared" si="281"/>
        <v/>
      </c>
      <c r="M826" s="214"/>
      <c r="N826" s="214"/>
      <c r="O826" s="189" t="str">
        <f t="shared" si="282"/>
        <v/>
      </c>
      <c r="P826" s="191" t="str">
        <f t="shared" si="269"/>
        <v/>
      </c>
      <c r="Q826" s="192" t="str">
        <f t="shared" si="283"/>
        <v/>
      </c>
      <c r="R826" s="191" t="str">
        <f t="shared" si="270"/>
        <v/>
      </c>
      <c r="S826" s="193" t="str">
        <f t="shared" si="284"/>
        <v/>
      </c>
      <c r="T826" s="194" t="str">
        <f t="shared" si="271"/>
        <v/>
      </c>
      <c r="U826" s="192" t="str">
        <f t="shared" si="285"/>
        <v/>
      </c>
      <c r="V826" s="195" t="str">
        <f t="shared" si="272"/>
        <v/>
      </c>
      <c r="W826" s="195" t="str">
        <f t="shared" si="273"/>
        <v/>
      </c>
      <c r="X826" s="196" t="str">
        <f t="shared" si="286"/>
        <v/>
      </c>
      <c r="Y826" s="191" t="str">
        <f t="shared" si="288"/>
        <v/>
      </c>
      <c r="Z826" s="197" t="str">
        <f t="shared" si="274"/>
        <v/>
      </c>
      <c r="AA826" s="197" t="str">
        <f t="shared" si="275"/>
        <v/>
      </c>
      <c r="AB826" s="213"/>
      <c r="AC826" s="204"/>
    </row>
    <row r="827" spans="1:29" ht="11.4">
      <c r="A827" s="211" t="str">
        <f t="shared" si="287"/>
        <v/>
      </c>
      <c r="B827" s="211"/>
      <c r="C827" s="185"/>
      <c r="D827" s="186" t="str">
        <f t="shared" si="276"/>
        <v/>
      </c>
      <c r="E827" s="186" t="str">
        <f>IF(OR(C827="",C827=Data!$B$3),"",IF(C827=Data!$B$4,"L","S"))</f>
        <v/>
      </c>
      <c r="F827" s="186" t="str">
        <f t="shared" si="277"/>
        <v/>
      </c>
      <c r="G827" s="187" t="str">
        <f t="shared" si="268"/>
        <v/>
      </c>
      <c r="H827" s="188"/>
      <c r="I827" s="189" t="str">
        <f t="shared" si="278"/>
        <v/>
      </c>
      <c r="J827" s="189" t="str">
        <f t="shared" si="279"/>
        <v/>
      </c>
      <c r="K827" s="190" t="str">
        <f t="shared" si="280"/>
        <v/>
      </c>
      <c r="L827" s="190" t="str">
        <f t="shared" si="281"/>
        <v/>
      </c>
      <c r="M827" s="214"/>
      <c r="N827" s="214"/>
      <c r="O827" s="189" t="str">
        <f t="shared" si="282"/>
        <v/>
      </c>
      <c r="P827" s="191" t="str">
        <f t="shared" si="269"/>
        <v/>
      </c>
      <c r="Q827" s="192" t="str">
        <f t="shared" si="283"/>
        <v/>
      </c>
      <c r="R827" s="191" t="str">
        <f t="shared" si="270"/>
        <v/>
      </c>
      <c r="S827" s="193" t="str">
        <f t="shared" si="284"/>
        <v/>
      </c>
      <c r="T827" s="194" t="str">
        <f t="shared" si="271"/>
        <v/>
      </c>
      <c r="U827" s="192" t="str">
        <f t="shared" si="285"/>
        <v/>
      </c>
      <c r="V827" s="195" t="str">
        <f t="shared" si="272"/>
        <v/>
      </c>
      <c r="W827" s="195" t="str">
        <f t="shared" si="273"/>
        <v/>
      </c>
      <c r="X827" s="196" t="str">
        <f t="shared" si="286"/>
        <v/>
      </c>
      <c r="Y827" s="191" t="str">
        <f t="shared" si="288"/>
        <v/>
      </c>
      <c r="Z827" s="197" t="str">
        <f t="shared" si="274"/>
        <v/>
      </c>
      <c r="AA827" s="197" t="str">
        <f t="shared" si="275"/>
        <v/>
      </c>
      <c r="AB827" s="213"/>
      <c r="AC827" s="204"/>
    </row>
    <row r="828" spans="1:29" ht="11.4">
      <c r="A828" s="211" t="str">
        <f t="shared" si="287"/>
        <v/>
      </c>
      <c r="B828" s="211"/>
      <c r="C828" s="185"/>
      <c r="D828" s="186" t="str">
        <f t="shared" si="276"/>
        <v/>
      </c>
      <c r="E828" s="186" t="str">
        <f>IF(OR(C828="",C828=Data!$B$3),"",IF(C828=Data!$B$4,"L","S"))</f>
        <v/>
      </c>
      <c r="F828" s="186" t="str">
        <f t="shared" si="277"/>
        <v/>
      </c>
      <c r="G828" s="187" t="str">
        <f t="shared" si="268"/>
        <v/>
      </c>
      <c r="H828" s="188"/>
      <c r="I828" s="189" t="str">
        <f t="shared" si="278"/>
        <v/>
      </c>
      <c r="J828" s="189" t="str">
        <f t="shared" si="279"/>
        <v/>
      </c>
      <c r="K828" s="190" t="str">
        <f t="shared" si="280"/>
        <v/>
      </c>
      <c r="L828" s="190" t="str">
        <f t="shared" si="281"/>
        <v/>
      </c>
      <c r="M828" s="214"/>
      <c r="N828" s="214"/>
      <c r="O828" s="189" t="str">
        <f t="shared" si="282"/>
        <v/>
      </c>
      <c r="P828" s="191" t="str">
        <f t="shared" si="269"/>
        <v/>
      </c>
      <c r="Q828" s="192" t="str">
        <f t="shared" si="283"/>
        <v/>
      </c>
      <c r="R828" s="191" t="str">
        <f t="shared" si="270"/>
        <v/>
      </c>
      <c r="S828" s="193" t="str">
        <f t="shared" si="284"/>
        <v/>
      </c>
      <c r="T828" s="194" t="str">
        <f t="shared" si="271"/>
        <v/>
      </c>
      <c r="U828" s="192" t="str">
        <f t="shared" si="285"/>
        <v/>
      </c>
      <c r="V828" s="195" t="str">
        <f t="shared" si="272"/>
        <v/>
      </c>
      <c r="W828" s="195" t="str">
        <f t="shared" si="273"/>
        <v/>
      </c>
      <c r="X828" s="196" t="str">
        <f t="shared" si="286"/>
        <v/>
      </c>
      <c r="Y828" s="191" t="str">
        <f t="shared" si="288"/>
        <v/>
      </c>
      <c r="Z828" s="197" t="str">
        <f t="shared" si="274"/>
        <v/>
      </c>
      <c r="AA828" s="197" t="str">
        <f t="shared" si="275"/>
        <v/>
      </c>
      <c r="AB828" s="213"/>
      <c r="AC828" s="204"/>
    </row>
    <row r="829" spans="1:29" ht="11.4">
      <c r="A829" s="211" t="str">
        <f t="shared" si="287"/>
        <v/>
      </c>
      <c r="B829" s="211"/>
      <c r="C829" s="185"/>
      <c r="D829" s="186" t="str">
        <f t="shared" si="276"/>
        <v/>
      </c>
      <c r="E829" s="186" t="str">
        <f>IF(OR(C829="",C829=Data!$B$3),"",IF(C829=Data!$B$4,"L","S"))</f>
        <v/>
      </c>
      <c r="F829" s="186" t="str">
        <f t="shared" si="277"/>
        <v/>
      </c>
      <c r="G829" s="187" t="str">
        <f t="shared" si="268"/>
        <v/>
      </c>
      <c r="H829" s="188"/>
      <c r="I829" s="189" t="str">
        <f t="shared" si="278"/>
        <v/>
      </c>
      <c r="J829" s="189" t="str">
        <f t="shared" si="279"/>
        <v/>
      </c>
      <c r="K829" s="190" t="str">
        <f t="shared" si="280"/>
        <v/>
      </c>
      <c r="L829" s="190" t="str">
        <f t="shared" si="281"/>
        <v/>
      </c>
      <c r="M829" s="214"/>
      <c r="N829" s="214"/>
      <c r="O829" s="189" t="str">
        <f t="shared" si="282"/>
        <v/>
      </c>
      <c r="P829" s="191" t="str">
        <f t="shared" si="269"/>
        <v/>
      </c>
      <c r="Q829" s="192" t="str">
        <f t="shared" si="283"/>
        <v/>
      </c>
      <c r="R829" s="191" t="str">
        <f t="shared" si="270"/>
        <v/>
      </c>
      <c r="S829" s="193" t="str">
        <f t="shared" si="284"/>
        <v/>
      </c>
      <c r="T829" s="194" t="str">
        <f t="shared" si="271"/>
        <v/>
      </c>
      <c r="U829" s="192" t="str">
        <f t="shared" si="285"/>
        <v/>
      </c>
      <c r="V829" s="195" t="str">
        <f t="shared" si="272"/>
        <v/>
      </c>
      <c r="W829" s="195" t="str">
        <f t="shared" si="273"/>
        <v/>
      </c>
      <c r="X829" s="196" t="str">
        <f t="shared" si="286"/>
        <v/>
      </c>
      <c r="Y829" s="191" t="str">
        <f t="shared" si="288"/>
        <v/>
      </c>
      <c r="Z829" s="197" t="str">
        <f t="shared" si="274"/>
        <v/>
      </c>
      <c r="AA829" s="197" t="str">
        <f t="shared" si="275"/>
        <v/>
      </c>
      <c r="AB829" s="213"/>
      <c r="AC829" s="204"/>
    </row>
    <row r="830" spans="1:29" ht="11.4">
      <c r="A830" s="211" t="str">
        <f t="shared" si="287"/>
        <v/>
      </c>
      <c r="B830" s="211"/>
      <c r="C830" s="185"/>
      <c r="D830" s="186" t="str">
        <f t="shared" si="276"/>
        <v/>
      </c>
      <c r="E830" s="186" t="str">
        <f>IF(OR(C830="",C830=Data!$B$3),"",IF(C830=Data!$B$4,"L","S"))</f>
        <v/>
      </c>
      <c r="F830" s="186" t="str">
        <f t="shared" si="277"/>
        <v/>
      </c>
      <c r="G830" s="187" t="str">
        <f t="shared" si="268"/>
        <v/>
      </c>
      <c r="H830" s="188"/>
      <c r="I830" s="189" t="str">
        <f t="shared" si="278"/>
        <v/>
      </c>
      <c r="J830" s="189" t="str">
        <f t="shared" si="279"/>
        <v/>
      </c>
      <c r="K830" s="190" t="str">
        <f t="shared" si="280"/>
        <v/>
      </c>
      <c r="L830" s="190" t="str">
        <f t="shared" si="281"/>
        <v/>
      </c>
      <c r="M830" s="214"/>
      <c r="N830" s="214"/>
      <c r="O830" s="189" t="str">
        <f t="shared" si="282"/>
        <v/>
      </c>
      <c r="P830" s="191" t="str">
        <f t="shared" si="269"/>
        <v/>
      </c>
      <c r="Q830" s="192" t="str">
        <f t="shared" si="283"/>
        <v/>
      </c>
      <c r="R830" s="191" t="str">
        <f t="shared" si="270"/>
        <v/>
      </c>
      <c r="S830" s="193" t="str">
        <f t="shared" si="284"/>
        <v/>
      </c>
      <c r="T830" s="194" t="str">
        <f t="shared" si="271"/>
        <v/>
      </c>
      <c r="U830" s="192" t="str">
        <f t="shared" si="285"/>
        <v/>
      </c>
      <c r="V830" s="195" t="str">
        <f t="shared" si="272"/>
        <v/>
      </c>
      <c r="W830" s="195" t="str">
        <f t="shared" si="273"/>
        <v/>
      </c>
      <c r="X830" s="196" t="str">
        <f t="shared" si="286"/>
        <v/>
      </c>
      <c r="Y830" s="191" t="str">
        <f t="shared" si="288"/>
        <v/>
      </c>
      <c r="Z830" s="197" t="str">
        <f t="shared" si="274"/>
        <v/>
      </c>
      <c r="AA830" s="197" t="str">
        <f t="shared" si="275"/>
        <v/>
      </c>
      <c r="AB830" s="213"/>
      <c r="AC830" s="204"/>
    </row>
    <row r="831" spans="1:29" ht="11.4">
      <c r="A831" s="211" t="str">
        <f t="shared" si="287"/>
        <v/>
      </c>
      <c r="B831" s="211"/>
      <c r="C831" s="185"/>
      <c r="D831" s="186" t="str">
        <f t="shared" si="276"/>
        <v/>
      </c>
      <c r="E831" s="186" t="str">
        <f>IF(OR(C831="",C831=Data!$B$3),"",IF(C831=Data!$B$4,"L","S"))</f>
        <v/>
      </c>
      <c r="F831" s="186" t="str">
        <f t="shared" si="277"/>
        <v/>
      </c>
      <c r="G831" s="187" t="str">
        <f t="shared" si="268"/>
        <v/>
      </c>
      <c r="H831" s="188"/>
      <c r="I831" s="189" t="str">
        <f t="shared" si="278"/>
        <v/>
      </c>
      <c r="J831" s="189" t="str">
        <f t="shared" si="279"/>
        <v/>
      </c>
      <c r="K831" s="190" t="str">
        <f t="shared" si="280"/>
        <v/>
      </c>
      <c r="L831" s="190" t="str">
        <f t="shared" si="281"/>
        <v/>
      </c>
      <c r="M831" s="214"/>
      <c r="N831" s="214"/>
      <c r="O831" s="189" t="str">
        <f t="shared" si="282"/>
        <v/>
      </c>
      <c r="P831" s="191" t="str">
        <f t="shared" si="269"/>
        <v/>
      </c>
      <c r="Q831" s="192" t="str">
        <f t="shared" si="283"/>
        <v/>
      </c>
      <c r="R831" s="191" t="str">
        <f t="shared" si="270"/>
        <v/>
      </c>
      <c r="S831" s="193" t="str">
        <f t="shared" si="284"/>
        <v/>
      </c>
      <c r="T831" s="194" t="str">
        <f t="shared" si="271"/>
        <v/>
      </c>
      <c r="U831" s="192" t="str">
        <f t="shared" si="285"/>
        <v/>
      </c>
      <c r="V831" s="195" t="str">
        <f t="shared" si="272"/>
        <v/>
      </c>
      <c r="W831" s="195" t="str">
        <f t="shared" si="273"/>
        <v/>
      </c>
      <c r="X831" s="196" t="str">
        <f t="shared" si="286"/>
        <v/>
      </c>
      <c r="Y831" s="191" t="str">
        <f t="shared" si="288"/>
        <v/>
      </c>
      <c r="Z831" s="197" t="str">
        <f t="shared" si="274"/>
        <v/>
      </c>
      <c r="AA831" s="197" t="str">
        <f t="shared" si="275"/>
        <v/>
      </c>
      <c r="AB831" s="213"/>
      <c r="AC831" s="204"/>
    </row>
    <row r="832" spans="1:29" ht="11.4">
      <c r="A832" s="211" t="str">
        <f t="shared" si="287"/>
        <v/>
      </c>
      <c r="B832" s="211"/>
      <c r="C832" s="185"/>
      <c r="D832" s="186" t="str">
        <f t="shared" si="276"/>
        <v/>
      </c>
      <c r="E832" s="186" t="str">
        <f>IF(OR(C832="",C832=Data!$B$3),"",IF(C832=Data!$B$4,"L","S"))</f>
        <v/>
      </c>
      <c r="F832" s="186" t="str">
        <f t="shared" si="277"/>
        <v/>
      </c>
      <c r="G832" s="187" t="str">
        <f t="shared" si="268"/>
        <v/>
      </c>
      <c r="H832" s="188"/>
      <c r="I832" s="189" t="str">
        <f t="shared" si="278"/>
        <v/>
      </c>
      <c r="J832" s="189" t="str">
        <f t="shared" si="279"/>
        <v/>
      </c>
      <c r="K832" s="190" t="str">
        <f t="shared" si="280"/>
        <v/>
      </c>
      <c r="L832" s="190" t="str">
        <f t="shared" si="281"/>
        <v/>
      </c>
      <c r="M832" s="214"/>
      <c r="N832" s="214"/>
      <c r="O832" s="189" t="str">
        <f t="shared" si="282"/>
        <v/>
      </c>
      <c r="P832" s="191" t="str">
        <f t="shared" si="269"/>
        <v/>
      </c>
      <c r="Q832" s="192" t="str">
        <f t="shared" si="283"/>
        <v/>
      </c>
      <c r="R832" s="191" t="str">
        <f t="shared" si="270"/>
        <v/>
      </c>
      <c r="S832" s="193" t="str">
        <f t="shared" si="284"/>
        <v/>
      </c>
      <c r="T832" s="194" t="str">
        <f t="shared" si="271"/>
        <v/>
      </c>
      <c r="U832" s="192" t="str">
        <f t="shared" si="285"/>
        <v/>
      </c>
      <c r="V832" s="195" t="str">
        <f t="shared" si="272"/>
        <v/>
      </c>
      <c r="W832" s="195" t="str">
        <f t="shared" si="273"/>
        <v/>
      </c>
      <c r="X832" s="196" t="str">
        <f t="shared" si="286"/>
        <v/>
      </c>
      <c r="Y832" s="191" t="str">
        <f t="shared" si="288"/>
        <v/>
      </c>
      <c r="Z832" s="197" t="str">
        <f t="shared" si="274"/>
        <v/>
      </c>
      <c r="AA832" s="197" t="str">
        <f t="shared" si="275"/>
        <v/>
      </c>
      <c r="AB832" s="213"/>
      <c r="AC832" s="204"/>
    </row>
    <row r="833" spans="1:29" ht="11.4">
      <c r="A833" s="211" t="str">
        <f t="shared" si="287"/>
        <v/>
      </c>
      <c r="B833" s="211"/>
      <c r="C833" s="185"/>
      <c r="D833" s="186" t="str">
        <f t="shared" si="276"/>
        <v/>
      </c>
      <c r="E833" s="186" t="str">
        <f>IF(OR(C833="",C833=Data!$B$3),"",IF(C833=Data!$B$4,"L","S"))</f>
        <v/>
      </c>
      <c r="F833" s="186" t="str">
        <f t="shared" si="277"/>
        <v/>
      </c>
      <c r="G833" s="187" t="str">
        <f t="shared" si="268"/>
        <v/>
      </c>
      <c r="H833" s="188"/>
      <c r="I833" s="189" t="str">
        <f t="shared" si="278"/>
        <v/>
      </c>
      <c r="J833" s="189" t="str">
        <f t="shared" si="279"/>
        <v/>
      </c>
      <c r="K833" s="190" t="str">
        <f t="shared" si="280"/>
        <v/>
      </c>
      <c r="L833" s="190" t="str">
        <f t="shared" si="281"/>
        <v/>
      </c>
      <c r="M833" s="214"/>
      <c r="N833" s="214"/>
      <c r="O833" s="189" t="str">
        <f t="shared" si="282"/>
        <v/>
      </c>
      <c r="P833" s="191" t="str">
        <f t="shared" si="269"/>
        <v/>
      </c>
      <c r="Q833" s="192" t="str">
        <f t="shared" si="283"/>
        <v/>
      </c>
      <c r="R833" s="191" t="str">
        <f t="shared" si="270"/>
        <v/>
      </c>
      <c r="S833" s="193" t="str">
        <f t="shared" si="284"/>
        <v/>
      </c>
      <c r="T833" s="194" t="str">
        <f t="shared" si="271"/>
        <v/>
      </c>
      <c r="U833" s="192" t="str">
        <f t="shared" si="285"/>
        <v/>
      </c>
      <c r="V833" s="195" t="str">
        <f t="shared" si="272"/>
        <v/>
      </c>
      <c r="W833" s="195" t="str">
        <f t="shared" si="273"/>
        <v/>
      </c>
      <c r="X833" s="196" t="str">
        <f t="shared" si="286"/>
        <v/>
      </c>
      <c r="Y833" s="191" t="str">
        <f t="shared" si="288"/>
        <v/>
      </c>
      <c r="Z833" s="197" t="str">
        <f t="shared" si="274"/>
        <v/>
      </c>
      <c r="AA833" s="197" t="str">
        <f t="shared" si="275"/>
        <v/>
      </c>
      <c r="AB833" s="213"/>
      <c r="AC833" s="204"/>
    </row>
    <row r="834" spans="1:29" ht="11.4">
      <c r="A834" s="211" t="str">
        <f t="shared" si="287"/>
        <v/>
      </c>
      <c r="B834" s="211"/>
      <c r="C834" s="185"/>
      <c r="D834" s="186" t="str">
        <f t="shared" si="276"/>
        <v/>
      </c>
      <c r="E834" s="186" t="str">
        <f>IF(OR(C834="",C834=Data!$B$3),"",IF(C834=Data!$B$4,"L","S"))</f>
        <v/>
      </c>
      <c r="F834" s="186" t="str">
        <f t="shared" si="277"/>
        <v/>
      </c>
      <c r="G834" s="187" t="str">
        <f t="shared" si="268"/>
        <v/>
      </c>
      <c r="H834" s="188"/>
      <c r="I834" s="189" t="str">
        <f t="shared" si="278"/>
        <v/>
      </c>
      <c r="J834" s="189" t="str">
        <f t="shared" si="279"/>
        <v/>
      </c>
      <c r="K834" s="190" t="str">
        <f t="shared" si="280"/>
        <v/>
      </c>
      <c r="L834" s="190" t="str">
        <f t="shared" si="281"/>
        <v/>
      </c>
      <c r="M834" s="214"/>
      <c r="N834" s="214"/>
      <c r="O834" s="189" t="str">
        <f t="shared" si="282"/>
        <v/>
      </c>
      <c r="P834" s="191" t="str">
        <f t="shared" si="269"/>
        <v/>
      </c>
      <c r="Q834" s="192" t="str">
        <f t="shared" si="283"/>
        <v/>
      </c>
      <c r="R834" s="191" t="str">
        <f t="shared" si="270"/>
        <v/>
      </c>
      <c r="S834" s="193" t="str">
        <f t="shared" si="284"/>
        <v/>
      </c>
      <c r="T834" s="194" t="str">
        <f t="shared" si="271"/>
        <v/>
      </c>
      <c r="U834" s="192" t="str">
        <f t="shared" si="285"/>
        <v/>
      </c>
      <c r="V834" s="195" t="str">
        <f t="shared" si="272"/>
        <v/>
      </c>
      <c r="W834" s="195" t="str">
        <f t="shared" si="273"/>
        <v/>
      </c>
      <c r="X834" s="196" t="str">
        <f t="shared" si="286"/>
        <v/>
      </c>
      <c r="Y834" s="191" t="str">
        <f t="shared" si="288"/>
        <v/>
      </c>
      <c r="Z834" s="197" t="str">
        <f t="shared" si="274"/>
        <v/>
      </c>
      <c r="AA834" s="197" t="str">
        <f t="shared" si="275"/>
        <v/>
      </c>
      <c r="AB834" s="213"/>
      <c r="AC834" s="204"/>
    </row>
    <row r="835" spans="1:29" ht="11.4">
      <c r="A835" s="211" t="str">
        <f t="shared" si="287"/>
        <v/>
      </c>
      <c r="B835" s="211"/>
      <c r="C835" s="185"/>
      <c r="D835" s="186" t="str">
        <f t="shared" si="276"/>
        <v/>
      </c>
      <c r="E835" s="186" t="str">
        <f>IF(OR(C835="",C835=Data!$B$3),"",IF(C835=Data!$B$4,"L","S"))</f>
        <v/>
      </c>
      <c r="F835" s="186" t="str">
        <f t="shared" si="277"/>
        <v/>
      </c>
      <c r="G835" s="187" t="str">
        <f t="shared" si="268"/>
        <v/>
      </c>
      <c r="H835" s="188"/>
      <c r="I835" s="189" t="str">
        <f t="shared" si="278"/>
        <v/>
      </c>
      <c r="J835" s="189" t="str">
        <f t="shared" si="279"/>
        <v/>
      </c>
      <c r="K835" s="190" t="str">
        <f t="shared" si="280"/>
        <v/>
      </c>
      <c r="L835" s="190" t="str">
        <f t="shared" si="281"/>
        <v/>
      </c>
      <c r="M835" s="214"/>
      <c r="N835" s="214"/>
      <c r="O835" s="189" t="str">
        <f t="shared" si="282"/>
        <v/>
      </c>
      <c r="P835" s="191" t="str">
        <f t="shared" si="269"/>
        <v/>
      </c>
      <c r="Q835" s="192" t="str">
        <f t="shared" si="283"/>
        <v/>
      </c>
      <c r="R835" s="191" t="str">
        <f t="shared" si="270"/>
        <v/>
      </c>
      <c r="S835" s="193" t="str">
        <f t="shared" si="284"/>
        <v/>
      </c>
      <c r="T835" s="194" t="str">
        <f t="shared" si="271"/>
        <v/>
      </c>
      <c r="U835" s="192" t="str">
        <f t="shared" si="285"/>
        <v/>
      </c>
      <c r="V835" s="195" t="str">
        <f t="shared" si="272"/>
        <v/>
      </c>
      <c r="W835" s="195" t="str">
        <f t="shared" si="273"/>
        <v/>
      </c>
      <c r="X835" s="196" t="str">
        <f t="shared" si="286"/>
        <v/>
      </c>
      <c r="Y835" s="191" t="str">
        <f t="shared" si="288"/>
        <v/>
      </c>
      <c r="Z835" s="197" t="str">
        <f t="shared" si="274"/>
        <v/>
      </c>
      <c r="AA835" s="197" t="str">
        <f t="shared" si="275"/>
        <v/>
      </c>
      <c r="AB835" s="213"/>
      <c r="AC835" s="204"/>
    </row>
    <row r="836" spans="1:29" ht="11.4">
      <c r="A836" s="211" t="str">
        <f t="shared" si="287"/>
        <v/>
      </c>
      <c r="B836" s="211"/>
      <c r="C836" s="185"/>
      <c r="D836" s="186" t="str">
        <f t="shared" si="276"/>
        <v/>
      </c>
      <c r="E836" s="186" t="str">
        <f>IF(OR(C836="",C836=Data!$B$3),"",IF(C836=Data!$B$4,"L","S"))</f>
        <v/>
      </c>
      <c r="F836" s="186" t="str">
        <f t="shared" si="277"/>
        <v/>
      </c>
      <c r="G836" s="187" t="str">
        <f t="shared" si="268"/>
        <v/>
      </c>
      <c r="H836" s="188"/>
      <c r="I836" s="189" t="str">
        <f t="shared" si="278"/>
        <v/>
      </c>
      <c r="J836" s="189" t="str">
        <f t="shared" si="279"/>
        <v/>
      </c>
      <c r="K836" s="190" t="str">
        <f t="shared" si="280"/>
        <v/>
      </c>
      <c r="L836" s="190" t="str">
        <f t="shared" si="281"/>
        <v/>
      </c>
      <c r="M836" s="214"/>
      <c r="N836" s="214"/>
      <c r="O836" s="189" t="str">
        <f t="shared" si="282"/>
        <v/>
      </c>
      <c r="P836" s="191" t="str">
        <f t="shared" si="269"/>
        <v/>
      </c>
      <c r="Q836" s="192" t="str">
        <f t="shared" si="283"/>
        <v/>
      </c>
      <c r="R836" s="191" t="str">
        <f t="shared" si="270"/>
        <v/>
      </c>
      <c r="S836" s="193" t="str">
        <f t="shared" si="284"/>
        <v/>
      </c>
      <c r="T836" s="194" t="str">
        <f t="shared" si="271"/>
        <v/>
      </c>
      <c r="U836" s="192" t="str">
        <f t="shared" si="285"/>
        <v/>
      </c>
      <c r="V836" s="195" t="str">
        <f t="shared" si="272"/>
        <v/>
      </c>
      <c r="W836" s="195" t="str">
        <f t="shared" si="273"/>
        <v/>
      </c>
      <c r="X836" s="196" t="str">
        <f t="shared" si="286"/>
        <v/>
      </c>
      <c r="Y836" s="191" t="str">
        <f t="shared" si="288"/>
        <v/>
      </c>
      <c r="Z836" s="197" t="str">
        <f t="shared" si="274"/>
        <v/>
      </c>
      <c r="AA836" s="197" t="str">
        <f t="shared" si="275"/>
        <v/>
      </c>
      <c r="AB836" s="213"/>
      <c r="AC836" s="204"/>
    </row>
    <row r="837" spans="1:29" ht="11.4">
      <c r="A837" s="211" t="str">
        <f t="shared" si="287"/>
        <v/>
      </c>
      <c r="B837" s="211"/>
      <c r="C837" s="185"/>
      <c r="D837" s="186" t="str">
        <f t="shared" si="276"/>
        <v/>
      </c>
      <c r="E837" s="186" t="str">
        <f>IF(OR(C837="",C837=Data!$B$3),"",IF(C837=Data!$B$4,"L","S"))</f>
        <v/>
      </c>
      <c r="F837" s="186" t="str">
        <f t="shared" si="277"/>
        <v/>
      </c>
      <c r="G837" s="187" t="str">
        <f t="shared" si="268"/>
        <v/>
      </c>
      <c r="H837" s="188"/>
      <c r="I837" s="189" t="str">
        <f t="shared" si="278"/>
        <v/>
      </c>
      <c r="J837" s="189" t="str">
        <f t="shared" si="279"/>
        <v/>
      </c>
      <c r="K837" s="190" t="str">
        <f t="shared" si="280"/>
        <v/>
      </c>
      <c r="L837" s="190" t="str">
        <f t="shared" si="281"/>
        <v/>
      </c>
      <c r="M837" s="214"/>
      <c r="N837" s="214"/>
      <c r="O837" s="189" t="str">
        <f t="shared" si="282"/>
        <v/>
      </c>
      <c r="P837" s="191" t="str">
        <f t="shared" si="269"/>
        <v/>
      </c>
      <c r="Q837" s="192" t="str">
        <f t="shared" si="283"/>
        <v/>
      </c>
      <c r="R837" s="191" t="str">
        <f t="shared" si="270"/>
        <v/>
      </c>
      <c r="S837" s="193" t="str">
        <f t="shared" si="284"/>
        <v/>
      </c>
      <c r="T837" s="194" t="str">
        <f t="shared" si="271"/>
        <v/>
      </c>
      <c r="U837" s="192" t="str">
        <f t="shared" si="285"/>
        <v/>
      </c>
      <c r="V837" s="195" t="str">
        <f t="shared" si="272"/>
        <v/>
      </c>
      <c r="W837" s="195" t="str">
        <f t="shared" si="273"/>
        <v/>
      </c>
      <c r="X837" s="196" t="str">
        <f t="shared" si="286"/>
        <v/>
      </c>
      <c r="Y837" s="191" t="str">
        <f t="shared" si="288"/>
        <v/>
      </c>
      <c r="Z837" s="197" t="str">
        <f t="shared" si="274"/>
        <v/>
      </c>
      <c r="AA837" s="197" t="str">
        <f t="shared" si="275"/>
        <v/>
      </c>
      <c r="AB837" s="213"/>
      <c r="AC837" s="204"/>
    </row>
    <row r="838" spans="1:29" ht="11.4">
      <c r="A838" s="211" t="str">
        <f t="shared" si="287"/>
        <v/>
      </c>
      <c r="B838" s="211"/>
      <c r="C838" s="185"/>
      <c r="D838" s="186" t="str">
        <f t="shared" si="276"/>
        <v/>
      </c>
      <c r="E838" s="186" t="str">
        <f>IF(OR(C838="",C838=Data!$B$3),"",IF(C838=Data!$B$4,"L","S"))</f>
        <v/>
      </c>
      <c r="F838" s="186" t="str">
        <f t="shared" si="277"/>
        <v/>
      </c>
      <c r="G838" s="187" t="str">
        <f t="shared" si="268"/>
        <v/>
      </c>
      <c r="H838" s="188"/>
      <c r="I838" s="189" t="str">
        <f t="shared" si="278"/>
        <v/>
      </c>
      <c r="J838" s="189" t="str">
        <f t="shared" si="279"/>
        <v/>
      </c>
      <c r="K838" s="190" t="str">
        <f t="shared" si="280"/>
        <v/>
      </c>
      <c r="L838" s="190" t="str">
        <f t="shared" si="281"/>
        <v/>
      </c>
      <c r="M838" s="214"/>
      <c r="N838" s="214"/>
      <c r="O838" s="189" t="str">
        <f t="shared" si="282"/>
        <v/>
      </c>
      <c r="P838" s="191" t="str">
        <f t="shared" si="269"/>
        <v/>
      </c>
      <c r="Q838" s="192" t="str">
        <f t="shared" si="283"/>
        <v/>
      </c>
      <c r="R838" s="191" t="str">
        <f t="shared" si="270"/>
        <v/>
      </c>
      <c r="S838" s="193" t="str">
        <f t="shared" si="284"/>
        <v/>
      </c>
      <c r="T838" s="194" t="str">
        <f t="shared" si="271"/>
        <v/>
      </c>
      <c r="U838" s="192" t="str">
        <f t="shared" si="285"/>
        <v/>
      </c>
      <c r="V838" s="195" t="str">
        <f t="shared" si="272"/>
        <v/>
      </c>
      <c r="W838" s="195" t="str">
        <f t="shared" si="273"/>
        <v/>
      </c>
      <c r="X838" s="196" t="str">
        <f t="shared" si="286"/>
        <v/>
      </c>
      <c r="Y838" s="191" t="str">
        <f t="shared" si="288"/>
        <v/>
      </c>
      <c r="Z838" s="197" t="str">
        <f t="shared" si="274"/>
        <v/>
      </c>
      <c r="AA838" s="197" t="str">
        <f t="shared" si="275"/>
        <v/>
      </c>
      <c r="AB838" s="213"/>
      <c r="AC838" s="204"/>
    </row>
    <row r="839" spans="1:29" ht="11.4">
      <c r="A839" s="211" t="str">
        <f t="shared" si="287"/>
        <v/>
      </c>
      <c r="B839" s="211"/>
      <c r="C839" s="185"/>
      <c r="D839" s="186" t="str">
        <f t="shared" si="276"/>
        <v/>
      </c>
      <c r="E839" s="186" t="str">
        <f>IF(OR(C839="",C839=Data!$B$3),"",IF(C839=Data!$B$4,"L","S"))</f>
        <v/>
      </c>
      <c r="F839" s="186" t="str">
        <f t="shared" si="277"/>
        <v/>
      </c>
      <c r="G839" s="187" t="str">
        <f t="shared" si="268"/>
        <v/>
      </c>
      <c r="H839" s="188"/>
      <c r="I839" s="189" t="str">
        <f t="shared" si="278"/>
        <v/>
      </c>
      <c r="J839" s="189" t="str">
        <f t="shared" si="279"/>
        <v/>
      </c>
      <c r="K839" s="190" t="str">
        <f t="shared" si="280"/>
        <v/>
      </c>
      <c r="L839" s="190" t="str">
        <f t="shared" si="281"/>
        <v/>
      </c>
      <c r="M839" s="214"/>
      <c r="N839" s="214"/>
      <c r="O839" s="189" t="str">
        <f t="shared" si="282"/>
        <v/>
      </c>
      <c r="P839" s="191" t="str">
        <f t="shared" si="269"/>
        <v/>
      </c>
      <c r="Q839" s="192" t="str">
        <f t="shared" si="283"/>
        <v/>
      </c>
      <c r="R839" s="191" t="str">
        <f t="shared" si="270"/>
        <v/>
      </c>
      <c r="S839" s="193" t="str">
        <f t="shared" si="284"/>
        <v/>
      </c>
      <c r="T839" s="194" t="str">
        <f t="shared" si="271"/>
        <v/>
      </c>
      <c r="U839" s="192" t="str">
        <f t="shared" si="285"/>
        <v/>
      </c>
      <c r="V839" s="195" t="str">
        <f t="shared" si="272"/>
        <v/>
      </c>
      <c r="W839" s="195" t="str">
        <f t="shared" si="273"/>
        <v/>
      </c>
      <c r="X839" s="196" t="str">
        <f t="shared" si="286"/>
        <v/>
      </c>
      <c r="Y839" s="191" t="str">
        <f t="shared" si="288"/>
        <v/>
      </c>
      <c r="Z839" s="197" t="str">
        <f t="shared" si="274"/>
        <v/>
      </c>
      <c r="AA839" s="197" t="str">
        <f t="shared" si="275"/>
        <v/>
      </c>
      <c r="AB839" s="213"/>
      <c r="AC839" s="204"/>
    </row>
    <row r="840" spans="1:29" ht="11.4">
      <c r="A840" s="211" t="str">
        <f t="shared" si="287"/>
        <v/>
      </c>
      <c r="B840" s="211"/>
      <c r="C840" s="185"/>
      <c r="D840" s="186" t="str">
        <f t="shared" si="276"/>
        <v/>
      </c>
      <c r="E840" s="186" t="str">
        <f>IF(OR(C840="",C840=Data!$B$3),"",IF(C840=Data!$B$4,"L","S"))</f>
        <v/>
      </c>
      <c r="F840" s="186" t="str">
        <f t="shared" si="277"/>
        <v/>
      </c>
      <c r="G840" s="187" t="str">
        <f t="shared" si="268"/>
        <v/>
      </c>
      <c r="H840" s="188"/>
      <c r="I840" s="189" t="str">
        <f t="shared" si="278"/>
        <v/>
      </c>
      <c r="J840" s="189" t="str">
        <f t="shared" si="279"/>
        <v/>
      </c>
      <c r="K840" s="190" t="str">
        <f t="shared" si="280"/>
        <v/>
      </c>
      <c r="L840" s="190" t="str">
        <f t="shared" si="281"/>
        <v/>
      </c>
      <c r="M840" s="214"/>
      <c r="N840" s="214"/>
      <c r="O840" s="189" t="str">
        <f t="shared" si="282"/>
        <v/>
      </c>
      <c r="P840" s="191" t="str">
        <f t="shared" si="269"/>
        <v/>
      </c>
      <c r="Q840" s="192" t="str">
        <f t="shared" si="283"/>
        <v/>
      </c>
      <c r="R840" s="191" t="str">
        <f t="shared" si="270"/>
        <v/>
      </c>
      <c r="S840" s="193" t="str">
        <f t="shared" si="284"/>
        <v/>
      </c>
      <c r="T840" s="194" t="str">
        <f t="shared" si="271"/>
        <v/>
      </c>
      <c r="U840" s="192" t="str">
        <f t="shared" si="285"/>
        <v/>
      </c>
      <c r="V840" s="195" t="str">
        <f t="shared" si="272"/>
        <v/>
      </c>
      <c r="W840" s="195" t="str">
        <f t="shared" si="273"/>
        <v/>
      </c>
      <c r="X840" s="196" t="str">
        <f t="shared" si="286"/>
        <v/>
      </c>
      <c r="Y840" s="191" t="str">
        <f t="shared" si="288"/>
        <v/>
      </c>
      <c r="Z840" s="197" t="str">
        <f t="shared" si="274"/>
        <v/>
      </c>
      <c r="AA840" s="197" t="str">
        <f t="shared" si="275"/>
        <v/>
      </c>
      <c r="AB840" s="213"/>
      <c r="AC840" s="204"/>
    </row>
    <row r="841" spans="1:29" ht="11.4">
      <c r="A841" s="211" t="str">
        <f t="shared" si="287"/>
        <v/>
      </c>
      <c r="B841" s="211"/>
      <c r="C841" s="185"/>
      <c r="D841" s="186" t="str">
        <f t="shared" si="276"/>
        <v/>
      </c>
      <c r="E841" s="186" t="str">
        <f>IF(OR(C841="",C841=Data!$B$3),"",IF(C841=Data!$B$4,"L","S"))</f>
        <v/>
      </c>
      <c r="F841" s="186" t="str">
        <f t="shared" si="277"/>
        <v/>
      </c>
      <c r="G841" s="187" t="str">
        <f t="shared" si="268"/>
        <v/>
      </c>
      <c r="H841" s="188"/>
      <c r="I841" s="189" t="str">
        <f t="shared" si="278"/>
        <v/>
      </c>
      <c r="J841" s="189" t="str">
        <f t="shared" si="279"/>
        <v/>
      </c>
      <c r="K841" s="190" t="str">
        <f t="shared" si="280"/>
        <v/>
      </c>
      <c r="L841" s="190" t="str">
        <f t="shared" si="281"/>
        <v/>
      </c>
      <c r="M841" s="214"/>
      <c r="N841" s="214"/>
      <c r="O841" s="189" t="str">
        <f t="shared" si="282"/>
        <v/>
      </c>
      <c r="P841" s="191" t="str">
        <f t="shared" si="269"/>
        <v/>
      </c>
      <c r="Q841" s="192" t="str">
        <f t="shared" si="283"/>
        <v/>
      </c>
      <c r="R841" s="191" t="str">
        <f t="shared" si="270"/>
        <v/>
      </c>
      <c r="S841" s="193" t="str">
        <f t="shared" si="284"/>
        <v/>
      </c>
      <c r="T841" s="194" t="str">
        <f t="shared" si="271"/>
        <v/>
      </c>
      <c r="U841" s="192" t="str">
        <f t="shared" si="285"/>
        <v/>
      </c>
      <c r="V841" s="195" t="str">
        <f t="shared" si="272"/>
        <v/>
      </c>
      <c r="W841" s="195" t="str">
        <f t="shared" si="273"/>
        <v/>
      </c>
      <c r="X841" s="196" t="str">
        <f t="shared" si="286"/>
        <v/>
      </c>
      <c r="Y841" s="191" t="str">
        <f t="shared" si="288"/>
        <v/>
      </c>
      <c r="Z841" s="197" t="str">
        <f t="shared" si="274"/>
        <v/>
      </c>
      <c r="AA841" s="197" t="str">
        <f t="shared" si="275"/>
        <v/>
      </c>
      <c r="AB841" s="213"/>
      <c r="AC841" s="204"/>
    </row>
    <row r="842" spans="1:29" ht="11.4">
      <c r="A842" s="211" t="str">
        <f t="shared" si="287"/>
        <v/>
      </c>
      <c r="B842" s="211"/>
      <c r="C842" s="185"/>
      <c r="D842" s="186" t="str">
        <f t="shared" si="276"/>
        <v/>
      </c>
      <c r="E842" s="186" t="str">
        <f>IF(OR(C842="",C842=Data!$B$3),"",IF(C842=Data!$B$4,"L","S"))</f>
        <v/>
      </c>
      <c r="F842" s="186" t="str">
        <f t="shared" si="277"/>
        <v/>
      </c>
      <c r="G842" s="187" t="str">
        <f t="shared" si="268"/>
        <v/>
      </c>
      <c r="H842" s="188"/>
      <c r="I842" s="189" t="str">
        <f t="shared" si="278"/>
        <v/>
      </c>
      <c r="J842" s="189" t="str">
        <f t="shared" si="279"/>
        <v/>
      </c>
      <c r="K842" s="190" t="str">
        <f t="shared" si="280"/>
        <v/>
      </c>
      <c r="L842" s="190" t="str">
        <f t="shared" si="281"/>
        <v/>
      </c>
      <c r="M842" s="214"/>
      <c r="N842" s="214"/>
      <c r="O842" s="189" t="str">
        <f t="shared" si="282"/>
        <v/>
      </c>
      <c r="P842" s="191" t="str">
        <f t="shared" si="269"/>
        <v/>
      </c>
      <c r="Q842" s="192" t="str">
        <f t="shared" si="283"/>
        <v/>
      </c>
      <c r="R842" s="191" t="str">
        <f t="shared" si="270"/>
        <v/>
      </c>
      <c r="S842" s="193" t="str">
        <f t="shared" si="284"/>
        <v/>
      </c>
      <c r="T842" s="194" t="str">
        <f t="shared" si="271"/>
        <v/>
      </c>
      <c r="U842" s="192" t="str">
        <f t="shared" si="285"/>
        <v/>
      </c>
      <c r="V842" s="195" t="str">
        <f t="shared" si="272"/>
        <v/>
      </c>
      <c r="W842" s="195" t="str">
        <f t="shared" si="273"/>
        <v/>
      </c>
      <c r="X842" s="196" t="str">
        <f t="shared" si="286"/>
        <v/>
      </c>
      <c r="Y842" s="191" t="str">
        <f t="shared" si="288"/>
        <v/>
      </c>
      <c r="Z842" s="197" t="str">
        <f t="shared" si="274"/>
        <v/>
      </c>
      <c r="AA842" s="197" t="str">
        <f t="shared" si="275"/>
        <v/>
      </c>
      <c r="AB842" s="213"/>
      <c r="AC842" s="204"/>
    </row>
    <row r="843" spans="1:29" ht="11.4">
      <c r="A843" s="211" t="str">
        <f t="shared" si="287"/>
        <v/>
      </c>
      <c r="B843" s="211"/>
      <c r="C843" s="185"/>
      <c r="D843" s="186" t="str">
        <f t="shared" si="276"/>
        <v/>
      </c>
      <c r="E843" s="186" t="str">
        <f>IF(OR(C843="",C843=Data!$B$3),"",IF(C843=Data!$B$4,"L","S"))</f>
        <v/>
      </c>
      <c r="F843" s="186" t="str">
        <f t="shared" si="277"/>
        <v/>
      </c>
      <c r="G843" s="187" t="str">
        <f t="shared" si="268"/>
        <v/>
      </c>
      <c r="H843" s="188"/>
      <c r="I843" s="189" t="str">
        <f t="shared" si="278"/>
        <v/>
      </c>
      <c r="J843" s="189" t="str">
        <f t="shared" si="279"/>
        <v/>
      </c>
      <c r="K843" s="190" t="str">
        <f t="shared" si="280"/>
        <v/>
      </c>
      <c r="L843" s="190" t="str">
        <f t="shared" si="281"/>
        <v/>
      </c>
      <c r="M843" s="214"/>
      <c r="N843" s="214"/>
      <c r="O843" s="189" t="str">
        <f t="shared" si="282"/>
        <v/>
      </c>
      <c r="P843" s="191" t="str">
        <f t="shared" si="269"/>
        <v/>
      </c>
      <c r="Q843" s="192" t="str">
        <f t="shared" si="283"/>
        <v/>
      </c>
      <c r="R843" s="191" t="str">
        <f t="shared" si="270"/>
        <v/>
      </c>
      <c r="S843" s="193" t="str">
        <f t="shared" si="284"/>
        <v/>
      </c>
      <c r="T843" s="194" t="str">
        <f t="shared" si="271"/>
        <v/>
      </c>
      <c r="U843" s="192" t="str">
        <f t="shared" si="285"/>
        <v/>
      </c>
      <c r="V843" s="195" t="str">
        <f t="shared" si="272"/>
        <v/>
      </c>
      <c r="W843" s="195" t="str">
        <f t="shared" si="273"/>
        <v/>
      </c>
      <c r="X843" s="196" t="str">
        <f t="shared" si="286"/>
        <v/>
      </c>
      <c r="Y843" s="191" t="str">
        <f t="shared" si="288"/>
        <v/>
      </c>
      <c r="Z843" s="197" t="str">
        <f t="shared" si="274"/>
        <v/>
      </c>
      <c r="AA843" s="197" t="str">
        <f t="shared" si="275"/>
        <v/>
      </c>
      <c r="AB843" s="213"/>
      <c r="AC843" s="204"/>
    </row>
    <row r="844" spans="1:29" ht="11.4">
      <c r="A844" s="211" t="str">
        <f t="shared" si="287"/>
        <v/>
      </c>
      <c r="B844" s="211"/>
      <c r="C844" s="185"/>
      <c r="D844" s="186" t="str">
        <f t="shared" si="276"/>
        <v/>
      </c>
      <c r="E844" s="186" t="str">
        <f>IF(OR(C844="",C844=Data!$B$3),"",IF(C844=Data!$B$4,"L","S"))</f>
        <v/>
      </c>
      <c r="F844" s="186" t="str">
        <f t="shared" si="277"/>
        <v/>
      </c>
      <c r="G844" s="187" t="str">
        <f t="shared" ref="G844:G907" si="289">IF(A844="","",$D$3)</f>
        <v/>
      </c>
      <c r="H844" s="188"/>
      <c r="I844" s="189" t="str">
        <f t="shared" si="278"/>
        <v/>
      </c>
      <c r="J844" s="189" t="str">
        <f t="shared" si="279"/>
        <v/>
      </c>
      <c r="K844" s="190" t="str">
        <f t="shared" si="280"/>
        <v/>
      </c>
      <c r="L844" s="190" t="str">
        <f t="shared" si="281"/>
        <v/>
      </c>
      <c r="M844" s="214"/>
      <c r="N844" s="214"/>
      <c r="O844" s="189" t="str">
        <f t="shared" si="282"/>
        <v/>
      </c>
      <c r="P844" s="191" t="str">
        <f t="shared" ref="P844:P907" si="290">IF(O844="","",IF(L844*F844*G844=0,0,L844*F844*G844))</f>
        <v/>
      </c>
      <c r="Q844" s="192" t="str">
        <f t="shared" si="283"/>
        <v/>
      </c>
      <c r="R844" s="191" t="str">
        <f t="shared" ref="R844:R907" si="291">IF(O844&lt;&gt;"",IF(K844*F844*G844=0,"",K844*F844*G844),"")</f>
        <v/>
      </c>
      <c r="S844" s="193" t="str">
        <f t="shared" si="284"/>
        <v/>
      </c>
      <c r="T844" s="194" t="str">
        <f t="shared" ref="T844:T907" si="292">IF(X844="","",X844*F844*G844)</f>
        <v/>
      </c>
      <c r="U844" s="192" t="str">
        <f t="shared" si="285"/>
        <v/>
      </c>
      <c r="V844" s="195" t="str">
        <f t="shared" ref="V844:V907" si="293">IF(O844="","",IF(AND(O844&gt;I844,E844="L"),1, IF(AND(I844&gt;O844,E844="S"),1,0)))</f>
        <v/>
      </c>
      <c r="W844" s="195" t="str">
        <f t="shared" ref="W844:W907" si="294">IF(O844="","",IF(AND(O844&lt;I844,E844="L"),1, IF(AND(I844&lt;O844,E844="S"),1,0)))</f>
        <v/>
      </c>
      <c r="X844" s="196" t="str">
        <f t="shared" si="286"/>
        <v/>
      </c>
      <c r="Y844" s="191" t="str">
        <f t="shared" si="288"/>
        <v/>
      </c>
      <c r="Z844" s="197" t="str">
        <f t="shared" ref="Z844:Z907" si="295">IF(M844="","",MONTH(M844))</f>
        <v/>
      </c>
      <c r="AA844" s="197" t="str">
        <f t="shared" ref="AA844:AA907" si="296">IF(M844="","",YEAR(M844))</f>
        <v/>
      </c>
      <c r="AB844" s="213"/>
      <c r="AC844" s="204"/>
    </row>
    <row r="845" spans="1:29" ht="11.4">
      <c r="A845" s="211" t="str">
        <f t="shared" si="287"/>
        <v/>
      </c>
      <c r="B845" s="211"/>
      <c r="C845" s="185"/>
      <c r="D845" s="186" t="str">
        <f t="shared" ref="D845:D908" si="297">IF(A845&lt;&gt;"","GBPUSD","")</f>
        <v/>
      </c>
      <c r="E845" s="186" t="str">
        <f>IF(OR(C845="",C845=Data!$B$3),"",IF(C845=Data!$B$4,"L","S"))</f>
        <v/>
      </c>
      <c r="F845" s="186" t="str">
        <f t="shared" ref="F845:F908" si="298">IF(A845&lt;&gt;"",$D$2,"")</f>
        <v/>
      </c>
      <c r="G845" s="187" t="str">
        <f t="shared" si="289"/>
        <v/>
      </c>
      <c r="H845" s="188"/>
      <c r="I845" s="189" t="str">
        <f t="shared" ref="I845:I908" si="299">IF(H845="","",IF(E845="L",H845+$D$4*0.0001,H845-$D$4*0.0001))</f>
        <v/>
      </c>
      <c r="J845" s="189" t="str">
        <f t="shared" ref="J845:J908" si="300">IF(AND(H845&lt;&gt;"",I845&lt;&gt;""),IF(E845="L",I845+(I845-H845)*3,I845-(H845-I845)*3),"")</f>
        <v/>
      </c>
      <c r="K845" s="190" t="str">
        <f t="shared" ref="K845:K908" si="301">IF(AND(E845&lt;&gt;"",AND(I845&lt;&gt;"",J845&lt;&gt;"")),IF(E845="L",(J845-I845)*IF(I845&gt;10,IF(SEARCH("JPY",D845),10,100),10000),(I845-J845)*IF(I845&gt;10,IF(SEARCH("JPY",D845),10,100),10000)),"")</f>
        <v/>
      </c>
      <c r="L845" s="190" t="str">
        <f t="shared" ref="L845:L908" si="302">IF(AND(E845&lt;&gt;"",AND(H845&lt;&gt;"",I845&lt;&gt;"")),IF(E845="L",(I845-H845)*IF(I845&gt;10,IF(SEARCH("JPY",D845),10,100),10000),(H845-I845)*IF(I845&gt;10,IF(SEARCH("JPY",D845),10,100),10000)),"")</f>
        <v/>
      </c>
      <c r="M845" s="214"/>
      <c r="N845" s="214"/>
      <c r="O845" s="189" t="str">
        <f t="shared" ref="O845:O908" si="303">IF(H845&lt;&gt;"",H845, "")</f>
        <v/>
      </c>
      <c r="P845" s="191" t="str">
        <f t="shared" si="290"/>
        <v/>
      </c>
      <c r="Q845" s="192" t="str">
        <f t="shared" ref="Q845:Q908" si="304">IF(P845="","",IF(P845=0,0,P845/$I$4))</f>
        <v/>
      </c>
      <c r="R845" s="191" t="str">
        <f t="shared" si="291"/>
        <v/>
      </c>
      <c r="S845" s="193" t="str">
        <f t="shared" ref="S845:S908" si="305">IF(P845="","",IF(P845=0,0,R845/P845))</f>
        <v/>
      </c>
      <c r="T845" s="194" t="str">
        <f t="shared" si="292"/>
        <v/>
      </c>
      <c r="U845" s="192" t="str">
        <f t="shared" ref="U845:U908" si="306">IF(T845="","",IF($I$4="","",T845/$I$4))</f>
        <v/>
      </c>
      <c r="V845" s="195" t="str">
        <f t="shared" si="293"/>
        <v/>
      </c>
      <c r="W845" s="195" t="str">
        <f t="shared" si="294"/>
        <v/>
      </c>
      <c r="X845" s="196" t="str">
        <f t="shared" ref="X845:X908" si="307">IF((O845=""),"",IF(E845="L",1,-1)*(O845-I845)*IF(O845&gt;10,IF(SEARCH("JPY",D845),10,100),10000))</f>
        <v/>
      </c>
      <c r="Y845" s="191" t="str">
        <f t="shared" si="288"/>
        <v/>
      </c>
      <c r="Z845" s="197" t="str">
        <f t="shared" si="295"/>
        <v/>
      </c>
      <c r="AA845" s="197" t="str">
        <f t="shared" si="296"/>
        <v/>
      </c>
      <c r="AB845" s="213"/>
      <c r="AC845" s="204"/>
    </row>
    <row r="846" spans="1:29" ht="11.4">
      <c r="A846" s="211" t="str">
        <f t="shared" ref="A846:A909" si="308">IF(C846="","",A845+1)</f>
        <v/>
      </c>
      <c r="B846" s="211"/>
      <c r="C846" s="185"/>
      <c r="D846" s="186" t="str">
        <f t="shared" si="297"/>
        <v/>
      </c>
      <c r="E846" s="186" t="str">
        <f>IF(OR(C846="",C846=Data!$B$3),"",IF(C846=Data!$B$4,"L","S"))</f>
        <v/>
      </c>
      <c r="F846" s="186" t="str">
        <f t="shared" si="298"/>
        <v/>
      </c>
      <c r="G846" s="187" t="str">
        <f t="shared" si="289"/>
        <v/>
      </c>
      <c r="H846" s="188"/>
      <c r="I846" s="189" t="str">
        <f t="shared" si="299"/>
        <v/>
      </c>
      <c r="J846" s="189" t="str">
        <f t="shared" si="300"/>
        <v/>
      </c>
      <c r="K846" s="190" t="str">
        <f t="shared" si="301"/>
        <v/>
      </c>
      <c r="L846" s="190" t="str">
        <f t="shared" si="302"/>
        <v/>
      </c>
      <c r="M846" s="214"/>
      <c r="N846" s="214"/>
      <c r="O846" s="189" t="str">
        <f t="shared" si="303"/>
        <v/>
      </c>
      <c r="P846" s="191" t="str">
        <f t="shared" si="290"/>
        <v/>
      </c>
      <c r="Q846" s="192" t="str">
        <f t="shared" si="304"/>
        <v/>
      </c>
      <c r="R846" s="191" t="str">
        <f t="shared" si="291"/>
        <v/>
      </c>
      <c r="S846" s="193" t="str">
        <f t="shared" si="305"/>
        <v/>
      </c>
      <c r="T846" s="194" t="str">
        <f t="shared" si="292"/>
        <v/>
      </c>
      <c r="U846" s="192" t="str">
        <f t="shared" si="306"/>
        <v/>
      </c>
      <c r="V846" s="195" t="str">
        <f t="shared" si="293"/>
        <v/>
      </c>
      <c r="W846" s="195" t="str">
        <f t="shared" si="294"/>
        <v/>
      </c>
      <c r="X846" s="196" t="str">
        <f t="shared" si="307"/>
        <v/>
      </c>
      <c r="Y846" s="191" t="str">
        <f t="shared" si="288"/>
        <v/>
      </c>
      <c r="Z846" s="197" t="str">
        <f t="shared" si="295"/>
        <v/>
      </c>
      <c r="AA846" s="197" t="str">
        <f t="shared" si="296"/>
        <v/>
      </c>
      <c r="AB846" s="213"/>
      <c r="AC846" s="204"/>
    </row>
    <row r="847" spans="1:29" ht="11.4">
      <c r="A847" s="211" t="str">
        <f t="shared" si="308"/>
        <v/>
      </c>
      <c r="B847" s="211"/>
      <c r="C847" s="185"/>
      <c r="D847" s="186" t="str">
        <f t="shared" si="297"/>
        <v/>
      </c>
      <c r="E847" s="186" t="str">
        <f>IF(OR(C847="",C847=Data!$B$3),"",IF(C847=Data!$B$4,"L","S"))</f>
        <v/>
      </c>
      <c r="F847" s="186" t="str">
        <f t="shared" si="298"/>
        <v/>
      </c>
      <c r="G847" s="187" t="str">
        <f t="shared" si="289"/>
        <v/>
      </c>
      <c r="H847" s="188"/>
      <c r="I847" s="189" t="str">
        <f t="shared" si="299"/>
        <v/>
      </c>
      <c r="J847" s="189" t="str">
        <f t="shared" si="300"/>
        <v/>
      </c>
      <c r="K847" s="190" t="str">
        <f t="shared" si="301"/>
        <v/>
      </c>
      <c r="L847" s="190" t="str">
        <f t="shared" si="302"/>
        <v/>
      </c>
      <c r="M847" s="214"/>
      <c r="N847" s="214"/>
      <c r="O847" s="189" t="str">
        <f t="shared" si="303"/>
        <v/>
      </c>
      <c r="P847" s="191" t="str">
        <f t="shared" si="290"/>
        <v/>
      </c>
      <c r="Q847" s="192" t="str">
        <f t="shared" si="304"/>
        <v/>
      </c>
      <c r="R847" s="191" t="str">
        <f t="shared" si="291"/>
        <v/>
      </c>
      <c r="S847" s="193" t="str">
        <f t="shared" si="305"/>
        <v/>
      </c>
      <c r="T847" s="194" t="str">
        <f t="shared" si="292"/>
        <v/>
      </c>
      <c r="U847" s="192" t="str">
        <f t="shared" si="306"/>
        <v/>
      </c>
      <c r="V847" s="195" t="str">
        <f t="shared" si="293"/>
        <v/>
      </c>
      <c r="W847" s="195" t="str">
        <f t="shared" si="294"/>
        <v/>
      </c>
      <c r="X847" s="196" t="str">
        <f t="shared" si="307"/>
        <v/>
      </c>
      <c r="Y847" s="191" t="str">
        <f t="shared" si="288"/>
        <v/>
      </c>
      <c r="Z847" s="197" t="str">
        <f t="shared" si="295"/>
        <v/>
      </c>
      <c r="AA847" s="197" t="str">
        <f t="shared" si="296"/>
        <v/>
      </c>
      <c r="AB847" s="213"/>
      <c r="AC847" s="204"/>
    </row>
    <row r="848" spans="1:29" ht="11.4">
      <c r="A848" s="211" t="str">
        <f t="shared" si="308"/>
        <v/>
      </c>
      <c r="B848" s="211"/>
      <c r="C848" s="185"/>
      <c r="D848" s="186" t="str">
        <f t="shared" si="297"/>
        <v/>
      </c>
      <c r="E848" s="186" t="str">
        <f>IF(OR(C848="",C848=Data!$B$3),"",IF(C848=Data!$B$4,"L","S"))</f>
        <v/>
      </c>
      <c r="F848" s="186" t="str">
        <f t="shared" si="298"/>
        <v/>
      </c>
      <c r="G848" s="187" t="str">
        <f t="shared" si="289"/>
        <v/>
      </c>
      <c r="H848" s="188"/>
      <c r="I848" s="189" t="str">
        <f t="shared" si="299"/>
        <v/>
      </c>
      <c r="J848" s="189" t="str">
        <f t="shared" si="300"/>
        <v/>
      </c>
      <c r="K848" s="190" t="str">
        <f t="shared" si="301"/>
        <v/>
      </c>
      <c r="L848" s="190" t="str">
        <f t="shared" si="302"/>
        <v/>
      </c>
      <c r="M848" s="214"/>
      <c r="N848" s="214"/>
      <c r="O848" s="189" t="str">
        <f t="shared" si="303"/>
        <v/>
      </c>
      <c r="P848" s="191" t="str">
        <f t="shared" si="290"/>
        <v/>
      </c>
      <c r="Q848" s="192" t="str">
        <f t="shared" si="304"/>
        <v/>
      </c>
      <c r="R848" s="191" t="str">
        <f t="shared" si="291"/>
        <v/>
      </c>
      <c r="S848" s="193" t="str">
        <f t="shared" si="305"/>
        <v/>
      </c>
      <c r="T848" s="194" t="str">
        <f t="shared" si="292"/>
        <v/>
      </c>
      <c r="U848" s="192" t="str">
        <f t="shared" si="306"/>
        <v/>
      </c>
      <c r="V848" s="195" t="str">
        <f t="shared" si="293"/>
        <v/>
      </c>
      <c r="W848" s="195" t="str">
        <f t="shared" si="294"/>
        <v/>
      </c>
      <c r="X848" s="196" t="str">
        <f t="shared" si="307"/>
        <v/>
      </c>
      <c r="Y848" s="191" t="str">
        <f t="shared" si="288"/>
        <v/>
      </c>
      <c r="Z848" s="197" t="str">
        <f t="shared" si="295"/>
        <v/>
      </c>
      <c r="AA848" s="197" t="str">
        <f t="shared" si="296"/>
        <v/>
      </c>
      <c r="AB848" s="213"/>
      <c r="AC848" s="204"/>
    </row>
    <row r="849" spans="1:29" ht="11.4">
      <c r="A849" s="211" t="str">
        <f t="shared" si="308"/>
        <v/>
      </c>
      <c r="B849" s="211"/>
      <c r="C849" s="185"/>
      <c r="D849" s="186" t="str">
        <f t="shared" si="297"/>
        <v/>
      </c>
      <c r="E849" s="186" t="str">
        <f>IF(OR(C849="",C849=Data!$B$3),"",IF(C849=Data!$B$4,"L","S"))</f>
        <v/>
      </c>
      <c r="F849" s="186" t="str">
        <f t="shared" si="298"/>
        <v/>
      </c>
      <c r="G849" s="187" t="str">
        <f t="shared" si="289"/>
        <v/>
      </c>
      <c r="H849" s="188"/>
      <c r="I849" s="189" t="str">
        <f t="shared" si="299"/>
        <v/>
      </c>
      <c r="J849" s="189" t="str">
        <f t="shared" si="300"/>
        <v/>
      </c>
      <c r="K849" s="190" t="str">
        <f t="shared" si="301"/>
        <v/>
      </c>
      <c r="L849" s="190" t="str">
        <f t="shared" si="302"/>
        <v/>
      </c>
      <c r="M849" s="214"/>
      <c r="N849" s="214"/>
      <c r="O849" s="189" t="str">
        <f t="shared" si="303"/>
        <v/>
      </c>
      <c r="P849" s="191" t="str">
        <f t="shared" si="290"/>
        <v/>
      </c>
      <c r="Q849" s="192" t="str">
        <f t="shared" si="304"/>
        <v/>
      </c>
      <c r="R849" s="191" t="str">
        <f t="shared" si="291"/>
        <v/>
      </c>
      <c r="S849" s="193" t="str">
        <f t="shared" si="305"/>
        <v/>
      </c>
      <c r="T849" s="194" t="str">
        <f t="shared" si="292"/>
        <v/>
      </c>
      <c r="U849" s="192" t="str">
        <f t="shared" si="306"/>
        <v/>
      </c>
      <c r="V849" s="195" t="str">
        <f t="shared" si="293"/>
        <v/>
      </c>
      <c r="W849" s="195" t="str">
        <f t="shared" si="294"/>
        <v/>
      </c>
      <c r="X849" s="196" t="str">
        <f t="shared" si="307"/>
        <v/>
      </c>
      <c r="Y849" s="191" t="str">
        <f t="shared" si="288"/>
        <v/>
      </c>
      <c r="Z849" s="197" t="str">
        <f t="shared" si="295"/>
        <v/>
      </c>
      <c r="AA849" s="197" t="str">
        <f t="shared" si="296"/>
        <v/>
      </c>
      <c r="AB849" s="213"/>
      <c r="AC849" s="204"/>
    </row>
    <row r="850" spans="1:29" ht="11.4">
      <c r="A850" s="211" t="str">
        <f t="shared" si="308"/>
        <v/>
      </c>
      <c r="B850" s="211"/>
      <c r="C850" s="185"/>
      <c r="D850" s="186" t="str">
        <f t="shared" si="297"/>
        <v/>
      </c>
      <c r="E850" s="186" t="str">
        <f>IF(OR(C850="",C850=Data!$B$3),"",IF(C850=Data!$B$4,"L","S"))</f>
        <v/>
      </c>
      <c r="F850" s="186" t="str">
        <f t="shared" si="298"/>
        <v/>
      </c>
      <c r="G850" s="187" t="str">
        <f t="shared" si="289"/>
        <v/>
      </c>
      <c r="H850" s="188"/>
      <c r="I850" s="189" t="str">
        <f t="shared" si="299"/>
        <v/>
      </c>
      <c r="J850" s="189" t="str">
        <f t="shared" si="300"/>
        <v/>
      </c>
      <c r="K850" s="190" t="str">
        <f t="shared" si="301"/>
        <v/>
      </c>
      <c r="L850" s="190" t="str">
        <f t="shared" si="302"/>
        <v/>
      </c>
      <c r="M850" s="214"/>
      <c r="N850" s="214"/>
      <c r="O850" s="189" t="str">
        <f t="shared" si="303"/>
        <v/>
      </c>
      <c r="P850" s="191" t="str">
        <f t="shared" si="290"/>
        <v/>
      </c>
      <c r="Q850" s="192" t="str">
        <f t="shared" si="304"/>
        <v/>
      </c>
      <c r="R850" s="191" t="str">
        <f t="shared" si="291"/>
        <v/>
      </c>
      <c r="S850" s="193" t="str">
        <f t="shared" si="305"/>
        <v/>
      </c>
      <c r="T850" s="194" t="str">
        <f t="shared" si="292"/>
        <v/>
      </c>
      <c r="U850" s="192" t="str">
        <f t="shared" si="306"/>
        <v/>
      </c>
      <c r="V850" s="195" t="str">
        <f t="shared" si="293"/>
        <v/>
      </c>
      <c r="W850" s="195" t="str">
        <f t="shared" si="294"/>
        <v/>
      </c>
      <c r="X850" s="196" t="str">
        <f t="shared" si="307"/>
        <v/>
      </c>
      <c r="Y850" s="191" t="str">
        <f t="shared" si="288"/>
        <v/>
      </c>
      <c r="Z850" s="197" t="str">
        <f t="shared" si="295"/>
        <v/>
      </c>
      <c r="AA850" s="197" t="str">
        <f t="shared" si="296"/>
        <v/>
      </c>
      <c r="AB850" s="213"/>
      <c r="AC850" s="204"/>
    </row>
    <row r="851" spans="1:29" ht="11.4">
      <c r="A851" s="211" t="str">
        <f t="shared" si="308"/>
        <v/>
      </c>
      <c r="B851" s="211"/>
      <c r="C851" s="185"/>
      <c r="D851" s="186" t="str">
        <f t="shared" si="297"/>
        <v/>
      </c>
      <c r="E851" s="186" t="str">
        <f>IF(OR(C851="",C851=Data!$B$3),"",IF(C851=Data!$B$4,"L","S"))</f>
        <v/>
      </c>
      <c r="F851" s="186" t="str">
        <f t="shared" si="298"/>
        <v/>
      </c>
      <c r="G851" s="187" t="str">
        <f t="shared" si="289"/>
        <v/>
      </c>
      <c r="H851" s="188"/>
      <c r="I851" s="189" t="str">
        <f t="shared" si="299"/>
        <v/>
      </c>
      <c r="J851" s="189" t="str">
        <f t="shared" si="300"/>
        <v/>
      </c>
      <c r="K851" s="190" t="str">
        <f t="shared" si="301"/>
        <v/>
      </c>
      <c r="L851" s="190" t="str">
        <f t="shared" si="302"/>
        <v/>
      </c>
      <c r="M851" s="214"/>
      <c r="N851" s="214"/>
      <c r="O851" s="189" t="str">
        <f t="shared" si="303"/>
        <v/>
      </c>
      <c r="P851" s="191" t="str">
        <f t="shared" si="290"/>
        <v/>
      </c>
      <c r="Q851" s="192" t="str">
        <f t="shared" si="304"/>
        <v/>
      </c>
      <c r="R851" s="191" t="str">
        <f t="shared" si="291"/>
        <v/>
      </c>
      <c r="S851" s="193" t="str">
        <f t="shared" si="305"/>
        <v/>
      </c>
      <c r="T851" s="194" t="str">
        <f t="shared" si="292"/>
        <v/>
      </c>
      <c r="U851" s="192" t="str">
        <f t="shared" si="306"/>
        <v/>
      </c>
      <c r="V851" s="195" t="str">
        <f t="shared" si="293"/>
        <v/>
      </c>
      <c r="W851" s="195" t="str">
        <f t="shared" si="294"/>
        <v/>
      </c>
      <c r="X851" s="196" t="str">
        <f t="shared" si="307"/>
        <v/>
      </c>
      <c r="Y851" s="191" t="str">
        <f t="shared" si="288"/>
        <v/>
      </c>
      <c r="Z851" s="197" t="str">
        <f t="shared" si="295"/>
        <v/>
      </c>
      <c r="AA851" s="197" t="str">
        <f t="shared" si="296"/>
        <v/>
      </c>
      <c r="AB851" s="213"/>
      <c r="AC851" s="204"/>
    </row>
    <row r="852" spans="1:29" ht="11.4">
      <c r="A852" s="211" t="str">
        <f t="shared" si="308"/>
        <v/>
      </c>
      <c r="B852" s="211"/>
      <c r="C852" s="185"/>
      <c r="D852" s="186" t="str">
        <f t="shared" si="297"/>
        <v/>
      </c>
      <c r="E852" s="186" t="str">
        <f>IF(OR(C852="",C852=Data!$B$3),"",IF(C852=Data!$B$4,"L","S"))</f>
        <v/>
      </c>
      <c r="F852" s="186" t="str">
        <f t="shared" si="298"/>
        <v/>
      </c>
      <c r="G852" s="187" t="str">
        <f t="shared" si="289"/>
        <v/>
      </c>
      <c r="H852" s="188"/>
      <c r="I852" s="189" t="str">
        <f t="shared" si="299"/>
        <v/>
      </c>
      <c r="J852" s="189" t="str">
        <f t="shared" si="300"/>
        <v/>
      </c>
      <c r="K852" s="190" t="str">
        <f t="shared" si="301"/>
        <v/>
      </c>
      <c r="L852" s="190" t="str">
        <f t="shared" si="302"/>
        <v/>
      </c>
      <c r="M852" s="214"/>
      <c r="N852" s="214"/>
      <c r="O852" s="189" t="str">
        <f t="shared" si="303"/>
        <v/>
      </c>
      <c r="P852" s="191" t="str">
        <f t="shared" si="290"/>
        <v/>
      </c>
      <c r="Q852" s="192" t="str">
        <f t="shared" si="304"/>
        <v/>
      </c>
      <c r="R852" s="191" t="str">
        <f t="shared" si="291"/>
        <v/>
      </c>
      <c r="S852" s="193" t="str">
        <f t="shared" si="305"/>
        <v/>
      </c>
      <c r="T852" s="194" t="str">
        <f t="shared" si="292"/>
        <v/>
      </c>
      <c r="U852" s="192" t="str">
        <f t="shared" si="306"/>
        <v/>
      </c>
      <c r="V852" s="195" t="str">
        <f t="shared" si="293"/>
        <v/>
      </c>
      <c r="W852" s="195" t="str">
        <f t="shared" si="294"/>
        <v/>
      </c>
      <c r="X852" s="196" t="str">
        <f t="shared" si="307"/>
        <v/>
      </c>
      <c r="Y852" s="191" t="str">
        <f t="shared" ref="Y852:Y915" si="309">IF(Y851="","",IF(T852="","",Y851+T852))</f>
        <v/>
      </c>
      <c r="Z852" s="197" t="str">
        <f t="shared" si="295"/>
        <v/>
      </c>
      <c r="AA852" s="197" t="str">
        <f t="shared" si="296"/>
        <v/>
      </c>
      <c r="AB852" s="213"/>
      <c r="AC852" s="204"/>
    </row>
    <row r="853" spans="1:29" ht="11.4">
      <c r="A853" s="211" t="str">
        <f t="shared" si="308"/>
        <v/>
      </c>
      <c r="B853" s="211"/>
      <c r="C853" s="185"/>
      <c r="D853" s="186" t="str">
        <f t="shared" si="297"/>
        <v/>
      </c>
      <c r="E853" s="186" t="str">
        <f>IF(OR(C853="",C853=Data!$B$3),"",IF(C853=Data!$B$4,"L","S"))</f>
        <v/>
      </c>
      <c r="F853" s="186" t="str">
        <f t="shared" si="298"/>
        <v/>
      </c>
      <c r="G853" s="187" t="str">
        <f t="shared" si="289"/>
        <v/>
      </c>
      <c r="H853" s="188"/>
      <c r="I853" s="189" t="str">
        <f t="shared" si="299"/>
        <v/>
      </c>
      <c r="J853" s="189" t="str">
        <f t="shared" si="300"/>
        <v/>
      </c>
      <c r="K853" s="190" t="str">
        <f t="shared" si="301"/>
        <v/>
      </c>
      <c r="L853" s="190" t="str">
        <f t="shared" si="302"/>
        <v/>
      </c>
      <c r="M853" s="214"/>
      <c r="N853" s="214"/>
      <c r="O853" s="189" t="str">
        <f t="shared" si="303"/>
        <v/>
      </c>
      <c r="P853" s="191" t="str">
        <f t="shared" si="290"/>
        <v/>
      </c>
      <c r="Q853" s="192" t="str">
        <f t="shared" si="304"/>
        <v/>
      </c>
      <c r="R853" s="191" t="str">
        <f t="shared" si="291"/>
        <v/>
      </c>
      <c r="S853" s="193" t="str">
        <f t="shared" si="305"/>
        <v/>
      </c>
      <c r="T853" s="194" t="str">
        <f t="shared" si="292"/>
        <v/>
      </c>
      <c r="U853" s="192" t="str">
        <f t="shared" si="306"/>
        <v/>
      </c>
      <c r="V853" s="195" t="str">
        <f t="shared" si="293"/>
        <v/>
      </c>
      <c r="W853" s="195" t="str">
        <f t="shared" si="294"/>
        <v/>
      </c>
      <c r="X853" s="196" t="str">
        <f t="shared" si="307"/>
        <v/>
      </c>
      <c r="Y853" s="191" t="str">
        <f t="shared" si="309"/>
        <v/>
      </c>
      <c r="Z853" s="197" t="str">
        <f t="shared" si="295"/>
        <v/>
      </c>
      <c r="AA853" s="197" t="str">
        <f t="shared" si="296"/>
        <v/>
      </c>
      <c r="AB853" s="213"/>
      <c r="AC853" s="204"/>
    </row>
    <row r="854" spans="1:29" ht="11.4">
      <c r="A854" s="211" t="str">
        <f t="shared" si="308"/>
        <v/>
      </c>
      <c r="B854" s="211"/>
      <c r="C854" s="185"/>
      <c r="D854" s="186" t="str">
        <f t="shared" si="297"/>
        <v/>
      </c>
      <c r="E854" s="186" t="str">
        <f>IF(OR(C854="",C854=Data!$B$3),"",IF(C854=Data!$B$4,"L","S"))</f>
        <v/>
      </c>
      <c r="F854" s="186" t="str">
        <f t="shared" si="298"/>
        <v/>
      </c>
      <c r="G854" s="187" t="str">
        <f t="shared" si="289"/>
        <v/>
      </c>
      <c r="H854" s="188"/>
      <c r="I854" s="189" t="str">
        <f t="shared" si="299"/>
        <v/>
      </c>
      <c r="J854" s="189" t="str">
        <f t="shared" si="300"/>
        <v/>
      </c>
      <c r="K854" s="190" t="str">
        <f t="shared" si="301"/>
        <v/>
      </c>
      <c r="L854" s="190" t="str">
        <f t="shared" si="302"/>
        <v/>
      </c>
      <c r="M854" s="214"/>
      <c r="N854" s="214"/>
      <c r="O854" s="189" t="str">
        <f t="shared" si="303"/>
        <v/>
      </c>
      <c r="P854" s="191" t="str">
        <f t="shared" si="290"/>
        <v/>
      </c>
      <c r="Q854" s="192" t="str">
        <f t="shared" si="304"/>
        <v/>
      </c>
      <c r="R854" s="191" t="str">
        <f t="shared" si="291"/>
        <v/>
      </c>
      <c r="S854" s="193" t="str">
        <f t="shared" si="305"/>
        <v/>
      </c>
      <c r="T854" s="194" t="str">
        <f t="shared" si="292"/>
        <v/>
      </c>
      <c r="U854" s="192" t="str">
        <f t="shared" si="306"/>
        <v/>
      </c>
      <c r="V854" s="195" t="str">
        <f t="shared" si="293"/>
        <v/>
      </c>
      <c r="W854" s="195" t="str">
        <f t="shared" si="294"/>
        <v/>
      </c>
      <c r="X854" s="196" t="str">
        <f t="shared" si="307"/>
        <v/>
      </c>
      <c r="Y854" s="191" t="str">
        <f t="shared" si="309"/>
        <v/>
      </c>
      <c r="Z854" s="197" t="str">
        <f t="shared" si="295"/>
        <v/>
      </c>
      <c r="AA854" s="197" t="str">
        <f t="shared" si="296"/>
        <v/>
      </c>
      <c r="AB854" s="213"/>
      <c r="AC854" s="204"/>
    </row>
    <row r="855" spans="1:29" ht="11.4">
      <c r="A855" s="211" t="str">
        <f t="shared" si="308"/>
        <v/>
      </c>
      <c r="B855" s="211"/>
      <c r="C855" s="185"/>
      <c r="D855" s="186" t="str">
        <f t="shared" si="297"/>
        <v/>
      </c>
      <c r="E855" s="186" t="str">
        <f>IF(OR(C855="",C855=Data!$B$3),"",IF(C855=Data!$B$4,"L","S"))</f>
        <v/>
      </c>
      <c r="F855" s="186" t="str">
        <f t="shared" si="298"/>
        <v/>
      </c>
      <c r="G855" s="187" t="str">
        <f t="shared" si="289"/>
        <v/>
      </c>
      <c r="H855" s="188"/>
      <c r="I855" s="189" t="str">
        <f t="shared" si="299"/>
        <v/>
      </c>
      <c r="J855" s="189" t="str">
        <f t="shared" si="300"/>
        <v/>
      </c>
      <c r="K855" s="190" t="str">
        <f t="shared" si="301"/>
        <v/>
      </c>
      <c r="L855" s="190" t="str">
        <f t="shared" si="302"/>
        <v/>
      </c>
      <c r="M855" s="214"/>
      <c r="N855" s="214"/>
      <c r="O855" s="189" t="str">
        <f t="shared" si="303"/>
        <v/>
      </c>
      <c r="P855" s="191" t="str">
        <f t="shared" si="290"/>
        <v/>
      </c>
      <c r="Q855" s="192" t="str">
        <f t="shared" si="304"/>
        <v/>
      </c>
      <c r="R855" s="191" t="str">
        <f t="shared" si="291"/>
        <v/>
      </c>
      <c r="S855" s="193" t="str">
        <f t="shared" si="305"/>
        <v/>
      </c>
      <c r="T855" s="194" t="str">
        <f t="shared" si="292"/>
        <v/>
      </c>
      <c r="U855" s="192" t="str">
        <f t="shared" si="306"/>
        <v/>
      </c>
      <c r="V855" s="195" t="str">
        <f t="shared" si="293"/>
        <v/>
      </c>
      <c r="W855" s="195" t="str">
        <f t="shared" si="294"/>
        <v/>
      </c>
      <c r="X855" s="196" t="str">
        <f t="shared" si="307"/>
        <v/>
      </c>
      <c r="Y855" s="191" t="str">
        <f t="shared" si="309"/>
        <v/>
      </c>
      <c r="Z855" s="197" t="str">
        <f t="shared" si="295"/>
        <v/>
      </c>
      <c r="AA855" s="197" t="str">
        <f t="shared" si="296"/>
        <v/>
      </c>
      <c r="AB855" s="213"/>
      <c r="AC855" s="204"/>
    </row>
    <row r="856" spans="1:29" ht="11.4">
      <c r="A856" s="211" t="str">
        <f t="shared" si="308"/>
        <v/>
      </c>
      <c r="B856" s="211"/>
      <c r="C856" s="185"/>
      <c r="D856" s="186" t="str">
        <f t="shared" si="297"/>
        <v/>
      </c>
      <c r="E856" s="186" t="str">
        <f>IF(OR(C856="",C856=Data!$B$3),"",IF(C856=Data!$B$4,"L","S"))</f>
        <v/>
      </c>
      <c r="F856" s="186" t="str">
        <f t="shared" si="298"/>
        <v/>
      </c>
      <c r="G856" s="187" t="str">
        <f t="shared" si="289"/>
        <v/>
      </c>
      <c r="H856" s="188"/>
      <c r="I856" s="189" t="str">
        <f t="shared" si="299"/>
        <v/>
      </c>
      <c r="J856" s="189" t="str">
        <f t="shared" si="300"/>
        <v/>
      </c>
      <c r="K856" s="190" t="str">
        <f t="shared" si="301"/>
        <v/>
      </c>
      <c r="L856" s="190" t="str">
        <f t="shared" si="302"/>
        <v/>
      </c>
      <c r="M856" s="214"/>
      <c r="N856" s="214"/>
      <c r="O856" s="189" t="str">
        <f t="shared" si="303"/>
        <v/>
      </c>
      <c r="P856" s="191" t="str">
        <f t="shared" si="290"/>
        <v/>
      </c>
      <c r="Q856" s="192" t="str">
        <f t="shared" si="304"/>
        <v/>
      </c>
      <c r="R856" s="191" t="str">
        <f t="shared" si="291"/>
        <v/>
      </c>
      <c r="S856" s="193" t="str">
        <f t="shared" si="305"/>
        <v/>
      </c>
      <c r="T856" s="194" t="str">
        <f t="shared" si="292"/>
        <v/>
      </c>
      <c r="U856" s="192" t="str">
        <f t="shared" si="306"/>
        <v/>
      </c>
      <c r="V856" s="195" t="str">
        <f t="shared" si="293"/>
        <v/>
      </c>
      <c r="W856" s="195" t="str">
        <f t="shared" si="294"/>
        <v/>
      </c>
      <c r="X856" s="196" t="str">
        <f t="shared" si="307"/>
        <v/>
      </c>
      <c r="Y856" s="191" t="str">
        <f t="shared" si="309"/>
        <v/>
      </c>
      <c r="Z856" s="197" t="str">
        <f t="shared" si="295"/>
        <v/>
      </c>
      <c r="AA856" s="197" t="str">
        <f t="shared" si="296"/>
        <v/>
      </c>
      <c r="AB856" s="213"/>
      <c r="AC856" s="204"/>
    </row>
    <row r="857" spans="1:29" ht="11.4">
      <c r="A857" s="211" t="str">
        <f t="shared" si="308"/>
        <v/>
      </c>
      <c r="B857" s="211"/>
      <c r="C857" s="185"/>
      <c r="D857" s="186" t="str">
        <f t="shared" si="297"/>
        <v/>
      </c>
      <c r="E857" s="186" t="str">
        <f>IF(OR(C857="",C857=Data!$B$3),"",IF(C857=Data!$B$4,"L","S"))</f>
        <v/>
      </c>
      <c r="F857" s="186" t="str">
        <f t="shared" si="298"/>
        <v/>
      </c>
      <c r="G857" s="187" t="str">
        <f t="shared" si="289"/>
        <v/>
      </c>
      <c r="H857" s="188"/>
      <c r="I857" s="189" t="str">
        <f t="shared" si="299"/>
        <v/>
      </c>
      <c r="J857" s="189" t="str">
        <f t="shared" si="300"/>
        <v/>
      </c>
      <c r="K857" s="190" t="str">
        <f t="shared" si="301"/>
        <v/>
      </c>
      <c r="L857" s="190" t="str">
        <f t="shared" si="302"/>
        <v/>
      </c>
      <c r="M857" s="214"/>
      <c r="N857" s="214"/>
      <c r="O857" s="189" t="str">
        <f t="shared" si="303"/>
        <v/>
      </c>
      <c r="P857" s="191" t="str">
        <f t="shared" si="290"/>
        <v/>
      </c>
      <c r="Q857" s="192" t="str">
        <f t="shared" si="304"/>
        <v/>
      </c>
      <c r="R857" s="191" t="str">
        <f t="shared" si="291"/>
        <v/>
      </c>
      <c r="S857" s="193" t="str">
        <f t="shared" si="305"/>
        <v/>
      </c>
      <c r="T857" s="194" t="str">
        <f t="shared" si="292"/>
        <v/>
      </c>
      <c r="U857" s="192" t="str">
        <f t="shared" si="306"/>
        <v/>
      </c>
      <c r="V857" s="195" t="str">
        <f t="shared" si="293"/>
        <v/>
      </c>
      <c r="W857" s="195" t="str">
        <f t="shared" si="294"/>
        <v/>
      </c>
      <c r="X857" s="196" t="str">
        <f t="shared" si="307"/>
        <v/>
      </c>
      <c r="Y857" s="191" t="str">
        <f t="shared" si="309"/>
        <v/>
      </c>
      <c r="Z857" s="197" t="str">
        <f t="shared" si="295"/>
        <v/>
      </c>
      <c r="AA857" s="197" t="str">
        <f t="shared" si="296"/>
        <v/>
      </c>
      <c r="AB857" s="213"/>
      <c r="AC857" s="204"/>
    </row>
    <row r="858" spans="1:29" ht="11.4">
      <c r="A858" s="211" t="str">
        <f t="shared" si="308"/>
        <v/>
      </c>
      <c r="B858" s="211"/>
      <c r="C858" s="185"/>
      <c r="D858" s="186" t="str">
        <f t="shared" si="297"/>
        <v/>
      </c>
      <c r="E858" s="186" t="str">
        <f>IF(OR(C858="",C858=Data!$B$3),"",IF(C858=Data!$B$4,"L","S"))</f>
        <v/>
      </c>
      <c r="F858" s="186" t="str">
        <f t="shared" si="298"/>
        <v/>
      </c>
      <c r="G858" s="187" t="str">
        <f t="shared" si="289"/>
        <v/>
      </c>
      <c r="H858" s="188"/>
      <c r="I858" s="189" t="str">
        <f t="shared" si="299"/>
        <v/>
      </c>
      <c r="J858" s="189" t="str">
        <f t="shared" si="300"/>
        <v/>
      </c>
      <c r="K858" s="190" t="str">
        <f t="shared" si="301"/>
        <v/>
      </c>
      <c r="L858" s="190" t="str">
        <f t="shared" si="302"/>
        <v/>
      </c>
      <c r="M858" s="214"/>
      <c r="N858" s="214"/>
      <c r="O858" s="189" t="str">
        <f t="shared" si="303"/>
        <v/>
      </c>
      <c r="P858" s="191" t="str">
        <f t="shared" si="290"/>
        <v/>
      </c>
      <c r="Q858" s="192" t="str">
        <f t="shared" si="304"/>
        <v/>
      </c>
      <c r="R858" s="191" t="str">
        <f t="shared" si="291"/>
        <v/>
      </c>
      <c r="S858" s="193" t="str">
        <f t="shared" si="305"/>
        <v/>
      </c>
      <c r="T858" s="194" t="str">
        <f t="shared" si="292"/>
        <v/>
      </c>
      <c r="U858" s="192" t="str">
        <f t="shared" si="306"/>
        <v/>
      </c>
      <c r="V858" s="195" t="str">
        <f t="shared" si="293"/>
        <v/>
      </c>
      <c r="W858" s="195" t="str">
        <f t="shared" si="294"/>
        <v/>
      </c>
      <c r="X858" s="196" t="str">
        <f t="shared" si="307"/>
        <v/>
      </c>
      <c r="Y858" s="191" t="str">
        <f t="shared" si="309"/>
        <v/>
      </c>
      <c r="Z858" s="197" t="str">
        <f t="shared" si="295"/>
        <v/>
      </c>
      <c r="AA858" s="197" t="str">
        <f t="shared" si="296"/>
        <v/>
      </c>
      <c r="AB858" s="213"/>
      <c r="AC858" s="204"/>
    </row>
    <row r="859" spans="1:29" ht="11.4">
      <c r="A859" s="211" t="str">
        <f t="shared" si="308"/>
        <v/>
      </c>
      <c r="B859" s="211"/>
      <c r="C859" s="185"/>
      <c r="D859" s="186" t="str">
        <f t="shared" si="297"/>
        <v/>
      </c>
      <c r="E859" s="186" t="str">
        <f>IF(OR(C859="",C859=Data!$B$3),"",IF(C859=Data!$B$4,"L","S"))</f>
        <v/>
      </c>
      <c r="F859" s="186" t="str">
        <f t="shared" si="298"/>
        <v/>
      </c>
      <c r="G859" s="187" t="str">
        <f t="shared" si="289"/>
        <v/>
      </c>
      <c r="H859" s="188"/>
      <c r="I859" s="189" t="str">
        <f t="shared" si="299"/>
        <v/>
      </c>
      <c r="J859" s="189" t="str">
        <f t="shared" si="300"/>
        <v/>
      </c>
      <c r="K859" s="190" t="str">
        <f t="shared" si="301"/>
        <v/>
      </c>
      <c r="L859" s="190" t="str">
        <f t="shared" si="302"/>
        <v/>
      </c>
      <c r="M859" s="214"/>
      <c r="N859" s="214"/>
      <c r="O859" s="189" t="str">
        <f t="shared" si="303"/>
        <v/>
      </c>
      <c r="P859" s="191" t="str">
        <f t="shared" si="290"/>
        <v/>
      </c>
      <c r="Q859" s="192" t="str">
        <f t="shared" si="304"/>
        <v/>
      </c>
      <c r="R859" s="191" t="str">
        <f t="shared" si="291"/>
        <v/>
      </c>
      <c r="S859" s="193" t="str">
        <f t="shared" si="305"/>
        <v/>
      </c>
      <c r="T859" s="194" t="str">
        <f t="shared" si="292"/>
        <v/>
      </c>
      <c r="U859" s="192" t="str">
        <f t="shared" si="306"/>
        <v/>
      </c>
      <c r="V859" s="195" t="str">
        <f t="shared" si="293"/>
        <v/>
      </c>
      <c r="W859" s="195" t="str">
        <f t="shared" si="294"/>
        <v/>
      </c>
      <c r="X859" s="196" t="str">
        <f t="shared" si="307"/>
        <v/>
      </c>
      <c r="Y859" s="191" t="str">
        <f t="shared" si="309"/>
        <v/>
      </c>
      <c r="Z859" s="197" t="str">
        <f t="shared" si="295"/>
        <v/>
      </c>
      <c r="AA859" s="197" t="str">
        <f t="shared" si="296"/>
        <v/>
      </c>
      <c r="AB859" s="213"/>
      <c r="AC859" s="204"/>
    </row>
    <row r="860" spans="1:29" ht="11.4">
      <c r="A860" s="211" t="str">
        <f t="shared" si="308"/>
        <v/>
      </c>
      <c r="B860" s="211"/>
      <c r="C860" s="185"/>
      <c r="D860" s="186" t="str">
        <f t="shared" si="297"/>
        <v/>
      </c>
      <c r="E860" s="186" t="str">
        <f>IF(OR(C860="",C860=Data!$B$3),"",IF(C860=Data!$B$4,"L","S"))</f>
        <v/>
      </c>
      <c r="F860" s="186" t="str">
        <f t="shared" si="298"/>
        <v/>
      </c>
      <c r="G860" s="187" t="str">
        <f t="shared" si="289"/>
        <v/>
      </c>
      <c r="H860" s="188"/>
      <c r="I860" s="189" t="str">
        <f t="shared" si="299"/>
        <v/>
      </c>
      <c r="J860" s="189" t="str">
        <f t="shared" si="300"/>
        <v/>
      </c>
      <c r="K860" s="190" t="str">
        <f t="shared" si="301"/>
        <v/>
      </c>
      <c r="L860" s="190" t="str">
        <f t="shared" si="302"/>
        <v/>
      </c>
      <c r="M860" s="214"/>
      <c r="N860" s="214"/>
      <c r="O860" s="189" t="str">
        <f t="shared" si="303"/>
        <v/>
      </c>
      <c r="P860" s="191" t="str">
        <f t="shared" si="290"/>
        <v/>
      </c>
      <c r="Q860" s="192" t="str">
        <f t="shared" si="304"/>
        <v/>
      </c>
      <c r="R860" s="191" t="str">
        <f t="shared" si="291"/>
        <v/>
      </c>
      <c r="S860" s="193" t="str">
        <f t="shared" si="305"/>
        <v/>
      </c>
      <c r="T860" s="194" t="str">
        <f t="shared" si="292"/>
        <v/>
      </c>
      <c r="U860" s="192" t="str">
        <f t="shared" si="306"/>
        <v/>
      </c>
      <c r="V860" s="195" t="str">
        <f t="shared" si="293"/>
        <v/>
      </c>
      <c r="W860" s="195" t="str">
        <f t="shared" si="294"/>
        <v/>
      </c>
      <c r="X860" s="196" t="str">
        <f t="shared" si="307"/>
        <v/>
      </c>
      <c r="Y860" s="191" t="str">
        <f t="shared" si="309"/>
        <v/>
      </c>
      <c r="Z860" s="197" t="str">
        <f t="shared" si="295"/>
        <v/>
      </c>
      <c r="AA860" s="197" t="str">
        <f t="shared" si="296"/>
        <v/>
      </c>
      <c r="AB860" s="213"/>
      <c r="AC860" s="204"/>
    </row>
    <row r="861" spans="1:29" ht="11.4">
      <c r="A861" s="211" t="str">
        <f t="shared" si="308"/>
        <v/>
      </c>
      <c r="B861" s="211"/>
      <c r="C861" s="185"/>
      <c r="D861" s="186" t="str">
        <f t="shared" si="297"/>
        <v/>
      </c>
      <c r="E861" s="186" t="str">
        <f>IF(OR(C861="",C861=Data!$B$3),"",IF(C861=Data!$B$4,"L","S"))</f>
        <v/>
      </c>
      <c r="F861" s="186" t="str">
        <f t="shared" si="298"/>
        <v/>
      </c>
      <c r="G861" s="187" t="str">
        <f t="shared" si="289"/>
        <v/>
      </c>
      <c r="H861" s="188"/>
      <c r="I861" s="189" t="str">
        <f t="shared" si="299"/>
        <v/>
      </c>
      <c r="J861" s="189" t="str">
        <f t="shared" si="300"/>
        <v/>
      </c>
      <c r="K861" s="190" t="str">
        <f t="shared" si="301"/>
        <v/>
      </c>
      <c r="L861" s="190" t="str">
        <f t="shared" si="302"/>
        <v/>
      </c>
      <c r="M861" s="214"/>
      <c r="N861" s="214"/>
      <c r="O861" s="189" t="str">
        <f t="shared" si="303"/>
        <v/>
      </c>
      <c r="P861" s="191" t="str">
        <f t="shared" si="290"/>
        <v/>
      </c>
      <c r="Q861" s="192" t="str">
        <f t="shared" si="304"/>
        <v/>
      </c>
      <c r="R861" s="191" t="str">
        <f t="shared" si="291"/>
        <v/>
      </c>
      <c r="S861" s="193" t="str">
        <f t="shared" si="305"/>
        <v/>
      </c>
      <c r="T861" s="194" t="str">
        <f t="shared" si="292"/>
        <v/>
      </c>
      <c r="U861" s="192" t="str">
        <f t="shared" si="306"/>
        <v/>
      </c>
      <c r="V861" s="195" t="str">
        <f t="shared" si="293"/>
        <v/>
      </c>
      <c r="W861" s="195" t="str">
        <f t="shared" si="294"/>
        <v/>
      </c>
      <c r="X861" s="196" t="str">
        <f t="shared" si="307"/>
        <v/>
      </c>
      <c r="Y861" s="191" t="str">
        <f t="shared" si="309"/>
        <v/>
      </c>
      <c r="Z861" s="197" t="str">
        <f t="shared" si="295"/>
        <v/>
      </c>
      <c r="AA861" s="197" t="str">
        <f t="shared" si="296"/>
        <v/>
      </c>
      <c r="AB861" s="213"/>
      <c r="AC861" s="204"/>
    </row>
    <row r="862" spans="1:29" ht="11.4">
      <c r="A862" s="211" t="str">
        <f t="shared" si="308"/>
        <v/>
      </c>
      <c r="B862" s="211"/>
      <c r="C862" s="185"/>
      <c r="D862" s="186" t="str">
        <f t="shared" si="297"/>
        <v/>
      </c>
      <c r="E862" s="186" t="str">
        <f>IF(OR(C862="",C862=Data!$B$3),"",IF(C862=Data!$B$4,"L","S"))</f>
        <v/>
      </c>
      <c r="F862" s="186" t="str">
        <f t="shared" si="298"/>
        <v/>
      </c>
      <c r="G862" s="187" t="str">
        <f t="shared" si="289"/>
        <v/>
      </c>
      <c r="H862" s="188"/>
      <c r="I862" s="189" t="str">
        <f t="shared" si="299"/>
        <v/>
      </c>
      <c r="J862" s="189" t="str">
        <f t="shared" si="300"/>
        <v/>
      </c>
      <c r="K862" s="190" t="str">
        <f t="shared" si="301"/>
        <v/>
      </c>
      <c r="L862" s="190" t="str">
        <f t="shared" si="302"/>
        <v/>
      </c>
      <c r="M862" s="214"/>
      <c r="N862" s="214"/>
      <c r="O862" s="189" t="str">
        <f t="shared" si="303"/>
        <v/>
      </c>
      <c r="P862" s="191" t="str">
        <f t="shared" si="290"/>
        <v/>
      </c>
      <c r="Q862" s="192" t="str">
        <f t="shared" si="304"/>
        <v/>
      </c>
      <c r="R862" s="191" t="str">
        <f t="shared" si="291"/>
        <v/>
      </c>
      <c r="S862" s="193" t="str">
        <f t="shared" si="305"/>
        <v/>
      </c>
      <c r="T862" s="194" t="str">
        <f t="shared" si="292"/>
        <v/>
      </c>
      <c r="U862" s="192" t="str">
        <f t="shared" si="306"/>
        <v/>
      </c>
      <c r="V862" s="195" t="str">
        <f t="shared" si="293"/>
        <v/>
      </c>
      <c r="W862" s="195" t="str">
        <f t="shared" si="294"/>
        <v/>
      </c>
      <c r="X862" s="196" t="str">
        <f t="shared" si="307"/>
        <v/>
      </c>
      <c r="Y862" s="191" t="str">
        <f t="shared" si="309"/>
        <v/>
      </c>
      <c r="Z862" s="197" t="str">
        <f t="shared" si="295"/>
        <v/>
      </c>
      <c r="AA862" s="197" t="str">
        <f t="shared" si="296"/>
        <v/>
      </c>
      <c r="AB862" s="213"/>
      <c r="AC862" s="204"/>
    </row>
    <row r="863" spans="1:29" ht="11.4">
      <c r="A863" s="211" t="str">
        <f t="shared" si="308"/>
        <v/>
      </c>
      <c r="B863" s="211"/>
      <c r="C863" s="185"/>
      <c r="D863" s="186" t="str">
        <f t="shared" si="297"/>
        <v/>
      </c>
      <c r="E863" s="186" t="str">
        <f>IF(OR(C863="",C863=Data!$B$3),"",IF(C863=Data!$B$4,"L","S"))</f>
        <v/>
      </c>
      <c r="F863" s="186" t="str">
        <f t="shared" si="298"/>
        <v/>
      </c>
      <c r="G863" s="187" t="str">
        <f t="shared" si="289"/>
        <v/>
      </c>
      <c r="H863" s="188"/>
      <c r="I863" s="189" t="str">
        <f t="shared" si="299"/>
        <v/>
      </c>
      <c r="J863" s="189" t="str">
        <f t="shared" si="300"/>
        <v/>
      </c>
      <c r="K863" s="190" t="str">
        <f t="shared" si="301"/>
        <v/>
      </c>
      <c r="L863" s="190" t="str">
        <f t="shared" si="302"/>
        <v/>
      </c>
      <c r="M863" s="214"/>
      <c r="N863" s="214"/>
      <c r="O863" s="189" t="str">
        <f t="shared" si="303"/>
        <v/>
      </c>
      <c r="P863" s="191" t="str">
        <f t="shared" si="290"/>
        <v/>
      </c>
      <c r="Q863" s="192" t="str">
        <f t="shared" si="304"/>
        <v/>
      </c>
      <c r="R863" s="191" t="str">
        <f t="shared" si="291"/>
        <v/>
      </c>
      <c r="S863" s="193" t="str">
        <f t="shared" si="305"/>
        <v/>
      </c>
      <c r="T863" s="194" t="str">
        <f t="shared" si="292"/>
        <v/>
      </c>
      <c r="U863" s="192" t="str">
        <f t="shared" si="306"/>
        <v/>
      </c>
      <c r="V863" s="195" t="str">
        <f t="shared" si="293"/>
        <v/>
      </c>
      <c r="W863" s="195" t="str">
        <f t="shared" si="294"/>
        <v/>
      </c>
      <c r="X863" s="196" t="str">
        <f t="shared" si="307"/>
        <v/>
      </c>
      <c r="Y863" s="191" t="str">
        <f t="shared" si="309"/>
        <v/>
      </c>
      <c r="Z863" s="197" t="str">
        <f t="shared" si="295"/>
        <v/>
      </c>
      <c r="AA863" s="197" t="str">
        <f t="shared" si="296"/>
        <v/>
      </c>
      <c r="AB863" s="213"/>
      <c r="AC863" s="204"/>
    </row>
    <row r="864" spans="1:29" ht="11.4">
      <c r="A864" s="211" t="str">
        <f t="shared" si="308"/>
        <v/>
      </c>
      <c r="B864" s="211"/>
      <c r="C864" s="185"/>
      <c r="D864" s="186" t="str">
        <f t="shared" si="297"/>
        <v/>
      </c>
      <c r="E864" s="186" t="str">
        <f>IF(OR(C864="",C864=Data!$B$3),"",IF(C864=Data!$B$4,"L","S"))</f>
        <v/>
      </c>
      <c r="F864" s="186" t="str">
        <f t="shared" si="298"/>
        <v/>
      </c>
      <c r="G864" s="187" t="str">
        <f t="shared" si="289"/>
        <v/>
      </c>
      <c r="H864" s="188"/>
      <c r="I864" s="189" t="str">
        <f t="shared" si="299"/>
        <v/>
      </c>
      <c r="J864" s="189" t="str">
        <f t="shared" si="300"/>
        <v/>
      </c>
      <c r="K864" s="190" t="str">
        <f t="shared" si="301"/>
        <v/>
      </c>
      <c r="L864" s="190" t="str">
        <f t="shared" si="302"/>
        <v/>
      </c>
      <c r="M864" s="214"/>
      <c r="N864" s="214"/>
      <c r="O864" s="189" t="str">
        <f t="shared" si="303"/>
        <v/>
      </c>
      <c r="P864" s="191" t="str">
        <f t="shared" si="290"/>
        <v/>
      </c>
      <c r="Q864" s="192" t="str">
        <f t="shared" si="304"/>
        <v/>
      </c>
      <c r="R864" s="191" t="str">
        <f t="shared" si="291"/>
        <v/>
      </c>
      <c r="S864" s="193" t="str">
        <f t="shared" si="305"/>
        <v/>
      </c>
      <c r="T864" s="194" t="str">
        <f t="shared" si="292"/>
        <v/>
      </c>
      <c r="U864" s="192" t="str">
        <f t="shared" si="306"/>
        <v/>
      </c>
      <c r="V864" s="195" t="str">
        <f t="shared" si="293"/>
        <v/>
      </c>
      <c r="W864" s="195" t="str">
        <f t="shared" si="294"/>
        <v/>
      </c>
      <c r="X864" s="196" t="str">
        <f t="shared" si="307"/>
        <v/>
      </c>
      <c r="Y864" s="191" t="str">
        <f t="shared" si="309"/>
        <v/>
      </c>
      <c r="Z864" s="197" t="str">
        <f t="shared" si="295"/>
        <v/>
      </c>
      <c r="AA864" s="197" t="str">
        <f t="shared" si="296"/>
        <v/>
      </c>
      <c r="AB864" s="213"/>
      <c r="AC864" s="204"/>
    </row>
    <row r="865" spans="1:29" ht="11.4">
      <c r="A865" s="211" t="str">
        <f t="shared" si="308"/>
        <v/>
      </c>
      <c r="B865" s="211"/>
      <c r="C865" s="185"/>
      <c r="D865" s="186" t="str">
        <f t="shared" si="297"/>
        <v/>
      </c>
      <c r="E865" s="186" t="str">
        <f>IF(OR(C865="",C865=Data!$B$3),"",IF(C865=Data!$B$4,"L","S"))</f>
        <v/>
      </c>
      <c r="F865" s="186" t="str">
        <f t="shared" si="298"/>
        <v/>
      </c>
      <c r="G865" s="187" t="str">
        <f t="shared" si="289"/>
        <v/>
      </c>
      <c r="H865" s="188"/>
      <c r="I865" s="189" t="str">
        <f t="shared" si="299"/>
        <v/>
      </c>
      <c r="J865" s="189" t="str">
        <f t="shared" si="300"/>
        <v/>
      </c>
      <c r="K865" s="190" t="str">
        <f t="shared" si="301"/>
        <v/>
      </c>
      <c r="L865" s="190" t="str">
        <f t="shared" si="302"/>
        <v/>
      </c>
      <c r="M865" s="214"/>
      <c r="N865" s="214"/>
      <c r="O865" s="189" t="str">
        <f t="shared" si="303"/>
        <v/>
      </c>
      <c r="P865" s="191" t="str">
        <f t="shared" si="290"/>
        <v/>
      </c>
      <c r="Q865" s="192" t="str">
        <f t="shared" si="304"/>
        <v/>
      </c>
      <c r="R865" s="191" t="str">
        <f t="shared" si="291"/>
        <v/>
      </c>
      <c r="S865" s="193" t="str">
        <f t="shared" si="305"/>
        <v/>
      </c>
      <c r="T865" s="194" t="str">
        <f t="shared" si="292"/>
        <v/>
      </c>
      <c r="U865" s="192" t="str">
        <f t="shared" si="306"/>
        <v/>
      </c>
      <c r="V865" s="195" t="str">
        <f t="shared" si="293"/>
        <v/>
      </c>
      <c r="W865" s="195" t="str">
        <f t="shared" si="294"/>
        <v/>
      </c>
      <c r="X865" s="196" t="str">
        <f t="shared" si="307"/>
        <v/>
      </c>
      <c r="Y865" s="191" t="str">
        <f t="shared" si="309"/>
        <v/>
      </c>
      <c r="Z865" s="197" t="str">
        <f t="shared" si="295"/>
        <v/>
      </c>
      <c r="AA865" s="197" t="str">
        <f t="shared" si="296"/>
        <v/>
      </c>
      <c r="AB865" s="213"/>
      <c r="AC865" s="204"/>
    </row>
    <row r="866" spans="1:29" ht="11.4">
      <c r="A866" s="211" t="str">
        <f t="shared" si="308"/>
        <v/>
      </c>
      <c r="B866" s="211"/>
      <c r="C866" s="185"/>
      <c r="D866" s="186" t="str">
        <f t="shared" si="297"/>
        <v/>
      </c>
      <c r="E866" s="186" t="str">
        <f>IF(OR(C866="",C866=Data!$B$3),"",IF(C866=Data!$B$4,"L","S"))</f>
        <v/>
      </c>
      <c r="F866" s="186" t="str">
        <f t="shared" si="298"/>
        <v/>
      </c>
      <c r="G866" s="187" t="str">
        <f t="shared" si="289"/>
        <v/>
      </c>
      <c r="H866" s="188"/>
      <c r="I866" s="189" t="str">
        <f t="shared" si="299"/>
        <v/>
      </c>
      <c r="J866" s="189" t="str">
        <f t="shared" si="300"/>
        <v/>
      </c>
      <c r="K866" s="190" t="str">
        <f t="shared" si="301"/>
        <v/>
      </c>
      <c r="L866" s="190" t="str">
        <f t="shared" si="302"/>
        <v/>
      </c>
      <c r="M866" s="214"/>
      <c r="N866" s="214"/>
      <c r="O866" s="189" t="str">
        <f t="shared" si="303"/>
        <v/>
      </c>
      <c r="P866" s="191" t="str">
        <f t="shared" si="290"/>
        <v/>
      </c>
      <c r="Q866" s="192" t="str">
        <f t="shared" si="304"/>
        <v/>
      </c>
      <c r="R866" s="191" t="str">
        <f t="shared" si="291"/>
        <v/>
      </c>
      <c r="S866" s="193" t="str">
        <f t="shared" si="305"/>
        <v/>
      </c>
      <c r="T866" s="194" t="str">
        <f t="shared" si="292"/>
        <v/>
      </c>
      <c r="U866" s="192" t="str">
        <f t="shared" si="306"/>
        <v/>
      </c>
      <c r="V866" s="195" t="str">
        <f t="shared" si="293"/>
        <v/>
      </c>
      <c r="W866" s="195" t="str">
        <f t="shared" si="294"/>
        <v/>
      </c>
      <c r="X866" s="196" t="str">
        <f t="shared" si="307"/>
        <v/>
      </c>
      <c r="Y866" s="191" t="str">
        <f t="shared" si="309"/>
        <v/>
      </c>
      <c r="Z866" s="197" t="str">
        <f t="shared" si="295"/>
        <v/>
      </c>
      <c r="AA866" s="197" t="str">
        <f t="shared" si="296"/>
        <v/>
      </c>
      <c r="AB866" s="213"/>
      <c r="AC866" s="204"/>
    </row>
    <row r="867" spans="1:29" ht="11.4">
      <c r="A867" s="211" t="str">
        <f t="shared" si="308"/>
        <v/>
      </c>
      <c r="B867" s="211"/>
      <c r="C867" s="185"/>
      <c r="D867" s="186" t="str">
        <f t="shared" si="297"/>
        <v/>
      </c>
      <c r="E867" s="186" t="str">
        <f>IF(OR(C867="",C867=Data!$B$3),"",IF(C867=Data!$B$4,"L","S"))</f>
        <v/>
      </c>
      <c r="F867" s="186" t="str">
        <f t="shared" si="298"/>
        <v/>
      </c>
      <c r="G867" s="187" t="str">
        <f t="shared" si="289"/>
        <v/>
      </c>
      <c r="H867" s="188"/>
      <c r="I867" s="189" t="str">
        <f t="shared" si="299"/>
        <v/>
      </c>
      <c r="J867" s="189" t="str">
        <f t="shared" si="300"/>
        <v/>
      </c>
      <c r="K867" s="190" t="str">
        <f t="shared" si="301"/>
        <v/>
      </c>
      <c r="L867" s="190" t="str">
        <f t="shared" si="302"/>
        <v/>
      </c>
      <c r="M867" s="214"/>
      <c r="N867" s="214"/>
      <c r="O867" s="189" t="str">
        <f t="shared" si="303"/>
        <v/>
      </c>
      <c r="P867" s="191" t="str">
        <f t="shared" si="290"/>
        <v/>
      </c>
      <c r="Q867" s="192" t="str">
        <f t="shared" si="304"/>
        <v/>
      </c>
      <c r="R867" s="191" t="str">
        <f t="shared" si="291"/>
        <v/>
      </c>
      <c r="S867" s="193" t="str">
        <f t="shared" si="305"/>
        <v/>
      </c>
      <c r="T867" s="194" t="str">
        <f t="shared" si="292"/>
        <v/>
      </c>
      <c r="U867" s="192" t="str">
        <f t="shared" si="306"/>
        <v/>
      </c>
      <c r="V867" s="195" t="str">
        <f t="shared" si="293"/>
        <v/>
      </c>
      <c r="W867" s="195" t="str">
        <f t="shared" si="294"/>
        <v/>
      </c>
      <c r="X867" s="196" t="str">
        <f t="shared" si="307"/>
        <v/>
      </c>
      <c r="Y867" s="191" t="str">
        <f t="shared" si="309"/>
        <v/>
      </c>
      <c r="Z867" s="197" t="str">
        <f t="shared" si="295"/>
        <v/>
      </c>
      <c r="AA867" s="197" t="str">
        <f t="shared" si="296"/>
        <v/>
      </c>
      <c r="AB867" s="213"/>
      <c r="AC867" s="204"/>
    </row>
    <row r="868" spans="1:29" ht="11.4">
      <c r="A868" s="211" t="str">
        <f t="shared" si="308"/>
        <v/>
      </c>
      <c r="B868" s="211"/>
      <c r="C868" s="185"/>
      <c r="D868" s="186" t="str">
        <f t="shared" si="297"/>
        <v/>
      </c>
      <c r="E868" s="186" t="str">
        <f>IF(OR(C868="",C868=Data!$B$3),"",IF(C868=Data!$B$4,"L","S"))</f>
        <v/>
      </c>
      <c r="F868" s="186" t="str">
        <f t="shared" si="298"/>
        <v/>
      </c>
      <c r="G868" s="187" t="str">
        <f t="shared" si="289"/>
        <v/>
      </c>
      <c r="H868" s="188"/>
      <c r="I868" s="189" t="str">
        <f t="shared" si="299"/>
        <v/>
      </c>
      <c r="J868" s="189" t="str">
        <f t="shared" si="300"/>
        <v/>
      </c>
      <c r="K868" s="190" t="str">
        <f t="shared" si="301"/>
        <v/>
      </c>
      <c r="L868" s="190" t="str">
        <f t="shared" si="302"/>
        <v/>
      </c>
      <c r="M868" s="214"/>
      <c r="N868" s="214"/>
      <c r="O868" s="189" t="str">
        <f t="shared" si="303"/>
        <v/>
      </c>
      <c r="P868" s="191" t="str">
        <f t="shared" si="290"/>
        <v/>
      </c>
      <c r="Q868" s="192" t="str">
        <f t="shared" si="304"/>
        <v/>
      </c>
      <c r="R868" s="191" t="str">
        <f t="shared" si="291"/>
        <v/>
      </c>
      <c r="S868" s="193" t="str">
        <f t="shared" si="305"/>
        <v/>
      </c>
      <c r="T868" s="194" t="str">
        <f t="shared" si="292"/>
        <v/>
      </c>
      <c r="U868" s="192" t="str">
        <f t="shared" si="306"/>
        <v/>
      </c>
      <c r="V868" s="195" t="str">
        <f t="shared" si="293"/>
        <v/>
      </c>
      <c r="W868" s="195" t="str">
        <f t="shared" si="294"/>
        <v/>
      </c>
      <c r="X868" s="196" t="str">
        <f t="shared" si="307"/>
        <v/>
      </c>
      <c r="Y868" s="191" t="str">
        <f t="shared" si="309"/>
        <v/>
      </c>
      <c r="Z868" s="197" t="str">
        <f t="shared" si="295"/>
        <v/>
      </c>
      <c r="AA868" s="197" t="str">
        <f t="shared" si="296"/>
        <v/>
      </c>
      <c r="AB868" s="213"/>
      <c r="AC868" s="204"/>
    </row>
    <row r="869" spans="1:29" ht="11.4">
      <c r="A869" s="211" t="str">
        <f t="shared" si="308"/>
        <v/>
      </c>
      <c r="B869" s="211"/>
      <c r="C869" s="185"/>
      <c r="D869" s="186" t="str">
        <f t="shared" si="297"/>
        <v/>
      </c>
      <c r="E869" s="186" t="str">
        <f>IF(OR(C869="",C869=Data!$B$3),"",IF(C869=Data!$B$4,"L","S"))</f>
        <v/>
      </c>
      <c r="F869" s="186" t="str">
        <f t="shared" si="298"/>
        <v/>
      </c>
      <c r="G869" s="187" t="str">
        <f t="shared" si="289"/>
        <v/>
      </c>
      <c r="H869" s="188"/>
      <c r="I869" s="189" t="str">
        <f t="shared" si="299"/>
        <v/>
      </c>
      <c r="J869" s="189" t="str">
        <f t="shared" si="300"/>
        <v/>
      </c>
      <c r="K869" s="190" t="str">
        <f t="shared" si="301"/>
        <v/>
      </c>
      <c r="L869" s="190" t="str">
        <f t="shared" si="302"/>
        <v/>
      </c>
      <c r="M869" s="214"/>
      <c r="N869" s="214"/>
      <c r="O869" s="189" t="str">
        <f t="shared" si="303"/>
        <v/>
      </c>
      <c r="P869" s="191" t="str">
        <f t="shared" si="290"/>
        <v/>
      </c>
      <c r="Q869" s="192" t="str">
        <f t="shared" si="304"/>
        <v/>
      </c>
      <c r="R869" s="191" t="str">
        <f t="shared" si="291"/>
        <v/>
      </c>
      <c r="S869" s="193" t="str">
        <f t="shared" si="305"/>
        <v/>
      </c>
      <c r="T869" s="194" t="str">
        <f t="shared" si="292"/>
        <v/>
      </c>
      <c r="U869" s="192" t="str">
        <f t="shared" si="306"/>
        <v/>
      </c>
      <c r="V869" s="195" t="str">
        <f t="shared" si="293"/>
        <v/>
      </c>
      <c r="W869" s="195" t="str">
        <f t="shared" si="294"/>
        <v/>
      </c>
      <c r="X869" s="196" t="str">
        <f t="shared" si="307"/>
        <v/>
      </c>
      <c r="Y869" s="191" t="str">
        <f t="shared" si="309"/>
        <v/>
      </c>
      <c r="Z869" s="197" t="str">
        <f t="shared" si="295"/>
        <v/>
      </c>
      <c r="AA869" s="197" t="str">
        <f t="shared" si="296"/>
        <v/>
      </c>
      <c r="AB869" s="213"/>
      <c r="AC869" s="204"/>
    </row>
    <row r="870" spans="1:29" ht="11.4">
      <c r="A870" s="211" t="str">
        <f t="shared" si="308"/>
        <v/>
      </c>
      <c r="B870" s="211"/>
      <c r="C870" s="185"/>
      <c r="D870" s="186" t="str">
        <f t="shared" si="297"/>
        <v/>
      </c>
      <c r="E870" s="186" t="str">
        <f>IF(OR(C870="",C870=Data!$B$3),"",IF(C870=Data!$B$4,"L","S"))</f>
        <v/>
      </c>
      <c r="F870" s="186" t="str">
        <f t="shared" si="298"/>
        <v/>
      </c>
      <c r="G870" s="187" t="str">
        <f t="shared" si="289"/>
        <v/>
      </c>
      <c r="H870" s="188"/>
      <c r="I870" s="189" t="str">
        <f t="shared" si="299"/>
        <v/>
      </c>
      <c r="J870" s="189" t="str">
        <f t="shared" si="300"/>
        <v/>
      </c>
      <c r="K870" s="190" t="str">
        <f t="shared" si="301"/>
        <v/>
      </c>
      <c r="L870" s="190" t="str">
        <f t="shared" si="302"/>
        <v/>
      </c>
      <c r="M870" s="214"/>
      <c r="N870" s="214"/>
      <c r="O870" s="189" t="str">
        <f t="shared" si="303"/>
        <v/>
      </c>
      <c r="P870" s="191" t="str">
        <f t="shared" si="290"/>
        <v/>
      </c>
      <c r="Q870" s="192" t="str">
        <f t="shared" si="304"/>
        <v/>
      </c>
      <c r="R870" s="191" t="str">
        <f t="shared" si="291"/>
        <v/>
      </c>
      <c r="S870" s="193" t="str">
        <f t="shared" si="305"/>
        <v/>
      </c>
      <c r="T870" s="194" t="str">
        <f t="shared" si="292"/>
        <v/>
      </c>
      <c r="U870" s="192" t="str">
        <f t="shared" si="306"/>
        <v/>
      </c>
      <c r="V870" s="195" t="str">
        <f t="shared" si="293"/>
        <v/>
      </c>
      <c r="W870" s="195" t="str">
        <f t="shared" si="294"/>
        <v/>
      </c>
      <c r="X870" s="196" t="str">
        <f t="shared" si="307"/>
        <v/>
      </c>
      <c r="Y870" s="191" t="str">
        <f t="shared" si="309"/>
        <v/>
      </c>
      <c r="Z870" s="197" t="str">
        <f t="shared" si="295"/>
        <v/>
      </c>
      <c r="AA870" s="197" t="str">
        <f t="shared" si="296"/>
        <v/>
      </c>
      <c r="AB870" s="213"/>
      <c r="AC870" s="204"/>
    </row>
    <row r="871" spans="1:29" ht="11.4">
      <c r="A871" s="211" t="str">
        <f t="shared" si="308"/>
        <v/>
      </c>
      <c r="B871" s="211"/>
      <c r="C871" s="185"/>
      <c r="D871" s="186" t="str">
        <f t="shared" si="297"/>
        <v/>
      </c>
      <c r="E871" s="186" t="str">
        <f>IF(OR(C871="",C871=Data!$B$3),"",IF(C871=Data!$B$4,"L","S"))</f>
        <v/>
      </c>
      <c r="F871" s="186" t="str">
        <f t="shared" si="298"/>
        <v/>
      </c>
      <c r="G871" s="187" t="str">
        <f t="shared" si="289"/>
        <v/>
      </c>
      <c r="H871" s="188"/>
      <c r="I871" s="189" t="str">
        <f t="shared" si="299"/>
        <v/>
      </c>
      <c r="J871" s="189" t="str">
        <f t="shared" si="300"/>
        <v/>
      </c>
      <c r="K871" s="190" t="str">
        <f t="shared" si="301"/>
        <v/>
      </c>
      <c r="L871" s="190" t="str">
        <f t="shared" si="302"/>
        <v/>
      </c>
      <c r="M871" s="214"/>
      <c r="N871" s="214"/>
      <c r="O871" s="189" t="str">
        <f t="shared" si="303"/>
        <v/>
      </c>
      <c r="P871" s="191" t="str">
        <f t="shared" si="290"/>
        <v/>
      </c>
      <c r="Q871" s="192" t="str">
        <f t="shared" si="304"/>
        <v/>
      </c>
      <c r="R871" s="191" t="str">
        <f t="shared" si="291"/>
        <v/>
      </c>
      <c r="S871" s="193" t="str">
        <f t="shared" si="305"/>
        <v/>
      </c>
      <c r="T871" s="194" t="str">
        <f t="shared" si="292"/>
        <v/>
      </c>
      <c r="U871" s="192" t="str">
        <f t="shared" si="306"/>
        <v/>
      </c>
      <c r="V871" s="195" t="str">
        <f t="shared" si="293"/>
        <v/>
      </c>
      <c r="W871" s="195" t="str">
        <f t="shared" si="294"/>
        <v/>
      </c>
      <c r="X871" s="196" t="str">
        <f t="shared" si="307"/>
        <v/>
      </c>
      <c r="Y871" s="191" t="str">
        <f t="shared" si="309"/>
        <v/>
      </c>
      <c r="Z871" s="197" t="str">
        <f t="shared" si="295"/>
        <v/>
      </c>
      <c r="AA871" s="197" t="str">
        <f t="shared" si="296"/>
        <v/>
      </c>
      <c r="AB871" s="213"/>
      <c r="AC871" s="204"/>
    </row>
    <row r="872" spans="1:29" ht="11.4">
      <c r="A872" s="211" t="str">
        <f t="shared" si="308"/>
        <v/>
      </c>
      <c r="B872" s="211"/>
      <c r="C872" s="185"/>
      <c r="D872" s="186" t="str">
        <f t="shared" si="297"/>
        <v/>
      </c>
      <c r="E872" s="186" t="str">
        <f>IF(OR(C872="",C872=Data!$B$3),"",IF(C872=Data!$B$4,"L","S"))</f>
        <v/>
      </c>
      <c r="F872" s="186" t="str">
        <f t="shared" si="298"/>
        <v/>
      </c>
      <c r="G872" s="187" t="str">
        <f t="shared" si="289"/>
        <v/>
      </c>
      <c r="H872" s="188"/>
      <c r="I872" s="189" t="str">
        <f t="shared" si="299"/>
        <v/>
      </c>
      <c r="J872" s="189" t="str">
        <f t="shared" si="300"/>
        <v/>
      </c>
      <c r="K872" s="190" t="str">
        <f t="shared" si="301"/>
        <v/>
      </c>
      <c r="L872" s="190" t="str">
        <f t="shared" si="302"/>
        <v/>
      </c>
      <c r="M872" s="214"/>
      <c r="N872" s="214"/>
      <c r="O872" s="189" t="str">
        <f t="shared" si="303"/>
        <v/>
      </c>
      <c r="P872" s="191" t="str">
        <f t="shared" si="290"/>
        <v/>
      </c>
      <c r="Q872" s="192" t="str">
        <f t="shared" si="304"/>
        <v/>
      </c>
      <c r="R872" s="191" t="str">
        <f t="shared" si="291"/>
        <v/>
      </c>
      <c r="S872" s="193" t="str">
        <f t="shared" si="305"/>
        <v/>
      </c>
      <c r="T872" s="194" t="str">
        <f t="shared" si="292"/>
        <v/>
      </c>
      <c r="U872" s="192" t="str">
        <f t="shared" si="306"/>
        <v/>
      </c>
      <c r="V872" s="195" t="str">
        <f t="shared" si="293"/>
        <v/>
      </c>
      <c r="W872" s="195" t="str">
        <f t="shared" si="294"/>
        <v/>
      </c>
      <c r="X872" s="196" t="str">
        <f t="shared" si="307"/>
        <v/>
      </c>
      <c r="Y872" s="191" t="str">
        <f t="shared" si="309"/>
        <v/>
      </c>
      <c r="Z872" s="197" t="str">
        <f t="shared" si="295"/>
        <v/>
      </c>
      <c r="AA872" s="197" t="str">
        <f t="shared" si="296"/>
        <v/>
      </c>
      <c r="AB872" s="213"/>
      <c r="AC872" s="204"/>
    </row>
    <row r="873" spans="1:29" ht="11.4">
      <c r="A873" s="211" t="str">
        <f t="shared" si="308"/>
        <v/>
      </c>
      <c r="B873" s="211"/>
      <c r="C873" s="185"/>
      <c r="D873" s="186" t="str">
        <f t="shared" si="297"/>
        <v/>
      </c>
      <c r="E873" s="186" t="str">
        <f>IF(OR(C873="",C873=Data!$B$3),"",IF(C873=Data!$B$4,"L","S"))</f>
        <v/>
      </c>
      <c r="F873" s="186" t="str">
        <f t="shared" si="298"/>
        <v/>
      </c>
      <c r="G873" s="187" t="str">
        <f t="shared" si="289"/>
        <v/>
      </c>
      <c r="H873" s="188"/>
      <c r="I873" s="189" t="str">
        <f t="shared" si="299"/>
        <v/>
      </c>
      <c r="J873" s="189" t="str">
        <f t="shared" si="300"/>
        <v/>
      </c>
      <c r="K873" s="190" t="str">
        <f t="shared" si="301"/>
        <v/>
      </c>
      <c r="L873" s="190" t="str">
        <f t="shared" si="302"/>
        <v/>
      </c>
      <c r="M873" s="214"/>
      <c r="N873" s="214"/>
      <c r="O873" s="189" t="str">
        <f t="shared" si="303"/>
        <v/>
      </c>
      <c r="P873" s="191" t="str">
        <f t="shared" si="290"/>
        <v/>
      </c>
      <c r="Q873" s="192" t="str">
        <f t="shared" si="304"/>
        <v/>
      </c>
      <c r="R873" s="191" t="str">
        <f t="shared" si="291"/>
        <v/>
      </c>
      <c r="S873" s="193" t="str">
        <f t="shared" si="305"/>
        <v/>
      </c>
      <c r="T873" s="194" t="str">
        <f t="shared" si="292"/>
        <v/>
      </c>
      <c r="U873" s="192" t="str">
        <f t="shared" si="306"/>
        <v/>
      </c>
      <c r="V873" s="195" t="str">
        <f t="shared" si="293"/>
        <v/>
      </c>
      <c r="W873" s="195" t="str">
        <f t="shared" si="294"/>
        <v/>
      </c>
      <c r="X873" s="196" t="str">
        <f t="shared" si="307"/>
        <v/>
      </c>
      <c r="Y873" s="191" t="str">
        <f t="shared" si="309"/>
        <v/>
      </c>
      <c r="Z873" s="197" t="str">
        <f t="shared" si="295"/>
        <v/>
      </c>
      <c r="AA873" s="197" t="str">
        <f t="shared" si="296"/>
        <v/>
      </c>
      <c r="AB873" s="213"/>
      <c r="AC873" s="204"/>
    </row>
    <row r="874" spans="1:29" ht="11.4">
      <c r="A874" s="211" t="str">
        <f t="shared" si="308"/>
        <v/>
      </c>
      <c r="B874" s="211"/>
      <c r="C874" s="185"/>
      <c r="D874" s="186" t="str">
        <f t="shared" si="297"/>
        <v/>
      </c>
      <c r="E874" s="186" t="str">
        <f>IF(OR(C874="",C874=Data!$B$3),"",IF(C874=Data!$B$4,"L","S"))</f>
        <v/>
      </c>
      <c r="F874" s="186" t="str">
        <f t="shared" si="298"/>
        <v/>
      </c>
      <c r="G874" s="187" t="str">
        <f t="shared" si="289"/>
        <v/>
      </c>
      <c r="H874" s="188"/>
      <c r="I874" s="189" t="str">
        <f t="shared" si="299"/>
        <v/>
      </c>
      <c r="J874" s="189" t="str">
        <f t="shared" si="300"/>
        <v/>
      </c>
      <c r="K874" s="190" t="str">
        <f t="shared" si="301"/>
        <v/>
      </c>
      <c r="L874" s="190" t="str">
        <f t="shared" si="302"/>
        <v/>
      </c>
      <c r="M874" s="214"/>
      <c r="N874" s="214"/>
      <c r="O874" s="189" t="str">
        <f t="shared" si="303"/>
        <v/>
      </c>
      <c r="P874" s="191" t="str">
        <f t="shared" si="290"/>
        <v/>
      </c>
      <c r="Q874" s="192" t="str">
        <f t="shared" si="304"/>
        <v/>
      </c>
      <c r="R874" s="191" t="str">
        <f t="shared" si="291"/>
        <v/>
      </c>
      <c r="S874" s="193" t="str">
        <f t="shared" si="305"/>
        <v/>
      </c>
      <c r="T874" s="194" t="str">
        <f t="shared" si="292"/>
        <v/>
      </c>
      <c r="U874" s="192" t="str">
        <f t="shared" si="306"/>
        <v/>
      </c>
      <c r="V874" s="195" t="str">
        <f t="shared" si="293"/>
        <v/>
      </c>
      <c r="W874" s="195" t="str">
        <f t="shared" si="294"/>
        <v/>
      </c>
      <c r="X874" s="196" t="str">
        <f t="shared" si="307"/>
        <v/>
      </c>
      <c r="Y874" s="191" t="str">
        <f t="shared" si="309"/>
        <v/>
      </c>
      <c r="Z874" s="197" t="str">
        <f t="shared" si="295"/>
        <v/>
      </c>
      <c r="AA874" s="197" t="str">
        <f t="shared" si="296"/>
        <v/>
      </c>
      <c r="AB874" s="213"/>
      <c r="AC874" s="204"/>
    </row>
    <row r="875" spans="1:29" ht="11.4">
      <c r="A875" s="211" t="str">
        <f t="shared" si="308"/>
        <v/>
      </c>
      <c r="B875" s="211"/>
      <c r="C875" s="185"/>
      <c r="D875" s="186" t="str">
        <f t="shared" si="297"/>
        <v/>
      </c>
      <c r="E875" s="186" t="str">
        <f>IF(OR(C875="",C875=Data!$B$3),"",IF(C875=Data!$B$4,"L","S"))</f>
        <v/>
      </c>
      <c r="F875" s="186" t="str">
        <f t="shared" si="298"/>
        <v/>
      </c>
      <c r="G875" s="187" t="str">
        <f t="shared" si="289"/>
        <v/>
      </c>
      <c r="H875" s="188"/>
      <c r="I875" s="189" t="str">
        <f t="shared" si="299"/>
        <v/>
      </c>
      <c r="J875" s="189" t="str">
        <f t="shared" si="300"/>
        <v/>
      </c>
      <c r="K875" s="190" t="str">
        <f t="shared" si="301"/>
        <v/>
      </c>
      <c r="L875" s="190" t="str">
        <f t="shared" si="302"/>
        <v/>
      </c>
      <c r="M875" s="214"/>
      <c r="N875" s="214"/>
      <c r="O875" s="189" t="str">
        <f t="shared" si="303"/>
        <v/>
      </c>
      <c r="P875" s="191" t="str">
        <f t="shared" si="290"/>
        <v/>
      </c>
      <c r="Q875" s="192" t="str">
        <f t="shared" si="304"/>
        <v/>
      </c>
      <c r="R875" s="191" t="str">
        <f t="shared" si="291"/>
        <v/>
      </c>
      <c r="S875" s="193" t="str">
        <f t="shared" si="305"/>
        <v/>
      </c>
      <c r="T875" s="194" t="str">
        <f t="shared" si="292"/>
        <v/>
      </c>
      <c r="U875" s="192" t="str">
        <f t="shared" si="306"/>
        <v/>
      </c>
      <c r="V875" s="195" t="str">
        <f t="shared" si="293"/>
        <v/>
      </c>
      <c r="W875" s="195" t="str">
        <f t="shared" si="294"/>
        <v/>
      </c>
      <c r="X875" s="196" t="str">
        <f t="shared" si="307"/>
        <v/>
      </c>
      <c r="Y875" s="191" t="str">
        <f t="shared" si="309"/>
        <v/>
      </c>
      <c r="Z875" s="197" t="str">
        <f t="shared" si="295"/>
        <v/>
      </c>
      <c r="AA875" s="197" t="str">
        <f t="shared" si="296"/>
        <v/>
      </c>
      <c r="AB875" s="213"/>
      <c r="AC875" s="204"/>
    </row>
    <row r="876" spans="1:29" ht="11.4">
      <c r="A876" s="211" t="str">
        <f t="shared" si="308"/>
        <v/>
      </c>
      <c r="B876" s="211"/>
      <c r="C876" s="185"/>
      <c r="D876" s="186" t="str">
        <f t="shared" si="297"/>
        <v/>
      </c>
      <c r="E876" s="186" t="str">
        <f>IF(OR(C876="",C876=Data!$B$3),"",IF(C876=Data!$B$4,"L","S"))</f>
        <v/>
      </c>
      <c r="F876" s="186" t="str">
        <f t="shared" si="298"/>
        <v/>
      </c>
      <c r="G876" s="187" t="str">
        <f t="shared" si="289"/>
        <v/>
      </c>
      <c r="H876" s="188"/>
      <c r="I876" s="189" t="str">
        <f t="shared" si="299"/>
        <v/>
      </c>
      <c r="J876" s="189" t="str">
        <f t="shared" si="300"/>
        <v/>
      </c>
      <c r="K876" s="190" t="str">
        <f t="shared" si="301"/>
        <v/>
      </c>
      <c r="L876" s="190" t="str">
        <f t="shared" si="302"/>
        <v/>
      </c>
      <c r="M876" s="214"/>
      <c r="N876" s="214"/>
      <c r="O876" s="189" t="str">
        <f t="shared" si="303"/>
        <v/>
      </c>
      <c r="P876" s="191" t="str">
        <f t="shared" si="290"/>
        <v/>
      </c>
      <c r="Q876" s="192" t="str">
        <f t="shared" si="304"/>
        <v/>
      </c>
      <c r="R876" s="191" t="str">
        <f t="shared" si="291"/>
        <v/>
      </c>
      <c r="S876" s="193" t="str">
        <f t="shared" si="305"/>
        <v/>
      </c>
      <c r="T876" s="194" t="str">
        <f t="shared" si="292"/>
        <v/>
      </c>
      <c r="U876" s="192" t="str">
        <f t="shared" si="306"/>
        <v/>
      </c>
      <c r="V876" s="195" t="str">
        <f t="shared" si="293"/>
        <v/>
      </c>
      <c r="W876" s="195" t="str">
        <f t="shared" si="294"/>
        <v/>
      </c>
      <c r="X876" s="196" t="str">
        <f t="shared" si="307"/>
        <v/>
      </c>
      <c r="Y876" s="191" t="str">
        <f t="shared" si="309"/>
        <v/>
      </c>
      <c r="Z876" s="197" t="str">
        <f t="shared" si="295"/>
        <v/>
      </c>
      <c r="AA876" s="197" t="str">
        <f t="shared" si="296"/>
        <v/>
      </c>
      <c r="AB876" s="213"/>
      <c r="AC876" s="204"/>
    </row>
    <row r="877" spans="1:29" ht="11.4">
      <c r="A877" s="211" t="str">
        <f t="shared" si="308"/>
        <v/>
      </c>
      <c r="B877" s="211"/>
      <c r="C877" s="185"/>
      <c r="D877" s="186" t="str">
        <f t="shared" si="297"/>
        <v/>
      </c>
      <c r="E877" s="186" t="str">
        <f>IF(OR(C877="",C877=Data!$B$3),"",IF(C877=Data!$B$4,"L","S"))</f>
        <v/>
      </c>
      <c r="F877" s="186" t="str">
        <f t="shared" si="298"/>
        <v/>
      </c>
      <c r="G877" s="187" t="str">
        <f t="shared" si="289"/>
        <v/>
      </c>
      <c r="H877" s="188"/>
      <c r="I877" s="189" t="str">
        <f t="shared" si="299"/>
        <v/>
      </c>
      <c r="J877" s="189" t="str">
        <f t="shared" si="300"/>
        <v/>
      </c>
      <c r="K877" s="190" t="str">
        <f t="shared" si="301"/>
        <v/>
      </c>
      <c r="L877" s="190" t="str">
        <f t="shared" si="302"/>
        <v/>
      </c>
      <c r="M877" s="214"/>
      <c r="N877" s="214"/>
      <c r="O877" s="189" t="str">
        <f t="shared" si="303"/>
        <v/>
      </c>
      <c r="P877" s="191" t="str">
        <f t="shared" si="290"/>
        <v/>
      </c>
      <c r="Q877" s="192" t="str">
        <f t="shared" si="304"/>
        <v/>
      </c>
      <c r="R877" s="191" t="str">
        <f t="shared" si="291"/>
        <v/>
      </c>
      <c r="S877" s="193" t="str">
        <f t="shared" si="305"/>
        <v/>
      </c>
      <c r="T877" s="194" t="str">
        <f t="shared" si="292"/>
        <v/>
      </c>
      <c r="U877" s="192" t="str">
        <f t="shared" si="306"/>
        <v/>
      </c>
      <c r="V877" s="195" t="str">
        <f t="shared" si="293"/>
        <v/>
      </c>
      <c r="W877" s="195" t="str">
        <f t="shared" si="294"/>
        <v/>
      </c>
      <c r="X877" s="196" t="str">
        <f t="shared" si="307"/>
        <v/>
      </c>
      <c r="Y877" s="191" t="str">
        <f t="shared" si="309"/>
        <v/>
      </c>
      <c r="Z877" s="197" t="str">
        <f t="shared" si="295"/>
        <v/>
      </c>
      <c r="AA877" s="197" t="str">
        <f t="shared" si="296"/>
        <v/>
      </c>
      <c r="AB877" s="213"/>
      <c r="AC877" s="204"/>
    </row>
    <row r="878" spans="1:29" ht="11.4">
      <c r="A878" s="211" t="str">
        <f t="shared" si="308"/>
        <v/>
      </c>
      <c r="B878" s="211"/>
      <c r="C878" s="185"/>
      <c r="D878" s="186" t="str">
        <f t="shared" si="297"/>
        <v/>
      </c>
      <c r="E878" s="186" t="str">
        <f>IF(OR(C878="",C878=Data!$B$3),"",IF(C878=Data!$B$4,"L","S"))</f>
        <v/>
      </c>
      <c r="F878" s="186" t="str">
        <f t="shared" si="298"/>
        <v/>
      </c>
      <c r="G878" s="187" t="str">
        <f t="shared" si="289"/>
        <v/>
      </c>
      <c r="H878" s="188"/>
      <c r="I878" s="189" t="str">
        <f t="shared" si="299"/>
        <v/>
      </c>
      <c r="J878" s="189" t="str">
        <f t="shared" si="300"/>
        <v/>
      </c>
      <c r="K878" s="190" t="str">
        <f t="shared" si="301"/>
        <v/>
      </c>
      <c r="L878" s="190" t="str">
        <f t="shared" si="302"/>
        <v/>
      </c>
      <c r="M878" s="214"/>
      <c r="N878" s="214"/>
      <c r="O878" s="189" t="str">
        <f t="shared" si="303"/>
        <v/>
      </c>
      <c r="P878" s="191" t="str">
        <f t="shared" si="290"/>
        <v/>
      </c>
      <c r="Q878" s="192" t="str">
        <f t="shared" si="304"/>
        <v/>
      </c>
      <c r="R878" s="191" t="str">
        <f t="shared" si="291"/>
        <v/>
      </c>
      <c r="S878" s="193" t="str">
        <f t="shared" si="305"/>
        <v/>
      </c>
      <c r="T878" s="194" t="str">
        <f t="shared" si="292"/>
        <v/>
      </c>
      <c r="U878" s="192" t="str">
        <f t="shared" si="306"/>
        <v/>
      </c>
      <c r="V878" s="195" t="str">
        <f t="shared" si="293"/>
        <v/>
      </c>
      <c r="W878" s="195" t="str">
        <f t="shared" si="294"/>
        <v/>
      </c>
      <c r="X878" s="196" t="str">
        <f t="shared" si="307"/>
        <v/>
      </c>
      <c r="Y878" s="191" t="str">
        <f t="shared" si="309"/>
        <v/>
      </c>
      <c r="Z878" s="197" t="str">
        <f t="shared" si="295"/>
        <v/>
      </c>
      <c r="AA878" s="197" t="str">
        <f t="shared" si="296"/>
        <v/>
      </c>
      <c r="AB878" s="213"/>
      <c r="AC878" s="204"/>
    </row>
    <row r="879" spans="1:29" ht="11.4">
      <c r="A879" s="211" t="str">
        <f t="shared" si="308"/>
        <v/>
      </c>
      <c r="B879" s="211"/>
      <c r="C879" s="185"/>
      <c r="D879" s="186" t="str">
        <f t="shared" si="297"/>
        <v/>
      </c>
      <c r="E879" s="186" t="str">
        <f>IF(OR(C879="",C879=Data!$B$3),"",IF(C879=Data!$B$4,"L","S"))</f>
        <v/>
      </c>
      <c r="F879" s="186" t="str">
        <f t="shared" si="298"/>
        <v/>
      </c>
      <c r="G879" s="187" t="str">
        <f t="shared" si="289"/>
        <v/>
      </c>
      <c r="H879" s="188"/>
      <c r="I879" s="189" t="str">
        <f t="shared" si="299"/>
        <v/>
      </c>
      <c r="J879" s="189" t="str">
        <f t="shared" si="300"/>
        <v/>
      </c>
      <c r="K879" s="190" t="str">
        <f t="shared" si="301"/>
        <v/>
      </c>
      <c r="L879" s="190" t="str">
        <f t="shared" si="302"/>
        <v/>
      </c>
      <c r="M879" s="214"/>
      <c r="N879" s="214"/>
      <c r="O879" s="189" t="str">
        <f t="shared" si="303"/>
        <v/>
      </c>
      <c r="P879" s="191" t="str">
        <f t="shared" si="290"/>
        <v/>
      </c>
      <c r="Q879" s="192" t="str">
        <f t="shared" si="304"/>
        <v/>
      </c>
      <c r="R879" s="191" t="str">
        <f t="shared" si="291"/>
        <v/>
      </c>
      <c r="S879" s="193" t="str">
        <f t="shared" si="305"/>
        <v/>
      </c>
      <c r="T879" s="194" t="str">
        <f t="shared" si="292"/>
        <v/>
      </c>
      <c r="U879" s="192" t="str">
        <f t="shared" si="306"/>
        <v/>
      </c>
      <c r="V879" s="195" t="str">
        <f t="shared" si="293"/>
        <v/>
      </c>
      <c r="W879" s="195" t="str">
        <f t="shared" si="294"/>
        <v/>
      </c>
      <c r="X879" s="196" t="str">
        <f t="shared" si="307"/>
        <v/>
      </c>
      <c r="Y879" s="191" t="str">
        <f t="shared" si="309"/>
        <v/>
      </c>
      <c r="Z879" s="197" t="str">
        <f t="shared" si="295"/>
        <v/>
      </c>
      <c r="AA879" s="197" t="str">
        <f t="shared" si="296"/>
        <v/>
      </c>
      <c r="AB879" s="213"/>
      <c r="AC879" s="204"/>
    </row>
    <row r="880" spans="1:29" ht="11.4">
      <c r="A880" s="211" t="str">
        <f t="shared" si="308"/>
        <v/>
      </c>
      <c r="B880" s="211"/>
      <c r="C880" s="185"/>
      <c r="D880" s="186" t="str">
        <f t="shared" si="297"/>
        <v/>
      </c>
      <c r="E880" s="186" t="str">
        <f>IF(OR(C880="",C880=Data!$B$3),"",IF(C880=Data!$B$4,"L","S"))</f>
        <v/>
      </c>
      <c r="F880" s="186" t="str">
        <f t="shared" si="298"/>
        <v/>
      </c>
      <c r="G880" s="187" t="str">
        <f t="shared" si="289"/>
        <v/>
      </c>
      <c r="H880" s="188"/>
      <c r="I880" s="189" t="str">
        <f t="shared" si="299"/>
        <v/>
      </c>
      <c r="J880" s="189" t="str">
        <f t="shared" si="300"/>
        <v/>
      </c>
      <c r="K880" s="190" t="str">
        <f t="shared" si="301"/>
        <v/>
      </c>
      <c r="L880" s="190" t="str">
        <f t="shared" si="302"/>
        <v/>
      </c>
      <c r="M880" s="214"/>
      <c r="N880" s="214"/>
      <c r="O880" s="189" t="str">
        <f t="shared" si="303"/>
        <v/>
      </c>
      <c r="P880" s="191" t="str">
        <f t="shared" si="290"/>
        <v/>
      </c>
      <c r="Q880" s="192" t="str">
        <f t="shared" si="304"/>
        <v/>
      </c>
      <c r="R880" s="191" t="str">
        <f t="shared" si="291"/>
        <v/>
      </c>
      <c r="S880" s="193" t="str">
        <f t="shared" si="305"/>
        <v/>
      </c>
      <c r="T880" s="194" t="str">
        <f t="shared" si="292"/>
        <v/>
      </c>
      <c r="U880" s="192" t="str">
        <f t="shared" si="306"/>
        <v/>
      </c>
      <c r="V880" s="195" t="str">
        <f t="shared" si="293"/>
        <v/>
      </c>
      <c r="W880" s="195" t="str">
        <f t="shared" si="294"/>
        <v/>
      </c>
      <c r="X880" s="196" t="str">
        <f t="shared" si="307"/>
        <v/>
      </c>
      <c r="Y880" s="191" t="str">
        <f t="shared" si="309"/>
        <v/>
      </c>
      <c r="Z880" s="197" t="str">
        <f t="shared" si="295"/>
        <v/>
      </c>
      <c r="AA880" s="197" t="str">
        <f t="shared" si="296"/>
        <v/>
      </c>
      <c r="AB880" s="213"/>
      <c r="AC880" s="204"/>
    </row>
    <row r="881" spans="1:29" ht="11.4">
      <c r="A881" s="211" t="str">
        <f t="shared" si="308"/>
        <v/>
      </c>
      <c r="B881" s="211"/>
      <c r="C881" s="185"/>
      <c r="D881" s="186" t="str">
        <f t="shared" si="297"/>
        <v/>
      </c>
      <c r="E881" s="186" t="str">
        <f>IF(OR(C881="",C881=Data!$B$3),"",IF(C881=Data!$B$4,"L","S"))</f>
        <v/>
      </c>
      <c r="F881" s="186" t="str">
        <f t="shared" si="298"/>
        <v/>
      </c>
      <c r="G881" s="187" t="str">
        <f t="shared" si="289"/>
        <v/>
      </c>
      <c r="H881" s="188"/>
      <c r="I881" s="189" t="str">
        <f t="shared" si="299"/>
        <v/>
      </c>
      <c r="J881" s="189" t="str">
        <f t="shared" si="300"/>
        <v/>
      </c>
      <c r="K881" s="190" t="str">
        <f t="shared" si="301"/>
        <v/>
      </c>
      <c r="L881" s="190" t="str">
        <f t="shared" si="302"/>
        <v/>
      </c>
      <c r="M881" s="214"/>
      <c r="N881" s="214"/>
      <c r="O881" s="189" t="str">
        <f t="shared" si="303"/>
        <v/>
      </c>
      <c r="P881" s="191" t="str">
        <f t="shared" si="290"/>
        <v/>
      </c>
      <c r="Q881" s="192" t="str">
        <f t="shared" si="304"/>
        <v/>
      </c>
      <c r="R881" s="191" t="str">
        <f t="shared" si="291"/>
        <v/>
      </c>
      <c r="S881" s="193" t="str">
        <f t="shared" si="305"/>
        <v/>
      </c>
      <c r="T881" s="194" t="str">
        <f t="shared" si="292"/>
        <v/>
      </c>
      <c r="U881" s="192" t="str">
        <f t="shared" si="306"/>
        <v/>
      </c>
      <c r="V881" s="195" t="str">
        <f t="shared" si="293"/>
        <v/>
      </c>
      <c r="W881" s="195" t="str">
        <f t="shared" si="294"/>
        <v/>
      </c>
      <c r="X881" s="196" t="str">
        <f t="shared" si="307"/>
        <v/>
      </c>
      <c r="Y881" s="191" t="str">
        <f t="shared" si="309"/>
        <v/>
      </c>
      <c r="Z881" s="197" t="str">
        <f t="shared" si="295"/>
        <v/>
      </c>
      <c r="AA881" s="197" t="str">
        <f t="shared" si="296"/>
        <v/>
      </c>
      <c r="AB881" s="213"/>
      <c r="AC881" s="204"/>
    </row>
    <row r="882" spans="1:29" ht="11.4">
      <c r="A882" s="211" t="str">
        <f t="shared" si="308"/>
        <v/>
      </c>
      <c r="B882" s="211"/>
      <c r="C882" s="185"/>
      <c r="D882" s="186" t="str">
        <f t="shared" si="297"/>
        <v/>
      </c>
      <c r="E882" s="186" t="str">
        <f>IF(OR(C882="",C882=Data!$B$3),"",IF(C882=Data!$B$4,"L","S"))</f>
        <v/>
      </c>
      <c r="F882" s="186" t="str">
        <f t="shared" si="298"/>
        <v/>
      </c>
      <c r="G882" s="187" t="str">
        <f t="shared" si="289"/>
        <v/>
      </c>
      <c r="H882" s="188"/>
      <c r="I882" s="189" t="str">
        <f t="shared" si="299"/>
        <v/>
      </c>
      <c r="J882" s="189" t="str">
        <f t="shared" si="300"/>
        <v/>
      </c>
      <c r="K882" s="190" t="str">
        <f t="shared" si="301"/>
        <v/>
      </c>
      <c r="L882" s="190" t="str">
        <f t="shared" si="302"/>
        <v/>
      </c>
      <c r="M882" s="214"/>
      <c r="N882" s="214"/>
      <c r="O882" s="189" t="str">
        <f t="shared" si="303"/>
        <v/>
      </c>
      <c r="P882" s="191" t="str">
        <f t="shared" si="290"/>
        <v/>
      </c>
      <c r="Q882" s="192" t="str">
        <f t="shared" si="304"/>
        <v/>
      </c>
      <c r="R882" s="191" t="str">
        <f t="shared" si="291"/>
        <v/>
      </c>
      <c r="S882" s="193" t="str">
        <f t="shared" si="305"/>
        <v/>
      </c>
      <c r="T882" s="194" t="str">
        <f t="shared" si="292"/>
        <v/>
      </c>
      <c r="U882" s="192" t="str">
        <f t="shared" si="306"/>
        <v/>
      </c>
      <c r="V882" s="195" t="str">
        <f t="shared" si="293"/>
        <v/>
      </c>
      <c r="W882" s="195" t="str">
        <f t="shared" si="294"/>
        <v/>
      </c>
      <c r="X882" s="196" t="str">
        <f t="shared" si="307"/>
        <v/>
      </c>
      <c r="Y882" s="191" t="str">
        <f t="shared" si="309"/>
        <v/>
      </c>
      <c r="Z882" s="197" t="str">
        <f t="shared" si="295"/>
        <v/>
      </c>
      <c r="AA882" s="197" t="str">
        <f t="shared" si="296"/>
        <v/>
      </c>
      <c r="AB882" s="213"/>
      <c r="AC882" s="204"/>
    </row>
    <row r="883" spans="1:29" ht="11.4">
      <c r="A883" s="211" t="str">
        <f t="shared" si="308"/>
        <v/>
      </c>
      <c r="B883" s="211"/>
      <c r="C883" s="185"/>
      <c r="D883" s="186" t="str">
        <f t="shared" si="297"/>
        <v/>
      </c>
      <c r="E883" s="186" t="str">
        <f>IF(OR(C883="",C883=Data!$B$3),"",IF(C883=Data!$B$4,"L","S"))</f>
        <v/>
      </c>
      <c r="F883" s="186" t="str">
        <f t="shared" si="298"/>
        <v/>
      </c>
      <c r="G883" s="187" t="str">
        <f t="shared" si="289"/>
        <v/>
      </c>
      <c r="H883" s="188"/>
      <c r="I883" s="189" t="str">
        <f t="shared" si="299"/>
        <v/>
      </c>
      <c r="J883" s="189" t="str">
        <f t="shared" si="300"/>
        <v/>
      </c>
      <c r="K883" s="190" t="str">
        <f t="shared" si="301"/>
        <v/>
      </c>
      <c r="L883" s="190" t="str">
        <f t="shared" si="302"/>
        <v/>
      </c>
      <c r="M883" s="214"/>
      <c r="N883" s="214"/>
      <c r="O883" s="189" t="str">
        <f t="shared" si="303"/>
        <v/>
      </c>
      <c r="P883" s="191" t="str">
        <f t="shared" si="290"/>
        <v/>
      </c>
      <c r="Q883" s="192" t="str">
        <f t="shared" si="304"/>
        <v/>
      </c>
      <c r="R883" s="191" t="str">
        <f t="shared" si="291"/>
        <v/>
      </c>
      <c r="S883" s="193" t="str">
        <f t="shared" si="305"/>
        <v/>
      </c>
      <c r="T883" s="194" t="str">
        <f t="shared" si="292"/>
        <v/>
      </c>
      <c r="U883" s="192" t="str">
        <f t="shared" si="306"/>
        <v/>
      </c>
      <c r="V883" s="195" t="str">
        <f t="shared" si="293"/>
        <v/>
      </c>
      <c r="W883" s="195" t="str">
        <f t="shared" si="294"/>
        <v/>
      </c>
      <c r="X883" s="196" t="str">
        <f t="shared" si="307"/>
        <v/>
      </c>
      <c r="Y883" s="191" t="str">
        <f t="shared" si="309"/>
        <v/>
      </c>
      <c r="Z883" s="197" t="str">
        <f t="shared" si="295"/>
        <v/>
      </c>
      <c r="AA883" s="197" t="str">
        <f t="shared" si="296"/>
        <v/>
      </c>
      <c r="AB883" s="213"/>
      <c r="AC883" s="204"/>
    </row>
    <row r="884" spans="1:29" ht="11.4">
      <c r="A884" s="211" t="str">
        <f t="shared" si="308"/>
        <v/>
      </c>
      <c r="B884" s="211"/>
      <c r="C884" s="185"/>
      <c r="D884" s="186" t="str">
        <f t="shared" si="297"/>
        <v/>
      </c>
      <c r="E884" s="186" t="str">
        <f>IF(OR(C884="",C884=Data!$B$3),"",IF(C884=Data!$B$4,"L","S"))</f>
        <v/>
      </c>
      <c r="F884" s="186" t="str">
        <f t="shared" si="298"/>
        <v/>
      </c>
      <c r="G884" s="187" t="str">
        <f t="shared" si="289"/>
        <v/>
      </c>
      <c r="H884" s="188"/>
      <c r="I884" s="189" t="str">
        <f t="shared" si="299"/>
        <v/>
      </c>
      <c r="J884" s="189" t="str">
        <f t="shared" si="300"/>
        <v/>
      </c>
      <c r="K884" s="190" t="str">
        <f t="shared" si="301"/>
        <v/>
      </c>
      <c r="L884" s="190" t="str">
        <f t="shared" si="302"/>
        <v/>
      </c>
      <c r="M884" s="214"/>
      <c r="N884" s="214"/>
      <c r="O884" s="189" t="str">
        <f t="shared" si="303"/>
        <v/>
      </c>
      <c r="P884" s="191" t="str">
        <f t="shared" si="290"/>
        <v/>
      </c>
      <c r="Q884" s="192" t="str">
        <f t="shared" si="304"/>
        <v/>
      </c>
      <c r="R884" s="191" t="str">
        <f t="shared" si="291"/>
        <v/>
      </c>
      <c r="S884" s="193" t="str">
        <f t="shared" si="305"/>
        <v/>
      </c>
      <c r="T884" s="194" t="str">
        <f t="shared" si="292"/>
        <v/>
      </c>
      <c r="U884" s="192" t="str">
        <f t="shared" si="306"/>
        <v/>
      </c>
      <c r="V884" s="195" t="str">
        <f t="shared" si="293"/>
        <v/>
      </c>
      <c r="W884" s="195" t="str">
        <f t="shared" si="294"/>
        <v/>
      </c>
      <c r="X884" s="196" t="str">
        <f t="shared" si="307"/>
        <v/>
      </c>
      <c r="Y884" s="191" t="str">
        <f t="shared" si="309"/>
        <v/>
      </c>
      <c r="Z884" s="197" t="str">
        <f t="shared" si="295"/>
        <v/>
      </c>
      <c r="AA884" s="197" t="str">
        <f t="shared" si="296"/>
        <v/>
      </c>
      <c r="AB884" s="213"/>
      <c r="AC884" s="204"/>
    </row>
    <row r="885" spans="1:29" ht="11.4">
      <c r="A885" s="211" t="str">
        <f t="shared" si="308"/>
        <v/>
      </c>
      <c r="B885" s="211"/>
      <c r="C885" s="185"/>
      <c r="D885" s="186" t="str">
        <f t="shared" si="297"/>
        <v/>
      </c>
      <c r="E885" s="186" t="str">
        <f>IF(OR(C885="",C885=Data!$B$3),"",IF(C885=Data!$B$4,"L","S"))</f>
        <v/>
      </c>
      <c r="F885" s="186" t="str">
        <f t="shared" si="298"/>
        <v/>
      </c>
      <c r="G885" s="187" t="str">
        <f t="shared" si="289"/>
        <v/>
      </c>
      <c r="H885" s="188"/>
      <c r="I885" s="189" t="str">
        <f t="shared" si="299"/>
        <v/>
      </c>
      <c r="J885" s="189" t="str">
        <f t="shared" si="300"/>
        <v/>
      </c>
      <c r="K885" s="190" t="str">
        <f t="shared" si="301"/>
        <v/>
      </c>
      <c r="L885" s="190" t="str">
        <f t="shared" si="302"/>
        <v/>
      </c>
      <c r="M885" s="214"/>
      <c r="N885" s="214"/>
      <c r="O885" s="189" t="str">
        <f t="shared" si="303"/>
        <v/>
      </c>
      <c r="P885" s="191" t="str">
        <f t="shared" si="290"/>
        <v/>
      </c>
      <c r="Q885" s="192" t="str">
        <f t="shared" si="304"/>
        <v/>
      </c>
      <c r="R885" s="191" t="str">
        <f t="shared" si="291"/>
        <v/>
      </c>
      <c r="S885" s="193" t="str">
        <f t="shared" si="305"/>
        <v/>
      </c>
      <c r="T885" s="194" t="str">
        <f t="shared" si="292"/>
        <v/>
      </c>
      <c r="U885" s="192" t="str">
        <f t="shared" si="306"/>
        <v/>
      </c>
      <c r="V885" s="195" t="str">
        <f t="shared" si="293"/>
        <v/>
      </c>
      <c r="W885" s="195" t="str">
        <f t="shared" si="294"/>
        <v/>
      </c>
      <c r="X885" s="196" t="str">
        <f t="shared" si="307"/>
        <v/>
      </c>
      <c r="Y885" s="191" t="str">
        <f t="shared" si="309"/>
        <v/>
      </c>
      <c r="Z885" s="197" t="str">
        <f t="shared" si="295"/>
        <v/>
      </c>
      <c r="AA885" s="197" t="str">
        <f t="shared" si="296"/>
        <v/>
      </c>
      <c r="AB885" s="213"/>
      <c r="AC885" s="204"/>
    </row>
    <row r="886" spans="1:29" ht="11.4">
      <c r="A886" s="211" t="str">
        <f t="shared" si="308"/>
        <v/>
      </c>
      <c r="B886" s="211"/>
      <c r="C886" s="185"/>
      <c r="D886" s="186" t="str">
        <f t="shared" si="297"/>
        <v/>
      </c>
      <c r="E886" s="186" t="str">
        <f>IF(OR(C886="",C886=Data!$B$3),"",IF(C886=Data!$B$4,"L","S"))</f>
        <v/>
      </c>
      <c r="F886" s="186" t="str">
        <f t="shared" si="298"/>
        <v/>
      </c>
      <c r="G886" s="187" t="str">
        <f t="shared" si="289"/>
        <v/>
      </c>
      <c r="H886" s="188"/>
      <c r="I886" s="189" t="str">
        <f t="shared" si="299"/>
        <v/>
      </c>
      <c r="J886" s="189" t="str">
        <f t="shared" si="300"/>
        <v/>
      </c>
      <c r="K886" s="190" t="str">
        <f t="shared" si="301"/>
        <v/>
      </c>
      <c r="L886" s="190" t="str">
        <f t="shared" si="302"/>
        <v/>
      </c>
      <c r="M886" s="214"/>
      <c r="N886" s="214"/>
      <c r="O886" s="189" t="str">
        <f t="shared" si="303"/>
        <v/>
      </c>
      <c r="P886" s="191" t="str">
        <f t="shared" si="290"/>
        <v/>
      </c>
      <c r="Q886" s="192" t="str">
        <f t="shared" si="304"/>
        <v/>
      </c>
      <c r="R886" s="191" t="str">
        <f t="shared" si="291"/>
        <v/>
      </c>
      <c r="S886" s="193" t="str">
        <f t="shared" si="305"/>
        <v/>
      </c>
      <c r="T886" s="194" t="str">
        <f t="shared" si="292"/>
        <v/>
      </c>
      <c r="U886" s="192" t="str">
        <f t="shared" si="306"/>
        <v/>
      </c>
      <c r="V886" s="195" t="str">
        <f t="shared" si="293"/>
        <v/>
      </c>
      <c r="W886" s="195" t="str">
        <f t="shared" si="294"/>
        <v/>
      </c>
      <c r="X886" s="196" t="str">
        <f t="shared" si="307"/>
        <v/>
      </c>
      <c r="Y886" s="191" t="str">
        <f t="shared" si="309"/>
        <v/>
      </c>
      <c r="Z886" s="197" t="str">
        <f t="shared" si="295"/>
        <v/>
      </c>
      <c r="AA886" s="197" t="str">
        <f t="shared" si="296"/>
        <v/>
      </c>
      <c r="AB886" s="213"/>
      <c r="AC886" s="204"/>
    </row>
    <row r="887" spans="1:29" ht="11.4">
      <c r="A887" s="211" t="str">
        <f t="shared" si="308"/>
        <v/>
      </c>
      <c r="B887" s="211"/>
      <c r="C887" s="185"/>
      <c r="D887" s="186" t="str">
        <f t="shared" si="297"/>
        <v/>
      </c>
      <c r="E887" s="186" t="str">
        <f>IF(OR(C887="",C887=Data!$B$3),"",IF(C887=Data!$B$4,"L","S"))</f>
        <v/>
      </c>
      <c r="F887" s="186" t="str">
        <f t="shared" si="298"/>
        <v/>
      </c>
      <c r="G887" s="187" t="str">
        <f t="shared" si="289"/>
        <v/>
      </c>
      <c r="H887" s="188"/>
      <c r="I887" s="189" t="str">
        <f t="shared" si="299"/>
        <v/>
      </c>
      <c r="J887" s="189" t="str">
        <f t="shared" si="300"/>
        <v/>
      </c>
      <c r="K887" s="190" t="str">
        <f t="shared" si="301"/>
        <v/>
      </c>
      <c r="L887" s="190" t="str">
        <f t="shared" si="302"/>
        <v/>
      </c>
      <c r="M887" s="214"/>
      <c r="N887" s="214"/>
      <c r="O887" s="189" t="str">
        <f t="shared" si="303"/>
        <v/>
      </c>
      <c r="P887" s="191" t="str">
        <f t="shared" si="290"/>
        <v/>
      </c>
      <c r="Q887" s="192" t="str">
        <f t="shared" si="304"/>
        <v/>
      </c>
      <c r="R887" s="191" t="str">
        <f t="shared" si="291"/>
        <v/>
      </c>
      <c r="S887" s="193" t="str">
        <f t="shared" si="305"/>
        <v/>
      </c>
      <c r="T887" s="194" t="str">
        <f t="shared" si="292"/>
        <v/>
      </c>
      <c r="U887" s="192" t="str">
        <f t="shared" si="306"/>
        <v/>
      </c>
      <c r="V887" s="195" t="str">
        <f t="shared" si="293"/>
        <v/>
      </c>
      <c r="W887" s="195" t="str">
        <f t="shared" si="294"/>
        <v/>
      </c>
      <c r="X887" s="196" t="str">
        <f t="shared" si="307"/>
        <v/>
      </c>
      <c r="Y887" s="191" t="str">
        <f t="shared" si="309"/>
        <v/>
      </c>
      <c r="Z887" s="197" t="str">
        <f t="shared" si="295"/>
        <v/>
      </c>
      <c r="AA887" s="197" t="str">
        <f t="shared" si="296"/>
        <v/>
      </c>
      <c r="AB887" s="213"/>
      <c r="AC887" s="204"/>
    </row>
    <row r="888" spans="1:29" ht="11.4">
      <c r="A888" s="211" t="str">
        <f t="shared" si="308"/>
        <v/>
      </c>
      <c r="B888" s="211"/>
      <c r="C888" s="185"/>
      <c r="D888" s="186" t="str">
        <f t="shared" si="297"/>
        <v/>
      </c>
      <c r="E888" s="186" t="str">
        <f>IF(OR(C888="",C888=Data!$B$3),"",IF(C888=Data!$B$4,"L","S"))</f>
        <v/>
      </c>
      <c r="F888" s="186" t="str">
        <f t="shared" si="298"/>
        <v/>
      </c>
      <c r="G888" s="187" t="str">
        <f t="shared" si="289"/>
        <v/>
      </c>
      <c r="H888" s="188"/>
      <c r="I888" s="189" t="str">
        <f t="shared" si="299"/>
        <v/>
      </c>
      <c r="J888" s="189" t="str">
        <f t="shared" si="300"/>
        <v/>
      </c>
      <c r="K888" s="190" t="str">
        <f t="shared" si="301"/>
        <v/>
      </c>
      <c r="L888" s="190" t="str">
        <f t="shared" si="302"/>
        <v/>
      </c>
      <c r="M888" s="214"/>
      <c r="N888" s="214"/>
      <c r="O888" s="189" t="str">
        <f t="shared" si="303"/>
        <v/>
      </c>
      <c r="P888" s="191" t="str">
        <f t="shared" si="290"/>
        <v/>
      </c>
      <c r="Q888" s="192" t="str">
        <f t="shared" si="304"/>
        <v/>
      </c>
      <c r="R888" s="191" t="str">
        <f t="shared" si="291"/>
        <v/>
      </c>
      <c r="S888" s="193" t="str">
        <f t="shared" si="305"/>
        <v/>
      </c>
      <c r="T888" s="194" t="str">
        <f t="shared" si="292"/>
        <v/>
      </c>
      <c r="U888" s="192" t="str">
        <f t="shared" si="306"/>
        <v/>
      </c>
      <c r="V888" s="195" t="str">
        <f t="shared" si="293"/>
        <v/>
      </c>
      <c r="W888" s="195" t="str">
        <f t="shared" si="294"/>
        <v/>
      </c>
      <c r="X888" s="196" t="str">
        <f t="shared" si="307"/>
        <v/>
      </c>
      <c r="Y888" s="191" t="str">
        <f t="shared" si="309"/>
        <v/>
      </c>
      <c r="Z888" s="197" t="str">
        <f t="shared" si="295"/>
        <v/>
      </c>
      <c r="AA888" s="197" t="str">
        <f t="shared" si="296"/>
        <v/>
      </c>
      <c r="AB888" s="213"/>
      <c r="AC888" s="204"/>
    </row>
    <row r="889" spans="1:29" ht="11.4">
      <c r="A889" s="211" t="str">
        <f t="shared" si="308"/>
        <v/>
      </c>
      <c r="B889" s="211"/>
      <c r="C889" s="185"/>
      <c r="D889" s="186" t="str">
        <f t="shared" si="297"/>
        <v/>
      </c>
      <c r="E889" s="186" t="str">
        <f>IF(OR(C889="",C889=Data!$B$3),"",IF(C889=Data!$B$4,"L","S"))</f>
        <v/>
      </c>
      <c r="F889" s="186" t="str">
        <f t="shared" si="298"/>
        <v/>
      </c>
      <c r="G889" s="187" t="str">
        <f t="shared" si="289"/>
        <v/>
      </c>
      <c r="H889" s="188"/>
      <c r="I889" s="189" t="str">
        <f t="shared" si="299"/>
        <v/>
      </c>
      <c r="J889" s="189" t="str">
        <f t="shared" si="300"/>
        <v/>
      </c>
      <c r="K889" s="190" t="str">
        <f t="shared" si="301"/>
        <v/>
      </c>
      <c r="L889" s="190" t="str">
        <f t="shared" si="302"/>
        <v/>
      </c>
      <c r="M889" s="214"/>
      <c r="N889" s="214"/>
      <c r="O889" s="189" t="str">
        <f t="shared" si="303"/>
        <v/>
      </c>
      <c r="P889" s="191" t="str">
        <f t="shared" si="290"/>
        <v/>
      </c>
      <c r="Q889" s="192" t="str">
        <f t="shared" si="304"/>
        <v/>
      </c>
      <c r="R889" s="191" t="str">
        <f t="shared" si="291"/>
        <v/>
      </c>
      <c r="S889" s="193" t="str">
        <f t="shared" si="305"/>
        <v/>
      </c>
      <c r="T889" s="194" t="str">
        <f t="shared" si="292"/>
        <v/>
      </c>
      <c r="U889" s="192" t="str">
        <f t="shared" si="306"/>
        <v/>
      </c>
      <c r="V889" s="195" t="str">
        <f t="shared" si="293"/>
        <v/>
      </c>
      <c r="W889" s="195" t="str">
        <f t="shared" si="294"/>
        <v/>
      </c>
      <c r="X889" s="196" t="str">
        <f t="shared" si="307"/>
        <v/>
      </c>
      <c r="Y889" s="191" t="str">
        <f t="shared" si="309"/>
        <v/>
      </c>
      <c r="Z889" s="197" t="str">
        <f t="shared" si="295"/>
        <v/>
      </c>
      <c r="AA889" s="197" t="str">
        <f t="shared" si="296"/>
        <v/>
      </c>
      <c r="AB889" s="213"/>
      <c r="AC889" s="204"/>
    </row>
    <row r="890" spans="1:29" ht="11.4">
      <c r="A890" s="211" t="str">
        <f t="shared" si="308"/>
        <v/>
      </c>
      <c r="B890" s="211"/>
      <c r="C890" s="185"/>
      <c r="D890" s="186" t="str">
        <f t="shared" si="297"/>
        <v/>
      </c>
      <c r="E890" s="186" t="str">
        <f>IF(OR(C890="",C890=Data!$B$3),"",IF(C890=Data!$B$4,"L","S"))</f>
        <v/>
      </c>
      <c r="F890" s="186" t="str">
        <f t="shared" si="298"/>
        <v/>
      </c>
      <c r="G890" s="187" t="str">
        <f t="shared" si="289"/>
        <v/>
      </c>
      <c r="H890" s="188"/>
      <c r="I890" s="189" t="str">
        <f t="shared" si="299"/>
        <v/>
      </c>
      <c r="J890" s="189" t="str">
        <f t="shared" si="300"/>
        <v/>
      </c>
      <c r="K890" s="190" t="str">
        <f t="shared" si="301"/>
        <v/>
      </c>
      <c r="L890" s="190" t="str">
        <f t="shared" si="302"/>
        <v/>
      </c>
      <c r="M890" s="214"/>
      <c r="N890" s="214"/>
      <c r="O890" s="189" t="str">
        <f t="shared" si="303"/>
        <v/>
      </c>
      <c r="P890" s="191" t="str">
        <f t="shared" si="290"/>
        <v/>
      </c>
      <c r="Q890" s="192" t="str">
        <f t="shared" si="304"/>
        <v/>
      </c>
      <c r="R890" s="191" t="str">
        <f t="shared" si="291"/>
        <v/>
      </c>
      <c r="S890" s="193" t="str">
        <f t="shared" si="305"/>
        <v/>
      </c>
      <c r="T890" s="194" t="str">
        <f t="shared" si="292"/>
        <v/>
      </c>
      <c r="U890" s="192" t="str">
        <f t="shared" si="306"/>
        <v/>
      </c>
      <c r="V890" s="195" t="str">
        <f t="shared" si="293"/>
        <v/>
      </c>
      <c r="W890" s="195" t="str">
        <f t="shared" si="294"/>
        <v/>
      </c>
      <c r="X890" s="196" t="str">
        <f t="shared" si="307"/>
        <v/>
      </c>
      <c r="Y890" s="191" t="str">
        <f t="shared" si="309"/>
        <v/>
      </c>
      <c r="Z890" s="197" t="str">
        <f t="shared" si="295"/>
        <v/>
      </c>
      <c r="AA890" s="197" t="str">
        <f t="shared" si="296"/>
        <v/>
      </c>
      <c r="AB890" s="213"/>
      <c r="AC890" s="204"/>
    </row>
    <row r="891" spans="1:29" ht="11.4">
      <c r="A891" s="211" t="str">
        <f t="shared" si="308"/>
        <v/>
      </c>
      <c r="B891" s="211"/>
      <c r="C891" s="185"/>
      <c r="D891" s="186" t="str">
        <f t="shared" si="297"/>
        <v/>
      </c>
      <c r="E891" s="186" t="str">
        <f>IF(OR(C891="",C891=Data!$B$3),"",IF(C891=Data!$B$4,"L","S"))</f>
        <v/>
      </c>
      <c r="F891" s="186" t="str">
        <f t="shared" si="298"/>
        <v/>
      </c>
      <c r="G891" s="187" t="str">
        <f t="shared" si="289"/>
        <v/>
      </c>
      <c r="H891" s="188"/>
      <c r="I891" s="189" t="str">
        <f t="shared" si="299"/>
        <v/>
      </c>
      <c r="J891" s="189" t="str">
        <f t="shared" si="300"/>
        <v/>
      </c>
      <c r="K891" s="190" t="str">
        <f t="shared" si="301"/>
        <v/>
      </c>
      <c r="L891" s="190" t="str">
        <f t="shared" si="302"/>
        <v/>
      </c>
      <c r="M891" s="214"/>
      <c r="N891" s="214"/>
      <c r="O891" s="189" t="str">
        <f t="shared" si="303"/>
        <v/>
      </c>
      <c r="P891" s="191" t="str">
        <f t="shared" si="290"/>
        <v/>
      </c>
      <c r="Q891" s="192" t="str">
        <f t="shared" si="304"/>
        <v/>
      </c>
      <c r="R891" s="191" t="str">
        <f t="shared" si="291"/>
        <v/>
      </c>
      <c r="S891" s="193" t="str">
        <f t="shared" si="305"/>
        <v/>
      </c>
      <c r="T891" s="194" t="str">
        <f t="shared" si="292"/>
        <v/>
      </c>
      <c r="U891" s="192" t="str">
        <f t="shared" si="306"/>
        <v/>
      </c>
      <c r="V891" s="195" t="str">
        <f t="shared" si="293"/>
        <v/>
      </c>
      <c r="W891" s="195" t="str">
        <f t="shared" si="294"/>
        <v/>
      </c>
      <c r="X891" s="196" t="str">
        <f t="shared" si="307"/>
        <v/>
      </c>
      <c r="Y891" s="191" t="str">
        <f t="shared" si="309"/>
        <v/>
      </c>
      <c r="Z891" s="197" t="str">
        <f t="shared" si="295"/>
        <v/>
      </c>
      <c r="AA891" s="197" t="str">
        <f t="shared" si="296"/>
        <v/>
      </c>
      <c r="AB891" s="213"/>
      <c r="AC891" s="204"/>
    </row>
    <row r="892" spans="1:29" ht="11.4">
      <c r="A892" s="211" t="str">
        <f t="shared" si="308"/>
        <v/>
      </c>
      <c r="B892" s="211"/>
      <c r="C892" s="185"/>
      <c r="D892" s="186" t="str">
        <f t="shared" si="297"/>
        <v/>
      </c>
      <c r="E892" s="186" t="str">
        <f>IF(OR(C892="",C892=Data!$B$3),"",IF(C892=Data!$B$4,"L","S"))</f>
        <v/>
      </c>
      <c r="F892" s="186" t="str">
        <f t="shared" si="298"/>
        <v/>
      </c>
      <c r="G892" s="187" t="str">
        <f t="shared" si="289"/>
        <v/>
      </c>
      <c r="H892" s="188"/>
      <c r="I892" s="189" t="str">
        <f t="shared" si="299"/>
        <v/>
      </c>
      <c r="J892" s="189" t="str">
        <f t="shared" si="300"/>
        <v/>
      </c>
      <c r="K892" s="190" t="str">
        <f t="shared" si="301"/>
        <v/>
      </c>
      <c r="L892" s="190" t="str">
        <f t="shared" si="302"/>
        <v/>
      </c>
      <c r="M892" s="214"/>
      <c r="N892" s="214"/>
      <c r="O892" s="189" t="str">
        <f t="shared" si="303"/>
        <v/>
      </c>
      <c r="P892" s="191" t="str">
        <f t="shared" si="290"/>
        <v/>
      </c>
      <c r="Q892" s="192" t="str">
        <f t="shared" si="304"/>
        <v/>
      </c>
      <c r="R892" s="191" t="str">
        <f t="shared" si="291"/>
        <v/>
      </c>
      <c r="S892" s="193" t="str">
        <f t="shared" si="305"/>
        <v/>
      </c>
      <c r="T892" s="194" t="str">
        <f t="shared" si="292"/>
        <v/>
      </c>
      <c r="U892" s="192" t="str">
        <f t="shared" si="306"/>
        <v/>
      </c>
      <c r="V892" s="195" t="str">
        <f t="shared" si="293"/>
        <v/>
      </c>
      <c r="W892" s="195" t="str">
        <f t="shared" si="294"/>
        <v/>
      </c>
      <c r="X892" s="196" t="str">
        <f t="shared" si="307"/>
        <v/>
      </c>
      <c r="Y892" s="191" t="str">
        <f t="shared" si="309"/>
        <v/>
      </c>
      <c r="Z892" s="197" t="str">
        <f t="shared" si="295"/>
        <v/>
      </c>
      <c r="AA892" s="197" t="str">
        <f t="shared" si="296"/>
        <v/>
      </c>
      <c r="AB892" s="213"/>
      <c r="AC892" s="204"/>
    </row>
    <row r="893" spans="1:29" ht="11.4">
      <c r="A893" s="211" t="str">
        <f t="shared" si="308"/>
        <v/>
      </c>
      <c r="B893" s="211"/>
      <c r="C893" s="185"/>
      <c r="D893" s="186" t="str">
        <f t="shared" si="297"/>
        <v/>
      </c>
      <c r="E893" s="186" t="str">
        <f>IF(OR(C893="",C893=Data!$B$3),"",IF(C893=Data!$B$4,"L","S"))</f>
        <v/>
      </c>
      <c r="F893" s="186" t="str">
        <f t="shared" si="298"/>
        <v/>
      </c>
      <c r="G893" s="187" t="str">
        <f t="shared" si="289"/>
        <v/>
      </c>
      <c r="H893" s="188"/>
      <c r="I893" s="189" t="str">
        <f t="shared" si="299"/>
        <v/>
      </c>
      <c r="J893" s="189" t="str">
        <f t="shared" si="300"/>
        <v/>
      </c>
      <c r="K893" s="190" t="str">
        <f t="shared" si="301"/>
        <v/>
      </c>
      <c r="L893" s="190" t="str">
        <f t="shared" si="302"/>
        <v/>
      </c>
      <c r="M893" s="214"/>
      <c r="N893" s="214"/>
      <c r="O893" s="189" t="str">
        <f t="shared" si="303"/>
        <v/>
      </c>
      <c r="P893" s="191" t="str">
        <f t="shared" si="290"/>
        <v/>
      </c>
      <c r="Q893" s="192" t="str">
        <f t="shared" si="304"/>
        <v/>
      </c>
      <c r="R893" s="191" t="str">
        <f t="shared" si="291"/>
        <v/>
      </c>
      <c r="S893" s="193" t="str">
        <f t="shared" si="305"/>
        <v/>
      </c>
      <c r="T893" s="194" t="str">
        <f t="shared" si="292"/>
        <v/>
      </c>
      <c r="U893" s="192" t="str">
        <f t="shared" si="306"/>
        <v/>
      </c>
      <c r="V893" s="195" t="str">
        <f t="shared" si="293"/>
        <v/>
      </c>
      <c r="W893" s="195" t="str">
        <f t="shared" si="294"/>
        <v/>
      </c>
      <c r="X893" s="196" t="str">
        <f t="shared" si="307"/>
        <v/>
      </c>
      <c r="Y893" s="191" t="str">
        <f t="shared" si="309"/>
        <v/>
      </c>
      <c r="Z893" s="197" t="str">
        <f t="shared" si="295"/>
        <v/>
      </c>
      <c r="AA893" s="197" t="str">
        <f t="shared" si="296"/>
        <v/>
      </c>
      <c r="AB893" s="213"/>
      <c r="AC893" s="204"/>
    </row>
    <row r="894" spans="1:29" ht="11.4">
      <c r="A894" s="211" t="str">
        <f t="shared" si="308"/>
        <v/>
      </c>
      <c r="B894" s="211"/>
      <c r="C894" s="185"/>
      <c r="D894" s="186" t="str">
        <f t="shared" si="297"/>
        <v/>
      </c>
      <c r="E894" s="186" t="str">
        <f>IF(OR(C894="",C894=Data!$B$3),"",IF(C894=Data!$B$4,"L","S"))</f>
        <v/>
      </c>
      <c r="F894" s="186" t="str">
        <f t="shared" si="298"/>
        <v/>
      </c>
      <c r="G894" s="187" t="str">
        <f t="shared" si="289"/>
        <v/>
      </c>
      <c r="H894" s="188"/>
      <c r="I894" s="189" t="str">
        <f t="shared" si="299"/>
        <v/>
      </c>
      <c r="J894" s="189" t="str">
        <f t="shared" si="300"/>
        <v/>
      </c>
      <c r="K894" s="190" t="str">
        <f t="shared" si="301"/>
        <v/>
      </c>
      <c r="L894" s="190" t="str">
        <f t="shared" si="302"/>
        <v/>
      </c>
      <c r="M894" s="214"/>
      <c r="N894" s="214"/>
      <c r="O894" s="189" t="str">
        <f t="shared" si="303"/>
        <v/>
      </c>
      <c r="P894" s="191" t="str">
        <f t="shared" si="290"/>
        <v/>
      </c>
      <c r="Q894" s="192" t="str">
        <f t="shared" si="304"/>
        <v/>
      </c>
      <c r="R894" s="191" t="str">
        <f t="shared" si="291"/>
        <v/>
      </c>
      <c r="S894" s="193" t="str">
        <f t="shared" si="305"/>
        <v/>
      </c>
      <c r="T894" s="194" t="str">
        <f t="shared" si="292"/>
        <v/>
      </c>
      <c r="U894" s="192" t="str">
        <f t="shared" si="306"/>
        <v/>
      </c>
      <c r="V894" s="195" t="str">
        <f t="shared" si="293"/>
        <v/>
      </c>
      <c r="W894" s="195" t="str">
        <f t="shared" si="294"/>
        <v/>
      </c>
      <c r="X894" s="196" t="str">
        <f t="shared" si="307"/>
        <v/>
      </c>
      <c r="Y894" s="191" t="str">
        <f t="shared" si="309"/>
        <v/>
      </c>
      <c r="Z894" s="197" t="str">
        <f t="shared" si="295"/>
        <v/>
      </c>
      <c r="AA894" s="197" t="str">
        <f t="shared" si="296"/>
        <v/>
      </c>
      <c r="AB894" s="213"/>
      <c r="AC894" s="204"/>
    </row>
    <row r="895" spans="1:29" ht="11.4">
      <c r="A895" s="211" t="str">
        <f t="shared" si="308"/>
        <v/>
      </c>
      <c r="B895" s="211"/>
      <c r="C895" s="185"/>
      <c r="D895" s="186" t="str">
        <f t="shared" si="297"/>
        <v/>
      </c>
      <c r="E895" s="186" t="str">
        <f>IF(OR(C895="",C895=Data!$B$3),"",IF(C895=Data!$B$4,"L","S"))</f>
        <v/>
      </c>
      <c r="F895" s="186" t="str">
        <f t="shared" si="298"/>
        <v/>
      </c>
      <c r="G895" s="187" t="str">
        <f t="shared" si="289"/>
        <v/>
      </c>
      <c r="H895" s="188"/>
      <c r="I895" s="189" t="str">
        <f t="shared" si="299"/>
        <v/>
      </c>
      <c r="J895" s="189" t="str">
        <f t="shared" si="300"/>
        <v/>
      </c>
      <c r="K895" s="190" t="str">
        <f t="shared" si="301"/>
        <v/>
      </c>
      <c r="L895" s="190" t="str">
        <f t="shared" si="302"/>
        <v/>
      </c>
      <c r="M895" s="214"/>
      <c r="N895" s="214"/>
      <c r="O895" s="189" t="str">
        <f t="shared" si="303"/>
        <v/>
      </c>
      <c r="P895" s="191" t="str">
        <f t="shared" si="290"/>
        <v/>
      </c>
      <c r="Q895" s="192" t="str">
        <f t="shared" si="304"/>
        <v/>
      </c>
      <c r="R895" s="191" t="str">
        <f t="shared" si="291"/>
        <v/>
      </c>
      <c r="S895" s="193" t="str">
        <f t="shared" si="305"/>
        <v/>
      </c>
      <c r="T895" s="194" t="str">
        <f t="shared" si="292"/>
        <v/>
      </c>
      <c r="U895" s="192" t="str">
        <f t="shared" si="306"/>
        <v/>
      </c>
      <c r="V895" s="195" t="str">
        <f t="shared" si="293"/>
        <v/>
      </c>
      <c r="W895" s="195" t="str">
        <f t="shared" si="294"/>
        <v/>
      </c>
      <c r="X895" s="196" t="str">
        <f t="shared" si="307"/>
        <v/>
      </c>
      <c r="Y895" s="191" t="str">
        <f t="shared" si="309"/>
        <v/>
      </c>
      <c r="Z895" s="197" t="str">
        <f t="shared" si="295"/>
        <v/>
      </c>
      <c r="AA895" s="197" t="str">
        <f t="shared" si="296"/>
        <v/>
      </c>
      <c r="AB895" s="213"/>
      <c r="AC895" s="204"/>
    </row>
    <row r="896" spans="1:29" ht="11.4">
      <c r="A896" s="211" t="str">
        <f t="shared" si="308"/>
        <v/>
      </c>
      <c r="B896" s="211"/>
      <c r="C896" s="185"/>
      <c r="D896" s="186" t="str">
        <f t="shared" si="297"/>
        <v/>
      </c>
      <c r="E896" s="186" t="str">
        <f>IF(OR(C896="",C896=Data!$B$3),"",IF(C896=Data!$B$4,"L","S"))</f>
        <v/>
      </c>
      <c r="F896" s="186" t="str">
        <f t="shared" si="298"/>
        <v/>
      </c>
      <c r="G896" s="187" t="str">
        <f t="shared" si="289"/>
        <v/>
      </c>
      <c r="H896" s="188"/>
      <c r="I896" s="189" t="str">
        <f t="shared" si="299"/>
        <v/>
      </c>
      <c r="J896" s="189" t="str">
        <f t="shared" si="300"/>
        <v/>
      </c>
      <c r="K896" s="190" t="str">
        <f t="shared" si="301"/>
        <v/>
      </c>
      <c r="L896" s="190" t="str">
        <f t="shared" si="302"/>
        <v/>
      </c>
      <c r="M896" s="214"/>
      <c r="N896" s="214"/>
      <c r="O896" s="189" t="str">
        <f t="shared" si="303"/>
        <v/>
      </c>
      <c r="P896" s="191" t="str">
        <f t="shared" si="290"/>
        <v/>
      </c>
      <c r="Q896" s="192" t="str">
        <f t="shared" si="304"/>
        <v/>
      </c>
      <c r="R896" s="191" t="str">
        <f t="shared" si="291"/>
        <v/>
      </c>
      <c r="S896" s="193" t="str">
        <f t="shared" si="305"/>
        <v/>
      </c>
      <c r="T896" s="194" t="str">
        <f t="shared" si="292"/>
        <v/>
      </c>
      <c r="U896" s="192" t="str">
        <f t="shared" si="306"/>
        <v/>
      </c>
      <c r="V896" s="195" t="str">
        <f t="shared" si="293"/>
        <v/>
      </c>
      <c r="W896" s="195" t="str">
        <f t="shared" si="294"/>
        <v/>
      </c>
      <c r="X896" s="196" t="str">
        <f t="shared" si="307"/>
        <v/>
      </c>
      <c r="Y896" s="191" t="str">
        <f t="shared" si="309"/>
        <v/>
      </c>
      <c r="Z896" s="197" t="str">
        <f t="shared" si="295"/>
        <v/>
      </c>
      <c r="AA896" s="197" t="str">
        <f t="shared" si="296"/>
        <v/>
      </c>
      <c r="AB896" s="213"/>
      <c r="AC896" s="204"/>
    </row>
    <row r="897" spans="1:29" ht="11.4">
      <c r="A897" s="211" t="str">
        <f t="shared" si="308"/>
        <v/>
      </c>
      <c r="B897" s="211"/>
      <c r="C897" s="185"/>
      <c r="D897" s="186" t="str">
        <f t="shared" si="297"/>
        <v/>
      </c>
      <c r="E897" s="186" t="str">
        <f>IF(OR(C897="",C897=Data!$B$3),"",IF(C897=Data!$B$4,"L","S"))</f>
        <v/>
      </c>
      <c r="F897" s="186" t="str">
        <f t="shared" si="298"/>
        <v/>
      </c>
      <c r="G897" s="187" t="str">
        <f t="shared" si="289"/>
        <v/>
      </c>
      <c r="H897" s="188"/>
      <c r="I897" s="189" t="str">
        <f t="shared" si="299"/>
        <v/>
      </c>
      <c r="J897" s="189" t="str">
        <f t="shared" si="300"/>
        <v/>
      </c>
      <c r="K897" s="190" t="str">
        <f t="shared" si="301"/>
        <v/>
      </c>
      <c r="L897" s="190" t="str">
        <f t="shared" si="302"/>
        <v/>
      </c>
      <c r="M897" s="214"/>
      <c r="N897" s="214"/>
      <c r="O897" s="189" t="str">
        <f t="shared" si="303"/>
        <v/>
      </c>
      <c r="P897" s="191" t="str">
        <f t="shared" si="290"/>
        <v/>
      </c>
      <c r="Q897" s="192" t="str">
        <f t="shared" si="304"/>
        <v/>
      </c>
      <c r="R897" s="191" t="str">
        <f t="shared" si="291"/>
        <v/>
      </c>
      <c r="S897" s="193" t="str">
        <f t="shared" si="305"/>
        <v/>
      </c>
      <c r="T897" s="194" t="str">
        <f t="shared" si="292"/>
        <v/>
      </c>
      <c r="U897" s="192" t="str">
        <f t="shared" si="306"/>
        <v/>
      </c>
      <c r="V897" s="195" t="str">
        <f t="shared" si="293"/>
        <v/>
      </c>
      <c r="W897" s="195" t="str">
        <f t="shared" si="294"/>
        <v/>
      </c>
      <c r="X897" s="196" t="str">
        <f t="shared" si="307"/>
        <v/>
      </c>
      <c r="Y897" s="191" t="str">
        <f t="shared" si="309"/>
        <v/>
      </c>
      <c r="Z897" s="197" t="str">
        <f t="shared" si="295"/>
        <v/>
      </c>
      <c r="AA897" s="197" t="str">
        <f t="shared" si="296"/>
        <v/>
      </c>
      <c r="AB897" s="213"/>
      <c r="AC897" s="204"/>
    </row>
    <row r="898" spans="1:29" ht="11.4">
      <c r="A898" s="211" t="str">
        <f t="shared" si="308"/>
        <v/>
      </c>
      <c r="B898" s="211"/>
      <c r="C898" s="185"/>
      <c r="D898" s="186" t="str">
        <f t="shared" si="297"/>
        <v/>
      </c>
      <c r="E898" s="186" t="str">
        <f>IF(OR(C898="",C898=Data!$B$3),"",IF(C898=Data!$B$4,"L","S"))</f>
        <v/>
      </c>
      <c r="F898" s="186" t="str">
        <f t="shared" si="298"/>
        <v/>
      </c>
      <c r="G898" s="187" t="str">
        <f t="shared" si="289"/>
        <v/>
      </c>
      <c r="H898" s="188"/>
      <c r="I898" s="189" t="str">
        <f t="shared" si="299"/>
        <v/>
      </c>
      <c r="J898" s="189" t="str">
        <f t="shared" si="300"/>
        <v/>
      </c>
      <c r="K898" s="190" t="str">
        <f t="shared" si="301"/>
        <v/>
      </c>
      <c r="L898" s="190" t="str">
        <f t="shared" si="302"/>
        <v/>
      </c>
      <c r="M898" s="214"/>
      <c r="N898" s="214"/>
      <c r="O898" s="189" t="str">
        <f t="shared" si="303"/>
        <v/>
      </c>
      <c r="P898" s="191" t="str">
        <f t="shared" si="290"/>
        <v/>
      </c>
      <c r="Q898" s="192" t="str">
        <f t="shared" si="304"/>
        <v/>
      </c>
      <c r="R898" s="191" t="str">
        <f t="shared" si="291"/>
        <v/>
      </c>
      <c r="S898" s="193" t="str">
        <f t="shared" si="305"/>
        <v/>
      </c>
      <c r="T898" s="194" t="str">
        <f t="shared" si="292"/>
        <v/>
      </c>
      <c r="U898" s="192" t="str">
        <f t="shared" si="306"/>
        <v/>
      </c>
      <c r="V898" s="195" t="str">
        <f t="shared" si="293"/>
        <v/>
      </c>
      <c r="W898" s="195" t="str">
        <f t="shared" si="294"/>
        <v/>
      </c>
      <c r="X898" s="196" t="str">
        <f t="shared" si="307"/>
        <v/>
      </c>
      <c r="Y898" s="191" t="str">
        <f t="shared" si="309"/>
        <v/>
      </c>
      <c r="Z898" s="197" t="str">
        <f t="shared" si="295"/>
        <v/>
      </c>
      <c r="AA898" s="197" t="str">
        <f t="shared" si="296"/>
        <v/>
      </c>
      <c r="AB898" s="213"/>
      <c r="AC898" s="204"/>
    </row>
    <row r="899" spans="1:29" ht="11.4">
      <c r="A899" s="211" t="str">
        <f t="shared" si="308"/>
        <v/>
      </c>
      <c r="B899" s="211"/>
      <c r="C899" s="185"/>
      <c r="D899" s="186" t="str">
        <f t="shared" si="297"/>
        <v/>
      </c>
      <c r="E899" s="186" t="str">
        <f>IF(OR(C899="",C899=Data!$B$3),"",IF(C899=Data!$B$4,"L","S"))</f>
        <v/>
      </c>
      <c r="F899" s="186" t="str">
        <f t="shared" si="298"/>
        <v/>
      </c>
      <c r="G899" s="187" t="str">
        <f t="shared" si="289"/>
        <v/>
      </c>
      <c r="H899" s="188"/>
      <c r="I899" s="189" t="str">
        <f t="shared" si="299"/>
        <v/>
      </c>
      <c r="J899" s="189" t="str">
        <f t="shared" si="300"/>
        <v/>
      </c>
      <c r="K899" s="190" t="str">
        <f t="shared" si="301"/>
        <v/>
      </c>
      <c r="L899" s="190" t="str">
        <f t="shared" si="302"/>
        <v/>
      </c>
      <c r="M899" s="214"/>
      <c r="N899" s="214"/>
      <c r="O899" s="189" t="str">
        <f t="shared" si="303"/>
        <v/>
      </c>
      <c r="P899" s="191" t="str">
        <f t="shared" si="290"/>
        <v/>
      </c>
      <c r="Q899" s="192" t="str">
        <f t="shared" si="304"/>
        <v/>
      </c>
      <c r="R899" s="191" t="str">
        <f t="shared" si="291"/>
        <v/>
      </c>
      <c r="S899" s="193" t="str">
        <f t="shared" si="305"/>
        <v/>
      </c>
      <c r="T899" s="194" t="str">
        <f t="shared" si="292"/>
        <v/>
      </c>
      <c r="U899" s="192" t="str">
        <f t="shared" si="306"/>
        <v/>
      </c>
      <c r="V899" s="195" t="str">
        <f t="shared" si="293"/>
        <v/>
      </c>
      <c r="W899" s="195" t="str">
        <f t="shared" si="294"/>
        <v/>
      </c>
      <c r="X899" s="196" t="str">
        <f t="shared" si="307"/>
        <v/>
      </c>
      <c r="Y899" s="191" t="str">
        <f t="shared" si="309"/>
        <v/>
      </c>
      <c r="Z899" s="197" t="str">
        <f t="shared" si="295"/>
        <v/>
      </c>
      <c r="AA899" s="197" t="str">
        <f t="shared" si="296"/>
        <v/>
      </c>
      <c r="AB899" s="213"/>
      <c r="AC899" s="204"/>
    </row>
    <row r="900" spans="1:29" ht="11.4">
      <c r="A900" s="211" t="str">
        <f t="shared" si="308"/>
        <v/>
      </c>
      <c r="B900" s="211"/>
      <c r="C900" s="185"/>
      <c r="D900" s="186" t="str">
        <f t="shared" si="297"/>
        <v/>
      </c>
      <c r="E900" s="186" t="str">
        <f>IF(OR(C900="",C900=Data!$B$3),"",IF(C900=Data!$B$4,"L","S"))</f>
        <v/>
      </c>
      <c r="F900" s="186" t="str">
        <f t="shared" si="298"/>
        <v/>
      </c>
      <c r="G900" s="187" t="str">
        <f t="shared" si="289"/>
        <v/>
      </c>
      <c r="H900" s="188"/>
      <c r="I900" s="189" t="str">
        <f t="shared" si="299"/>
        <v/>
      </c>
      <c r="J900" s="189" t="str">
        <f t="shared" si="300"/>
        <v/>
      </c>
      <c r="K900" s="190" t="str">
        <f t="shared" si="301"/>
        <v/>
      </c>
      <c r="L900" s="190" t="str">
        <f t="shared" si="302"/>
        <v/>
      </c>
      <c r="M900" s="214"/>
      <c r="N900" s="214"/>
      <c r="O900" s="189" t="str">
        <f t="shared" si="303"/>
        <v/>
      </c>
      <c r="P900" s="191" t="str">
        <f t="shared" si="290"/>
        <v/>
      </c>
      <c r="Q900" s="192" t="str">
        <f t="shared" si="304"/>
        <v/>
      </c>
      <c r="R900" s="191" t="str">
        <f t="shared" si="291"/>
        <v/>
      </c>
      <c r="S900" s="193" t="str">
        <f t="shared" si="305"/>
        <v/>
      </c>
      <c r="T900" s="194" t="str">
        <f t="shared" si="292"/>
        <v/>
      </c>
      <c r="U900" s="192" t="str">
        <f t="shared" si="306"/>
        <v/>
      </c>
      <c r="V900" s="195" t="str">
        <f t="shared" si="293"/>
        <v/>
      </c>
      <c r="W900" s="195" t="str">
        <f t="shared" si="294"/>
        <v/>
      </c>
      <c r="X900" s="196" t="str">
        <f t="shared" si="307"/>
        <v/>
      </c>
      <c r="Y900" s="191" t="str">
        <f t="shared" si="309"/>
        <v/>
      </c>
      <c r="Z900" s="197" t="str">
        <f t="shared" si="295"/>
        <v/>
      </c>
      <c r="AA900" s="197" t="str">
        <f t="shared" si="296"/>
        <v/>
      </c>
      <c r="AB900" s="213"/>
      <c r="AC900" s="204"/>
    </row>
    <row r="901" spans="1:29" ht="11.4">
      <c r="A901" s="211" t="str">
        <f t="shared" si="308"/>
        <v/>
      </c>
      <c r="B901" s="211"/>
      <c r="C901" s="185"/>
      <c r="D901" s="186" t="str">
        <f t="shared" si="297"/>
        <v/>
      </c>
      <c r="E901" s="186" t="str">
        <f>IF(OR(C901="",C901=Data!$B$3),"",IF(C901=Data!$B$4,"L","S"))</f>
        <v/>
      </c>
      <c r="F901" s="186" t="str">
        <f t="shared" si="298"/>
        <v/>
      </c>
      <c r="G901" s="187" t="str">
        <f t="shared" si="289"/>
        <v/>
      </c>
      <c r="H901" s="188"/>
      <c r="I901" s="189" t="str">
        <f t="shared" si="299"/>
        <v/>
      </c>
      <c r="J901" s="189" t="str">
        <f t="shared" si="300"/>
        <v/>
      </c>
      <c r="K901" s="190" t="str">
        <f t="shared" si="301"/>
        <v/>
      </c>
      <c r="L901" s="190" t="str">
        <f t="shared" si="302"/>
        <v/>
      </c>
      <c r="M901" s="214"/>
      <c r="N901" s="214"/>
      <c r="O901" s="189" t="str">
        <f t="shared" si="303"/>
        <v/>
      </c>
      <c r="P901" s="191" t="str">
        <f t="shared" si="290"/>
        <v/>
      </c>
      <c r="Q901" s="192" t="str">
        <f t="shared" si="304"/>
        <v/>
      </c>
      <c r="R901" s="191" t="str">
        <f t="shared" si="291"/>
        <v/>
      </c>
      <c r="S901" s="193" t="str">
        <f t="shared" si="305"/>
        <v/>
      </c>
      <c r="T901" s="194" t="str">
        <f t="shared" si="292"/>
        <v/>
      </c>
      <c r="U901" s="192" t="str">
        <f t="shared" si="306"/>
        <v/>
      </c>
      <c r="V901" s="195" t="str">
        <f t="shared" si="293"/>
        <v/>
      </c>
      <c r="W901" s="195" t="str">
        <f t="shared" si="294"/>
        <v/>
      </c>
      <c r="X901" s="196" t="str">
        <f t="shared" si="307"/>
        <v/>
      </c>
      <c r="Y901" s="191" t="str">
        <f t="shared" si="309"/>
        <v/>
      </c>
      <c r="Z901" s="197" t="str">
        <f t="shared" si="295"/>
        <v/>
      </c>
      <c r="AA901" s="197" t="str">
        <f t="shared" si="296"/>
        <v/>
      </c>
      <c r="AB901" s="213"/>
      <c r="AC901" s="204"/>
    </row>
    <row r="902" spans="1:29" ht="11.4">
      <c r="A902" s="211" t="str">
        <f t="shared" si="308"/>
        <v/>
      </c>
      <c r="B902" s="211"/>
      <c r="C902" s="185"/>
      <c r="D902" s="186" t="str">
        <f t="shared" si="297"/>
        <v/>
      </c>
      <c r="E902" s="186" t="str">
        <f>IF(OR(C902="",C902=Data!$B$3),"",IF(C902=Data!$B$4,"L","S"))</f>
        <v/>
      </c>
      <c r="F902" s="186" t="str">
        <f t="shared" si="298"/>
        <v/>
      </c>
      <c r="G902" s="187" t="str">
        <f t="shared" si="289"/>
        <v/>
      </c>
      <c r="H902" s="188"/>
      <c r="I902" s="189" t="str">
        <f t="shared" si="299"/>
        <v/>
      </c>
      <c r="J902" s="189" t="str">
        <f t="shared" si="300"/>
        <v/>
      </c>
      <c r="K902" s="190" t="str">
        <f t="shared" si="301"/>
        <v/>
      </c>
      <c r="L902" s="190" t="str">
        <f t="shared" si="302"/>
        <v/>
      </c>
      <c r="M902" s="214"/>
      <c r="N902" s="214"/>
      <c r="O902" s="189" t="str">
        <f t="shared" si="303"/>
        <v/>
      </c>
      <c r="P902" s="191" t="str">
        <f t="shared" si="290"/>
        <v/>
      </c>
      <c r="Q902" s="192" t="str">
        <f t="shared" si="304"/>
        <v/>
      </c>
      <c r="R902" s="191" t="str">
        <f t="shared" si="291"/>
        <v/>
      </c>
      <c r="S902" s="193" t="str">
        <f t="shared" si="305"/>
        <v/>
      </c>
      <c r="T902" s="194" t="str">
        <f t="shared" si="292"/>
        <v/>
      </c>
      <c r="U902" s="192" t="str">
        <f t="shared" si="306"/>
        <v/>
      </c>
      <c r="V902" s="195" t="str">
        <f t="shared" si="293"/>
        <v/>
      </c>
      <c r="W902" s="195" t="str">
        <f t="shared" si="294"/>
        <v/>
      </c>
      <c r="X902" s="196" t="str">
        <f t="shared" si="307"/>
        <v/>
      </c>
      <c r="Y902" s="191" t="str">
        <f t="shared" si="309"/>
        <v/>
      </c>
      <c r="Z902" s="197" t="str">
        <f t="shared" si="295"/>
        <v/>
      </c>
      <c r="AA902" s="197" t="str">
        <f t="shared" si="296"/>
        <v/>
      </c>
      <c r="AB902" s="213"/>
      <c r="AC902" s="204"/>
    </row>
    <row r="903" spans="1:29" ht="11.4">
      <c r="A903" s="211" t="str">
        <f t="shared" si="308"/>
        <v/>
      </c>
      <c r="B903" s="211"/>
      <c r="C903" s="185"/>
      <c r="D903" s="186" t="str">
        <f t="shared" si="297"/>
        <v/>
      </c>
      <c r="E903" s="186" t="str">
        <f>IF(OR(C903="",C903=Data!$B$3),"",IF(C903=Data!$B$4,"L","S"))</f>
        <v/>
      </c>
      <c r="F903" s="186" t="str">
        <f t="shared" si="298"/>
        <v/>
      </c>
      <c r="G903" s="187" t="str">
        <f t="shared" si="289"/>
        <v/>
      </c>
      <c r="H903" s="188"/>
      <c r="I903" s="189" t="str">
        <f t="shared" si="299"/>
        <v/>
      </c>
      <c r="J903" s="189" t="str">
        <f t="shared" si="300"/>
        <v/>
      </c>
      <c r="K903" s="190" t="str">
        <f t="shared" si="301"/>
        <v/>
      </c>
      <c r="L903" s="190" t="str">
        <f t="shared" si="302"/>
        <v/>
      </c>
      <c r="M903" s="214"/>
      <c r="N903" s="214"/>
      <c r="O903" s="189" t="str">
        <f t="shared" si="303"/>
        <v/>
      </c>
      <c r="P903" s="191" t="str">
        <f t="shared" si="290"/>
        <v/>
      </c>
      <c r="Q903" s="192" t="str">
        <f t="shared" si="304"/>
        <v/>
      </c>
      <c r="R903" s="191" t="str">
        <f t="shared" si="291"/>
        <v/>
      </c>
      <c r="S903" s="193" t="str">
        <f t="shared" si="305"/>
        <v/>
      </c>
      <c r="T903" s="194" t="str">
        <f t="shared" si="292"/>
        <v/>
      </c>
      <c r="U903" s="192" t="str">
        <f t="shared" si="306"/>
        <v/>
      </c>
      <c r="V903" s="195" t="str">
        <f t="shared" si="293"/>
        <v/>
      </c>
      <c r="W903" s="195" t="str">
        <f t="shared" si="294"/>
        <v/>
      </c>
      <c r="X903" s="196" t="str">
        <f t="shared" si="307"/>
        <v/>
      </c>
      <c r="Y903" s="191" t="str">
        <f t="shared" si="309"/>
        <v/>
      </c>
      <c r="Z903" s="197" t="str">
        <f t="shared" si="295"/>
        <v/>
      </c>
      <c r="AA903" s="197" t="str">
        <f t="shared" si="296"/>
        <v/>
      </c>
      <c r="AB903" s="213"/>
      <c r="AC903" s="204"/>
    </row>
    <row r="904" spans="1:29" ht="11.4">
      <c r="A904" s="211" t="str">
        <f t="shared" si="308"/>
        <v/>
      </c>
      <c r="B904" s="211"/>
      <c r="C904" s="185"/>
      <c r="D904" s="186" t="str">
        <f t="shared" si="297"/>
        <v/>
      </c>
      <c r="E904" s="186" t="str">
        <f>IF(OR(C904="",C904=Data!$B$3),"",IF(C904=Data!$B$4,"L","S"))</f>
        <v/>
      </c>
      <c r="F904" s="186" t="str">
        <f t="shared" si="298"/>
        <v/>
      </c>
      <c r="G904" s="187" t="str">
        <f t="shared" si="289"/>
        <v/>
      </c>
      <c r="H904" s="188"/>
      <c r="I904" s="189" t="str">
        <f t="shared" si="299"/>
        <v/>
      </c>
      <c r="J904" s="189" t="str">
        <f t="shared" si="300"/>
        <v/>
      </c>
      <c r="K904" s="190" t="str">
        <f t="shared" si="301"/>
        <v/>
      </c>
      <c r="L904" s="190" t="str">
        <f t="shared" si="302"/>
        <v/>
      </c>
      <c r="M904" s="214"/>
      <c r="N904" s="214"/>
      <c r="O904" s="189" t="str">
        <f t="shared" si="303"/>
        <v/>
      </c>
      <c r="P904" s="191" t="str">
        <f t="shared" si="290"/>
        <v/>
      </c>
      <c r="Q904" s="192" t="str">
        <f t="shared" si="304"/>
        <v/>
      </c>
      <c r="R904" s="191" t="str">
        <f t="shared" si="291"/>
        <v/>
      </c>
      <c r="S904" s="193" t="str">
        <f t="shared" si="305"/>
        <v/>
      </c>
      <c r="T904" s="194" t="str">
        <f t="shared" si="292"/>
        <v/>
      </c>
      <c r="U904" s="192" t="str">
        <f t="shared" si="306"/>
        <v/>
      </c>
      <c r="V904" s="195" t="str">
        <f t="shared" si="293"/>
        <v/>
      </c>
      <c r="W904" s="195" t="str">
        <f t="shared" si="294"/>
        <v/>
      </c>
      <c r="X904" s="196" t="str">
        <f t="shared" si="307"/>
        <v/>
      </c>
      <c r="Y904" s="191" t="str">
        <f t="shared" si="309"/>
        <v/>
      </c>
      <c r="Z904" s="197" t="str">
        <f t="shared" si="295"/>
        <v/>
      </c>
      <c r="AA904" s="197" t="str">
        <f t="shared" si="296"/>
        <v/>
      </c>
      <c r="AB904" s="213"/>
      <c r="AC904" s="204"/>
    </row>
    <row r="905" spans="1:29" ht="11.4">
      <c r="A905" s="211" t="str">
        <f t="shared" si="308"/>
        <v/>
      </c>
      <c r="B905" s="211"/>
      <c r="C905" s="185"/>
      <c r="D905" s="186" t="str">
        <f t="shared" si="297"/>
        <v/>
      </c>
      <c r="E905" s="186" t="str">
        <f>IF(OR(C905="",C905=Data!$B$3),"",IF(C905=Data!$B$4,"L","S"))</f>
        <v/>
      </c>
      <c r="F905" s="186" t="str">
        <f t="shared" si="298"/>
        <v/>
      </c>
      <c r="G905" s="187" t="str">
        <f t="shared" si="289"/>
        <v/>
      </c>
      <c r="H905" s="188"/>
      <c r="I905" s="189" t="str">
        <f t="shared" si="299"/>
        <v/>
      </c>
      <c r="J905" s="189" t="str">
        <f t="shared" si="300"/>
        <v/>
      </c>
      <c r="K905" s="190" t="str">
        <f t="shared" si="301"/>
        <v/>
      </c>
      <c r="L905" s="190" t="str">
        <f t="shared" si="302"/>
        <v/>
      </c>
      <c r="M905" s="214"/>
      <c r="N905" s="214"/>
      <c r="O905" s="189" t="str">
        <f t="shared" si="303"/>
        <v/>
      </c>
      <c r="P905" s="191" t="str">
        <f t="shared" si="290"/>
        <v/>
      </c>
      <c r="Q905" s="192" t="str">
        <f t="shared" si="304"/>
        <v/>
      </c>
      <c r="R905" s="191" t="str">
        <f t="shared" si="291"/>
        <v/>
      </c>
      <c r="S905" s="193" t="str">
        <f t="shared" si="305"/>
        <v/>
      </c>
      <c r="T905" s="194" t="str">
        <f t="shared" si="292"/>
        <v/>
      </c>
      <c r="U905" s="192" t="str">
        <f t="shared" si="306"/>
        <v/>
      </c>
      <c r="V905" s="195" t="str">
        <f t="shared" si="293"/>
        <v/>
      </c>
      <c r="W905" s="195" t="str">
        <f t="shared" si="294"/>
        <v/>
      </c>
      <c r="X905" s="196" t="str">
        <f t="shared" si="307"/>
        <v/>
      </c>
      <c r="Y905" s="191" t="str">
        <f t="shared" si="309"/>
        <v/>
      </c>
      <c r="Z905" s="197" t="str">
        <f t="shared" si="295"/>
        <v/>
      </c>
      <c r="AA905" s="197" t="str">
        <f t="shared" si="296"/>
        <v/>
      </c>
      <c r="AB905" s="213"/>
      <c r="AC905" s="204"/>
    </row>
    <row r="906" spans="1:29" ht="11.4">
      <c r="A906" s="211" t="str">
        <f t="shared" si="308"/>
        <v/>
      </c>
      <c r="B906" s="211"/>
      <c r="C906" s="185"/>
      <c r="D906" s="186" t="str">
        <f t="shared" si="297"/>
        <v/>
      </c>
      <c r="E906" s="186" t="str">
        <f>IF(OR(C906="",C906=Data!$B$3),"",IF(C906=Data!$B$4,"L","S"))</f>
        <v/>
      </c>
      <c r="F906" s="186" t="str">
        <f t="shared" si="298"/>
        <v/>
      </c>
      <c r="G906" s="187" t="str">
        <f t="shared" si="289"/>
        <v/>
      </c>
      <c r="H906" s="188"/>
      <c r="I906" s="189" t="str">
        <f t="shared" si="299"/>
        <v/>
      </c>
      <c r="J906" s="189" t="str">
        <f t="shared" si="300"/>
        <v/>
      </c>
      <c r="K906" s="190" t="str">
        <f t="shared" si="301"/>
        <v/>
      </c>
      <c r="L906" s="190" t="str">
        <f t="shared" si="302"/>
        <v/>
      </c>
      <c r="M906" s="214"/>
      <c r="N906" s="214"/>
      <c r="O906" s="189" t="str">
        <f t="shared" si="303"/>
        <v/>
      </c>
      <c r="P906" s="191" t="str">
        <f t="shared" si="290"/>
        <v/>
      </c>
      <c r="Q906" s="192" t="str">
        <f t="shared" si="304"/>
        <v/>
      </c>
      <c r="R906" s="191" t="str">
        <f t="shared" si="291"/>
        <v/>
      </c>
      <c r="S906" s="193" t="str">
        <f t="shared" si="305"/>
        <v/>
      </c>
      <c r="T906" s="194" t="str">
        <f t="shared" si="292"/>
        <v/>
      </c>
      <c r="U906" s="192" t="str">
        <f t="shared" si="306"/>
        <v/>
      </c>
      <c r="V906" s="195" t="str">
        <f t="shared" si="293"/>
        <v/>
      </c>
      <c r="W906" s="195" t="str">
        <f t="shared" si="294"/>
        <v/>
      </c>
      <c r="X906" s="196" t="str">
        <f t="shared" si="307"/>
        <v/>
      </c>
      <c r="Y906" s="191" t="str">
        <f t="shared" si="309"/>
        <v/>
      </c>
      <c r="Z906" s="197" t="str">
        <f t="shared" si="295"/>
        <v/>
      </c>
      <c r="AA906" s="197" t="str">
        <f t="shared" si="296"/>
        <v/>
      </c>
      <c r="AB906" s="213"/>
      <c r="AC906" s="204"/>
    </row>
    <row r="907" spans="1:29" ht="11.4">
      <c r="A907" s="211" t="str">
        <f t="shared" si="308"/>
        <v/>
      </c>
      <c r="B907" s="211"/>
      <c r="C907" s="185"/>
      <c r="D907" s="186" t="str">
        <f t="shared" si="297"/>
        <v/>
      </c>
      <c r="E907" s="186" t="str">
        <f>IF(OR(C907="",C907=Data!$B$3),"",IF(C907=Data!$B$4,"L","S"))</f>
        <v/>
      </c>
      <c r="F907" s="186" t="str">
        <f t="shared" si="298"/>
        <v/>
      </c>
      <c r="G907" s="187" t="str">
        <f t="shared" si="289"/>
        <v/>
      </c>
      <c r="H907" s="188"/>
      <c r="I907" s="189" t="str">
        <f t="shared" si="299"/>
        <v/>
      </c>
      <c r="J907" s="189" t="str">
        <f t="shared" si="300"/>
        <v/>
      </c>
      <c r="K907" s="190" t="str">
        <f t="shared" si="301"/>
        <v/>
      </c>
      <c r="L907" s="190" t="str">
        <f t="shared" si="302"/>
        <v/>
      </c>
      <c r="M907" s="214"/>
      <c r="N907" s="214"/>
      <c r="O907" s="189" t="str">
        <f t="shared" si="303"/>
        <v/>
      </c>
      <c r="P907" s="191" t="str">
        <f t="shared" si="290"/>
        <v/>
      </c>
      <c r="Q907" s="192" t="str">
        <f t="shared" si="304"/>
        <v/>
      </c>
      <c r="R907" s="191" t="str">
        <f t="shared" si="291"/>
        <v/>
      </c>
      <c r="S907" s="193" t="str">
        <f t="shared" si="305"/>
        <v/>
      </c>
      <c r="T907" s="194" t="str">
        <f t="shared" si="292"/>
        <v/>
      </c>
      <c r="U907" s="192" t="str">
        <f t="shared" si="306"/>
        <v/>
      </c>
      <c r="V907" s="195" t="str">
        <f t="shared" si="293"/>
        <v/>
      </c>
      <c r="W907" s="195" t="str">
        <f t="shared" si="294"/>
        <v/>
      </c>
      <c r="X907" s="196" t="str">
        <f t="shared" si="307"/>
        <v/>
      </c>
      <c r="Y907" s="191" t="str">
        <f t="shared" si="309"/>
        <v/>
      </c>
      <c r="Z907" s="197" t="str">
        <f t="shared" si="295"/>
        <v/>
      </c>
      <c r="AA907" s="197" t="str">
        <f t="shared" si="296"/>
        <v/>
      </c>
      <c r="AB907" s="213"/>
      <c r="AC907" s="204"/>
    </row>
    <row r="908" spans="1:29" ht="11.4">
      <c r="A908" s="211" t="str">
        <f t="shared" si="308"/>
        <v/>
      </c>
      <c r="B908" s="211"/>
      <c r="C908" s="185"/>
      <c r="D908" s="186" t="str">
        <f t="shared" si="297"/>
        <v/>
      </c>
      <c r="E908" s="186" t="str">
        <f>IF(OR(C908="",C908=Data!$B$3),"",IF(C908=Data!$B$4,"L","S"))</f>
        <v/>
      </c>
      <c r="F908" s="186" t="str">
        <f t="shared" si="298"/>
        <v/>
      </c>
      <c r="G908" s="187" t="str">
        <f t="shared" ref="G908:G971" si="310">IF(A908="","",$D$3)</f>
        <v/>
      </c>
      <c r="H908" s="188"/>
      <c r="I908" s="189" t="str">
        <f t="shared" si="299"/>
        <v/>
      </c>
      <c r="J908" s="189" t="str">
        <f t="shared" si="300"/>
        <v/>
      </c>
      <c r="K908" s="190" t="str">
        <f t="shared" si="301"/>
        <v/>
      </c>
      <c r="L908" s="190" t="str">
        <f t="shared" si="302"/>
        <v/>
      </c>
      <c r="M908" s="214"/>
      <c r="N908" s="214"/>
      <c r="O908" s="189" t="str">
        <f t="shared" si="303"/>
        <v/>
      </c>
      <c r="P908" s="191" t="str">
        <f t="shared" ref="P908:P971" si="311">IF(O908="","",IF(L908*F908*G908=0,0,L908*F908*G908))</f>
        <v/>
      </c>
      <c r="Q908" s="192" t="str">
        <f t="shared" si="304"/>
        <v/>
      </c>
      <c r="R908" s="191" t="str">
        <f t="shared" ref="R908:R971" si="312">IF(O908&lt;&gt;"",IF(K908*F908*G908=0,"",K908*F908*G908),"")</f>
        <v/>
      </c>
      <c r="S908" s="193" t="str">
        <f t="shared" si="305"/>
        <v/>
      </c>
      <c r="T908" s="194" t="str">
        <f t="shared" ref="T908:T971" si="313">IF(X908="","",X908*F908*G908)</f>
        <v/>
      </c>
      <c r="U908" s="192" t="str">
        <f t="shared" si="306"/>
        <v/>
      </c>
      <c r="V908" s="195" t="str">
        <f t="shared" ref="V908:V971" si="314">IF(O908="","",IF(AND(O908&gt;I908,E908="L"),1, IF(AND(I908&gt;O908,E908="S"),1,0)))</f>
        <v/>
      </c>
      <c r="W908" s="195" t="str">
        <f t="shared" ref="W908:W971" si="315">IF(O908="","",IF(AND(O908&lt;I908,E908="L"),1, IF(AND(I908&lt;O908,E908="S"),1,0)))</f>
        <v/>
      </c>
      <c r="X908" s="196" t="str">
        <f t="shared" si="307"/>
        <v/>
      </c>
      <c r="Y908" s="191" t="str">
        <f t="shared" si="309"/>
        <v/>
      </c>
      <c r="Z908" s="197" t="str">
        <f t="shared" ref="Z908:Z971" si="316">IF(M908="","",MONTH(M908))</f>
        <v/>
      </c>
      <c r="AA908" s="197" t="str">
        <f t="shared" ref="AA908:AA971" si="317">IF(M908="","",YEAR(M908))</f>
        <v/>
      </c>
      <c r="AB908" s="213"/>
      <c r="AC908" s="204"/>
    </row>
    <row r="909" spans="1:29" ht="11.4">
      <c r="A909" s="211" t="str">
        <f t="shared" si="308"/>
        <v/>
      </c>
      <c r="B909" s="211"/>
      <c r="C909" s="185"/>
      <c r="D909" s="186" t="str">
        <f t="shared" ref="D909:D972" si="318">IF(A909&lt;&gt;"","GBPUSD","")</f>
        <v/>
      </c>
      <c r="E909" s="186" t="str">
        <f>IF(OR(C909="",C909=Data!$B$3),"",IF(C909=Data!$B$4,"L","S"))</f>
        <v/>
      </c>
      <c r="F909" s="186" t="str">
        <f t="shared" ref="F909:F972" si="319">IF(A909&lt;&gt;"",$D$2,"")</f>
        <v/>
      </c>
      <c r="G909" s="187" t="str">
        <f t="shared" si="310"/>
        <v/>
      </c>
      <c r="H909" s="188"/>
      <c r="I909" s="189" t="str">
        <f t="shared" ref="I909:I972" si="320">IF(H909="","",IF(E909="L",H909+$D$4*0.0001,H909-$D$4*0.0001))</f>
        <v/>
      </c>
      <c r="J909" s="189" t="str">
        <f t="shared" ref="J909:J972" si="321">IF(AND(H909&lt;&gt;"",I909&lt;&gt;""),IF(E909="L",I909+(I909-H909)*3,I909-(H909-I909)*3),"")</f>
        <v/>
      </c>
      <c r="K909" s="190" t="str">
        <f t="shared" ref="K909:K972" si="322">IF(AND(E909&lt;&gt;"",AND(I909&lt;&gt;"",J909&lt;&gt;"")),IF(E909="L",(J909-I909)*IF(I909&gt;10,IF(SEARCH("JPY",D909),10,100),10000),(I909-J909)*IF(I909&gt;10,IF(SEARCH("JPY",D909),10,100),10000)),"")</f>
        <v/>
      </c>
      <c r="L909" s="190" t="str">
        <f t="shared" ref="L909:L972" si="323">IF(AND(E909&lt;&gt;"",AND(H909&lt;&gt;"",I909&lt;&gt;"")),IF(E909="L",(I909-H909)*IF(I909&gt;10,IF(SEARCH("JPY",D909),10,100),10000),(H909-I909)*IF(I909&gt;10,IF(SEARCH("JPY",D909),10,100),10000)),"")</f>
        <v/>
      </c>
      <c r="M909" s="214"/>
      <c r="N909" s="214"/>
      <c r="O909" s="189" t="str">
        <f t="shared" ref="O909:O972" si="324">IF(H909&lt;&gt;"",H909, "")</f>
        <v/>
      </c>
      <c r="P909" s="191" t="str">
        <f t="shared" si="311"/>
        <v/>
      </c>
      <c r="Q909" s="192" t="str">
        <f t="shared" ref="Q909:Q972" si="325">IF(P909="","",IF(P909=0,0,P909/$I$4))</f>
        <v/>
      </c>
      <c r="R909" s="191" t="str">
        <f t="shared" si="312"/>
        <v/>
      </c>
      <c r="S909" s="193" t="str">
        <f t="shared" ref="S909:S972" si="326">IF(P909="","",IF(P909=0,0,R909/P909))</f>
        <v/>
      </c>
      <c r="T909" s="194" t="str">
        <f t="shared" si="313"/>
        <v/>
      </c>
      <c r="U909" s="192" t="str">
        <f t="shared" ref="U909:U972" si="327">IF(T909="","",IF($I$4="","",T909/$I$4))</f>
        <v/>
      </c>
      <c r="V909" s="195" t="str">
        <f t="shared" si="314"/>
        <v/>
      </c>
      <c r="W909" s="195" t="str">
        <f t="shared" si="315"/>
        <v/>
      </c>
      <c r="X909" s="196" t="str">
        <f t="shared" ref="X909:X972" si="328">IF((O909=""),"",IF(E909="L",1,-1)*(O909-I909)*IF(O909&gt;10,IF(SEARCH("JPY",D909),10,100),10000))</f>
        <v/>
      </c>
      <c r="Y909" s="191" t="str">
        <f t="shared" si="309"/>
        <v/>
      </c>
      <c r="Z909" s="197" t="str">
        <f t="shared" si="316"/>
        <v/>
      </c>
      <c r="AA909" s="197" t="str">
        <f t="shared" si="317"/>
        <v/>
      </c>
      <c r="AB909" s="213"/>
      <c r="AC909" s="204"/>
    </row>
    <row r="910" spans="1:29" ht="11.4">
      <c r="A910" s="211" t="str">
        <f t="shared" ref="A910:A973" si="329">IF(C910="","",A909+1)</f>
        <v/>
      </c>
      <c r="B910" s="211"/>
      <c r="C910" s="185"/>
      <c r="D910" s="186" t="str">
        <f t="shared" si="318"/>
        <v/>
      </c>
      <c r="E910" s="186" t="str">
        <f>IF(OR(C910="",C910=Data!$B$3),"",IF(C910=Data!$B$4,"L","S"))</f>
        <v/>
      </c>
      <c r="F910" s="186" t="str">
        <f t="shared" si="319"/>
        <v/>
      </c>
      <c r="G910" s="187" t="str">
        <f t="shared" si="310"/>
        <v/>
      </c>
      <c r="H910" s="188"/>
      <c r="I910" s="189" t="str">
        <f t="shared" si="320"/>
        <v/>
      </c>
      <c r="J910" s="189" t="str">
        <f t="shared" si="321"/>
        <v/>
      </c>
      <c r="K910" s="190" t="str">
        <f t="shared" si="322"/>
        <v/>
      </c>
      <c r="L910" s="190" t="str">
        <f t="shared" si="323"/>
        <v/>
      </c>
      <c r="M910" s="214"/>
      <c r="N910" s="214"/>
      <c r="O910" s="189" t="str">
        <f t="shared" si="324"/>
        <v/>
      </c>
      <c r="P910" s="191" t="str">
        <f t="shared" si="311"/>
        <v/>
      </c>
      <c r="Q910" s="192" t="str">
        <f t="shared" si="325"/>
        <v/>
      </c>
      <c r="R910" s="191" t="str">
        <f t="shared" si="312"/>
        <v/>
      </c>
      <c r="S910" s="193" t="str">
        <f t="shared" si="326"/>
        <v/>
      </c>
      <c r="T910" s="194" t="str">
        <f t="shared" si="313"/>
        <v/>
      </c>
      <c r="U910" s="192" t="str">
        <f t="shared" si="327"/>
        <v/>
      </c>
      <c r="V910" s="195" t="str">
        <f t="shared" si="314"/>
        <v/>
      </c>
      <c r="W910" s="195" t="str">
        <f t="shared" si="315"/>
        <v/>
      </c>
      <c r="X910" s="196" t="str">
        <f t="shared" si="328"/>
        <v/>
      </c>
      <c r="Y910" s="191" t="str">
        <f t="shared" si="309"/>
        <v/>
      </c>
      <c r="Z910" s="197" t="str">
        <f t="shared" si="316"/>
        <v/>
      </c>
      <c r="AA910" s="197" t="str">
        <f t="shared" si="317"/>
        <v/>
      </c>
      <c r="AB910" s="213"/>
      <c r="AC910" s="204"/>
    </row>
    <row r="911" spans="1:29" ht="11.4">
      <c r="A911" s="211" t="str">
        <f t="shared" si="329"/>
        <v/>
      </c>
      <c r="B911" s="211"/>
      <c r="C911" s="185"/>
      <c r="D911" s="186" t="str">
        <f t="shared" si="318"/>
        <v/>
      </c>
      <c r="E911" s="186" t="str">
        <f>IF(OR(C911="",C911=Data!$B$3),"",IF(C911=Data!$B$4,"L","S"))</f>
        <v/>
      </c>
      <c r="F911" s="186" t="str">
        <f t="shared" si="319"/>
        <v/>
      </c>
      <c r="G911" s="187" t="str">
        <f t="shared" si="310"/>
        <v/>
      </c>
      <c r="H911" s="188"/>
      <c r="I911" s="189" t="str">
        <f t="shared" si="320"/>
        <v/>
      </c>
      <c r="J911" s="189" t="str">
        <f t="shared" si="321"/>
        <v/>
      </c>
      <c r="K911" s="190" t="str">
        <f t="shared" si="322"/>
        <v/>
      </c>
      <c r="L911" s="190" t="str">
        <f t="shared" si="323"/>
        <v/>
      </c>
      <c r="M911" s="214"/>
      <c r="N911" s="214"/>
      <c r="O911" s="189" t="str">
        <f t="shared" si="324"/>
        <v/>
      </c>
      <c r="P911" s="191" t="str">
        <f t="shared" si="311"/>
        <v/>
      </c>
      <c r="Q911" s="192" t="str">
        <f t="shared" si="325"/>
        <v/>
      </c>
      <c r="R911" s="191" t="str">
        <f t="shared" si="312"/>
        <v/>
      </c>
      <c r="S911" s="193" t="str">
        <f t="shared" si="326"/>
        <v/>
      </c>
      <c r="T911" s="194" t="str">
        <f t="shared" si="313"/>
        <v/>
      </c>
      <c r="U911" s="192" t="str">
        <f t="shared" si="327"/>
        <v/>
      </c>
      <c r="V911" s="195" t="str">
        <f t="shared" si="314"/>
        <v/>
      </c>
      <c r="W911" s="195" t="str">
        <f t="shared" si="315"/>
        <v/>
      </c>
      <c r="X911" s="196" t="str">
        <f t="shared" si="328"/>
        <v/>
      </c>
      <c r="Y911" s="191" t="str">
        <f t="shared" si="309"/>
        <v/>
      </c>
      <c r="Z911" s="197" t="str">
        <f t="shared" si="316"/>
        <v/>
      </c>
      <c r="AA911" s="197" t="str">
        <f t="shared" si="317"/>
        <v/>
      </c>
      <c r="AB911" s="213"/>
      <c r="AC911" s="204"/>
    </row>
    <row r="912" spans="1:29" ht="11.4">
      <c r="A912" s="211" t="str">
        <f t="shared" si="329"/>
        <v/>
      </c>
      <c r="B912" s="211"/>
      <c r="C912" s="185"/>
      <c r="D912" s="186" t="str">
        <f t="shared" si="318"/>
        <v/>
      </c>
      <c r="E912" s="186" t="str">
        <f>IF(OR(C912="",C912=Data!$B$3),"",IF(C912=Data!$B$4,"L","S"))</f>
        <v/>
      </c>
      <c r="F912" s="186" t="str">
        <f t="shared" si="319"/>
        <v/>
      </c>
      <c r="G912" s="187" t="str">
        <f t="shared" si="310"/>
        <v/>
      </c>
      <c r="H912" s="188"/>
      <c r="I912" s="189" t="str">
        <f t="shared" si="320"/>
        <v/>
      </c>
      <c r="J912" s="189" t="str">
        <f t="shared" si="321"/>
        <v/>
      </c>
      <c r="K912" s="190" t="str">
        <f t="shared" si="322"/>
        <v/>
      </c>
      <c r="L912" s="190" t="str">
        <f t="shared" si="323"/>
        <v/>
      </c>
      <c r="M912" s="214"/>
      <c r="N912" s="214"/>
      <c r="O912" s="189" t="str">
        <f t="shared" si="324"/>
        <v/>
      </c>
      <c r="P912" s="191" t="str">
        <f t="shared" si="311"/>
        <v/>
      </c>
      <c r="Q912" s="192" t="str">
        <f t="shared" si="325"/>
        <v/>
      </c>
      <c r="R912" s="191" t="str">
        <f t="shared" si="312"/>
        <v/>
      </c>
      <c r="S912" s="193" t="str">
        <f t="shared" si="326"/>
        <v/>
      </c>
      <c r="T912" s="194" t="str">
        <f t="shared" si="313"/>
        <v/>
      </c>
      <c r="U912" s="192" t="str">
        <f t="shared" si="327"/>
        <v/>
      </c>
      <c r="V912" s="195" t="str">
        <f t="shared" si="314"/>
        <v/>
      </c>
      <c r="W912" s="195" t="str">
        <f t="shared" si="315"/>
        <v/>
      </c>
      <c r="X912" s="196" t="str">
        <f t="shared" si="328"/>
        <v/>
      </c>
      <c r="Y912" s="191" t="str">
        <f t="shared" si="309"/>
        <v/>
      </c>
      <c r="Z912" s="197" t="str">
        <f t="shared" si="316"/>
        <v/>
      </c>
      <c r="AA912" s="197" t="str">
        <f t="shared" si="317"/>
        <v/>
      </c>
      <c r="AB912" s="213"/>
      <c r="AC912" s="204"/>
    </row>
    <row r="913" spans="1:29" ht="11.4">
      <c r="A913" s="211" t="str">
        <f t="shared" si="329"/>
        <v/>
      </c>
      <c r="B913" s="211"/>
      <c r="C913" s="185"/>
      <c r="D913" s="186" t="str">
        <f t="shared" si="318"/>
        <v/>
      </c>
      <c r="E913" s="186" t="str">
        <f>IF(OR(C913="",C913=Data!$B$3),"",IF(C913=Data!$B$4,"L","S"))</f>
        <v/>
      </c>
      <c r="F913" s="186" t="str">
        <f t="shared" si="319"/>
        <v/>
      </c>
      <c r="G913" s="187" t="str">
        <f t="shared" si="310"/>
        <v/>
      </c>
      <c r="H913" s="188"/>
      <c r="I913" s="189" t="str">
        <f t="shared" si="320"/>
        <v/>
      </c>
      <c r="J913" s="189" t="str">
        <f t="shared" si="321"/>
        <v/>
      </c>
      <c r="K913" s="190" t="str">
        <f t="shared" si="322"/>
        <v/>
      </c>
      <c r="L913" s="190" t="str">
        <f t="shared" si="323"/>
        <v/>
      </c>
      <c r="M913" s="214"/>
      <c r="N913" s="214"/>
      <c r="O913" s="189" t="str">
        <f t="shared" si="324"/>
        <v/>
      </c>
      <c r="P913" s="191" t="str">
        <f t="shared" si="311"/>
        <v/>
      </c>
      <c r="Q913" s="192" t="str">
        <f t="shared" si="325"/>
        <v/>
      </c>
      <c r="R913" s="191" t="str">
        <f t="shared" si="312"/>
        <v/>
      </c>
      <c r="S913" s="193" t="str">
        <f t="shared" si="326"/>
        <v/>
      </c>
      <c r="T913" s="194" t="str">
        <f t="shared" si="313"/>
        <v/>
      </c>
      <c r="U913" s="192" t="str">
        <f t="shared" si="327"/>
        <v/>
      </c>
      <c r="V913" s="195" t="str">
        <f t="shared" si="314"/>
        <v/>
      </c>
      <c r="W913" s="195" t="str">
        <f t="shared" si="315"/>
        <v/>
      </c>
      <c r="X913" s="196" t="str">
        <f t="shared" si="328"/>
        <v/>
      </c>
      <c r="Y913" s="191" t="str">
        <f t="shared" si="309"/>
        <v/>
      </c>
      <c r="Z913" s="197" t="str">
        <f t="shared" si="316"/>
        <v/>
      </c>
      <c r="AA913" s="197" t="str">
        <f t="shared" si="317"/>
        <v/>
      </c>
      <c r="AB913" s="213"/>
      <c r="AC913" s="204"/>
    </row>
    <row r="914" spans="1:29" ht="11.4">
      <c r="A914" s="211" t="str">
        <f t="shared" si="329"/>
        <v/>
      </c>
      <c r="B914" s="211"/>
      <c r="C914" s="185"/>
      <c r="D914" s="186" t="str">
        <f t="shared" si="318"/>
        <v/>
      </c>
      <c r="E914" s="186" t="str">
        <f>IF(OR(C914="",C914=Data!$B$3),"",IF(C914=Data!$B$4,"L","S"))</f>
        <v/>
      </c>
      <c r="F914" s="186" t="str">
        <f t="shared" si="319"/>
        <v/>
      </c>
      <c r="G914" s="187" t="str">
        <f t="shared" si="310"/>
        <v/>
      </c>
      <c r="H914" s="188"/>
      <c r="I914" s="189" t="str">
        <f t="shared" si="320"/>
        <v/>
      </c>
      <c r="J914" s="189" t="str">
        <f t="shared" si="321"/>
        <v/>
      </c>
      <c r="K914" s="190" t="str">
        <f t="shared" si="322"/>
        <v/>
      </c>
      <c r="L914" s="190" t="str">
        <f t="shared" si="323"/>
        <v/>
      </c>
      <c r="M914" s="214"/>
      <c r="N914" s="214"/>
      <c r="O914" s="189" t="str">
        <f t="shared" si="324"/>
        <v/>
      </c>
      <c r="P914" s="191" t="str">
        <f t="shared" si="311"/>
        <v/>
      </c>
      <c r="Q914" s="192" t="str">
        <f t="shared" si="325"/>
        <v/>
      </c>
      <c r="R914" s="191" t="str">
        <f t="shared" si="312"/>
        <v/>
      </c>
      <c r="S914" s="193" t="str">
        <f t="shared" si="326"/>
        <v/>
      </c>
      <c r="T914" s="194" t="str">
        <f t="shared" si="313"/>
        <v/>
      </c>
      <c r="U914" s="192" t="str">
        <f t="shared" si="327"/>
        <v/>
      </c>
      <c r="V914" s="195" t="str">
        <f t="shared" si="314"/>
        <v/>
      </c>
      <c r="W914" s="195" t="str">
        <f t="shared" si="315"/>
        <v/>
      </c>
      <c r="X914" s="196" t="str">
        <f t="shared" si="328"/>
        <v/>
      </c>
      <c r="Y914" s="191" t="str">
        <f t="shared" si="309"/>
        <v/>
      </c>
      <c r="Z914" s="197" t="str">
        <f t="shared" si="316"/>
        <v/>
      </c>
      <c r="AA914" s="197" t="str">
        <f t="shared" si="317"/>
        <v/>
      </c>
      <c r="AB914" s="213"/>
      <c r="AC914" s="204"/>
    </row>
    <row r="915" spans="1:29" ht="11.4">
      <c r="A915" s="211" t="str">
        <f t="shared" si="329"/>
        <v/>
      </c>
      <c r="B915" s="211"/>
      <c r="C915" s="185"/>
      <c r="D915" s="186" t="str">
        <f t="shared" si="318"/>
        <v/>
      </c>
      <c r="E915" s="186" t="str">
        <f>IF(OR(C915="",C915=Data!$B$3),"",IF(C915=Data!$B$4,"L","S"))</f>
        <v/>
      </c>
      <c r="F915" s="186" t="str">
        <f t="shared" si="319"/>
        <v/>
      </c>
      <c r="G915" s="187" t="str">
        <f t="shared" si="310"/>
        <v/>
      </c>
      <c r="H915" s="188"/>
      <c r="I915" s="189" t="str">
        <f t="shared" si="320"/>
        <v/>
      </c>
      <c r="J915" s="189" t="str">
        <f t="shared" si="321"/>
        <v/>
      </c>
      <c r="K915" s="190" t="str">
        <f t="shared" si="322"/>
        <v/>
      </c>
      <c r="L915" s="190" t="str">
        <f t="shared" si="323"/>
        <v/>
      </c>
      <c r="M915" s="214"/>
      <c r="N915" s="214"/>
      <c r="O915" s="189" t="str">
        <f t="shared" si="324"/>
        <v/>
      </c>
      <c r="P915" s="191" t="str">
        <f t="shared" si="311"/>
        <v/>
      </c>
      <c r="Q915" s="192" t="str">
        <f t="shared" si="325"/>
        <v/>
      </c>
      <c r="R915" s="191" t="str">
        <f t="shared" si="312"/>
        <v/>
      </c>
      <c r="S915" s="193" t="str">
        <f t="shared" si="326"/>
        <v/>
      </c>
      <c r="T915" s="194" t="str">
        <f t="shared" si="313"/>
        <v/>
      </c>
      <c r="U915" s="192" t="str">
        <f t="shared" si="327"/>
        <v/>
      </c>
      <c r="V915" s="195" t="str">
        <f t="shared" si="314"/>
        <v/>
      </c>
      <c r="W915" s="195" t="str">
        <f t="shared" si="315"/>
        <v/>
      </c>
      <c r="X915" s="196" t="str">
        <f t="shared" si="328"/>
        <v/>
      </c>
      <c r="Y915" s="191" t="str">
        <f t="shared" si="309"/>
        <v/>
      </c>
      <c r="Z915" s="197" t="str">
        <f t="shared" si="316"/>
        <v/>
      </c>
      <c r="AA915" s="197" t="str">
        <f t="shared" si="317"/>
        <v/>
      </c>
      <c r="AB915" s="213"/>
      <c r="AC915" s="204"/>
    </row>
    <row r="916" spans="1:29" ht="11.4">
      <c r="A916" s="211" t="str">
        <f t="shared" si="329"/>
        <v/>
      </c>
      <c r="B916" s="211"/>
      <c r="C916" s="185"/>
      <c r="D916" s="186" t="str">
        <f t="shared" si="318"/>
        <v/>
      </c>
      <c r="E916" s="186" t="str">
        <f>IF(OR(C916="",C916=Data!$B$3),"",IF(C916=Data!$B$4,"L","S"))</f>
        <v/>
      </c>
      <c r="F916" s="186" t="str">
        <f t="shared" si="319"/>
        <v/>
      </c>
      <c r="G916" s="187" t="str">
        <f t="shared" si="310"/>
        <v/>
      </c>
      <c r="H916" s="188"/>
      <c r="I916" s="189" t="str">
        <f t="shared" si="320"/>
        <v/>
      </c>
      <c r="J916" s="189" t="str">
        <f t="shared" si="321"/>
        <v/>
      </c>
      <c r="K916" s="190" t="str">
        <f t="shared" si="322"/>
        <v/>
      </c>
      <c r="L916" s="190" t="str">
        <f t="shared" si="323"/>
        <v/>
      </c>
      <c r="M916" s="214"/>
      <c r="N916" s="214"/>
      <c r="O916" s="189" t="str">
        <f t="shared" si="324"/>
        <v/>
      </c>
      <c r="P916" s="191" t="str">
        <f t="shared" si="311"/>
        <v/>
      </c>
      <c r="Q916" s="192" t="str">
        <f t="shared" si="325"/>
        <v/>
      </c>
      <c r="R916" s="191" t="str">
        <f t="shared" si="312"/>
        <v/>
      </c>
      <c r="S916" s="193" t="str">
        <f t="shared" si="326"/>
        <v/>
      </c>
      <c r="T916" s="194" t="str">
        <f t="shared" si="313"/>
        <v/>
      </c>
      <c r="U916" s="192" t="str">
        <f t="shared" si="327"/>
        <v/>
      </c>
      <c r="V916" s="195" t="str">
        <f t="shared" si="314"/>
        <v/>
      </c>
      <c r="W916" s="195" t="str">
        <f t="shared" si="315"/>
        <v/>
      </c>
      <c r="X916" s="196" t="str">
        <f t="shared" si="328"/>
        <v/>
      </c>
      <c r="Y916" s="191" t="str">
        <f t="shared" ref="Y916:Y979" si="330">IF(Y915="","",IF(T916="","",Y915+T916))</f>
        <v/>
      </c>
      <c r="Z916" s="197" t="str">
        <f t="shared" si="316"/>
        <v/>
      </c>
      <c r="AA916" s="197" t="str">
        <f t="shared" si="317"/>
        <v/>
      </c>
      <c r="AB916" s="213"/>
      <c r="AC916" s="204"/>
    </row>
    <row r="917" spans="1:29" ht="11.4">
      <c r="A917" s="211" t="str">
        <f t="shared" si="329"/>
        <v/>
      </c>
      <c r="B917" s="211"/>
      <c r="C917" s="185"/>
      <c r="D917" s="186" t="str">
        <f t="shared" si="318"/>
        <v/>
      </c>
      <c r="E917" s="186" t="str">
        <f>IF(OR(C917="",C917=Data!$B$3),"",IF(C917=Data!$B$4,"L","S"))</f>
        <v/>
      </c>
      <c r="F917" s="186" t="str">
        <f t="shared" si="319"/>
        <v/>
      </c>
      <c r="G917" s="187" t="str">
        <f t="shared" si="310"/>
        <v/>
      </c>
      <c r="H917" s="188"/>
      <c r="I917" s="189" t="str">
        <f t="shared" si="320"/>
        <v/>
      </c>
      <c r="J917" s="189" t="str">
        <f t="shared" si="321"/>
        <v/>
      </c>
      <c r="K917" s="190" t="str">
        <f t="shared" si="322"/>
        <v/>
      </c>
      <c r="L917" s="190" t="str">
        <f t="shared" si="323"/>
        <v/>
      </c>
      <c r="M917" s="214"/>
      <c r="N917" s="214"/>
      <c r="O917" s="189" t="str">
        <f t="shared" si="324"/>
        <v/>
      </c>
      <c r="P917" s="191" t="str">
        <f t="shared" si="311"/>
        <v/>
      </c>
      <c r="Q917" s="192" t="str">
        <f t="shared" si="325"/>
        <v/>
      </c>
      <c r="R917" s="191" t="str">
        <f t="shared" si="312"/>
        <v/>
      </c>
      <c r="S917" s="193" t="str">
        <f t="shared" si="326"/>
        <v/>
      </c>
      <c r="T917" s="194" t="str">
        <f t="shared" si="313"/>
        <v/>
      </c>
      <c r="U917" s="192" t="str">
        <f t="shared" si="327"/>
        <v/>
      </c>
      <c r="V917" s="195" t="str">
        <f t="shared" si="314"/>
        <v/>
      </c>
      <c r="W917" s="195" t="str">
        <f t="shared" si="315"/>
        <v/>
      </c>
      <c r="X917" s="196" t="str">
        <f t="shared" si="328"/>
        <v/>
      </c>
      <c r="Y917" s="191" t="str">
        <f t="shared" si="330"/>
        <v/>
      </c>
      <c r="Z917" s="197" t="str">
        <f t="shared" si="316"/>
        <v/>
      </c>
      <c r="AA917" s="197" t="str">
        <f t="shared" si="317"/>
        <v/>
      </c>
      <c r="AB917" s="213"/>
      <c r="AC917" s="204"/>
    </row>
    <row r="918" spans="1:29" ht="11.4">
      <c r="A918" s="211" t="str">
        <f t="shared" si="329"/>
        <v/>
      </c>
      <c r="B918" s="211"/>
      <c r="C918" s="185"/>
      <c r="D918" s="186" t="str">
        <f t="shared" si="318"/>
        <v/>
      </c>
      <c r="E918" s="186" t="str">
        <f>IF(OR(C918="",C918=Data!$B$3),"",IF(C918=Data!$B$4,"L","S"))</f>
        <v/>
      </c>
      <c r="F918" s="186" t="str">
        <f t="shared" si="319"/>
        <v/>
      </c>
      <c r="G918" s="187" t="str">
        <f t="shared" si="310"/>
        <v/>
      </c>
      <c r="H918" s="188"/>
      <c r="I918" s="189" t="str">
        <f t="shared" si="320"/>
        <v/>
      </c>
      <c r="J918" s="189" t="str">
        <f t="shared" si="321"/>
        <v/>
      </c>
      <c r="K918" s="190" t="str">
        <f t="shared" si="322"/>
        <v/>
      </c>
      <c r="L918" s="190" t="str">
        <f t="shared" si="323"/>
        <v/>
      </c>
      <c r="M918" s="214"/>
      <c r="N918" s="214"/>
      <c r="O918" s="189" t="str">
        <f t="shared" si="324"/>
        <v/>
      </c>
      <c r="P918" s="191" t="str">
        <f t="shared" si="311"/>
        <v/>
      </c>
      <c r="Q918" s="192" t="str">
        <f t="shared" si="325"/>
        <v/>
      </c>
      <c r="R918" s="191" t="str">
        <f t="shared" si="312"/>
        <v/>
      </c>
      <c r="S918" s="193" t="str">
        <f t="shared" si="326"/>
        <v/>
      </c>
      <c r="T918" s="194" t="str">
        <f t="shared" si="313"/>
        <v/>
      </c>
      <c r="U918" s="192" t="str">
        <f t="shared" si="327"/>
        <v/>
      </c>
      <c r="V918" s="195" t="str">
        <f t="shared" si="314"/>
        <v/>
      </c>
      <c r="W918" s="195" t="str">
        <f t="shared" si="315"/>
        <v/>
      </c>
      <c r="X918" s="196" t="str">
        <f t="shared" si="328"/>
        <v/>
      </c>
      <c r="Y918" s="191" t="str">
        <f t="shared" si="330"/>
        <v/>
      </c>
      <c r="Z918" s="197" t="str">
        <f t="shared" si="316"/>
        <v/>
      </c>
      <c r="AA918" s="197" t="str">
        <f t="shared" si="317"/>
        <v/>
      </c>
      <c r="AB918" s="213"/>
      <c r="AC918" s="204"/>
    </row>
    <row r="919" spans="1:29" ht="11.4">
      <c r="A919" s="211" t="str">
        <f t="shared" si="329"/>
        <v/>
      </c>
      <c r="B919" s="211"/>
      <c r="C919" s="185"/>
      <c r="D919" s="186" t="str">
        <f t="shared" si="318"/>
        <v/>
      </c>
      <c r="E919" s="186" t="str">
        <f>IF(OR(C919="",C919=Data!$B$3),"",IF(C919=Data!$B$4,"L","S"))</f>
        <v/>
      </c>
      <c r="F919" s="186" t="str">
        <f t="shared" si="319"/>
        <v/>
      </c>
      <c r="G919" s="187" t="str">
        <f t="shared" si="310"/>
        <v/>
      </c>
      <c r="H919" s="188"/>
      <c r="I919" s="189" t="str">
        <f t="shared" si="320"/>
        <v/>
      </c>
      <c r="J919" s="189" t="str">
        <f t="shared" si="321"/>
        <v/>
      </c>
      <c r="K919" s="190" t="str">
        <f t="shared" si="322"/>
        <v/>
      </c>
      <c r="L919" s="190" t="str">
        <f t="shared" si="323"/>
        <v/>
      </c>
      <c r="M919" s="214"/>
      <c r="N919" s="214"/>
      <c r="O919" s="189" t="str">
        <f t="shared" si="324"/>
        <v/>
      </c>
      <c r="P919" s="191" t="str">
        <f t="shared" si="311"/>
        <v/>
      </c>
      <c r="Q919" s="192" t="str">
        <f t="shared" si="325"/>
        <v/>
      </c>
      <c r="R919" s="191" t="str">
        <f t="shared" si="312"/>
        <v/>
      </c>
      <c r="S919" s="193" t="str">
        <f t="shared" si="326"/>
        <v/>
      </c>
      <c r="T919" s="194" t="str">
        <f t="shared" si="313"/>
        <v/>
      </c>
      <c r="U919" s="192" t="str">
        <f t="shared" si="327"/>
        <v/>
      </c>
      <c r="V919" s="195" t="str">
        <f t="shared" si="314"/>
        <v/>
      </c>
      <c r="W919" s="195" t="str">
        <f t="shared" si="315"/>
        <v/>
      </c>
      <c r="X919" s="196" t="str">
        <f t="shared" si="328"/>
        <v/>
      </c>
      <c r="Y919" s="191" t="str">
        <f t="shared" si="330"/>
        <v/>
      </c>
      <c r="Z919" s="197" t="str">
        <f t="shared" si="316"/>
        <v/>
      </c>
      <c r="AA919" s="197" t="str">
        <f t="shared" si="317"/>
        <v/>
      </c>
      <c r="AB919" s="213"/>
      <c r="AC919" s="204"/>
    </row>
    <row r="920" spans="1:29" ht="11.4">
      <c r="A920" s="211" t="str">
        <f t="shared" si="329"/>
        <v/>
      </c>
      <c r="B920" s="211"/>
      <c r="C920" s="185"/>
      <c r="D920" s="186" t="str">
        <f t="shared" si="318"/>
        <v/>
      </c>
      <c r="E920" s="186" t="str">
        <f>IF(OR(C920="",C920=Data!$B$3),"",IF(C920=Data!$B$4,"L","S"))</f>
        <v/>
      </c>
      <c r="F920" s="186" t="str">
        <f t="shared" si="319"/>
        <v/>
      </c>
      <c r="G920" s="187" t="str">
        <f t="shared" si="310"/>
        <v/>
      </c>
      <c r="H920" s="188"/>
      <c r="I920" s="189" t="str">
        <f t="shared" si="320"/>
        <v/>
      </c>
      <c r="J920" s="189" t="str">
        <f t="shared" si="321"/>
        <v/>
      </c>
      <c r="K920" s="190" t="str">
        <f t="shared" si="322"/>
        <v/>
      </c>
      <c r="L920" s="190" t="str">
        <f t="shared" si="323"/>
        <v/>
      </c>
      <c r="M920" s="214"/>
      <c r="N920" s="214"/>
      <c r="O920" s="189" t="str">
        <f t="shared" si="324"/>
        <v/>
      </c>
      <c r="P920" s="191" t="str">
        <f t="shared" si="311"/>
        <v/>
      </c>
      <c r="Q920" s="192" t="str">
        <f t="shared" si="325"/>
        <v/>
      </c>
      <c r="R920" s="191" t="str">
        <f t="shared" si="312"/>
        <v/>
      </c>
      <c r="S920" s="193" t="str">
        <f t="shared" si="326"/>
        <v/>
      </c>
      <c r="T920" s="194" t="str">
        <f t="shared" si="313"/>
        <v/>
      </c>
      <c r="U920" s="192" t="str">
        <f t="shared" si="327"/>
        <v/>
      </c>
      <c r="V920" s="195" t="str">
        <f t="shared" si="314"/>
        <v/>
      </c>
      <c r="W920" s="195" t="str">
        <f t="shared" si="315"/>
        <v/>
      </c>
      <c r="X920" s="196" t="str">
        <f t="shared" si="328"/>
        <v/>
      </c>
      <c r="Y920" s="191" t="str">
        <f t="shared" si="330"/>
        <v/>
      </c>
      <c r="Z920" s="197" t="str">
        <f t="shared" si="316"/>
        <v/>
      </c>
      <c r="AA920" s="197" t="str">
        <f t="shared" si="317"/>
        <v/>
      </c>
      <c r="AB920" s="213"/>
      <c r="AC920" s="204"/>
    </row>
    <row r="921" spans="1:29" ht="11.4">
      <c r="A921" s="211" t="str">
        <f t="shared" si="329"/>
        <v/>
      </c>
      <c r="B921" s="211"/>
      <c r="C921" s="185"/>
      <c r="D921" s="186" t="str">
        <f t="shared" si="318"/>
        <v/>
      </c>
      <c r="E921" s="186" t="str">
        <f>IF(OR(C921="",C921=Data!$B$3),"",IF(C921=Data!$B$4,"L","S"))</f>
        <v/>
      </c>
      <c r="F921" s="186" t="str">
        <f t="shared" si="319"/>
        <v/>
      </c>
      <c r="G921" s="187" t="str">
        <f t="shared" si="310"/>
        <v/>
      </c>
      <c r="H921" s="188"/>
      <c r="I921" s="189" t="str">
        <f t="shared" si="320"/>
        <v/>
      </c>
      <c r="J921" s="189" t="str">
        <f t="shared" si="321"/>
        <v/>
      </c>
      <c r="K921" s="190" t="str">
        <f t="shared" si="322"/>
        <v/>
      </c>
      <c r="L921" s="190" t="str">
        <f t="shared" si="323"/>
        <v/>
      </c>
      <c r="M921" s="214"/>
      <c r="N921" s="214"/>
      <c r="O921" s="189" t="str">
        <f t="shared" si="324"/>
        <v/>
      </c>
      <c r="P921" s="191" t="str">
        <f t="shared" si="311"/>
        <v/>
      </c>
      <c r="Q921" s="192" t="str">
        <f t="shared" si="325"/>
        <v/>
      </c>
      <c r="R921" s="191" t="str">
        <f t="shared" si="312"/>
        <v/>
      </c>
      <c r="S921" s="193" t="str">
        <f t="shared" si="326"/>
        <v/>
      </c>
      <c r="T921" s="194" t="str">
        <f t="shared" si="313"/>
        <v/>
      </c>
      <c r="U921" s="192" t="str">
        <f t="shared" si="327"/>
        <v/>
      </c>
      <c r="V921" s="195" t="str">
        <f t="shared" si="314"/>
        <v/>
      </c>
      <c r="W921" s="195" t="str">
        <f t="shared" si="315"/>
        <v/>
      </c>
      <c r="X921" s="196" t="str">
        <f t="shared" si="328"/>
        <v/>
      </c>
      <c r="Y921" s="191" t="str">
        <f t="shared" si="330"/>
        <v/>
      </c>
      <c r="Z921" s="197" t="str">
        <f t="shared" si="316"/>
        <v/>
      </c>
      <c r="AA921" s="197" t="str">
        <f t="shared" si="317"/>
        <v/>
      </c>
      <c r="AB921" s="213"/>
      <c r="AC921" s="204"/>
    </row>
    <row r="922" spans="1:29" ht="11.4">
      <c r="A922" s="211" t="str">
        <f t="shared" si="329"/>
        <v/>
      </c>
      <c r="B922" s="211"/>
      <c r="C922" s="185"/>
      <c r="D922" s="186" t="str">
        <f t="shared" si="318"/>
        <v/>
      </c>
      <c r="E922" s="186" t="str">
        <f>IF(OR(C922="",C922=Data!$B$3),"",IF(C922=Data!$B$4,"L","S"))</f>
        <v/>
      </c>
      <c r="F922" s="186" t="str">
        <f t="shared" si="319"/>
        <v/>
      </c>
      <c r="G922" s="187" t="str">
        <f t="shared" si="310"/>
        <v/>
      </c>
      <c r="H922" s="188"/>
      <c r="I922" s="189" t="str">
        <f t="shared" si="320"/>
        <v/>
      </c>
      <c r="J922" s="189" t="str">
        <f t="shared" si="321"/>
        <v/>
      </c>
      <c r="K922" s="190" t="str">
        <f t="shared" si="322"/>
        <v/>
      </c>
      <c r="L922" s="190" t="str">
        <f t="shared" si="323"/>
        <v/>
      </c>
      <c r="M922" s="214"/>
      <c r="N922" s="214"/>
      <c r="O922" s="189" t="str">
        <f t="shared" si="324"/>
        <v/>
      </c>
      <c r="P922" s="191" t="str">
        <f t="shared" si="311"/>
        <v/>
      </c>
      <c r="Q922" s="192" t="str">
        <f t="shared" si="325"/>
        <v/>
      </c>
      <c r="R922" s="191" t="str">
        <f t="shared" si="312"/>
        <v/>
      </c>
      <c r="S922" s="193" t="str">
        <f t="shared" si="326"/>
        <v/>
      </c>
      <c r="T922" s="194" t="str">
        <f t="shared" si="313"/>
        <v/>
      </c>
      <c r="U922" s="192" t="str">
        <f t="shared" si="327"/>
        <v/>
      </c>
      <c r="V922" s="195" t="str">
        <f t="shared" si="314"/>
        <v/>
      </c>
      <c r="W922" s="195" t="str">
        <f t="shared" si="315"/>
        <v/>
      </c>
      <c r="X922" s="196" t="str">
        <f t="shared" si="328"/>
        <v/>
      </c>
      <c r="Y922" s="191" t="str">
        <f t="shared" si="330"/>
        <v/>
      </c>
      <c r="Z922" s="197" t="str">
        <f t="shared" si="316"/>
        <v/>
      </c>
      <c r="AA922" s="197" t="str">
        <f t="shared" si="317"/>
        <v/>
      </c>
      <c r="AB922" s="213"/>
      <c r="AC922" s="204"/>
    </row>
    <row r="923" spans="1:29" ht="11.4">
      <c r="A923" s="211" t="str">
        <f t="shared" si="329"/>
        <v/>
      </c>
      <c r="B923" s="211"/>
      <c r="C923" s="185"/>
      <c r="D923" s="186" t="str">
        <f t="shared" si="318"/>
        <v/>
      </c>
      <c r="E923" s="186" t="str">
        <f>IF(OR(C923="",C923=Data!$B$3),"",IF(C923=Data!$B$4,"L","S"))</f>
        <v/>
      </c>
      <c r="F923" s="186" t="str">
        <f t="shared" si="319"/>
        <v/>
      </c>
      <c r="G923" s="187" t="str">
        <f t="shared" si="310"/>
        <v/>
      </c>
      <c r="H923" s="188"/>
      <c r="I923" s="189" t="str">
        <f t="shared" si="320"/>
        <v/>
      </c>
      <c r="J923" s="189" t="str">
        <f t="shared" si="321"/>
        <v/>
      </c>
      <c r="K923" s="190" t="str">
        <f t="shared" si="322"/>
        <v/>
      </c>
      <c r="L923" s="190" t="str">
        <f t="shared" si="323"/>
        <v/>
      </c>
      <c r="M923" s="214"/>
      <c r="N923" s="214"/>
      <c r="O923" s="189" t="str">
        <f t="shared" si="324"/>
        <v/>
      </c>
      <c r="P923" s="191" t="str">
        <f t="shared" si="311"/>
        <v/>
      </c>
      <c r="Q923" s="192" t="str">
        <f t="shared" si="325"/>
        <v/>
      </c>
      <c r="R923" s="191" t="str">
        <f t="shared" si="312"/>
        <v/>
      </c>
      <c r="S923" s="193" t="str">
        <f t="shared" si="326"/>
        <v/>
      </c>
      <c r="T923" s="194" t="str">
        <f t="shared" si="313"/>
        <v/>
      </c>
      <c r="U923" s="192" t="str">
        <f t="shared" si="327"/>
        <v/>
      </c>
      <c r="V923" s="195" t="str">
        <f t="shared" si="314"/>
        <v/>
      </c>
      <c r="W923" s="195" t="str">
        <f t="shared" si="315"/>
        <v/>
      </c>
      <c r="X923" s="196" t="str">
        <f t="shared" si="328"/>
        <v/>
      </c>
      <c r="Y923" s="191" t="str">
        <f t="shared" si="330"/>
        <v/>
      </c>
      <c r="Z923" s="197" t="str">
        <f t="shared" si="316"/>
        <v/>
      </c>
      <c r="AA923" s="197" t="str">
        <f t="shared" si="317"/>
        <v/>
      </c>
      <c r="AB923" s="213"/>
      <c r="AC923" s="204"/>
    </row>
    <row r="924" spans="1:29" ht="11.4">
      <c r="A924" s="211" t="str">
        <f t="shared" si="329"/>
        <v/>
      </c>
      <c r="B924" s="211"/>
      <c r="C924" s="185"/>
      <c r="D924" s="186" t="str">
        <f t="shared" si="318"/>
        <v/>
      </c>
      <c r="E924" s="186" t="str">
        <f>IF(OR(C924="",C924=Data!$B$3),"",IF(C924=Data!$B$4,"L","S"))</f>
        <v/>
      </c>
      <c r="F924" s="186" t="str">
        <f t="shared" si="319"/>
        <v/>
      </c>
      <c r="G924" s="187" t="str">
        <f t="shared" si="310"/>
        <v/>
      </c>
      <c r="H924" s="188"/>
      <c r="I924" s="189" t="str">
        <f t="shared" si="320"/>
        <v/>
      </c>
      <c r="J924" s="189" t="str">
        <f t="shared" si="321"/>
        <v/>
      </c>
      <c r="K924" s="190" t="str">
        <f t="shared" si="322"/>
        <v/>
      </c>
      <c r="L924" s="190" t="str">
        <f t="shared" si="323"/>
        <v/>
      </c>
      <c r="M924" s="214"/>
      <c r="N924" s="214"/>
      <c r="O924" s="189" t="str">
        <f t="shared" si="324"/>
        <v/>
      </c>
      <c r="P924" s="191" t="str">
        <f t="shared" si="311"/>
        <v/>
      </c>
      <c r="Q924" s="192" t="str">
        <f t="shared" si="325"/>
        <v/>
      </c>
      <c r="R924" s="191" t="str">
        <f t="shared" si="312"/>
        <v/>
      </c>
      <c r="S924" s="193" t="str">
        <f t="shared" si="326"/>
        <v/>
      </c>
      <c r="T924" s="194" t="str">
        <f t="shared" si="313"/>
        <v/>
      </c>
      <c r="U924" s="192" t="str">
        <f t="shared" si="327"/>
        <v/>
      </c>
      <c r="V924" s="195" t="str">
        <f t="shared" si="314"/>
        <v/>
      </c>
      <c r="W924" s="195" t="str">
        <f t="shared" si="315"/>
        <v/>
      </c>
      <c r="X924" s="196" t="str">
        <f t="shared" si="328"/>
        <v/>
      </c>
      <c r="Y924" s="191" t="str">
        <f t="shared" si="330"/>
        <v/>
      </c>
      <c r="Z924" s="197" t="str">
        <f t="shared" si="316"/>
        <v/>
      </c>
      <c r="AA924" s="197" t="str">
        <f t="shared" si="317"/>
        <v/>
      </c>
      <c r="AB924" s="213"/>
      <c r="AC924" s="204"/>
    </row>
    <row r="925" spans="1:29" ht="11.4">
      <c r="A925" s="211" t="str">
        <f t="shared" si="329"/>
        <v/>
      </c>
      <c r="B925" s="211"/>
      <c r="C925" s="185"/>
      <c r="D925" s="186" t="str">
        <f t="shared" si="318"/>
        <v/>
      </c>
      <c r="E925" s="186" t="str">
        <f>IF(OR(C925="",C925=Data!$B$3),"",IF(C925=Data!$B$4,"L","S"))</f>
        <v/>
      </c>
      <c r="F925" s="186" t="str">
        <f t="shared" si="319"/>
        <v/>
      </c>
      <c r="G925" s="187" t="str">
        <f t="shared" si="310"/>
        <v/>
      </c>
      <c r="H925" s="188"/>
      <c r="I925" s="189" t="str">
        <f t="shared" si="320"/>
        <v/>
      </c>
      <c r="J925" s="189" t="str">
        <f t="shared" si="321"/>
        <v/>
      </c>
      <c r="K925" s="190" t="str">
        <f t="shared" si="322"/>
        <v/>
      </c>
      <c r="L925" s="190" t="str">
        <f t="shared" si="323"/>
        <v/>
      </c>
      <c r="M925" s="214"/>
      <c r="N925" s="214"/>
      <c r="O925" s="189" t="str">
        <f t="shared" si="324"/>
        <v/>
      </c>
      <c r="P925" s="191" t="str">
        <f t="shared" si="311"/>
        <v/>
      </c>
      <c r="Q925" s="192" t="str">
        <f t="shared" si="325"/>
        <v/>
      </c>
      <c r="R925" s="191" t="str">
        <f t="shared" si="312"/>
        <v/>
      </c>
      <c r="S925" s="193" t="str">
        <f t="shared" si="326"/>
        <v/>
      </c>
      <c r="T925" s="194" t="str">
        <f t="shared" si="313"/>
        <v/>
      </c>
      <c r="U925" s="192" t="str">
        <f t="shared" si="327"/>
        <v/>
      </c>
      <c r="V925" s="195" t="str">
        <f t="shared" si="314"/>
        <v/>
      </c>
      <c r="W925" s="195" t="str">
        <f t="shared" si="315"/>
        <v/>
      </c>
      <c r="X925" s="196" t="str">
        <f t="shared" si="328"/>
        <v/>
      </c>
      <c r="Y925" s="191" t="str">
        <f t="shared" si="330"/>
        <v/>
      </c>
      <c r="Z925" s="197" t="str">
        <f t="shared" si="316"/>
        <v/>
      </c>
      <c r="AA925" s="197" t="str">
        <f t="shared" si="317"/>
        <v/>
      </c>
      <c r="AB925" s="213"/>
      <c r="AC925" s="204"/>
    </row>
    <row r="926" spans="1:29" ht="11.4">
      <c r="A926" s="211" t="str">
        <f t="shared" si="329"/>
        <v/>
      </c>
      <c r="B926" s="211"/>
      <c r="C926" s="185"/>
      <c r="D926" s="186" t="str">
        <f t="shared" si="318"/>
        <v/>
      </c>
      <c r="E926" s="186" t="str">
        <f>IF(OR(C926="",C926=Data!$B$3),"",IF(C926=Data!$B$4,"L","S"))</f>
        <v/>
      </c>
      <c r="F926" s="186" t="str">
        <f t="shared" si="319"/>
        <v/>
      </c>
      <c r="G926" s="187" t="str">
        <f t="shared" si="310"/>
        <v/>
      </c>
      <c r="H926" s="188"/>
      <c r="I926" s="189" t="str">
        <f t="shared" si="320"/>
        <v/>
      </c>
      <c r="J926" s="189" t="str">
        <f t="shared" si="321"/>
        <v/>
      </c>
      <c r="K926" s="190" t="str">
        <f t="shared" si="322"/>
        <v/>
      </c>
      <c r="L926" s="190" t="str">
        <f t="shared" si="323"/>
        <v/>
      </c>
      <c r="M926" s="214"/>
      <c r="N926" s="214"/>
      <c r="O926" s="189" t="str">
        <f t="shared" si="324"/>
        <v/>
      </c>
      <c r="P926" s="191" t="str">
        <f t="shared" si="311"/>
        <v/>
      </c>
      <c r="Q926" s="192" t="str">
        <f t="shared" si="325"/>
        <v/>
      </c>
      <c r="R926" s="191" t="str">
        <f t="shared" si="312"/>
        <v/>
      </c>
      <c r="S926" s="193" t="str">
        <f t="shared" si="326"/>
        <v/>
      </c>
      <c r="T926" s="194" t="str">
        <f t="shared" si="313"/>
        <v/>
      </c>
      <c r="U926" s="192" t="str">
        <f t="shared" si="327"/>
        <v/>
      </c>
      <c r="V926" s="195" t="str">
        <f t="shared" si="314"/>
        <v/>
      </c>
      <c r="W926" s="195" t="str">
        <f t="shared" si="315"/>
        <v/>
      </c>
      <c r="X926" s="196" t="str">
        <f t="shared" si="328"/>
        <v/>
      </c>
      <c r="Y926" s="191" t="str">
        <f t="shared" si="330"/>
        <v/>
      </c>
      <c r="Z926" s="197" t="str">
        <f t="shared" si="316"/>
        <v/>
      </c>
      <c r="AA926" s="197" t="str">
        <f t="shared" si="317"/>
        <v/>
      </c>
      <c r="AB926" s="213"/>
      <c r="AC926" s="204"/>
    </row>
    <row r="927" spans="1:29" ht="11.4">
      <c r="A927" s="211" t="str">
        <f t="shared" si="329"/>
        <v/>
      </c>
      <c r="B927" s="211"/>
      <c r="C927" s="185"/>
      <c r="D927" s="186" t="str">
        <f t="shared" si="318"/>
        <v/>
      </c>
      <c r="E927" s="186" t="str">
        <f>IF(OR(C927="",C927=Data!$B$3),"",IF(C927=Data!$B$4,"L","S"))</f>
        <v/>
      </c>
      <c r="F927" s="186" t="str">
        <f t="shared" si="319"/>
        <v/>
      </c>
      <c r="G927" s="187" t="str">
        <f t="shared" si="310"/>
        <v/>
      </c>
      <c r="H927" s="188"/>
      <c r="I927" s="189" t="str">
        <f t="shared" si="320"/>
        <v/>
      </c>
      <c r="J927" s="189" t="str">
        <f t="shared" si="321"/>
        <v/>
      </c>
      <c r="K927" s="190" t="str">
        <f t="shared" si="322"/>
        <v/>
      </c>
      <c r="L927" s="190" t="str">
        <f t="shared" si="323"/>
        <v/>
      </c>
      <c r="M927" s="214"/>
      <c r="N927" s="214"/>
      <c r="O927" s="189" t="str">
        <f t="shared" si="324"/>
        <v/>
      </c>
      <c r="P927" s="191" t="str">
        <f t="shared" si="311"/>
        <v/>
      </c>
      <c r="Q927" s="192" t="str">
        <f t="shared" si="325"/>
        <v/>
      </c>
      <c r="R927" s="191" t="str">
        <f t="shared" si="312"/>
        <v/>
      </c>
      <c r="S927" s="193" t="str">
        <f t="shared" si="326"/>
        <v/>
      </c>
      <c r="T927" s="194" t="str">
        <f t="shared" si="313"/>
        <v/>
      </c>
      <c r="U927" s="192" t="str">
        <f t="shared" si="327"/>
        <v/>
      </c>
      <c r="V927" s="195" t="str">
        <f t="shared" si="314"/>
        <v/>
      </c>
      <c r="W927" s="195" t="str">
        <f t="shared" si="315"/>
        <v/>
      </c>
      <c r="X927" s="196" t="str">
        <f t="shared" si="328"/>
        <v/>
      </c>
      <c r="Y927" s="191" t="str">
        <f t="shared" si="330"/>
        <v/>
      </c>
      <c r="Z927" s="197" t="str">
        <f t="shared" si="316"/>
        <v/>
      </c>
      <c r="AA927" s="197" t="str">
        <f t="shared" si="317"/>
        <v/>
      </c>
      <c r="AB927" s="213"/>
      <c r="AC927" s="204"/>
    </row>
    <row r="928" spans="1:29" ht="11.4">
      <c r="A928" s="211" t="str">
        <f t="shared" si="329"/>
        <v/>
      </c>
      <c r="B928" s="211"/>
      <c r="C928" s="185"/>
      <c r="D928" s="186" t="str">
        <f t="shared" si="318"/>
        <v/>
      </c>
      <c r="E928" s="186" t="str">
        <f>IF(OR(C928="",C928=Data!$B$3),"",IF(C928=Data!$B$4,"L","S"))</f>
        <v/>
      </c>
      <c r="F928" s="186" t="str">
        <f t="shared" si="319"/>
        <v/>
      </c>
      <c r="G928" s="187" t="str">
        <f t="shared" si="310"/>
        <v/>
      </c>
      <c r="H928" s="188"/>
      <c r="I928" s="189" t="str">
        <f t="shared" si="320"/>
        <v/>
      </c>
      <c r="J928" s="189" t="str">
        <f t="shared" si="321"/>
        <v/>
      </c>
      <c r="K928" s="190" t="str">
        <f t="shared" si="322"/>
        <v/>
      </c>
      <c r="L928" s="190" t="str">
        <f t="shared" si="323"/>
        <v/>
      </c>
      <c r="M928" s="214"/>
      <c r="N928" s="214"/>
      <c r="O928" s="189" t="str">
        <f t="shared" si="324"/>
        <v/>
      </c>
      <c r="P928" s="191" t="str">
        <f t="shared" si="311"/>
        <v/>
      </c>
      <c r="Q928" s="192" t="str">
        <f t="shared" si="325"/>
        <v/>
      </c>
      <c r="R928" s="191" t="str">
        <f t="shared" si="312"/>
        <v/>
      </c>
      <c r="S928" s="193" t="str">
        <f t="shared" si="326"/>
        <v/>
      </c>
      <c r="T928" s="194" t="str">
        <f t="shared" si="313"/>
        <v/>
      </c>
      <c r="U928" s="192" t="str">
        <f t="shared" si="327"/>
        <v/>
      </c>
      <c r="V928" s="195" t="str">
        <f t="shared" si="314"/>
        <v/>
      </c>
      <c r="W928" s="195" t="str">
        <f t="shared" si="315"/>
        <v/>
      </c>
      <c r="X928" s="196" t="str">
        <f t="shared" si="328"/>
        <v/>
      </c>
      <c r="Y928" s="191" t="str">
        <f t="shared" si="330"/>
        <v/>
      </c>
      <c r="Z928" s="197" t="str">
        <f t="shared" si="316"/>
        <v/>
      </c>
      <c r="AA928" s="197" t="str">
        <f t="shared" si="317"/>
        <v/>
      </c>
      <c r="AB928" s="213"/>
      <c r="AC928" s="204"/>
    </row>
    <row r="929" spans="1:29" ht="11.4">
      <c r="A929" s="211" t="str">
        <f t="shared" si="329"/>
        <v/>
      </c>
      <c r="B929" s="211"/>
      <c r="C929" s="185"/>
      <c r="D929" s="186" t="str">
        <f t="shared" si="318"/>
        <v/>
      </c>
      <c r="E929" s="186" t="str">
        <f>IF(OR(C929="",C929=Data!$B$3),"",IF(C929=Data!$B$4,"L","S"))</f>
        <v/>
      </c>
      <c r="F929" s="186" t="str">
        <f t="shared" si="319"/>
        <v/>
      </c>
      <c r="G929" s="187" t="str">
        <f t="shared" si="310"/>
        <v/>
      </c>
      <c r="H929" s="188"/>
      <c r="I929" s="189" t="str">
        <f t="shared" si="320"/>
        <v/>
      </c>
      <c r="J929" s="189" t="str">
        <f t="shared" si="321"/>
        <v/>
      </c>
      <c r="K929" s="190" t="str">
        <f t="shared" si="322"/>
        <v/>
      </c>
      <c r="L929" s="190" t="str">
        <f t="shared" si="323"/>
        <v/>
      </c>
      <c r="M929" s="214"/>
      <c r="N929" s="214"/>
      <c r="O929" s="189" t="str">
        <f t="shared" si="324"/>
        <v/>
      </c>
      <c r="P929" s="191" t="str">
        <f t="shared" si="311"/>
        <v/>
      </c>
      <c r="Q929" s="192" t="str">
        <f t="shared" si="325"/>
        <v/>
      </c>
      <c r="R929" s="191" t="str">
        <f t="shared" si="312"/>
        <v/>
      </c>
      <c r="S929" s="193" t="str">
        <f t="shared" si="326"/>
        <v/>
      </c>
      <c r="T929" s="194" t="str">
        <f t="shared" si="313"/>
        <v/>
      </c>
      <c r="U929" s="192" t="str">
        <f t="shared" si="327"/>
        <v/>
      </c>
      <c r="V929" s="195" t="str">
        <f t="shared" si="314"/>
        <v/>
      </c>
      <c r="W929" s="195" t="str">
        <f t="shared" si="315"/>
        <v/>
      </c>
      <c r="X929" s="196" t="str">
        <f t="shared" si="328"/>
        <v/>
      </c>
      <c r="Y929" s="191" t="str">
        <f t="shared" si="330"/>
        <v/>
      </c>
      <c r="Z929" s="197" t="str">
        <f t="shared" si="316"/>
        <v/>
      </c>
      <c r="AA929" s="197" t="str">
        <f t="shared" si="317"/>
        <v/>
      </c>
      <c r="AB929" s="213"/>
      <c r="AC929" s="204"/>
    </row>
    <row r="930" spans="1:29" ht="11.4">
      <c r="A930" s="211" t="str">
        <f t="shared" si="329"/>
        <v/>
      </c>
      <c r="B930" s="211"/>
      <c r="C930" s="185"/>
      <c r="D930" s="186" t="str">
        <f t="shared" si="318"/>
        <v/>
      </c>
      <c r="E930" s="186" t="str">
        <f>IF(OR(C930="",C930=Data!$B$3),"",IF(C930=Data!$B$4,"L","S"))</f>
        <v/>
      </c>
      <c r="F930" s="186" t="str">
        <f t="shared" si="319"/>
        <v/>
      </c>
      <c r="G930" s="187" t="str">
        <f t="shared" si="310"/>
        <v/>
      </c>
      <c r="H930" s="188"/>
      <c r="I930" s="189" t="str">
        <f t="shared" si="320"/>
        <v/>
      </c>
      <c r="J930" s="189" t="str">
        <f t="shared" si="321"/>
        <v/>
      </c>
      <c r="K930" s="190" t="str">
        <f t="shared" si="322"/>
        <v/>
      </c>
      <c r="L930" s="190" t="str">
        <f t="shared" si="323"/>
        <v/>
      </c>
      <c r="M930" s="214"/>
      <c r="N930" s="214"/>
      <c r="O930" s="189" t="str">
        <f t="shared" si="324"/>
        <v/>
      </c>
      <c r="P930" s="191" t="str">
        <f t="shared" si="311"/>
        <v/>
      </c>
      <c r="Q930" s="192" t="str">
        <f t="shared" si="325"/>
        <v/>
      </c>
      <c r="R930" s="191" t="str">
        <f t="shared" si="312"/>
        <v/>
      </c>
      <c r="S930" s="193" t="str">
        <f t="shared" si="326"/>
        <v/>
      </c>
      <c r="T930" s="194" t="str">
        <f t="shared" si="313"/>
        <v/>
      </c>
      <c r="U930" s="192" t="str">
        <f t="shared" si="327"/>
        <v/>
      </c>
      <c r="V930" s="195" t="str">
        <f t="shared" si="314"/>
        <v/>
      </c>
      <c r="W930" s="195" t="str">
        <f t="shared" si="315"/>
        <v/>
      </c>
      <c r="X930" s="196" t="str">
        <f t="shared" si="328"/>
        <v/>
      </c>
      <c r="Y930" s="191" t="str">
        <f t="shared" si="330"/>
        <v/>
      </c>
      <c r="Z930" s="197" t="str">
        <f t="shared" si="316"/>
        <v/>
      </c>
      <c r="AA930" s="197" t="str">
        <f t="shared" si="317"/>
        <v/>
      </c>
      <c r="AB930" s="213"/>
      <c r="AC930" s="204"/>
    </row>
    <row r="931" spans="1:29" ht="11.4">
      <c r="A931" s="211" t="str">
        <f t="shared" si="329"/>
        <v/>
      </c>
      <c r="B931" s="211"/>
      <c r="C931" s="185"/>
      <c r="D931" s="186" t="str">
        <f t="shared" si="318"/>
        <v/>
      </c>
      <c r="E931" s="186" t="str">
        <f>IF(OR(C931="",C931=Data!$B$3),"",IF(C931=Data!$B$4,"L","S"))</f>
        <v/>
      </c>
      <c r="F931" s="186" t="str">
        <f t="shared" si="319"/>
        <v/>
      </c>
      <c r="G931" s="187" t="str">
        <f t="shared" si="310"/>
        <v/>
      </c>
      <c r="H931" s="188"/>
      <c r="I931" s="189" t="str">
        <f t="shared" si="320"/>
        <v/>
      </c>
      <c r="J931" s="189" t="str">
        <f t="shared" si="321"/>
        <v/>
      </c>
      <c r="K931" s="190" t="str">
        <f t="shared" si="322"/>
        <v/>
      </c>
      <c r="L931" s="190" t="str">
        <f t="shared" si="323"/>
        <v/>
      </c>
      <c r="M931" s="214"/>
      <c r="N931" s="214"/>
      <c r="O931" s="189" t="str">
        <f t="shared" si="324"/>
        <v/>
      </c>
      <c r="P931" s="191" t="str">
        <f t="shared" si="311"/>
        <v/>
      </c>
      <c r="Q931" s="192" t="str">
        <f t="shared" si="325"/>
        <v/>
      </c>
      <c r="R931" s="191" t="str">
        <f t="shared" si="312"/>
        <v/>
      </c>
      <c r="S931" s="193" t="str">
        <f t="shared" si="326"/>
        <v/>
      </c>
      <c r="T931" s="194" t="str">
        <f t="shared" si="313"/>
        <v/>
      </c>
      <c r="U931" s="192" t="str">
        <f t="shared" si="327"/>
        <v/>
      </c>
      <c r="V931" s="195" t="str">
        <f t="shared" si="314"/>
        <v/>
      </c>
      <c r="W931" s="195" t="str">
        <f t="shared" si="315"/>
        <v/>
      </c>
      <c r="X931" s="196" t="str">
        <f t="shared" si="328"/>
        <v/>
      </c>
      <c r="Y931" s="191" t="str">
        <f t="shared" si="330"/>
        <v/>
      </c>
      <c r="Z931" s="197" t="str">
        <f t="shared" si="316"/>
        <v/>
      </c>
      <c r="AA931" s="197" t="str">
        <f t="shared" si="317"/>
        <v/>
      </c>
      <c r="AB931" s="213"/>
      <c r="AC931" s="204"/>
    </row>
    <row r="932" spans="1:29" ht="11.4">
      <c r="A932" s="211" t="str">
        <f t="shared" si="329"/>
        <v/>
      </c>
      <c r="B932" s="211"/>
      <c r="C932" s="185"/>
      <c r="D932" s="186" t="str">
        <f t="shared" si="318"/>
        <v/>
      </c>
      <c r="E932" s="186" t="str">
        <f>IF(OR(C932="",C932=Data!$B$3),"",IF(C932=Data!$B$4,"L","S"))</f>
        <v/>
      </c>
      <c r="F932" s="186" t="str">
        <f t="shared" si="319"/>
        <v/>
      </c>
      <c r="G932" s="187" t="str">
        <f t="shared" si="310"/>
        <v/>
      </c>
      <c r="H932" s="188"/>
      <c r="I932" s="189" t="str">
        <f t="shared" si="320"/>
        <v/>
      </c>
      <c r="J932" s="189" t="str">
        <f t="shared" si="321"/>
        <v/>
      </c>
      <c r="K932" s="190" t="str">
        <f t="shared" si="322"/>
        <v/>
      </c>
      <c r="L932" s="190" t="str">
        <f t="shared" si="323"/>
        <v/>
      </c>
      <c r="M932" s="214"/>
      <c r="N932" s="214"/>
      <c r="O932" s="189" t="str">
        <f t="shared" si="324"/>
        <v/>
      </c>
      <c r="P932" s="191" t="str">
        <f t="shared" si="311"/>
        <v/>
      </c>
      <c r="Q932" s="192" t="str">
        <f t="shared" si="325"/>
        <v/>
      </c>
      <c r="R932" s="191" t="str">
        <f t="shared" si="312"/>
        <v/>
      </c>
      <c r="S932" s="193" t="str">
        <f t="shared" si="326"/>
        <v/>
      </c>
      <c r="T932" s="194" t="str">
        <f t="shared" si="313"/>
        <v/>
      </c>
      <c r="U932" s="192" t="str">
        <f t="shared" si="327"/>
        <v/>
      </c>
      <c r="V932" s="195" t="str">
        <f t="shared" si="314"/>
        <v/>
      </c>
      <c r="W932" s="195" t="str">
        <f t="shared" si="315"/>
        <v/>
      </c>
      <c r="X932" s="196" t="str">
        <f t="shared" si="328"/>
        <v/>
      </c>
      <c r="Y932" s="191" t="str">
        <f t="shared" si="330"/>
        <v/>
      </c>
      <c r="Z932" s="197" t="str">
        <f t="shared" si="316"/>
        <v/>
      </c>
      <c r="AA932" s="197" t="str">
        <f t="shared" si="317"/>
        <v/>
      </c>
      <c r="AB932" s="213"/>
      <c r="AC932" s="204"/>
    </row>
    <row r="933" spans="1:29" ht="11.4">
      <c r="A933" s="211" t="str">
        <f t="shared" si="329"/>
        <v/>
      </c>
      <c r="B933" s="211"/>
      <c r="C933" s="185"/>
      <c r="D933" s="186" t="str">
        <f t="shared" si="318"/>
        <v/>
      </c>
      <c r="E933" s="186" t="str">
        <f>IF(OR(C933="",C933=Data!$B$3),"",IF(C933=Data!$B$4,"L","S"))</f>
        <v/>
      </c>
      <c r="F933" s="186" t="str">
        <f t="shared" si="319"/>
        <v/>
      </c>
      <c r="G933" s="187" t="str">
        <f t="shared" si="310"/>
        <v/>
      </c>
      <c r="H933" s="188"/>
      <c r="I933" s="189" t="str">
        <f t="shared" si="320"/>
        <v/>
      </c>
      <c r="J933" s="189" t="str">
        <f t="shared" si="321"/>
        <v/>
      </c>
      <c r="K933" s="190" t="str">
        <f t="shared" si="322"/>
        <v/>
      </c>
      <c r="L933" s="190" t="str">
        <f t="shared" si="323"/>
        <v/>
      </c>
      <c r="M933" s="214"/>
      <c r="N933" s="214"/>
      <c r="O933" s="189" t="str">
        <f t="shared" si="324"/>
        <v/>
      </c>
      <c r="P933" s="191" t="str">
        <f t="shared" si="311"/>
        <v/>
      </c>
      <c r="Q933" s="192" t="str">
        <f t="shared" si="325"/>
        <v/>
      </c>
      <c r="R933" s="191" t="str">
        <f t="shared" si="312"/>
        <v/>
      </c>
      <c r="S933" s="193" t="str">
        <f t="shared" si="326"/>
        <v/>
      </c>
      <c r="T933" s="194" t="str">
        <f t="shared" si="313"/>
        <v/>
      </c>
      <c r="U933" s="192" t="str">
        <f t="shared" si="327"/>
        <v/>
      </c>
      <c r="V933" s="195" t="str">
        <f t="shared" si="314"/>
        <v/>
      </c>
      <c r="W933" s="195" t="str">
        <f t="shared" si="315"/>
        <v/>
      </c>
      <c r="X933" s="196" t="str">
        <f t="shared" si="328"/>
        <v/>
      </c>
      <c r="Y933" s="191" t="str">
        <f t="shared" si="330"/>
        <v/>
      </c>
      <c r="Z933" s="197" t="str">
        <f t="shared" si="316"/>
        <v/>
      </c>
      <c r="AA933" s="197" t="str">
        <f t="shared" si="317"/>
        <v/>
      </c>
      <c r="AB933" s="213"/>
      <c r="AC933" s="204"/>
    </row>
    <row r="934" spans="1:29" ht="11.4">
      <c r="A934" s="211" t="str">
        <f t="shared" si="329"/>
        <v/>
      </c>
      <c r="B934" s="211"/>
      <c r="C934" s="185"/>
      <c r="D934" s="186" t="str">
        <f t="shared" si="318"/>
        <v/>
      </c>
      <c r="E934" s="186" t="str">
        <f>IF(OR(C934="",C934=Data!$B$3),"",IF(C934=Data!$B$4,"L","S"))</f>
        <v/>
      </c>
      <c r="F934" s="186" t="str">
        <f t="shared" si="319"/>
        <v/>
      </c>
      <c r="G934" s="187" t="str">
        <f t="shared" si="310"/>
        <v/>
      </c>
      <c r="H934" s="188"/>
      <c r="I934" s="189" t="str">
        <f t="shared" si="320"/>
        <v/>
      </c>
      <c r="J934" s="189" t="str">
        <f t="shared" si="321"/>
        <v/>
      </c>
      <c r="K934" s="190" t="str">
        <f t="shared" si="322"/>
        <v/>
      </c>
      <c r="L934" s="190" t="str">
        <f t="shared" si="323"/>
        <v/>
      </c>
      <c r="M934" s="214"/>
      <c r="N934" s="214"/>
      <c r="O934" s="189" t="str">
        <f t="shared" si="324"/>
        <v/>
      </c>
      <c r="P934" s="191" t="str">
        <f t="shared" si="311"/>
        <v/>
      </c>
      <c r="Q934" s="192" t="str">
        <f t="shared" si="325"/>
        <v/>
      </c>
      <c r="R934" s="191" t="str">
        <f t="shared" si="312"/>
        <v/>
      </c>
      <c r="S934" s="193" t="str">
        <f t="shared" si="326"/>
        <v/>
      </c>
      <c r="T934" s="194" t="str">
        <f t="shared" si="313"/>
        <v/>
      </c>
      <c r="U934" s="192" t="str">
        <f t="shared" si="327"/>
        <v/>
      </c>
      <c r="V934" s="195" t="str">
        <f t="shared" si="314"/>
        <v/>
      </c>
      <c r="W934" s="195" t="str">
        <f t="shared" si="315"/>
        <v/>
      </c>
      <c r="X934" s="196" t="str">
        <f t="shared" si="328"/>
        <v/>
      </c>
      <c r="Y934" s="191" t="str">
        <f t="shared" si="330"/>
        <v/>
      </c>
      <c r="Z934" s="197" t="str">
        <f t="shared" si="316"/>
        <v/>
      </c>
      <c r="AA934" s="197" t="str">
        <f t="shared" si="317"/>
        <v/>
      </c>
      <c r="AB934" s="213"/>
      <c r="AC934" s="204"/>
    </row>
    <row r="935" spans="1:29" ht="11.4">
      <c r="A935" s="211" t="str">
        <f t="shared" si="329"/>
        <v/>
      </c>
      <c r="B935" s="211"/>
      <c r="C935" s="185"/>
      <c r="D935" s="186" t="str">
        <f t="shared" si="318"/>
        <v/>
      </c>
      <c r="E935" s="186" t="str">
        <f>IF(OR(C935="",C935=Data!$B$3),"",IF(C935=Data!$B$4,"L","S"))</f>
        <v/>
      </c>
      <c r="F935" s="186" t="str">
        <f t="shared" si="319"/>
        <v/>
      </c>
      <c r="G935" s="187" t="str">
        <f t="shared" si="310"/>
        <v/>
      </c>
      <c r="H935" s="188"/>
      <c r="I935" s="189" t="str">
        <f t="shared" si="320"/>
        <v/>
      </c>
      <c r="J935" s="189" t="str">
        <f t="shared" si="321"/>
        <v/>
      </c>
      <c r="K935" s="190" t="str">
        <f t="shared" si="322"/>
        <v/>
      </c>
      <c r="L935" s="190" t="str">
        <f t="shared" si="323"/>
        <v/>
      </c>
      <c r="M935" s="214"/>
      <c r="N935" s="214"/>
      <c r="O935" s="189" t="str">
        <f t="shared" si="324"/>
        <v/>
      </c>
      <c r="P935" s="191" t="str">
        <f t="shared" si="311"/>
        <v/>
      </c>
      <c r="Q935" s="192" t="str">
        <f t="shared" si="325"/>
        <v/>
      </c>
      <c r="R935" s="191" t="str">
        <f t="shared" si="312"/>
        <v/>
      </c>
      <c r="S935" s="193" t="str">
        <f t="shared" si="326"/>
        <v/>
      </c>
      <c r="T935" s="194" t="str">
        <f t="shared" si="313"/>
        <v/>
      </c>
      <c r="U935" s="192" t="str">
        <f t="shared" si="327"/>
        <v/>
      </c>
      <c r="V935" s="195" t="str">
        <f t="shared" si="314"/>
        <v/>
      </c>
      <c r="W935" s="195" t="str">
        <f t="shared" si="315"/>
        <v/>
      </c>
      <c r="X935" s="196" t="str">
        <f t="shared" si="328"/>
        <v/>
      </c>
      <c r="Y935" s="191" t="str">
        <f t="shared" si="330"/>
        <v/>
      </c>
      <c r="Z935" s="197" t="str">
        <f t="shared" si="316"/>
        <v/>
      </c>
      <c r="AA935" s="197" t="str">
        <f t="shared" si="317"/>
        <v/>
      </c>
      <c r="AB935" s="213"/>
      <c r="AC935" s="204"/>
    </row>
    <row r="936" spans="1:29" ht="11.4">
      <c r="A936" s="211" t="str">
        <f t="shared" si="329"/>
        <v/>
      </c>
      <c r="B936" s="211"/>
      <c r="C936" s="185"/>
      <c r="D936" s="186" t="str">
        <f t="shared" si="318"/>
        <v/>
      </c>
      <c r="E936" s="186" t="str">
        <f>IF(OR(C936="",C936=Data!$B$3),"",IF(C936=Data!$B$4,"L","S"))</f>
        <v/>
      </c>
      <c r="F936" s="186" t="str">
        <f t="shared" si="319"/>
        <v/>
      </c>
      <c r="G936" s="187" t="str">
        <f t="shared" si="310"/>
        <v/>
      </c>
      <c r="H936" s="188"/>
      <c r="I936" s="189" t="str">
        <f t="shared" si="320"/>
        <v/>
      </c>
      <c r="J936" s="189" t="str">
        <f t="shared" si="321"/>
        <v/>
      </c>
      <c r="K936" s="190" t="str">
        <f t="shared" si="322"/>
        <v/>
      </c>
      <c r="L936" s="190" t="str">
        <f t="shared" si="323"/>
        <v/>
      </c>
      <c r="M936" s="214"/>
      <c r="N936" s="214"/>
      <c r="O936" s="189" t="str">
        <f t="shared" si="324"/>
        <v/>
      </c>
      <c r="P936" s="191" t="str">
        <f t="shared" si="311"/>
        <v/>
      </c>
      <c r="Q936" s="192" t="str">
        <f t="shared" si="325"/>
        <v/>
      </c>
      <c r="R936" s="191" t="str">
        <f t="shared" si="312"/>
        <v/>
      </c>
      <c r="S936" s="193" t="str">
        <f t="shared" si="326"/>
        <v/>
      </c>
      <c r="T936" s="194" t="str">
        <f t="shared" si="313"/>
        <v/>
      </c>
      <c r="U936" s="192" t="str">
        <f t="shared" si="327"/>
        <v/>
      </c>
      <c r="V936" s="195" t="str">
        <f t="shared" si="314"/>
        <v/>
      </c>
      <c r="W936" s="195" t="str">
        <f t="shared" si="315"/>
        <v/>
      </c>
      <c r="X936" s="196" t="str">
        <f t="shared" si="328"/>
        <v/>
      </c>
      <c r="Y936" s="191" t="str">
        <f t="shared" si="330"/>
        <v/>
      </c>
      <c r="Z936" s="197" t="str">
        <f t="shared" si="316"/>
        <v/>
      </c>
      <c r="AA936" s="197" t="str">
        <f t="shared" si="317"/>
        <v/>
      </c>
      <c r="AB936" s="213"/>
      <c r="AC936" s="204"/>
    </row>
    <row r="937" spans="1:29" ht="11.4">
      <c r="A937" s="211" t="str">
        <f t="shared" si="329"/>
        <v/>
      </c>
      <c r="B937" s="211"/>
      <c r="C937" s="185"/>
      <c r="D937" s="186" t="str">
        <f t="shared" si="318"/>
        <v/>
      </c>
      <c r="E937" s="186" t="str">
        <f>IF(OR(C937="",C937=Data!$B$3),"",IF(C937=Data!$B$4,"L","S"))</f>
        <v/>
      </c>
      <c r="F937" s="186" t="str">
        <f t="shared" si="319"/>
        <v/>
      </c>
      <c r="G937" s="187" t="str">
        <f t="shared" si="310"/>
        <v/>
      </c>
      <c r="H937" s="188"/>
      <c r="I937" s="189" t="str">
        <f t="shared" si="320"/>
        <v/>
      </c>
      <c r="J937" s="189" t="str">
        <f t="shared" si="321"/>
        <v/>
      </c>
      <c r="K937" s="190" t="str">
        <f t="shared" si="322"/>
        <v/>
      </c>
      <c r="L937" s="190" t="str">
        <f t="shared" si="323"/>
        <v/>
      </c>
      <c r="M937" s="214"/>
      <c r="N937" s="214"/>
      <c r="O937" s="189" t="str">
        <f t="shared" si="324"/>
        <v/>
      </c>
      <c r="P937" s="191" t="str">
        <f t="shared" si="311"/>
        <v/>
      </c>
      <c r="Q937" s="192" t="str">
        <f t="shared" si="325"/>
        <v/>
      </c>
      <c r="R937" s="191" t="str">
        <f t="shared" si="312"/>
        <v/>
      </c>
      <c r="S937" s="193" t="str">
        <f t="shared" si="326"/>
        <v/>
      </c>
      <c r="T937" s="194" t="str">
        <f t="shared" si="313"/>
        <v/>
      </c>
      <c r="U937" s="192" t="str">
        <f t="shared" si="327"/>
        <v/>
      </c>
      <c r="V937" s="195" t="str">
        <f t="shared" si="314"/>
        <v/>
      </c>
      <c r="W937" s="195" t="str">
        <f t="shared" si="315"/>
        <v/>
      </c>
      <c r="X937" s="196" t="str">
        <f t="shared" si="328"/>
        <v/>
      </c>
      <c r="Y937" s="191" t="str">
        <f t="shared" si="330"/>
        <v/>
      </c>
      <c r="Z937" s="197" t="str">
        <f t="shared" si="316"/>
        <v/>
      </c>
      <c r="AA937" s="197" t="str">
        <f t="shared" si="317"/>
        <v/>
      </c>
      <c r="AB937" s="213"/>
      <c r="AC937" s="204"/>
    </row>
    <row r="938" spans="1:29" ht="11.4">
      <c r="A938" s="211" t="str">
        <f t="shared" si="329"/>
        <v/>
      </c>
      <c r="B938" s="211"/>
      <c r="C938" s="185"/>
      <c r="D938" s="186" t="str">
        <f t="shared" si="318"/>
        <v/>
      </c>
      <c r="E938" s="186" t="str">
        <f>IF(OR(C938="",C938=Data!$B$3),"",IF(C938=Data!$B$4,"L","S"))</f>
        <v/>
      </c>
      <c r="F938" s="186" t="str">
        <f t="shared" si="319"/>
        <v/>
      </c>
      <c r="G938" s="187" t="str">
        <f t="shared" si="310"/>
        <v/>
      </c>
      <c r="H938" s="188"/>
      <c r="I938" s="189" t="str">
        <f t="shared" si="320"/>
        <v/>
      </c>
      <c r="J938" s="189" t="str">
        <f t="shared" si="321"/>
        <v/>
      </c>
      <c r="K938" s="190" t="str">
        <f t="shared" si="322"/>
        <v/>
      </c>
      <c r="L938" s="190" t="str">
        <f t="shared" si="323"/>
        <v/>
      </c>
      <c r="M938" s="214"/>
      <c r="N938" s="214"/>
      <c r="O938" s="189" t="str">
        <f t="shared" si="324"/>
        <v/>
      </c>
      <c r="P938" s="191" t="str">
        <f t="shared" si="311"/>
        <v/>
      </c>
      <c r="Q938" s="192" t="str">
        <f t="shared" si="325"/>
        <v/>
      </c>
      <c r="R938" s="191" t="str">
        <f t="shared" si="312"/>
        <v/>
      </c>
      <c r="S938" s="193" t="str">
        <f t="shared" si="326"/>
        <v/>
      </c>
      <c r="T938" s="194" t="str">
        <f t="shared" si="313"/>
        <v/>
      </c>
      <c r="U938" s="192" t="str">
        <f t="shared" si="327"/>
        <v/>
      </c>
      <c r="V938" s="195" t="str">
        <f t="shared" si="314"/>
        <v/>
      </c>
      <c r="W938" s="195" t="str">
        <f t="shared" si="315"/>
        <v/>
      </c>
      <c r="X938" s="196" t="str">
        <f t="shared" si="328"/>
        <v/>
      </c>
      <c r="Y938" s="191" t="str">
        <f t="shared" si="330"/>
        <v/>
      </c>
      <c r="Z938" s="197" t="str">
        <f t="shared" si="316"/>
        <v/>
      </c>
      <c r="AA938" s="197" t="str">
        <f t="shared" si="317"/>
        <v/>
      </c>
      <c r="AB938" s="213"/>
      <c r="AC938" s="204"/>
    </row>
    <row r="939" spans="1:29" ht="11.4">
      <c r="A939" s="211" t="str">
        <f t="shared" si="329"/>
        <v/>
      </c>
      <c r="B939" s="211"/>
      <c r="C939" s="185"/>
      <c r="D939" s="186" t="str">
        <f t="shared" si="318"/>
        <v/>
      </c>
      <c r="E939" s="186" t="str">
        <f>IF(OR(C939="",C939=Data!$B$3),"",IF(C939=Data!$B$4,"L","S"))</f>
        <v/>
      </c>
      <c r="F939" s="186" t="str">
        <f t="shared" si="319"/>
        <v/>
      </c>
      <c r="G939" s="187" t="str">
        <f t="shared" si="310"/>
        <v/>
      </c>
      <c r="H939" s="188"/>
      <c r="I939" s="189" t="str">
        <f t="shared" si="320"/>
        <v/>
      </c>
      <c r="J939" s="189" t="str">
        <f t="shared" si="321"/>
        <v/>
      </c>
      <c r="K939" s="190" t="str">
        <f t="shared" si="322"/>
        <v/>
      </c>
      <c r="L939" s="190" t="str">
        <f t="shared" si="323"/>
        <v/>
      </c>
      <c r="M939" s="214"/>
      <c r="N939" s="214"/>
      <c r="O939" s="189" t="str">
        <f t="shared" si="324"/>
        <v/>
      </c>
      <c r="P939" s="191" t="str">
        <f t="shared" si="311"/>
        <v/>
      </c>
      <c r="Q939" s="192" t="str">
        <f t="shared" si="325"/>
        <v/>
      </c>
      <c r="R939" s="191" t="str">
        <f t="shared" si="312"/>
        <v/>
      </c>
      <c r="S939" s="193" t="str">
        <f t="shared" si="326"/>
        <v/>
      </c>
      <c r="T939" s="194" t="str">
        <f t="shared" si="313"/>
        <v/>
      </c>
      <c r="U939" s="192" t="str">
        <f t="shared" si="327"/>
        <v/>
      </c>
      <c r="V939" s="195" t="str">
        <f t="shared" si="314"/>
        <v/>
      </c>
      <c r="W939" s="195" t="str">
        <f t="shared" si="315"/>
        <v/>
      </c>
      <c r="X939" s="196" t="str">
        <f t="shared" si="328"/>
        <v/>
      </c>
      <c r="Y939" s="191" t="str">
        <f t="shared" si="330"/>
        <v/>
      </c>
      <c r="Z939" s="197" t="str">
        <f t="shared" si="316"/>
        <v/>
      </c>
      <c r="AA939" s="197" t="str">
        <f t="shared" si="317"/>
        <v/>
      </c>
      <c r="AB939" s="213"/>
      <c r="AC939" s="204"/>
    </row>
    <row r="940" spans="1:29" ht="11.4">
      <c r="A940" s="211" t="str">
        <f t="shared" si="329"/>
        <v/>
      </c>
      <c r="B940" s="211"/>
      <c r="C940" s="185"/>
      <c r="D940" s="186" t="str">
        <f t="shared" si="318"/>
        <v/>
      </c>
      <c r="E940" s="186" t="str">
        <f>IF(OR(C940="",C940=Data!$B$3),"",IF(C940=Data!$B$4,"L","S"))</f>
        <v/>
      </c>
      <c r="F940" s="186" t="str">
        <f t="shared" si="319"/>
        <v/>
      </c>
      <c r="G940" s="187" t="str">
        <f t="shared" si="310"/>
        <v/>
      </c>
      <c r="H940" s="188"/>
      <c r="I940" s="189" t="str">
        <f t="shared" si="320"/>
        <v/>
      </c>
      <c r="J940" s="189" t="str">
        <f t="shared" si="321"/>
        <v/>
      </c>
      <c r="K940" s="190" t="str">
        <f t="shared" si="322"/>
        <v/>
      </c>
      <c r="L940" s="190" t="str">
        <f t="shared" si="323"/>
        <v/>
      </c>
      <c r="M940" s="214"/>
      <c r="N940" s="214"/>
      <c r="O940" s="189" t="str">
        <f t="shared" si="324"/>
        <v/>
      </c>
      <c r="P940" s="191" t="str">
        <f t="shared" si="311"/>
        <v/>
      </c>
      <c r="Q940" s="192" t="str">
        <f t="shared" si="325"/>
        <v/>
      </c>
      <c r="R940" s="191" t="str">
        <f t="shared" si="312"/>
        <v/>
      </c>
      <c r="S940" s="193" t="str">
        <f t="shared" si="326"/>
        <v/>
      </c>
      <c r="T940" s="194" t="str">
        <f t="shared" si="313"/>
        <v/>
      </c>
      <c r="U940" s="192" t="str">
        <f t="shared" si="327"/>
        <v/>
      </c>
      <c r="V940" s="195" t="str">
        <f t="shared" si="314"/>
        <v/>
      </c>
      <c r="W940" s="195" t="str">
        <f t="shared" si="315"/>
        <v/>
      </c>
      <c r="X940" s="196" t="str">
        <f t="shared" si="328"/>
        <v/>
      </c>
      <c r="Y940" s="191" t="str">
        <f t="shared" si="330"/>
        <v/>
      </c>
      <c r="Z940" s="197" t="str">
        <f t="shared" si="316"/>
        <v/>
      </c>
      <c r="AA940" s="197" t="str">
        <f t="shared" si="317"/>
        <v/>
      </c>
      <c r="AB940" s="213"/>
      <c r="AC940" s="204"/>
    </row>
    <row r="941" spans="1:29" ht="11.4">
      <c r="A941" s="211" t="str">
        <f t="shared" si="329"/>
        <v/>
      </c>
      <c r="B941" s="211"/>
      <c r="C941" s="185"/>
      <c r="D941" s="186" t="str">
        <f t="shared" si="318"/>
        <v/>
      </c>
      <c r="E941" s="186" t="str">
        <f>IF(OR(C941="",C941=Data!$B$3),"",IF(C941=Data!$B$4,"L","S"))</f>
        <v/>
      </c>
      <c r="F941" s="186" t="str">
        <f t="shared" si="319"/>
        <v/>
      </c>
      <c r="G941" s="187" t="str">
        <f t="shared" si="310"/>
        <v/>
      </c>
      <c r="H941" s="188"/>
      <c r="I941" s="189" t="str">
        <f t="shared" si="320"/>
        <v/>
      </c>
      <c r="J941" s="189" t="str">
        <f t="shared" si="321"/>
        <v/>
      </c>
      <c r="K941" s="190" t="str">
        <f t="shared" si="322"/>
        <v/>
      </c>
      <c r="L941" s="190" t="str">
        <f t="shared" si="323"/>
        <v/>
      </c>
      <c r="M941" s="214"/>
      <c r="N941" s="214"/>
      <c r="O941" s="189" t="str">
        <f t="shared" si="324"/>
        <v/>
      </c>
      <c r="P941" s="191" t="str">
        <f t="shared" si="311"/>
        <v/>
      </c>
      <c r="Q941" s="192" t="str">
        <f t="shared" si="325"/>
        <v/>
      </c>
      <c r="R941" s="191" t="str">
        <f t="shared" si="312"/>
        <v/>
      </c>
      <c r="S941" s="193" t="str">
        <f t="shared" si="326"/>
        <v/>
      </c>
      <c r="T941" s="194" t="str">
        <f t="shared" si="313"/>
        <v/>
      </c>
      <c r="U941" s="192" t="str">
        <f t="shared" si="327"/>
        <v/>
      </c>
      <c r="V941" s="195" t="str">
        <f t="shared" si="314"/>
        <v/>
      </c>
      <c r="W941" s="195" t="str">
        <f t="shared" si="315"/>
        <v/>
      </c>
      <c r="X941" s="196" t="str">
        <f t="shared" si="328"/>
        <v/>
      </c>
      <c r="Y941" s="191" t="str">
        <f t="shared" si="330"/>
        <v/>
      </c>
      <c r="Z941" s="197" t="str">
        <f t="shared" si="316"/>
        <v/>
      </c>
      <c r="AA941" s="197" t="str">
        <f t="shared" si="317"/>
        <v/>
      </c>
      <c r="AB941" s="213"/>
      <c r="AC941" s="204"/>
    </row>
    <row r="942" spans="1:29" ht="11.4">
      <c r="A942" s="211" t="str">
        <f t="shared" si="329"/>
        <v/>
      </c>
      <c r="B942" s="211"/>
      <c r="C942" s="185"/>
      <c r="D942" s="186" t="str">
        <f t="shared" si="318"/>
        <v/>
      </c>
      <c r="E942" s="186" t="str">
        <f>IF(OR(C942="",C942=Data!$B$3),"",IF(C942=Data!$B$4,"L","S"))</f>
        <v/>
      </c>
      <c r="F942" s="186" t="str">
        <f t="shared" si="319"/>
        <v/>
      </c>
      <c r="G942" s="187" t="str">
        <f t="shared" si="310"/>
        <v/>
      </c>
      <c r="H942" s="188"/>
      <c r="I942" s="189" t="str">
        <f t="shared" si="320"/>
        <v/>
      </c>
      <c r="J942" s="189" t="str">
        <f t="shared" si="321"/>
        <v/>
      </c>
      <c r="K942" s="190" t="str">
        <f t="shared" si="322"/>
        <v/>
      </c>
      <c r="L942" s="190" t="str">
        <f t="shared" si="323"/>
        <v/>
      </c>
      <c r="M942" s="214"/>
      <c r="N942" s="214"/>
      <c r="O942" s="189" t="str">
        <f t="shared" si="324"/>
        <v/>
      </c>
      <c r="P942" s="191" t="str">
        <f t="shared" si="311"/>
        <v/>
      </c>
      <c r="Q942" s="192" t="str">
        <f t="shared" si="325"/>
        <v/>
      </c>
      <c r="R942" s="191" t="str">
        <f t="shared" si="312"/>
        <v/>
      </c>
      <c r="S942" s="193" t="str">
        <f t="shared" si="326"/>
        <v/>
      </c>
      <c r="T942" s="194" t="str">
        <f t="shared" si="313"/>
        <v/>
      </c>
      <c r="U942" s="192" t="str">
        <f t="shared" si="327"/>
        <v/>
      </c>
      <c r="V942" s="195" t="str">
        <f t="shared" si="314"/>
        <v/>
      </c>
      <c r="W942" s="195" t="str">
        <f t="shared" si="315"/>
        <v/>
      </c>
      <c r="X942" s="196" t="str">
        <f t="shared" si="328"/>
        <v/>
      </c>
      <c r="Y942" s="191" t="str">
        <f t="shared" si="330"/>
        <v/>
      </c>
      <c r="Z942" s="197" t="str">
        <f t="shared" si="316"/>
        <v/>
      </c>
      <c r="AA942" s="197" t="str">
        <f t="shared" si="317"/>
        <v/>
      </c>
      <c r="AB942" s="213"/>
      <c r="AC942" s="204"/>
    </row>
    <row r="943" spans="1:29" ht="11.4">
      <c r="A943" s="211" t="str">
        <f t="shared" si="329"/>
        <v/>
      </c>
      <c r="B943" s="211"/>
      <c r="C943" s="185"/>
      <c r="D943" s="186" t="str">
        <f t="shared" si="318"/>
        <v/>
      </c>
      <c r="E943" s="186" t="str">
        <f>IF(OR(C943="",C943=Data!$B$3),"",IF(C943=Data!$B$4,"L","S"))</f>
        <v/>
      </c>
      <c r="F943" s="186" t="str">
        <f t="shared" si="319"/>
        <v/>
      </c>
      <c r="G943" s="187" t="str">
        <f t="shared" si="310"/>
        <v/>
      </c>
      <c r="H943" s="188"/>
      <c r="I943" s="189" t="str">
        <f t="shared" si="320"/>
        <v/>
      </c>
      <c r="J943" s="189" t="str">
        <f t="shared" si="321"/>
        <v/>
      </c>
      <c r="K943" s="190" t="str">
        <f t="shared" si="322"/>
        <v/>
      </c>
      <c r="L943" s="190" t="str">
        <f t="shared" si="323"/>
        <v/>
      </c>
      <c r="M943" s="214"/>
      <c r="N943" s="214"/>
      <c r="O943" s="189" t="str">
        <f t="shared" si="324"/>
        <v/>
      </c>
      <c r="P943" s="191" t="str">
        <f t="shared" si="311"/>
        <v/>
      </c>
      <c r="Q943" s="192" t="str">
        <f t="shared" si="325"/>
        <v/>
      </c>
      <c r="R943" s="191" t="str">
        <f t="shared" si="312"/>
        <v/>
      </c>
      <c r="S943" s="193" t="str">
        <f t="shared" si="326"/>
        <v/>
      </c>
      <c r="T943" s="194" t="str">
        <f t="shared" si="313"/>
        <v/>
      </c>
      <c r="U943" s="192" t="str">
        <f t="shared" si="327"/>
        <v/>
      </c>
      <c r="V943" s="195" t="str">
        <f t="shared" si="314"/>
        <v/>
      </c>
      <c r="W943" s="195" t="str">
        <f t="shared" si="315"/>
        <v/>
      </c>
      <c r="X943" s="196" t="str">
        <f t="shared" si="328"/>
        <v/>
      </c>
      <c r="Y943" s="191" t="str">
        <f t="shared" si="330"/>
        <v/>
      </c>
      <c r="Z943" s="197" t="str">
        <f t="shared" si="316"/>
        <v/>
      </c>
      <c r="AA943" s="197" t="str">
        <f t="shared" si="317"/>
        <v/>
      </c>
      <c r="AB943" s="213"/>
      <c r="AC943" s="204"/>
    </row>
    <row r="944" spans="1:29" ht="11.4">
      <c r="A944" s="211" t="str">
        <f t="shared" si="329"/>
        <v/>
      </c>
      <c r="B944" s="211"/>
      <c r="C944" s="185"/>
      <c r="D944" s="186" t="str">
        <f t="shared" si="318"/>
        <v/>
      </c>
      <c r="E944" s="186" t="str">
        <f>IF(OR(C944="",C944=Data!$B$3),"",IF(C944=Data!$B$4,"L","S"))</f>
        <v/>
      </c>
      <c r="F944" s="186" t="str">
        <f t="shared" si="319"/>
        <v/>
      </c>
      <c r="G944" s="187" t="str">
        <f t="shared" si="310"/>
        <v/>
      </c>
      <c r="H944" s="188"/>
      <c r="I944" s="189" t="str">
        <f t="shared" si="320"/>
        <v/>
      </c>
      <c r="J944" s="189" t="str">
        <f t="shared" si="321"/>
        <v/>
      </c>
      <c r="K944" s="190" t="str">
        <f t="shared" si="322"/>
        <v/>
      </c>
      <c r="L944" s="190" t="str">
        <f t="shared" si="323"/>
        <v/>
      </c>
      <c r="M944" s="214"/>
      <c r="N944" s="214"/>
      <c r="O944" s="189" t="str">
        <f t="shared" si="324"/>
        <v/>
      </c>
      <c r="P944" s="191" t="str">
        <f t="shared" si="311"/>
        <v/>
      </c>
      <c r="Q944" s="192" t="str">
        <f t="shared" si="325"/>
        <v/>
      </c>
      <c r="R944" s="191" t="str">
        <f t="shared" si="312"/>
        <v/>
      </c>
      <c r="S944" s="193" t="str">
        <f t="shared" si="326"/>
        <v/>
      </c>
      <c r="T944" s="194" t="str">
        <f t="shared" si="313"/>
        <v/>
      </c>
      <c r="U944" s="192" t="str">
        <f t="shared" si="327"/>
        <v/>
      </c>
      <c r="V944" s="195" t="str">
        <f t="shared" si="314"/>
        <v/>
      </c>
      <c r="W944" s="195" t="str">
        <f t="shared" si="315"/>
        <v/>
      </c>
      <c r="X944" s="196" t="str">
        <f t="shared" si="328"/>
        <v/>
      </c>
      <c r="Y944" s="191" t="str">
        <f t="shared" si="330"/>
        <v/>
      </c>
      <c r="Z944" s="197" t="str">
        <f t="shared" si="316"/>
        <v/>
      </c>
      <c r="AA944" s="197" t="str">
        <f t="shared" si="317"/>
        <v/>
      </c>
      <c r="AB944" s="213"/>
      <c r="AC944" s="204"/>
    </row>
    <row r="945" spans="1:29" ht="11.4">
      <c r="A945" s="211" t="str">
        <f t="shared" si="329"/>
        <v/>
      </c>
      <c r="B945" s="211"/>
      <c r="C945" s="185"/>
      <c r="D945" s="186" t="str">
        <f t="shared" si="318"/>
        <v/>
      </c>
      <c r="E945" s="186" t="str">
        <f>IF(OR(C945="",C945=Data!$B$3),"",IF(C945=Data!$B$4,"L","S"))</f>
        <v/>
      </c>
      <c r="F945" s="186" t="str">
        <f t="shared" si="319"/>
        <v/>
      </c>
      <c r="G945" s="187" t="str">
        <f t="shared" si="310"/>
        <v/>
      </c>
      <c r="H945" s="188"/>
      <c r="I945" s="189" t="str">
        <f t="shared" si="320"/>
        <v/>
      </c>
      <c r="J945" s="189" t="str">
        <f t="shared" si="321"/>
        <v/>
      </c>
      <c r="K945" s="190" t="str">
        <f t="shared" si="322"/>
        <v/>
      </c>
      <c r="L945" s="190" t="str">
        <f t="shared" si="323"/>
        <v/>
      </c>
      <c r="M945" s="214"/>
      <c r="N945" s="214"/>
      <c r="O945" s="189" t="str">
        <f t="shared" si="324"/>
        <v/>
      </c>
      <c r="P945" s="191" t="str">
        <f t="shared" si="311"/>
        <v/>
      </c>
      <c r="Q945" s="192" t="str">
        <f t="shared" si="325"/>
        <v/>
      </c>
      <c r="R945" s="191" t="str">
        <f t="shared" si="312"/>
        <v/>
      </c>
      <c r="S945" s="193" t="str">
        <f t="shared" si="326"/>
        <v/>
      </c>
      <c r="T945" s="194" t="str">
        <f t="shared" si="313"/>
        <v/>
      </c>
      <c r="U945" s="192" t="str">
        <f t="shared" si="327"/>
        <v/>
      </c>
      <c r="V945" s="195" t="str">
        <f t="shared" si="314"/>
        <v/>
      </c>
      <c r="W945" s="195" t="str">
        <f t="shared" si="315"/>
        <v/>
      </c>
      <c r="X945" s="196" t="str">
        <f t="shared" si="328"/>
        <v/>
      </c>
      <c r="Y945" s="191" t="str">
        <f t="shared" si="330"/>
        <v/>
      </c>
      <c r="Z945" s="197" t="str">
        <f t="shared" si="316"/>
        <v/>
      </c>
      <c r="AA945" s="197" t="str">
        <f t="shared" si="317"/>
        <v/>
      </c>
      <c r="AB945" s="213"/>
      <c r="AC945" s="204"/>
    </row>
    <row r="946" spans="1:29" ht="11.4">
      <c r="A946" s="211" t="str">
        <f t="shared" si="329"/>
        <v/>
      </c>
      <c r="B946" s="211"/>
      <c r="C946" s="185"/>
      <c r="D946" s="186" t="str">
        <f t="shared" si="318"/>
        <v/>
      </c>
      <c r="E946" s="186" t="str">
        <f>IF(OR(C946="",C946=Data!$B$3),"",IF(C946=Data!$B$4,"L","S"))</f>
        <v/>
      </c>
      <c r="F946" s="186" t="str">
        <f t="shared" si="319"/>
        <v/>
      </c>
      <c r="G946" s="187" t="str">
        <f t="shared" si="310"/>
        <v/>
      </c>
      <c r="H946" s="188"/>
      <c r="I946" s="189" t="str">
        <f t="shared" si="320"/>
        <v/>
      </c>
      <c r="J946" s="189" t="str">
        <f t="shared" si="321"/>
        <v/>
      </c>
      <c r="K946" s="190" t="str">
        <f t="shared" si="322"/>
        <v/>
      </c>
      <c r="L946" s="190" t="str">
        <f t="shared" si="323"/>
        <v/>
      </c>
      <c r="M946" s="214"/>
      <c r="N946" s="214"/>
      <c r="O946" s="189" t="str">
        <f t="shared" si="324"/>
        <v/>
      </c>
      <c r="P946" s="191" t="str">
        <f t="shared" si="311"/>
        <v/>
      </c>
      <c r="Q946" s="192" t="str">
        <f t="shared" si="325"/>
        <v/>
      </c>
      <c r="R946" s="191" t="str">
        <f t="shared" si="312"/>
        <v/>
      </c>
      <c r="S946" s="193" t="str">
        <f t="shared" si="326"/>
        <v/>
      </c>
      <c r="T946" s="194" t="str">
        <f t="shared" si="313"/>
        <v/>
      </c>
      <c r="U946" s="192" t="str">
        <f t="shared" si="327"/>
        <v/>
      </c>
      <c r="V946" s="195" t="str">
        <f t="shared" si="314"/>
        <v/>
      </c>
      <c r="W946" s="195" t="str">
        <f t="shared" si="315"/>
        <v/>
      </c>
      <c r="X946" s="196" t="str">
        <f t="shared" si="328"/>
        <v/>
      </c>
      <c r="Y946" s="191" t="str">
        <f t="shared" si="330"/>
        <v/>
      </c>
      <c r="Z946" s="197" t="str">
        <f t="shared" si="316"/>
        <v/>
      </c>
      <c r="AA946" s="197" t="str">
        <f t="shared" si="317"/>
        <v/>
      </c>
      <c r="AB946" s="213"/>
      <c r="AC946" s="204"/>
    </row>
    <row r="947" spans="1:29" ht="11.4">
      <c r="A947" s="211" t="str">
        <f t="shared" si="329"/>
        <v/>
      </c>
      <c r="B947" s="211"/>
      <c r="C947" s="185"/>
      <c r="D947" s="186" t="str">
        <f t="shared" si="318"/>
        <v/>
      </c>
      <c r="E947" s="186" t="str">
        <f>IF(OR(C947="",C947=Data!$B$3),"",IF(C947=Data!$B$4,"L","S"))</f>
        <v/>
      </c>
      <c r="F947" s="186" t="str">
        <f t="shared" si="319"/>
        <v/>
      </c>
      <c r="G947" s="187" t="str">
        <f t="shared" si="310"/>
        <v/>
      </c>
      <c r="H947" s="188"/>
      <c r="I947" s="189" t="str">
        <f t="shared" si="320"/>
        <v/>
      </c>
      <c r="J947" s="189" t="str">
        <f t="shared" si="321"/>
        <v/>
      </c>
      <c r="K947" s="190" t="str">
        <f t="shared" si="322"/>
        <v/>
      </c>
      <c r="L947" s="190" t="str">
        <f t="shared" si="323"/>
        <v/>
      </c>
      <c r="M947" s="214"/>
      <c r="N947" s="214"/>
      <c r="O947" s="189" t="str">
        <f t="shared" si="324"/>
        <v/>
      </c>
      <c r="P947" s="191" t="str">
        <f t="shared" si="311"/>
        <v/>
      </c>
      <c r="Q947" s="192" t="str">
        <f t="shared" si="325"/>
        <v/>
      </c>
      <c r="R947" s="191" t="str">
        <f t="shared" si="312"/>
        <v/>
      </c>
      <c r="S947" s="193" t="str">
        <f t="shared" si="326"/>
        <v/>
      </c>
      <c r="T947" s="194" t="str">
        <f t="shared" si="313"/>
        <v/>
      </c>
      <c r="U947" s="192" t="str">
        <f t="shared" si="327"/>
        <v/>
      </c>
      <c r="V947" s="195" t="str">
        <f t="shared" si="314"/>
        <v/>
      </c>
      <c r="W947" s="195" t="str">
        <f t="shared" si="315"/>
        <v/>
      </c>
      <c r="X947" s="196" t="str">
        <f t="shared" si="328"/>
        <v/>
      </c>
      <c r="Y947" s="191" t="str">
        <f t="shared" si="330"/>
        <v/>
      </c>
      <c r="Z947" s="197" t="str">
        <f t="shared" si="316"/>
        <v/>
      </c>
      <c r="AA947" s="197" t="str">
        <f t="shared" si="317"/>
        <v/>
      </c>
      <c r="AB947" s="213"/>
      <c r="AC947" s="204"/>
    </row>
    <row r="948" spans="1:29" ht="11.4">
      <c r="A948" s="211" t="str">
        <f t="shared" si="329"/>
        <v/>
      </c>
      <c r="B948" s="211"/>
      <c r="C948" s="185"/>
      <c r="D948" s="186" t="str">
        <f t="shared" si="318"/>
        <v/>
      </c>
      <c r="E948" s="186" t="str">
        <f>IF(OR(C948="",C948=Data!$B$3),"",IF(C948=Data!$B$4,"L","S"))</f>
        <v/>
      </c>
      <c r="F948" s="186" t="str">
        <f t="shared" si="319"/>
        <v/>
      </c>
      <c r="G948" s="187" t="str">
        <f t="shared" si="310"/>
        <v/>
      </c>
      <c r="H948" s="188"/>
      <c r="I948" s="189" t="str">
        <f t="shared" si="320"/>
        <v/>
      </c>
      <c r="J948" s="189" t="str">
        <f t="shared" si="321"/>
        <v/>
      </c>
      <c r="K948" s="190" t="str">
        <f t="shared" si="322"/>
        <v/>
      </c>
      <c r="L948" s="190" t="str">
        <f t="shared" si="323"/>
        <v/>
      </c>
      <c r="M948" s="214"/>
      <c r="N948" s="214"/>
      <c r="O948" s="189" t="str">
        <f t="shared" si="324"/>
        <v/>
      </c>
      <c r="P948" s="191" t="str">
        <f t="shared" si="311"/>
        <v/>
      </c>
      <c r="Q948" s="192" t="str">
        <f t="shared" si="325"/>
        <v/>
      </c>
      <c r="R948" s="191" t="str">
        <f t="shared" si="312"/>
        <v/>
      </c>
      <c r="S948" s="193" t="str">
        <f t="shared" si="326"/>
        <v/>
      </c>
      <c r="T948" s="194" t="str">
        <f t="shared" si="313"/>
        <v/>
      </c>
      <c r="U948" s="192" t="str">
        <f t="shared" si="327"/>
        <v/>
      </c>
      <c r="V948" s="195" t="str">
        <f t="shared" si="314"/>
        <v/>
      </c>
      <c r="W948" s="195" t="str">
        <f t="shared" si="315"/>
        <v/>
      </c>
      <c r="X948" s="196" t="str">
        <f t="shared" si="328"/>
        <v/>
      </c>
      <c r="Y948" s="191" t="str">
        <f t="shared" si="330"/>
        <v/>
      </c>
      <c r="Z948" s="197" t="str">
        <f t="shared" si="316"/>
        <v/>
      </c>
      <c r="AA948" s="197" t="str">
        <f t="shared" si="317"/>
        <v/>
      </c>
      <c r="AB948" s="213"/>
      <c r="AC948" s="204"/>
    </row>
    <row r="949" spans="1:29" ht="11.4">
      <c r="A949" s="211" t="str">
        <f t="shared" si="329"/>
        <v/>
      </c>
      <c r="B949" s="211"/>
      <c r="C949" s="185"/>
      <c r="D949" s="186" t="str">
        <f t="shared" si="318"/>
        <v/>
      </c>
      <c r="E949" s="186" t="str">
        <f>IF(OR(C949="",C949=Data!$B$3),"",IF(C949=Data!$B$4,"L","S"))</f>
        <v/>
      </c>
      <c r="F949" s="186" t="str">
        <f t="shared" si="319"/>
        <v/>
      </c>
      <c r="G949" s="187" t="str">
        <f t="shared" si="310"/>
        <v/>
      </c>
      <c r="H949" s="188"/>
      <c r="I949" s="189" t="str">
        <f t="shared" si="320"/>
        <v/>
      </c>
      <c r="J949" s="189" t="str">
        <f t="shared" si="321"/>
        <v/>
      </c>
      <c r="K949" s="190" t="str">
        <f t="shared" si="322"/>
        <v/>
      </c>
      <c r="L949" s="190" t="str">
        <f t="shared" si="323"/>
        <v/>
      </c>
      <c r="M949" s="214"/>
      <c r="N949" s="214"/>
      <c r="O949" s="189" t="str">
        <f t="shared" si="324"/>
        <v/>
      </c>
      <c r="P949" s="191" t="str">
        <f t="shared" si="311"/>
        <v/>
      </c>
      <c r="Q949" s="192" t="str">
        <f t="shared" si="325"/>
        <v/>
      </c>
      <c r="R949" s="191" t="str">
        <f t="shared" si="312"/>
        <v/>
      </c>
      <c r="S949" s="193" t="str">
        <f t="shared" si="326"/>
        <v/>
      </c>
      <c r="T949" s="194" t="str">
        <f t="shared" si="313"/>
        <v/>
      </c>
      <c r="U949" s="192" t="str">
        <f t="shared" si="327"/>
        <v/>
      </c>
      <c r="V949" s="195" t="str">
        <f t="shared" si="314"/>
        <v/>
      </c>
      <c r="W949" s="195" t="str">
        <f t="shared" si="315"/>
        <v/>
      </c>
      <c r="X949" s="196" t="str">
        <f t="shared" si="328"/>
        <v/>
      </c>
      <c r="Y949" s="191" t="str">
        <f t="shared" si="330"/>
        <v/>
      </c>
      <c r="Z949" s="197" t="str">
        <f t="shared" si="316"/>
        <v/>
      </c>
      <c r="AA949" s="197" t="str">
        <f t="shared" si="317"/>
        <v/>
      </c>
      <c r="AB949" s="213"/>
      <c r="AC949" s="204"/>
    </row>
    <row r="950" spans="1:29" ht="11.4">
      <c r="A950" s="211" t="str">
        <f t="shared" si="329"/>
        <v/>
      </c>
      <c r="B950" s="211"/>
      <c r="C950" s="185"/>
      <c r="D950" s="186" t="str">
        <f t="shared" si="318"/>
        <v/>
      </c>
      <c r="E950" s="186" t="str">
        <f>IF(OR(C950="",C950=Data!$B$3),"",IF(C950=Data!$B$4,"L","S"))</f>
        <v/>
      </c>
      <c r="F950" s="186" t="str">
        <f t="shared" si="319"/>
        <v/>
      </c>
      <c r="G950" s="187" t="str">
        <f t="shared" si="310"/>
        <v/>
      </c>
      <c r="H950" s="188"/>
      <c r="I950" s="189" t="str">
        <f t="shared" si="320"/>
        <v/>
      </c>
      <c r="J950" s="189" t="str">
        <f t="shared" si="321"/>
        <v/>
      </c>
      <c r="K950" s="190" t="str">
        <f t="shared" si="322"/>
        <v/>
      </c>
      <c r="L950" s="190" t="str">
        <f t="shared" si="323"/>
        <v/>
      </c>
      <c r="M950" s="214"/>
      <c r="N950" s="214"/>
      <c r="O950" s="189" t="str">
        <f t="shared" si="324"/>
        <v/>
      </c>
      <c r="P950" s="191" t="str">
        <f t="shared" si="311"/>
        <v/>
      </c>
      <c r="Q950" s="192" t="str">
        <f t="shared" si="325"/>
        <v/>
      </c>
      <c r="R950" s="191" t="str">
        <f t="shared" si="312"/>
        <v/>
      </c>
      <c r="S950" s="193" t="str">
        <f t="shared" si="326"/>
        <v/>
      </c>
      <c r="T950" s="194" t="str">
        <f t="shared" si="313"/>
        <v/>
      </c>
      <c r="U950" s="192" t="str">
        <f t="shared" si="327"/>
        <v/>
      </c>
      <c r="V950" s="195" t="str">
        <f t="shared" si="314"/>
        <v/>
      </c>
      <c r="W950" s="195" t="str">
        <f t="shared" si="315"/>
        <v/>
      </c>
      <c r="X950" s="196" t="str">
        <f t="shared" si="328"/>
        <v/>
      </c>
      <c r="Y950" s="191" t="str">
        <f t="shared" si="330"/>
        <v/>
      </c>
      <c r="Z950" s="197" t="str">
        <f t="shared" si="316"/>
        <v/>
      </c>
      <c r="AA950" s="197" t="str">
        <f t="shared" si="317"/>
        <v/>
      </c>
      <c r="AB950" s="213"/>
      <c r="AC950" s="204"/>
    </row>
    <row r="951" spans="1:29" ht="11.4">
      <c r="A951" s="211" t="str">
        <f t="shared" si="329"/>
        <v/>
      </c>
      <c r="B951" s="211"/>
      <c r="C951" s="185"/>
      <c r="D951" s="186" t="str">
        <f t="shared" si="318"/>
        <v/>
      </c>
      <c r="E951" s="186" t="str">
        <f>IF(OR(C951="",C951=Data!$B$3),"",IF(C951=Data!$B$4,"L","S"))</f>
        <v/>
      </c>
      <c r="F951" s="186" t="str">
        <f t="shared" si="319"/>
        <v/>
      </c>
      <c r="G951" s="187" t="str">
        <f t="shared" si="310"/>
        <v/>
      </c>
      <c r="H951" s="188"/>
      <c r="I951" s="189" t="str">
        <f t="shared" si="320"/>
        <v/>
      </c>
      <c r="J951" s="189" t="str">
        <f t="shared" si="321"/>
        <v/>
      </c>
      <c r="K951" s="190" t="str">
        <f t="shared" si="322"/>
        <v/>
      </c>
      <c r="L951" s="190" t="str">
        <f t="shared" si="323"/>
        <v/>
      </c>
      <c r="M951" s="214"/>
      <c r="N951" s="214"/>
      <c r="O951" s="189" t="str">
        <f t="shared" si="324"/>
        <v/>
      </c>
      <c r="P951" s="191" t="str">
        <f t="shared" si="311"/>
        <v/>
      </c>
      <c r="Q951" s="192" t="str">
        <f t="shared" si="325"/>
        <v/>
      </c>
      <c r="R951" s="191" t="str">
        <f t="shared" si="312"/>
        <v/>
      </c>
      <c r="S951" s="193" t="str">
        <f t="shared" si="326"/>
        <v/>
      </c>
      <c r="T951" s="194" t="str">
        <f t="shared" si="313"/>
        <v/>
      </c>
      <c r="U951" s="192" t="str">
        <f t="shared" si="327"/>
        <v/>
      </c>
      <c r="V951" s="195" t="str">
        <f t="shared" si="314"/>
        <v/>
      </c>
      <c r="W951" s="195" t="str">
        <f t="shared" si="315"/>
        <v/>
      </c>
      <c r="X951" s="196" t="str">
        <f t="shared" si="328"/>
        <v/>
      </c>
      <c r="Y951" s="191" t="str">
        <f t="shared" si="330"/>
        <v/>
      </c>
      <c r="Z951" s="197" t="str">
        <f t="shared" si="316"/>
        <v/>
      </c>
      <c r="AA951" s="197" t="str">
        <f t="shared" si="317"/>
        <v/>
      </c>
      <c r="AB951" s="213"/>
      <c r="AC951" s="204"/>
    </row>
    <row r="952" spans="1:29" ht="11.4">
      <c r="A952" s="211" t="str">
        <f t="shared" si="329"/>
        <v/>
      </c>
      <c r="B952" s="211"/>
      <c r="C952" s="185"/>
      <c r="D952" s="186" t="str">
        <f t="shared" si="318"/>
        <v/>
      </c>
      <c r="E952" s="186" t="str">
        <f>IF(OR(C952="",C952=Data!$B$3),"",IF(C952=Data!$B$4,"L","S"))</f>
        <v/>
      </c>
      <c r="F952" s="186" t="str">
        <f t="shared" si="319"/>
        <v/>
      </c>
      <c r="G952" s="187" t="str">
        <f t="shared" si="310"/>
        <v/>
      </c>
      <c r="H952" s="188"/>
      <c r="I952" s="189" t="str">
        <f t="shared" si="320"/>
        <v/>
      </c>
      <c r="J952" s="189" t="str">
        <f t="shared" si="321"/>
        <v/>
      </c>
      <c r="K952" s="190" t="str">
        <f t="shared" si="322"/>
        <v/>
      </c>
      <c r="L952" s="190" t="str">
        <f t="shared" si="323"/>
        <v/>
      </c>
      <c r="M952" s="214"/>
      <c r="N952" s="214"/>
      <c r="O952" s="189" t="str">
        <f t="shared" si="324"/>
        <v/>
      </c>
      <c r="P952" s="191" t="str">
        <f t="shared" si="311"/>
        <v/>
      </c>
      <c r="Q952" s="192" t="str">
        <f t="shared" si="325"/>
        <v/>
      </c>
      <c r="R952" s="191" t="str">
        <f t="shared" si="312"/>
        <v/>
      </c>
      <c r="S952" s="193" t="str">
        <f t="shared" si="326"/>
        <v/>
      </c>
      <c r="T952" s="194" t="str">
        <f t="shared" si="313"/>
        <v/>
      </c>
      <c r="U952" s="192" t="str">
        <f t="shared" si="327"/>
        <v/>
      </c>
      <c r="V952" s="195" t="str">
        <f t="shared" si="314"/>
        <v/>
      </c>
      <c r="W952" s="195" t="str">
        <f t="shared" si="315"/>
        <v/>
      </c>
      <c r="X952" s="196" t="str">
        <f t="shared" si="328"/>
        <v/>
      </c>
      <c r="Y952" s="191" t="str">
        <f t="shared" si="330"/>
        <v/>
      </c>
      <c r="Z952" s="197" t="str">
        <f t="shared" si="316"/>
        <v/>
      </c>
      <c r="AA952" s="197" t="str">
        <f t="shared" si="317"/>
        <v/>
      </c>
      <c r="AB952" s="213"/>
      <c r="AC952" s="204"/>
    </row>
    <row r="953" spans="1:29" ht="11.4">
      <c r="A953" s="211" t="str">
        <f t="shared" si="329"/>
        <v/>
      </c>
      <c r="B953" s="211"/>
      <c r="C953" s="185"/>
      <c r="D953" s="186" t="str">
        <f t="shared" si="318"/>
        <v/>
      </c>
      <c r="E953" s="186" t="str">
        <f>IF(OR(C953="",C953=Data!$B$3),"",IF(C953=Data!$B$4,"L","S"))</f>
        <v/>
      </c>
      <c r="F953" s="186" t="str">
        <f t="shared" si="319"/>
        <v/>
      </c>
      <c r="G953" s="187" t="str">
        <f t="shared" si="310"/>
        <v/>
      </c>
      <c r="H953" s="188"/>
      <c r="I953" s="189" t="str">
        <f t="shared" si="320"/>
        <v/>
      </c>
      <c r="J953" s="189" t="str">
        <f t="shared" si="321"/>
        <v/>
      </c>
      <c r="K953" s="190" t="str">
        <f t="shared" si="322"/>
        <v/>
      </c>
      <c r="L953" s="190" t="str">
        <f t="shared" si="323"/>
        <v/>
      </c>
      <c r="M953" s="214"/>
      <c r="N953" s="214"/>
      <c r="O953" s="189" t="str">
        <f t="shared" si="324"/>
        <v/>
      </c>
      <c r="P953" s="191" t="str">
        <f t="shared" si="311"/>
        <v/>
      </c>
      <c r="Q953" s="192" t="str">
        <f t="shared" si="325"/>
        <v/>
      </c>
      <c r="R953" s="191" t="str">
        <f t="shared" si="312"/>
        <v/>
      </c>
      <c r="S953" s="193" t="str">
        <f t="shared" si="326"/>
        <v/>
      </c>
      <c r="T953" s="194" t="str">
        <f t="shared" si="313"/>
        <v/>
      </c>
      <c r="U953" s="192" t="str">
        <f t="shared" si="327"/>
        <v/>
      </c>
      <c r="V953" s="195" t="str">
        <f t="shared" si="314"/>
        <v/>
      </c>
      <c r="W953" s="195" t="str">
        <f t="shared" si="315"/>
        <v/>
      </c>
      <c r="X953" s="196" t="str">
        <f t="shared" si="328"/>
        <v/>
      </c>
      <c r="Y953" s="191" t="str">
        <f t="shared" si="330"/>
        <v/>
      </c>
      <c r="Z953" s="197" t="str">
        <f t="shared" si="316"/>
        <v/>
      </c>
      <c r="AA953" s="197" t="str">
        <f t="shared" si="317"/>
        <v/>
      </c>
      <c r="AB953" s="213"/>
      <c r="AC953" s="204"/>
    </row>
    <row r="954" spans="1:29" ht="11.4">
      <c r="A954" s="211" t="str">
        <f t="shared" si="329"/>
        <v/>
      </c>
      <c r="B954" s="211"/>
      <c r="C954" s="185"/>
      <c r="D954" s="186" t="str">
        <f t="shared" si="318"/>
        <v/>
      </c>
      <c r="E954" s="186" t="str">
        <f>IF(OR(C954="",C954=Data!$B$3),"",IF(C954=Data!$B$4,"L","S"))</f>
        <v/>
      </c>
      <c r="F954" s="186" t="str">
        <f t="shared" si="319"/>
        <v/>
      </c>
      <c r="G954" s="187" t="str">
        <f t="shared" si="310"/>
        <v/>
      </c>
      <c r="H954" s="188"/>
      <c r="I954" s="189" t="str">
        <f t="shared" si="320"/>
        <v/>
      </c>
      <c r="J954" s="189" t="str">
        <f t="shared" si="321"/>
        <v/>
      </c>
      <c r="K954" s="190" t="str">
        <f t="shared" si="322"/>
        <v/>
      </c>
      <c r="L954" s="190" t="str">
        <f t="shared" si="323"/>
        <v/>
      </c>
      <c r="M954" s="214"/>
      <c r="N954" s="214"/>
      <c r="O954" s="189" t="str">
        <f t="shared" si="324"/>
        <v/>
      </c>
      <c r="P954" s="191" t="str">
        <f t="shared" si="311"/>
        <v/>
      </c>
      <c r="Q954" s="192" t="str">
        <f t="shared" si="325"/>
        <v/>
      </c>
      <c r="R954" s="191" t="str">
        <f t="shared" si="312"/>
        <v/>
      </c>
      <c r="S954" s="193" t="str">
        <f t="shared" si="326"/>
        <v/>
      </c>
      <c r="T954" s="194" t="str">
        <f t="shared" si="313"/>
        <v/>
      </c>
      <c r="U954" s="192" t="str">
        <f t="shared" si="327"/>
        <v/>
      </c>
      <c r="V954" s="195" t="str">
        <f t="shared" si="314"/>
        <v/>
      </c>
      <c r="W954" s="195" t="str">
        <f t="shared" si="315"/>
        <v/>
      </c>
      <c r="X954" s="196" t="str">
        <f t="shared" si="328"/>
        <v/>
      </c>
      <c r="Y954" s="191" t="str">
        <f t="shared" si="330"/>
        <v/>
      </c>
      <c r="Z954" s="197" t="str">
        <f t="shared" si="316"/>
        <v/>
      </c>
      <c r="AA954" s="197" t="str">
        <f t="shared" si="317"/>
        <v/>
      </c>
      <c r="AB954" s="213"/>
      <c r="AC954" s="204"/>
    </row>
    <row r="955" spans="1:29" ht="11.4">
      <c r="A955" s="211" t="str">
        <f t="shared" si="329"/>
        <v/>
      </c>
      <c r="B955" s="211"/>
      <c r="C955" s="185"/>
      <c r="D955" s="186" t="str">
        <f t="shared" si="318"/>
        <v/>
      </c>
      <c r="E955" s="186" t="str">
        <f>IF(OR(C955="",C955=Data!$B$3),"",IF(C955=Data!$B$4,"L","S"))</f>
        <v/>
      </c>
      <c r="F955" s="186" t="str">
        <f t="shared" si="319"/>
        <v/>
      </c>
      <c r="G955" s="187" t="str">
        <f t="shared" si="310"/>
        <v/>
      </c>
      <c r="H955" s="188"/>
      <c r="I955" s="189" t="str">
        <f t="shared" si="320"/>
        <v/>
      </c>
      <c r="J955" s="189" t="str">
        <f t="shared" si="321"/>
        <v/>
      </c>
      <c r="K955" s="190" t="str">
        <f t="shared" si="322"/>
        <v/>
      </c>
      <c r="L955" s="190" t="str">
        <f t="shared" si="323"/>
        <v/>
      </c>
      <c r="M955" s="214"/>
      <c r="N955" s="214"/>
      <c r="O955" s="189" t="str">
        <f t="shared" si="324"/>
        <v/>
      </c>
      <c r="P955" s="191" t="str">
        <f t="shared" si="311"/>
        <v/>
      </c>
      <c r="Q955" s="192" t="str">
        <f t="shared" si="325"/>
        <v/>
      </c>
      <c r="R955" s="191" t="str">
        <f t="shared" si="312"/>
        <v/>
      </c>
      <c r="S955" s="193" t="str">
        <f t="shared" si="326"/>
        <v/>
      </c>
      <c r="T955" s="194" t="str">
        <f t="shared" si="313"/>
        <v/>
      </c>
      <c r="U955" s="192" t="str">
        <f t="shared" si="327"/>
        <v/>
      </c>
      <c r="V955" s="195" t="str">
        <f t="shared" si="314"/>
        <v/>
      </c>
      <c r="W955" s="195" t="str">
        <f t="shared" si="315"/>
        <v/>
      </c>
      <c r="X955" s="196" t="str">
        <f t="shared" si="328"/>
        <v/>
      </c>
      <c r="Y955" s="191" t="str">
        <f t="shared" si="330"/>
        <v/>
      </c>
      <c r="Z955" s="197" t="str">
        <f t="shared" si="316"/>
        <v/>
      </c>
      <c r="AA955" s="197" t="str">
        <f t="shared" si="317"/>
        <v/>
      </c>
      <c r="AB955" s="213"/>
      <c r="AC955" s="204"/>
    </row>
    <row r="956" spans="1:29" ht="11.4">
      <c r="A956" s="211" t="str">
        <f t="shared" si="329"/>
        <v/>
      </c>
      <c r="B956" s="211"/>
      <c r="C956" s="185"/>
      <c r="D956" s="186" t="str">
        <f t="shared" si="318"/>
        <v/>
      </c>
      <c r="E956" s="186" t="str">
        <f>IF(OR(C956="",C956=Data!$B$3),"",IF(C956=Data!$B$4,"L","S"))</f>
        <v/>
      </c>
      <c r="F956" s="186" t="str">
        <f t="shared" si="319"/>
        <v/>
      </c>
      <c r="G956" s="187" t="str">
        <f t="shared" si="310"/>
        <v/>
      </c>
      <c r="H956" s="188"/>
      <c r="I956" s="189" t="str">
        <f t="shared" si="320"/>
        <v/>
      </c>
      <c r="J956" s="189" t="str">
        <f t="shared" si="321"/>
        <v/>
      </c>
      <c r="K956" s="190" t="str">
        <f t="shared" si="322"/>
        <v/>
      </c>
      <c r="L956" s="190" t="str">
        <f t="shared" si="323"/>
        <v/>
      </c>
      <c r="M956" s="214"/>
      <c r="N956" s="214"/>
      <c r="O956" s="189" t="str">
        <f t="shared" si="324"/>
        <v/>
      </c>
      <c r="P956" s="191" t="str">
        <f t="shared" si="311"/>
        <v/>
      </c>
      <c r="Q956" s="192" t="str">
        <f t="shared" si="325"/>
        <v/>
      </c>
      <c r="R956" s="191" t="str">
        <f t="shared" si="312"/>
        <v/>
      </c>
      <c r="S956" s="193" t="str">
        <f t="shared" si="326"/>
        <v/>
      </c>
      <c r="T956" s="194" t="str">
        <f t="shared" si="313"/>
        <v/>
      </c>
      <c r="U956" s="192" t="str">
        <f t="shared" si="327"/>
        <v/>
      </c>
      <c r="V956" s="195" t="str">
        <f t="shared" si="314"/>
        <v/>
      </c>
      <c r="W956" s="195" t="str">
        <f t="shared" si="315"/>
        <v/>
      </c>
      <c r="X956" s="196" t="str">
        <f t="shared" si="328"/>
        <v/>
      </c>
      <c r="Y956" s="191" t="str">
        <f t="shared" si="330"/>
        <v/>
      </c>
      <c r="Z956" s="197" t="str">
        <f t="shared" si="316"/>
        <v/>
      </c>
      <c r="AA956" s="197" t="str">
        <f t="shared" si="317"/>
        <v/>
      </c>
      <c r="AB956" s="213"/>
      <c r="AC956" s="204"/>
    </row>
    <row r="957" spans="1:29" ht="11.4">
      <c r="A957" s="211" t="str">
        <f t="shared" si="329"/>
        <v/>
      </c>
      <c r="B957" s="211"/>
      <c r="C957" s="185"/>
      <c r="D957" s="186" t="str">
        <f t="shared" si="318"/>
        <v/>
      </c>
      <c r="E957" s="186" t="str">
        <f>IF(OR(C957="",C957=Data!$B$3),"",IF(C957=Data!$B$4,"L","S"))</f>
        <v/>
      </c>
      <c r="F957" s="186" t="str">
        <f t="shared" si="319"/>
        <v/>
      </c>
      <c r="G957" s="187" t="str">
        <f t="shared" si="310"/>
        <v/>
      </c>
      <c r="H957" s="188"/>
      <c r="I957" s="189" t="str">
        <f t="shared" si="320"/>
        <v/>
      </c>
      <c r="J957" s="189" t="str">
        <f t="shared" si="321"/>
        <v/>
      </c>
      <c r="K957" s="190" t="str">
        <f t="shared" si="322"/>
        <v/>
      </c>
      <c r="L957" s="190" t="str">
        <f t="shared" si="323"/>
        <v/>
      </c>
      <c r="M957" s="214"/>
      <c r="N957" s="214"/>
      <c r="O957" s="189" t="str">
        <f t="shared" si="324"/>
        <v/>
      </c>
      <c r="P957" s="191" t="str">
        <f t="shared" si="311"/>
        <v/>
      </c>
      <c r="Q957" s="192" t="str">
        <f t="shared" si="325"/>
        <v/>
      </c>
      <c r="R957" s="191" t="str">
        <f t="shared" si="312"/>
        <v/>
      </c>
      <c r="S957" s="193" t="str">
        <f t="shared" si="326"/>
        <v/>
      </c>
      <c r="T957" s="194" t="str">
        <f t="shared" si="313"/>
        <v/>
      </c>
      <c r="U957" s="192" t="str">
        <f t="shared" si="327"/>
        <v/>
      </c>
      <c r="V957" s="195" t="str">
        <f t="shared" si="314"/>
        <v/>
      </c>
      <c r="W957" s="195" t="str">
        <f t="shared" si="315"/>
        <v/>
      </c>
      <c r="X957" s="196" t="str">
        <f t="shared" si="328"/>
        <v/>
      </c>
      <c r="Y957" s="191" t="str">
        <f t="shared" si="330"/>
        <v/>
      </c>
      <c r="Z957" s="197" t="str">
        <f t="shared" si="316"/>
        <v/>
      </c>
      <c r="AA957" s="197" t="str">
        <f t="shared" si="317"/>
        <v/>
      </c>
      <c r="AB957" s="213"/>
      <c r="AC957" s="204"/>
    </row>
    <row r="958" spans="1:29" ht="11.4">
      <c r="A958" s="211" t="str">
        <f t="shared" si="329"/>
        <v/>
      </c>
      <c r="B958" s="211"/>
      <c r="C958" s="185"/>
      <c r="D958" s="186" t="str">
        <f t="shared" si="318"/>
        <v/>
      </c>
      <c r="E958" s="186" t="str">
        <f>IF(OR(C958="",C958=Data!$B$3),"",IF(C958=Data!$B$4,"L","S"))</f>
        <v/>
      </c>
      <c r="F958" s="186" t="str">
        <f t="shared" si="319"/>
        <v/>
      </c>
      <c r="G958" s="187" t="str">
        <f t="shared" si="310"/>
        <v/>
      </c>
      <c r="H958" s="188"/>
      <c r="I958" s="189" t="str">
        <f t="shared" si="320"/>
        <v/>
      </c>
      <c r="J958" s="189" t="str">
        <f t="shared" si="321"/>
        <v/>
      </c>
      <c r="K958" s="190" t="str">
        <f t="shared" si="322"/>
        <v/>
      </c>
      <c r="L958" s="190" t="str">
        <f t="shared" si="323"/>
        <v/>
      </c>
      <c r="M958" s="214"/>
      <c r="N958" s="214"/>
      <c r="O958" s="189" t="str">
        <f t="shared" si="324"/>
        <v/>
      </c>
      <c r="P958" s="191" t="str">
        <f t="shared" si="311"/>
        <v/>
      </c>
      <c r="Q958" s="192" t="str">
        <f t="shared" si="325"/>
        <v/>
      </c>
      <c r="R958" s="191" t="str">
        <f t="shared" si="312"/>
        <v/>
      </c>
      <c r="S958" s="193" t="str">
        <f t="shared" si="326"/>
        <v/>
      </c>
      <c r="T958" s="194" t="str">
        <f t="shared" si="313"/>
        <v/>
      </c>
      <c r="U958" s="192" t="str">
        <f t="shared" si="327"/>
        <v/>
      </c>
      <c r="V958" s="195" t="str">
        <f t="shared" si="314"/>
        <v/>
      </c>
      <c r="W958" s="195" t="str">
        <f t="shared" si="315"/>
        <v/>
      </c>
      <c r="X958" s="196" t="str">
        <f t="shared" si="328"/>
        <v/>
      </c>
      <c r="Y958" s="191" t="str">
        <f t="shared" si="330"/>
        <v/>
      </c>
      <c r="Z958" s="197" t="str">
        <f t="shared" si="316"/>
        <v/>
      </c>
      <c r="AA958" s="197" t="str">
        <f t="shared" si="317"/>
        <v/>
      </c>
      <c r="AB958" s="213"/>
      <c r="AC958" s="204"/>
    </row>
    <row r="959" spans="1:29" ht="11.4">
      <c r="A959" s="211" t="str">
        <f t="shared" si="329"/>
        <v/>
      </c>
      <c r="B959" s="211"/>
      <c r="C959" s="185"/>
      <c r="D959" s="186" t="str">
        <f t="shared" si="318"/>
        <v/>
      </c>
      <c r="E959" s="186" t="str">
        <f>IF(OR(C959="",C959=Data!$B$3),"",IF(C959=Data!$B$4,"L","S"))</f>
        <v/>
      </c>
      <c r="F959" s="186" t="str">
        <f t="shared" si="319"/>
        <v/>
      </c>
      <c r="G959" s="187" t="str">
        <f t="shared" si="310"/>
        <v/>
      </c>
      <c r="H959" s="188"/>
      <c r="I959" s="189" t="str">
        <f t="shared" si="320"/>
        <v/>
      </c>
      <c r="J959" s="189" t="str">
        <f t="shared" si="321"/>
        <v/>
      </c>
      <c r="K959" s="190" t="str">
        <f t="shared" si="322"/>
        <v/>
      </c>
      <c r="L959" s="190" t="str">
        <f t="shared" si="323"/>
        <v/>
      </c>
      <c r="M959" s="214"/>
      <c r="N959" s="214"/>
      <c r="O959" s="189" t="str">
        <f t="shared" si="324"/>
        <v/>
      </c>
      <c r="P959" s="191" t="str">
        <f t="shared" si="311"/>
        <v/>
      </c>
      <c r="Q959" s="192" t="str">
        <f t="shared" si="325"/>
        <v/>
      </c>
      <c r="R959" s="191" t="str">
        <f t="shared" si="312"/>
        <v/>
      </c>
      <c r="S959" s="193" t="str">
        <f t="shared" si="326"/>
        <v/>
      </c>
      <c r="T959" s="194" t="str">
        <f t="shared" si="313"/>
        <v/>
      </c>
      <c r="U959" s="192" t="str">
        <f t="shared" si="327"/>
        <v/>
      </c>
      <c r="V959" s="195" t="str">
        <f t="shared" si="314"/>
        <v/>
      </c>
      <c r="W959" s="195" t="str">
        <f t="shared" si="315"/>
        <v/>
      </c>
      <c r="X959" s="196" t="str">
        <f t="shared" si="328"/>
        <v/>
      </c>
      <c r="Y959" s="191" t="str">
        <f t="shared" si="330"/>
        <v/>
      </c>
      <c r="Z959" s="197" t="str">
        <f t="shared" si="316"/>
        <v/>
      </c>
      <c r="AA959" s="197" t="str">
        <f t="shared" si="317"/>
        <v/>
      </c>
      <c r="AB959" s="213"/>
      <c r="AC959" s="204"/>
    </row>
    <row r="960" spans="1:29" ht="11.4">
      <c r="A960" s="211" t="str">
        <f t="shared" si="329"/>
        <v/>
      </c>
      <c r="B960" s="211"/>
      <c r="C960" s="185"/>
      <c r="D960" s="186" t="str">
        <f t="shared" si="318"/>
        <v/>
      </c>
      <c r="E960" s="186" t="str">
        <f>IF(OR(C960="",C960=Data!$B$3),"",IF(C960=Data!$B$4,"L","S"))</f>
        <v/>
      </c>
      <c r="F960" s="186" t="str">
        <f t="shared" si="319"/>
        <v/>
      </c>
      <c r="G960" s="187" t="str">
        <f t="shared" si="310"/>
        <v/>
      </c>
      <c r="H960" s="188"/>
      <c r="I960" s="189" t="str">
        <f t="shared" si="320"/>
        <v/>
      </c>
      <c r="J960" s="189" t="str">
        <f t="shared" si="321"/>
        <v/>
      </c>
      <c r="K960" s="190" t="str">
        <f t="shared" si="322"/>
        <v/>
      </c>
      <c r="L960" s="190" t="str">
        <f t="shared" si="323"/>
        <v/>
      </c>
      <c r="M960" s="214"/>
      <c r="N960" s="214"/>
      <c r="O960" s="189" t="str">
        <f t="shared" si="324"/>
        <v/>
      </c>
      <c r="P960" s="191" t="str">
        <f t="shared" si="311"/>
        <v/>
      </c>
      <c r="Q960" s="192" t="str">
        <f t="shared" si="325"/>
        <v/>
      </c>
      <c r="R960" s="191" t="str">
        <f t="shared" si="312"/>
        <v/>
      </c>
      <c r="S960" s="193" t="str">
        <f t="shared" si="326"/>
        <v/>
      </c>
      <c r="T960" s="194" t="str">
        <f t="shared" si="313"/>
        <v/>
      </c>
      <c r="U960" s="192" t="str">
        <f t="shared" si="327"/>
        <v/>
      </c>
      <c r="V960" s="195" t="str">
        <f t="shared" si="314"/>
        <v/>
      </c>
      <c r="W960" s="195" t="str">
        <f t="shared" si="315"/>
        <v/>
      </c>
      <c r="X960" s="196" t="str">
        <f t="shared" si="328"/>
        <v/>
      </c>
      <c r="Y960" s="191" t="str">
        <f t="shared" si="330"/>
        <v/>
      </c>
      <c r="Z960" s="197" t="str">
        <f t="shared" si="316"/>
        <v/>
      </c>
      <c r="AA960" s="197" t="str">
        <f t="shared" si="317"/>
        <v/>
      </c>
      <c r="AB960" s="213"/>
      <c r="AC960" s="204"/>
    </row>
    <row r="961" spans="1:29" ht="11.4">
      <c r="A961" s="211" t="str">
        <f t="shared" si="329"/>
        <v/>
      </c>
      <c r="B961" s="211"/>
      <c r="C961" s="185"/>
      <c r="D961" s="186" t="str">
        <f t="shared" si="318"/>
        <v/>
      </c>
      <c r="E961" s="186" t="str">
        <f>IF(OR(C961="",C961=Data!$B$3),"",IF(C961=Data!$B$4,"L","S"))</f>
        <v/>
      </c>
      <c r="F961" s="186" t="str">
        <f t="shared" si="319"/>
        <v/>
      </c>
      <c r="G961" s="187" t="str">
        <f t="shared" si="310"/>
        <v/>
      </c>
      <c r="H961" s="188"/>
      <c r="I961" s="189" t="str">
        <f t="shared" si="320"/>
        <v/>
      </c>
      <c r="J961" s="189" t="str">
        <f t="shared" si="321"/>
        <v/>
      </c>
      <c r="K961" s="190" t="str">
        <f t="shared" si="322"/>
        <v/>
      </c>
      <c r="L961" s="190" t="str">
        <f t="shared" si="323"/>
        <v/>
      </c>
      <c r="M961" s="214"/>
      <c r="N961" s="214"/>
      <c r="O961" s="189" t="str">
        <f t="shared" si="324"/>
        <v/>
      </c>
      <c r="P961" s="191" t="str">
        <f t="shared" si="311"/>
        <v/>
      </c>
      <c r="Q961" s="192" t="str">
        <f t="shared" si="325"/>
        <v/>
      </c>
      <c r="R961" s="191" t="str">
        <f t="shared" si="312"/>
        <v/>
      </c>
      <c r="S961" s="193" t="str">
        <f t="shared" si="326"/>
        <v/>
      </c>
      <c r="T961" s="194" t="str">
        <f t="shared" si="313"/>
        <v/>
      </c>
      <c r="U961" s="192" t="str">
        <f t="shared" si="327"/>
        <v/>
      </c>
      <c r="V961" s="195" t="str">
        <f t="shared" si="314"/>
        <v/>
      </c>
      <c r="W961" s="195" t="str">
        <f t="shared" si="315"/>
        <v/>
      </c>
      <c r="X961" s="196" t="str">
        <f t="shared" si="328"/>
        <v/>
      </c>
      <c r="Y961" s="191" t="str">
        <f t="shared" si="330"/>
        <v/>
      </c>
      <c r="Z961" s="197" t="str">
        <f t="shared" si="316"/>
        <v/>
      </c>
      <c r="AA961" s="197" t="str">
        <f t="shared" si="317"/>
        <v/>
      </c>
      <c r="AB961" s="213"/>
      <c r="AC961" s="204"/>
    </row>
    <row r="962" spans="1:29" ht="11.4">
      <c r="A962" s="211" t="str">
        <f t="shared" si="329"/>
        <v/>
      </c>
      <c r="B962" s="211"/>
      <c r="C962" s="185"/>
      <c r="D962" s="186" t="str">
        <f t="shared" si="318"/>
        <v/>
      </c>
      <c r="E962" s="186" t="str">
        <f>IF(OR(C962="",C962=Data!$B$3),"",IF(C962=Data!$B$4,"L","S"))</f>
        <v/>
      </c>
      <c r="F962" s="186" t="str">
        <f t="shared" si="319"/>
        <v/>
      </c>
      <c r="G962" s="187" t="str">
        <f t="shared" si="310"/>
        <v/>
      </c>
      <c r="H962" s="188"/>
      <c r="I962" s="189" t="str">
        <f t="shared" si="320"/>
        <v/>
      </c>
      <c r="J962" s="189" t="str">
        <f t="shared" si="321"/>
        <v/>
      </c>
      <c r="K962" s="190" t="str">
        <f t="shared" si="322"/>
        <v/>
      </c>
      <c r="L962" s="190" t="str">
        <f t="shared" si="323"/>
        <v/>
      </c>
      <c r="M962" s="214"/>
      <c r="N962" s="214"/>
      <c r="O962" s="189" t="str">
        <f t="shared" si="324"/>
        <v/>
      </c>
      <c r="P962" s="191" t="str">
        <f t="shared" si="311"/>
        <v/>
      </c>
      <c r="Q962" s="192" t="str">
        <f t="shared" si="325"/>
        <v/>
      </c>
      <c r="R962" s="191" t="str">
        <f t="shared" si="312"/>
        <v/>
      </c>
      <c r="S962" s="193" t="str">
        <f t="shared" si="326"/>
        <v/>
      </c>
      <c r="T962" s="194" t="str">
        <f t="shared" si="313"/>
        <v/>
      </c>
      <c r="U962" s="192" t="str">
        <f t="shared" si="327"/>
        <v/>
      </c>
      <c r="V962" s="195" t="str">
        <f t="shared" si="314"/>
        <v/>
      </c>
      <c r="W962" s="195" t="str">
        <f t="shared" si="315"/>
        <v/>
      </c>
      <c r="X962" s="196" t="str">
        <f t="shared" si="328"/>
        <v/>
      </c>
      <c r="Y962" s="191" t="str">
        <f t="shared" si="330"/>
        <v/>
      </c>
      <c r="Z962" s="197" t="str">
        <f t="shared" si="316"/>
        <v/>
      </c>
      <c r="AA962" s="197" t="str">
        <f t="shared" si="317"/>
        <v/>
      </c>
      <c r="AB962" s="213"/>
      <c r="AC962" s="204"/>
    </row>
    <row r="963" spans="1:29" ht="11.4">
      <c r="A963" s="211" t="str">
        <f t="shared" si="329"/>
        <v/>
      </c>
      <c r="B963" s="211"/>
      <c r="C963" s="185"/>
      <c r="D963" s="186" t="str">
        <f t="shared" si="318"/>
        <v/>
      </c>
      <c r="E963" s="186" t="str">
        <f>IF(OR(C963="",C963=Data!$B$3),"",IF(C963=Data!$B$4,"L","S"))</f>
        <v/>
      </c>
      <c r="F963" s="186" t="str">
        <f t="shared" si="319"/>
        <v/>
      </c>
      <c r="G963" s="187" t="str">
        <f t="shared" si="310"/>
        <v/>
      </c>
      <c r="H963" s="188"/>
      <c r="I963" s="189" t="str">
        <f t="shared" si="320"/>
        <v/>
      </c>
      <c r="J963" s="189" t="str">
        <f t="shared" si="321"/>
        <v/>
      </c>
      <c r="K963" s="190" t="str">
        <f t="shared" si="322"/>
        <v/>
      </c>
      <c r="L963" s="190" t="str">
        <f t="shared" si="323"/>
        <v/>
      </c>
      <c r="M963" s="214"/>
      <c r="N963" s="214"/>
      <c r="O963" s="189" t="str">
        <f t="shared" si="324"/>
        <v/>
      </c>
      <c r="P963" s="191" t="str">
        <f t="shared" si="311"/>
        <v/>
      </c>
      <c r="Q963" s="192" t="str">
        <f t="shared" si="325"/>
        <v/>
      </c>
      <c r="R963" s="191" t="str">
        <f t="shared" si="312"/>
        <v/>
      </c>
      <c r="S963" s="193" t="str">
        <f t="shared" si="326"/>
        <v/>
      </c>
      <c r="T963" s="194" t="str">
        <f t="shared" si="313"/>
        <v/>
      </c>
      <c r="U963" s="192" t="str">
        <f t="shared" si="327"/>
        <v/>
      </c>
      <c r="V963" s="195" t="str">
        <f t="shared" si="314"/>
        <v/>
      </c>
      <c r="W963" s="195" t="str">
        <f t="shared" si="315"/>
        <v/>
      </c>
      <c r="X963" s="196" t="str">
        <f t="shared" si="328"/>
        <v/>
      </c>
      <c r="Y963" s="191" t="str">
        <f t="shared" si="330"/>
        <v/>
      </c>
      <c r="Z963" s="197" t="str">
        <f t="shared" si="316"/>
        <v/>
      </c>
      <c r="AA963" s="197" t="str">
        <f t="shared" si="317"/>
        <v/>
      </c>
      <c r="AB963" s="213"/>
      <c r="AC963" s="204"/>
    </row>
    <row r="964" spans="1:29" ht="11.4">
      <c r="A964" s="211" t="str">
        <f t="shared" si="329"/>
        <v/>
      </c>
      <c r="B964" s="211"/>
      <c r="C964" s="185"/>
      <c r="D964" s="186" t="str">
        <f t="shared" si="318"/>
        <v/>
      </c>
      <c r="E964" s="186" t="str">
        <f>IF(OR(C964="",C964=Data!$B$3),"",IF(C964=Data!$B$4,"L","S"))</f>
        <v/>
      </c>
      <c r="F964" s="186" t="str">
        <f t="shared" si="319"/>
        <v/>
      </c>
      <c r="G964" s="187" t="str">
        <f t="shared" si="310"/>
        <v/>
      </c>
      <c r="H964" s="188"/>
      <c r="I964" s="189" t="str">
        <f t="shared" si="320"/>
        <v/>
      </c>
      <c r="J964" s="189" t="str">
        <f t="shared" si="321"/>
        <v/>
      </c>
      <c r="K964" s="190" t="str">
        <f t="shared" si="322"/>
        <v/>
      </c>
      <c r="L964" s="190" t="str">
        <f t="shared" si="323"/>
        <v/>
      </c>
      <c r="M964" s="214"/>
      <c r="N964" s="214"/>
      <c r="O964" s="189" t="str">
        <f t="shared" si="324"/>
        <v/>
      </c>
      <c r="P964" s="191" t="str">
        <f t="shared" si="311"/>
        <v/>
      </c>
      <c r="Q964" s="192" t="str">
        <f t="shared" si="325"/>
        <v/>
      </c>
      <c r="R964" s="191" t="str">
        <f t="shared" si="312"/>
        <v/>
      </c>
      <c r="S964" s="193" t="str">
        <f t="shared" si="326"/>
        <v/>
      </c>
      <c r="T964" s="194" t="str">
        <f t="shared" si="313"/>
        <v/>
      </c>
      <c r="U964" s="192" t="str">
        <f t="shared" si="327"/>
        <v/>
      </c>
      <c r="V964" s="195" t="str">
        <f t="shared" si="314"/>
        <v/>
      </c>
      <c r="W964" s="195" t="str">
        <f t="shared" si="315"/>
        <v/>
      </c>
      <c r="X964" s="196" t="str">
        <f t="shared" si="328"/>
        <v/>
      </c>
      <c r="Y964" s="191" t="str">
        <f t="shared" si="330"/>
        <v/>
      </c>
      <c r="Z964" s="197" t="str">
        <f t="shared" si="316"/>
        <v/>
      </c>
      <c r="AA964" s="197" t="str">
        <f t="shared" si="317"/>
        <v/>
      </c>
      <c r="AB964" s="213"/>
      <c r="AC964" s="204"/>
    </row>
    <row r="965" spans="1:29" ht="11.4">
      <c r="A965" s="211" t="str">
        <f t="shared" si="329"/>
        <v/>
      </c>
      <c r="B965" s="211"/>
      <c r="C965" s="185"/>
      <c r="D965" s="186" t="str">
        <f t="shared" si="318"/>
        <v/>
      </c>
      <c r="E965" s="186" t="str">
        <f>IF(OR(C965="",C965=Data!$B$3),"",IF(C965=Data!$B$4,"L","S"))</f>
        <v/>
      </c>
      <c r="F965" s="186" t="str">
        <f t="shared" si="319"/>
        <v/>
      </c>
      <c r="G965" s="187" t="str">
        <f t="shared" si="310"/>
        <v/>
      </c>
      <c r="H965" s="188"/>
      <c r="I965" s="189" t="str">
        <f t="shared" si="320"/>
        <v/>
      </c>
      <c r="J965" s="189" t="str">
        <f t="shared" si="321"/>
        <v/>
      </c>
      <c r="K965" s="190" t="str">
        <f t="shared" si="322"/>
        <v/>
      </c>
      <c r="L965" s="190" t="str">
        <f t="shared" si="323"/>
        <v/>
      </c>
      <c r="M965" s="214"/>
      <c r="N965" s="214"/>
      <c r="O965" s="189" t="str">
        <f t="shared" si="324"/>
        <v/>
      </c>
      <c r="P965" s="191" t="str">
        <f t="shared" si="311"/>
        <v/>
      </c>
      <c r="Q965" s="192" t="str">
        <f t="shared" si="325"/>
        <v/>
      </c>
      <c r="R965" s="191" t="str">
        <f t="shared" si="312"/>
        <v/>
      </c>
      <c r="S965" s="193" t="str">
        <f t="shared" si="326"/>
        <v/>
      </c>
      <c r="T965" s="194" t="str">
        <f t="shared" si="313"/>
        <v/>
      </c>
      <c r="U965" s="192" t="str">
        <f t="shared" si="327"/>
        <v/>
      </c>
      <c r="V965" s="195" t="str">
        <f t="shared" si="314"/>
        <v/>
      </c>
      <c r="W965" s="195" t="str">
        <f t="shared" si="315"/>
        <v/>
      </c>
      <c r="X965" s="196" t="str">
        <f t="shared" si="328"/>
        <v/>
      </c>
      <c r="Y965" s="191" t="str">
        <f t="shared" si="330"/>
        <v/>
      </c>
      <c r="Z965" s="197" t="str">
        <f t="shared" si="316"/>
        <v/>
      </c>
      <c r="AA965" s="197" t="str">
        <f t="shared" si="317"/>
        <v/>
      </c>
      <c r="AB965" s="213"/>
      <c r="AC965" s="204"/>
    </row>
    <row r="966" spans="1:29" ht="11.4">
      <c r="A966" s="211" t="str">
        <f t="shared" si="329"/>
        <v/>
      </c>
      <c r="B966" s="211"/>
      <c r="C966" s="185"/>
      <c r="D966" s="186" t="str">
        <f t="shared" si="318"/>
        <v/>
      </c>
      <c r="E966" s="186" t="str">
        <f>IF(OR(C966="",C966=Data!$B$3),"",IF(C966=Data!$B$4,"L","S"))</f>
        <v/>
      </c>
      <c r="F966" s="186" t="str">
        <f t="shared" si="319"/>
        <v/>
      </c>
      <c r="G966" s="187" t="str">
        <f t="shared" si="310"/>
        <v/>
      </c>
      <c r="H966" s="188"/>
      <c r="I966" s="189" t="str">
        <f t="shared" si="320"/>
        <v/>
      </c>
      <c r="J966" s="189" t="str">
        <f t="shared" si="321"/>
        <v/>
      </c>
      <c r="K966" s="190" t="str">
        <f t="shared" si="322"/>
        <v/>
      </c>
      <c r="L966" s="190" t="str">
        <f t="shared" si="323"/>
        <v/>
      </c>
      <c r="M966" s="214"/>
      <c r="N966" s="214"/>
      <c r="O966" s="189" t="str">
        <f t="shared" si="324"/>
        <v/>
      </c>
      <c r="P966" s="191" t="str">
        <f t="shared" si="311"/>
        <v/>
      </c>
      <c r="Q966" s="192" t="str">
        <f t="shared" si="325"/>
        <v/>
      </c>
      <c r="R966" s="191" t="str">
        <f t="shared" si="312"/>
        <v/>
      </c>
      <c r="S966" s="193" t="str">
        <f t="shared" si="326"/>
        <v/>
      </c>
      <c r="T966" s="194" t="str">
        <f t="shared" si="313"/>
        <v/>
      </c>
      <c r="U966" s="192" t="str">
        <f t="shared" si="327"/>
        <v/>
      </c>
      <c r="V966" s="195" t="str">
        <f t="shared" si="314"/>
        <v/>
      </c>
      <c r="W966" s="195" t="str">
        <f t="shared" si="315"/>
        <v/>
      </c>
      <c r="X966" s="196" t="str">
        <f t="shared" si="328"/>
        <v/>
      </c>
      <c r="Y966" s="191" t="str">
        <f t="shared" si="330"/>
        <v/>
      </c>
      <c r="Z966" s="197" t="str">
        <f t="shared" si="316"/>
        <v/>
      </c>
      <c r="AA966" s="197" t="str">
        <f t="shared" si="317"/>
        <v/>
      </c>
      <c r="AB966" s="213"/>
      <c r="AC966" s="204"/>
    </row>
    <row r="967" spans="1:29" ht="11.4">
      <c r="A967" s="211" t="str">
        <f t="shared" si="329"/>
        <v/>
      </c>
      <c r="B967" s="211"/>
      <c r="C967" s="185"/>
      <c r="D967" s="186" t="str">
        <f t="shared" si="318"/>
        <v/>
      </c>
      <c r="E967" s="186" t="str">
        <f>IF(OR(C967="",C967=Data!$B$3),"",IF(C967=Data!$B$4,"L","S"))</f>
        <v/>
      </c>
      <c r="F967" s="186" t="str">
        <f t="shared" si="319"/>
        <v/>
      </c>
      <c r="G967" s="187" t="str">
        <f t="shared" si="310"/>
        <v/>
      </c>
      <c r="H967" s="188"/>
      <c r="I967" s="189" t="str">
        <f t="shared" si="320"/>
        <v/>
      </c>
      <c r="J967" s="189" t="str">
        <f t="shared" si="321"/>
        <v/>
      </c>
      <c r="K967" s="190" t="str">
        <f t="shared" si="322"/>
        <v/>
      </c>
      <c r="L967" s="190" t="str">
        <f t="shared" si="323"/>
        <v/>
      </c>
      <c r="M967" s="214"/>
      <c r="N967" s="214"/>
      <c r="O967" s="189" t="str">
        <f t="shared" si="324"/>
        <v/>
      </c>
      <c r="P967" s="191" t="str">
        <f t="shared" si="311"/>
        <v/>
      </c>
      <c r="Q967" s="192" t="str">
        <f t="shared" si="325"/>
        <v/>
      </c>
      <c r="R967" s="191" t="str">
        <f t="shared" si="312"/>
        <v/>
      </c>
      <c r="S967" s="193" t="str">
        <f t="shared" si="326"/>
        <v/>
      </c>
      <c r="T967" s="194" t="str">
        <f t="shared" si="313"/>
        <v/>
      </c>
      <c r="U967" s="192" t="str">
        <f t="shared" si="327"/>
        <v/>
      </c>
      <c r="V967" s="195" t="str">
        <f t="shared" si="314"/>
        <v/>
      </c>
      <c r="W967" s="195" t="str">
        <f t="shared" si="315"/>
        <v/>
      </c>
      <c r="X967" s="196" t="str">
        <f t="shared" si="328"/>
        <v/>
      </c>
      <c r="Y967" s="191" t="str">
        <f t="shared" si="330"/>
        <v/>
      </c>
      <c r="Z967" s="197" t="str">
        <f t="shared" si="316"/>
        <v/>
      </c>
      <c r="AA967" s="197" t="str">
        <f t="shared" si="317"/>
        <v/>
      </c>
      <c r="AB967" s="213"/>
      <c r="AC967" s="204"/>
    </row>
    <row r="968" spans="1:29" ht="11.4">
      <c r="A968" s="211" t="str">
        <f t="shared" si="329"/>
        <v/>
      </c>
      <c r="B968" s="211"/>
      <c r="C968" s="185"/>
      <c r="D968" s="186" t="str">
        <f t="shared" si="318"/>
        <v/>
      </c>
      <c r="E968" s="186" t="str">
        <f>IF(OR(C968="",C968=Data!$B$3),"",IF(C968=Data!$B$4,"L","S"))</f>
        <v/>
      </c>
      <c r="F968" s="186" t="str">
        <f t="shared" si="319"/>
        <v/>
      </c>
      <c r="G968" s="187" t="str">
        <f t="shared" si="310"/>
        <v/>
      </c>
      <c r="H968" s="188"/>
      <c r="I968" s="189" t="str">
        <f t="shared" si="320"/>
        <v/>
      </c>
      <c r="J968" s="189" t="str">
        <f t="shared" si="321"/>
        <v/>
      </c>
      <c r="K968" s="190" t="str">
        <f t="shared" si="322"/>
        <v/>
      </c>
      <c r="L968" s="190" t="str">
        <f t="shared" si="323"/>
        <v/>
      </c>
      <c r="M968" s="214"/>
      <c r="N968" s="214"/>
      <c r="O968" s="189" t="str">
        <f t="shared" si="324"/>
        <v/>
      </c>
      <c r="P968" s="191" t="str">
        <f t="shared" si="311"/>
        <v/>
      </c>
      <c r="Q968" s="192" t="str">
        <f t="shared" si="325"/>
        <v/>
      </c>
      <c r="R968" s="191" t="str">
        <f t="shared" si="312"/>
        <v/>
      </c>
      <c r="S968" s="193" t="str">
        <f t="shared" si="326"/>
        <v/>
      </c>
      <c r="T968" s="194" t="str">
        <f t="shared" si="313"/>
        <v/>
      </c>
      <c r="U968" s="192" t="str">
        <f t="shared" si="327"/>
        <v/>
      </c>
      <c r="V968" s="195" t="str">
        <f t="shared" si="314"/>
        <v/>
      </c>
      <c r="W968" s="195" t="str">
        <f t="shared" si="315"/>
        <v/>
      </c>
      <c r="X968" s="196" t="str">
        <f t="shared" si="328"/>
        <v/>
      </c>
      <c r="Y968" s="191" t="str">
        <f t="shared" si="330"/>
        <v/>
      </c>
      <c r="Z968" s="197" t="str">
        <f t="shared" si="316"/>
        <v/>
      </c>
      <c r="AA968" s="197" t="str">
        <f t="shared" si="317"/>
        <v/>
      </c>
      <c r="AB968" s="213"/>
      <c r="AC968" s="204"/>
    </row>
    <row r="969" spans="1:29" ht="11.4">
      <c r="A969" s="211" t="str">
        <f t="shared" si="329"/>
        <v/>
      </c>
      <c r="B969" s="211"/>
      <c r="C969" s="185"/>
      <c r="D969" s="186" t="str">
        <f t="shared" si="318"/>
        <v/>
      </c>
      <c r="E969" s="186" t="str">
        <f>IF(OR(C969="",C969=Data!$B$3),"",IF(C969=Data!$B$4,"L","S"))</f>
        <v/>
      </c>
      <c r="F969" s="186" t="str">
        <f t="shared" si="319"/>
        <v/>
      </c>
      <c r="G969" s="187" t="str">
        <f t="shared" si="310"/>
        <v/>
      </c>
      <c r="H969" s="188"/>
      <c r="I969" s="189" t="str">
        <f t="shared" si="320"/>
        <v/>
      </c>
      <c r="J969" s="189" t="str">
        <f t="shared" si="321"/>
        <v/>
      </c>
      <c r="K969" s="190" t="str">
        <f t="shared" si="322"/>
        <v/>
      </c>
      <c r="L969" s="190" t="str">
        <f t="shared" si="323"/>
        <v/>
      </c>
      <c r="M969" s="214"/>
      <c r="N969" s="214"/>
      <c r="O969" s="189" t="str">
        <f t="shared" si="324"/>
        <v/>
      </c>
      <c r="P969" s="191" t="str">
        <f t="shared" si="311"/>
        <v/>
      </c>
      <c r="Q969" s="192" t="str">
        <f t="shared" si="325"/>
        <v/>
      </c>
      <c r="R969" s="191" t="str">
        <f t="shared" si="312"/>
        <v/>
      </c>
      <c r="S969" s="193" t="str">
        <f t="shared" si="326"/>
        <v/>
      </c>
      <c r="T969" s="194" t="str">
        <f t="shared" si="313"/>
        <v/>
      </c>
      <c r="U969" s="192" t="str">
        <f t="shared" si="327"/>
        <v/>
      </c>
      <c r="V969" s="195" t="str">
        <f t="shared" si="314"/>
        <v/>
      </c>
      <c r="W969" s="195" t="str">
        <f t="shared" si="315"/>
        <v/>
      </c>
      <c r="X969" s="196" t="str">
        <f t="shared" si="328"/>
        <v/>
      </c>
      <c r="Y969" s="191" t="str">
        <f t="shared" si="330"/>
        <v/>
      </c>
      <c r="Z969" s="197" t="str">
        <f t="shared" si="316"/>
        <v/>
      </c>
      <c r="AA969" s="197" t="str">
        <f t="shared" si="317"/>
        <v/>
      </c>
      <c r="AB969" s="213"/>
      <c r="AC969" s="204"/>
    </row>
    <row r="970" spans="1:29" ht="11.4">
      <c r="A970" s="211" t="str">
        <f t="shared" si="329"/>
        <v/>
      </c>
      <c r="B970" s="211"/>
      <c r="C970" s="185"/>
      <c r="D970" s="186" t="str">
        <f t="shared" si="318"/>
        <v/>
      </c>
      <c r="E970" s="186" t="str">
        <f>IF(OR(C970="",C970=Data!$B$3),"",IF(C970=Data!$B$4,"L","S"))</f>
        <v/>
      </c>
      <c r="F970" s="186" t="str">
        <f t="shared" si="319"/>
        <v/>
      </c>
      <c r="G970" s="187" t="str">
        <f t="shared" si="310"/>
        <v/>
      </c>
      <c r="H970" s="188"/>
      <c r="I970" s="189" t="str">
        <f t="shared" si="320"/>
        <v/>
      </c>
      <c r="J970" s="189" t="str">
        <f t="shared" si="321"/>
        <v/>
      </c>
      <c r="K970" s="190" t="str">
        <f t="shared" si="322"/>
        <v/>
      </c>
      <c r="L970" s="190" t="str">
        <f t="shared" si="323"/>
        <v/>
      </c>
      <c r="M970" s="214"/>
      <c r="N970" s="214"/>
      <c r="O970" s="189" t="str">
        <f t="shared" si="324"/>
        <v/>
      </c>
      <c r="P970" s="191" t="str">
        <f t="shared" si="311"/>
        <v/>
      </c>
      <c r="Q970" s="192" t="str">
        <f t="shared" si="325"/>
        <v/>
      </c>
      <c r="R970" s="191" t="str">
        <f t="shared" si="312"/>
        <v/>
      </c>
      <c r="S970" s="193" t="str">
        <f t="shared" si="326"/>
        <v/>
      </c>
      <c r="T970" s="194" t="str">
        <f t="shared" si="313"/>
        <v/>
      </c>
      <c r="U970" s="192" t="str">
        <f t="shared" si="327"/>
        <v/>
      </c>
      <c r="V970" s="195" t="str">
        <f t="shared" si="314"/>
        <v/>
      </c>
      <c r="W970" s="195" t="str">
        <f t="shared" si="315"/>
        <v/>
      </c>
      <c r="X970" s="196" t="str">
        <f t="shared" si="328"/>
        <v/>
      </c>
      <c r="Y970" s="191" t="str">
        <f t="shared" si="330"/>
        <v/>
      </c>
      <c r="Z970" s="197" t="str">
        <f t="shared" si="316"/>
        <v/>
      </c>
      <c r="AA970" s="197" t="str">
        <f t="shared" si="317"/>
        <v/>
      </c>
      <c r="AB970" s="213"/>
      <c r="AC970" s="204"/>
    </row>
    <row r="971" spans="1:29" ht="11.4">
      <c r="A971" s="211" t="str">
        <f t="shared" si="329"/>
        <v/>
      </c>
      <c r="B971" s="211"/>
      <c r="C971" s="185"/>
      <c r="D971" s="186" t="str">
        <f t="shared" si="318"/>
        <v/>
      </c>
      <c r="E971" s="186" t="str">
        <f>IF(OR(C971="",C971=Data!$B$3),"",IF(C971=Data!$B$4,"L","S"))</f>
        <v/>
      </c>
      <c r="F971" s="186" t="str">
        <f t="shared" si="319"/>
        <v/>
      </c>
      <c r="G971" s="187" t="str">
        <f t="shared" si="310"/>
        <v/>
      </c>
      <c r="H971" s="188"/>
      <c r="I971" s="189" t="str">
        <f t="shared" si="320"/>
        <v/>
      </c>
      <c r="J971" s="189" t="str">
        <f t="shared" si="321"/>
        <v/>
      </c>
      <c r="K971" s="190" t="str">
        <f t="shared" si="322"/>
        <v/>
      </c>
      <c r="L971" s="190" t="str">
        <f t="shared" si="323"/>
        <v/>
      </c>
      <c r="M971" s="214"/>
      <c r="N971" s="214"/>
      <c r="O971" s="189" t="str">
        <f t="shared" si="324"/>
        <v/>
      </c>
      <c r="P971" s="191" t="str">
        <f t="shared" si="311"/>
        <v/>
      </c>
      <c r="Q971" s="192" t="str">
        <f t="shared" si="325"/>
        <v/>
      </c>
      <c r="R971" s="191" t="str">
        <f t="shared" si="312"/>
        <v/>
      </c>
      <c r="S971" s="193" t="str">
        <f t="shared" si="326"/>
        <v/>
      </c>
      <c r="T971" s="194" t="str">
        <f t="shared" si="313"/>
        <v/>
      </c>
      <c r="U971" s="192" t="str">
        <f t="shared" si="327"/>
        <v/>
      </c>
      <c r="V971" s="195" t="str">
        <f t="shared" si="314"/>
        <v/>
      </c>
      <c r="W971" s="195" t="str">
        <f t="shared" si="315"/>
        <v/>
      </c>
      <c r="X971" s="196" t="str">
        <f t="shared" si="328"/>
        <v/>
      </c>
      <c r="Y971" s="191" t="str">
        <f t="shared" si="330"/>
        <v/>
      </c>
      <c r="Z971" s="197" t="str">
        <f t="shared" si="316"/>
        <v/>
      </c>
      <c r="AA971" s="197" t="str">
        <f t="shared" si="317"/>
        <v/>
      </c>
      <c r="AB971" s="213"/>
      <c r="AC971" s="204"/>
    </row>
    <row r="972" spans="1:29" ht="11.4">
      <c r="A972" s="211" t="str">
        <f t="shared" si="329"/>
        <v/>
      </c>
      <c r="B972" s="211"/>
      <c r="C972" s="185"/>
      <c r="D972" s="186" t="str">
        <f t="shared" si="318"/>
        <v/>
      </c>
      <c r="E972" s="186" t="str">
        <f>IF(OR(C972="",C972=Data!$B$3),"",IF(C972=Data!$B$4,"L","S"))</f>
        <v/>
      </c>
      <c r="F972" s="186" t="str">
        <f t="shared" si="319"/>
        <v/>
      </c>
      <c r="G972" s="187" t="str">
        <f t="shared" ref="G972:G994" si="331">IF(A972="","",$D$3)</f>
        <v/>
      </c>
      <c r="H972" s="188"/>
      <c r="I972" s="189" t="str">
        <f t="shared" si="320"/>
        <v/>
      </c>
      <c r="J972" s="189" t="str">
        <f t="shared" si="321"/>
        <v/>
      </c>
      <c r="K972" s="190" t="str">
        <f t="shared" si="322"/>
        <v/>
      </c>
      <c r="L972" s="190" t="str">
        <f t="shared" si="323"/>
        <v/>
      </c>
      <c r="M972" s="214"/>
      <c r="N972" s="214"/>
      <c r="O972" s="189" t="str">
        <f t="shared" si="324"/>
        <v/>
      </c>
      <c r="P972" s="191" t="str">
        <f t="shared" ref="P972:P994" si="332">IF(O972="","",IF(L972*F972*G972=0,0,L972*F972*G972))</f>
        <v/>
      </c>
      <c r="Q972" s="192" t="str">
        <f t="shared" si="325"/>
        <v/>
      </c>
      <c r="R972" s="191" t="str">
        <f t="shared" ref="R972:R994" si="333">IF(O972&lt;&gt;"",IF(K972*F972*G972=0,"",K972*F972*G972),"")</f>
        <v/>
      </c>
      <c r="S972" s="193" t="str">
        <f t="shared" si="326"/>
        <v/>
      </c>
      <c r="T972" s="194" t="str">
        <f t="shared" ref="T972:T994" si="334">IF(X972="","",X972*F972*G972)</f>
        <v/>
      </c>
      <c r="U972" s="192" t="str">
        <f t="shared" si="327"/>
        <v/>
      </c>
      <c r="V972" s="195" t="str">
        <f t="shared" ref="V972:V994" si="335">IF(O972="","",IF(AND(O972&gt;I972,E972="L"),1, IF(AND(I972&gt;O972,E972="S"),1,0)))</f>
        <v/>
      </c>
      <c r="W972" s="195" t="str">
        <f t="shared" ref="W972:W994" si="336">IF(O972="","",IF(AND(O972&lt;I972,E972="L"),1, IF(AND(I972&lt;O972,E972="S"),1,0)))</f>
        <v/>
      </c>
      <c r="X972" s="196" t="str">
        <f t="shared" si="328"/>
        <v/>
      </c>
      <c r="Y972" s="191" t="str">
        <f t="shared" si="330"/>
        <v/>
      </c>
      <c r="Z972" s="197" t="str">
        <f t="shared" ref="Z972:Z994" si="337">IF(M972="","",MONTH(M972))</f>
        <v/>
      </c>
      <c r="AA972" s="197" t="str">
        <f t="shared" ref="AA972:AA994" si="338">IF(M972="","",YEAR(M972))</f>
        <v/>
      </c>
      <c r="AB972" s="213"/>
      <c r="AC972" s="204"/>
    </row>
    <row r="973" spans="1:29" ht="11.4">
      <c r="A973" s="211" t="str">
        <f t="shared" si="329"/>
        <v/>
      </c>
      <c r="B973" s="211"/>
      <c r="C973" s="185"/>
      <c r="D973" s="186" t="str">
        <f t="shared" ref="D973:D994" si="339">IF(A973&lt;&gt;"","GBPUSD","")</f>
        <v/>
      </c>
      <c r="E973" s="186" t="str">
        <f>IF(OR(C973="",C973=Data!$B$3),"",IF(C973=Data!$B$4,"L","S"))</f>
        <v/>
      </c>
      <c r="F973" s="186" t="str">
        <f t="shared" ref="F973:F994" si="340">IF(A973&lt;&gt;"",$D$2,"")</f>
        <v/>
      </c>
      <c r="G973" s="187" t="str">
        <f t="shared" si="331"/>
        <v/>
      </c>
      <c r="H973" s="188"/>
      <c r="I973" s="189" t="str">
        <f t="shared" ref="I973:I994" si="341">IF(H973="","",IF(E973="L",H973+$D$4*0.0001,H973-$D$4*0.0001))</f>
        <v/>
      </c>
      <c r="J973" s="189" t="str">
        <f t="shared" ref="J973:J994" si="342">IF(AND(H973&lt;&gt;"",I973&lt;&gt;""),IF(E973="L",I973+(I973-H973)*3,I973-(H973-I973)*3),"")</f>
        <v/>
      </c>
      <c r="K973" s="190" t="str">
        <f t="shared" ref="K973:K994" si="343">IF(AND(E973&lt;&gt;"",AND(I973&lt;&gt;"",J973&lt;&gt;"")),IF(E973="L",(J973-I973)*IF(I973&gt;10,IF(SEARCH("JPY",D973),10,100),10000),(I973-J973)*IF(I973&gt;10,IF(SEARCH("JPY",D973),10,100),10000)),"")</f>
        <v/>
      </c>
      <c r="L973" s="190" t="str">
        <f t="shared" ref="L973:L994" si="344">IF(AND(E973&lt;&gt;"",AND(H973&lt;&gt;"",I973&lt;&gt;"")),IF(E973="L",(I973-H973)*IF(I973&gt;10,IF(SEARCH("JPY",D973),10,100),10000),(H973-I973)*IF(I973&gt;10,IF(SEARCH("JPY",D973),10,100),10000)),"")</f>
        <v/>
      </c>
      <c r="M973" s="214"/>
      <c r="N973" s="214"/>
      <c r="O973" s="189" t="str">
        <f t="shared" ref="O973:O994" si="345">IF(H973&lt;&gt;"",H973, "")</f>
        <v/>
      </c>
      <c r="P973" s="191" t="str">
        <f t="shared" si="332"/>
        <v/>
      </c>
      <c r="Q973" s="192" t="str">
        <f t="shared" ref="Q973:Q994" si="346">IF(P973="","",IF(P973=0,0,P973/$I$4))</f>
        <v/>
      </c>
      <c r="R973" s="191" t="str">
        <f t="shared" si="333"/>
        <v/>
      </c>
      <c r="S973" s="193" t="str">
        <f t="shared" ref="S973:S994" si="347">IF(P973="","",IF(P973=0,0,R973/P973))</f>
        <v/>
      </c>
      <c r="T973" s="194" t="str">
        <f t="shared" si="334"/>
        <v/>
      </c>
      <c r="U973" s="192" t="str">
        <f t="shared" ref="U973:U994" si="348">IF(T973="","",IF($I$4="","",T973/$I$4))</f>
        <v/>
      </c>
      <c r="V973" s="195" t="str">
        <f t="shared" si="335"/>
        <v/>
      </c>
      <c r="W973" s="195" t="str">
        <f t="shared" si="336"/>
        <v/>
      </c>
      <c r="X973" s="196" t="str">
        <f t="shared" ref="X973:X994" si="349">IF((O973=""),"",IF(E973="L",1,-1)*(O973-I973)*IF(O973&gt;10,IF(SEARCH("JPY",D973),10,100),10000))</f>
        <v/>
      </c>
      <c r="Y973" s="191" t="str">
        <f t="shared" si="330"/>
        <v/>
      </c>
      <c r="Z973" s="197" t="str">
        <f t="shared" si="337"/>
        <v/>
      </c>
      <c r="AA973" s="197" t="str">
        <f t="shared" si="338"/>
        <v/>
      </c>
      <c r="AB973" s="213"/>
      <c r="AC973" s="204"/>
    </row>
    <row r="974" spans="1:29" ht="11.4">
      <c r="A974" s="211" t="str">
        <f t="shared" ref="A974:A994" si="350">IF(C974="","",A973+1)</f>
        <v/>
      </c>
      <c r="B974" s="211"/>
      <c r="C974" s="185"/>
      <c r="D974" s="186" t="str">
        <f t="shared" si="339"/>
        <v/>
      </c>
      <c r="E974" s="186" t="str">
        <f>IF(OR(C974="",C974=Data!$B$3),"",IF(C974=Data!$B$4,"L","S"))</f>
        <v/>
      </c>
      <c r="F974" s="186" t="str">
        <f t="shared" si="340"/>
        <v/>
      </c>
      <c r="G974" s="187" t="str">
        <f t="shared" si="331"/>
        <v/>
      </c>
      <c r="H974" s="188"/>
      <c r="I974" s="189" t="str">
        <f t="shared" si="341"/>
        <v/>
      </c>
      <c r="J974" s="189" t="str">
        <f t="shared" si="342"/>
        <v/>
      </c>
      <c r="K974" s="190" t="str">
        <f t="shared" si="343"/>
        <v/>
      </c>
      <c r="L974" s="190" t="str">
        <f t="shared" si="344"/>
        <v/>
      </c>
      <c r="M974" s="214"/>
      <c r="N974" s="214"/>
      <c r="O974" s="189" t="str">
        <f t="shared" si="345"/>
        <v/>
      </c>
      <c r="P974" s="191" t="str">
        <f t="shared" si="332"/>
        <v/>
      </c>
      <c r="Q974" s="192" t="str">
        <f t="shared" si="346"/>
        <v/>
      </c>
      <c r="R974" s="191" t="str">
        <f t="shared" si="333"/>
        <v/>
      </c>
      <c r="S974" s="193" t="str">
        <f t="shared" si="347"/>
        <v/>
      </c>
      <c r="T974" s="194" t="str">
        <f t="shared" si="334"/>
        <v/>
      </c>
      <c r="U974" s="192" t="str">
        <f t="shared" si="348"/>
        <v/>
      </c>
      <c r="V974" s="195" t="str">
        <f t="shared" si="335"/>
        <v/>
      </c>
      <c r="W974" s="195" t="str">
        <f t="shared" si="336"/>
        <v/>
      </c>
      <c r="X974" s="196" t="str">
        <f t="shared" si="349"/>
        <v/>
      </c>
      <c r="Y974" s="191" t="str">
        <f t="shared" si="330"/>
        <v/>
      </c>
      <c r="Z974" s="197" t="str">
        <f t="shared" si="337"/>
        <v/>
      </c>
      <c r="AA974" s="197" t="str">
        <f t="shared" si="338"/>
        <v/>
      </c>
      <c r="AB974" s="213"/>
      <c r="AC974" s="204"/>
    </row>
    <row r="975" spans="1:29" ht="11.4">
      <c r="A975" s="211" t="str">
        <f t="shared" si="350"/>
        <v/>
      </c>
      <c r="B975" s="211"/>
      <c r="C975" s="185"/>
      <c r="D975" s="186" t="str">
        <f t="shared" si="339"/>
        <v/>
      </c>
      <c r="E975" s="186" t="str">
        <f>IF(OR(C975="",C975=Data!$B$3),"",IF(C975=Data!$B$4,"L","S"))</f>
        <v/>
      </c>
      <c r="F975" s="186" t="str">
        <f t="shared" si="340"/>
        <v/>
      </c>
      <c r="G975" s="187" t="str">
        <f t="shared" si="331"/>
        <v/>
      </c>
      <c r="H975" s="188"/>
      <c r="I975" s="189" t="str">
        <f t="shared" si="341"/>
        <v/>
      </c>
      <c r="J975" s="189" t="str">
        <f t="shared" si="342"/>
        <v/>
      </c>
      <c r="K975" s="190" t="str">
        <f t="shared" si="343"/>
        <v/>
      </c>
      <c r="L975" s="190" t="str">
        <f t="shared" si="344"/>
        <v/>
      </c>
      <c r="M975" s="214"/>
      <c r="N975" s="214"/>
      <c r="O975" s="189" t="str">
        <f t="shared" si="345"/>
        <v/>
      </c>
      <c r="P975" s="191" t="str">
        <f t="shared" si="332"/>
        <v/>
      </c>
      <c r="Q975" s="192" t="str">
        <f t="shared" si="346"/>
        <v/>
      </c>
      <c r="R975" s="191" t="str">
        <f t="shared" si="333"/>
        <v/>
      </c>
      <c r="S975" s="193" t="str">
        <f t="shared" si="347"/>
        <v/>
      </c>
      <c r="T975" s="194" t="str">
        <f t="shared" si="334"/>
        <v/>
      </c>
      <c r="U975" s="192" t="str">
        <f t="shared" si="348"/>
        <v/>
      </c>
      <c r="V975" s="195" t="str">
        <f t="shared" si="335"/>
        <v/>
      </c>
      <c r="W975" s="195" t="str">
        <f t="shared" si="336"/>
        <v/>
      </c>
      <c r="X975" s="196" t="str">
        <f t="shared" si="349"/>
        <v/>
      </c>
      <c r="Y975" s="191" t="str">
        <f t="shared" si="330"/>
        <v/>
      </c>
      <c r="Z975" s="197" t="str">
        <f t="shared" si="337"/>
        <v/>
      </c>
      <c r="AA975" s="197" t="str">
        <f t="shared" si="338"/>
        <v/>
      </c>
      <c r="AB975" s="213"/>
      <c r="AC975" s="204"/>
    </row>
    <row r="976" spans="1:29" ht="11.4">
      <c r="A976" s="211" t="str">
        <f t="shared" si="350"/>
        <v/>
      </c>
      <c r="B976" s="211"/>
      <c r="C976" s="185"/>
      <c r="D976" s="186" t="str">
        <f t="shared" si="339"/>
        <v/>
      </c>
      <c r="E976" s="186" t="str">
        <f>IF(OR(C976="",C976=Data!$B$3),"",IF(C976=Data!$B$4,"L","S"))</f>
        <v/>
      </c>
      <c r="F976" s="186" t="str">
        <f t="shared" si="340"/>
        <v/>
      </c>
      <c r="G976" s="187" t="str">
        <f t="shared" si="331"/>
        <v/>
      </c>
      <c r="H976" s="188"/>
      <c r="I976" s="189" t="str">
        <f t="shared" si="341"/>
        <v/>
      </c>
      <c r="J976" s="189" t="str">
        <f t="shared" si="342"/>
        <v/>
      </c>
      <c r="K976" s="190" t="str">
        <f t="shared" si="343"/>
        <v/>
      </c>
      <c r="L976" s="190" t="str">
        <f t="shared" si="344"/>
        <v/>
      </c>
      <c r="M976" s="214"/>
      <c r="N976" s="214"/>
      <c r="O976" s="189" t="str">
        <f t="shared" si="345"/>
        <v/>
      </c>
      <c r="P976" s="191" t="str">
        <f t="shared" si="332"/>
        <v/>
      </c>
      <c r="Q976" s="192" t="str">
        <f t="shared" si="346"/>
        <v/>
      </c>
      <c r="R976" s="191" t="str">
        <f t="shared" si="333"/>
        <v/>
      </c>
      <c r="S976" s="193" t="str">
        <f t="shared" si="347"/>
        <v/>
      </c>
      <c r="T976" s="194" t="str">
        <f t="shared" si="334"/>
        <v/>
      </c>
      <c r="U976" s="192" t="str">
        <f t="shared" si="348"/>
        <v/>
      </c>
      <c r="V976" s="195" t="str">
        <f t="shared" si="335"/>
        <v/>
      </c>
      <c r="W976" s="195" t="str">
        <f t="shared" si="336"/>
        <v/>
      </c>
      <c r="X976" s="196" t="str">
        <f t="shared" si="349"/>
        <v/>
      </c>
      <c r="Y976" s="191" t="str">
        <f t="shared" si="330"/>
        <v/>
      </c>
      <c r="Z976" s="197" t="str">
        <f t="shared" si="337"/>
        <v/>
      </c>
      <c r="AA976" s="197" t="str">
        <f t="shared" si="338"/>
        <v/>
      </c>
      <c r="AB976" s="213"/>
      <c r="AC976" s="204"/>
    </row>
    <row r="977" spans="1:29" ht="11.4">
      <c r="A977" s="211" t="str">
        <f t="shared" si="350"/>
        <v/>
      </c>
      <c r="B977" s="211"/>
      <c r="C977" s="185"/>
      <c r="D977" s="186" t="str">
        <f t="shared" si="339"/>
        <v/>
      </c>
      <c r="E977" s="186" t="str">
        <f>IF(OR(C977="",C977=Data!$B$3),"",IF(C977=Data!$B$4,"L","S"))</f>
        <v/>
      </c>
      <c r="F977" s="186" t="str">
        <f t="shared" si="340"/>
        <v/>
      </c>
      <c r="G977" s="187" t="str">
        <f t="shared" si="331"/>
        <v/>
      </c>
      <c r="H977" s="188"/>
      <c r="I977" s="189" t="str">
        <f t="shared" si="341"/>
        <v/>
      </c>
      <c r="J977" s="189" t="str">
        <f t="shared" si="342"/>
        <v/>
      </c>
      <c r="K977" s="190" t="str">
        <f t="shared" si="343"/>
        <v/>
      </c>
      <c r="L977" s="190" t="str">
        <f t="shared" si="344"/>
        <v/>
      </c>
      <c r="M977" s="214"/>
      <c r="N977" s="214"/>
      <c r="O977" s="189" t="str">
        <f t="shared" si="345"/>
        <v/>
      </c>
      <c r="P977" s="191" t="str">
        <f t="shared" si="332"/>
        <v/>
      </c>
      <c r="Q977" s="192" t="str">
        <f t="shared" si="346"/>
        <v/>
      </c>
      <c r="R977" s="191" t="str">
        <f t="shared" si="333"/>
        <v/>
      </c>
      <c r="S977" s="193" t="str">
        <f t="shared" si="347"/>
        <v/>
      </c>
      <c r="T977" s="194" t="str">
        <f t="shared" si="334"/>
        <v/>
      </c>
      <c r="U977" s="192" t="str">
        <f t="shared" si="348"/>
        <v/>
      </c>
      <c r="V977" s="195" t="str">
        <f t="shared" si="335"/>
        <v/>
      </c>
      <c r="W977" s="195" t="str">
        <f t="shared" si="336"/>
        <v/>
      </c>
      <c r="X977" s="196" t="str">
        <f t="shared" si="349"/>
        <v/>
      </c>
      <c r="Y977" s="191" t="str">
        <f t="shared" si="330"/>
        <v/>
      </c>
      <c r="Z977" s="197" t="str">
        <f t="shared" si="337"/>
        <v/>
      </c>
      <c r="AA977" s="197" t="str">
        <f t="shared" si="338"/>
        <v/>
      </c>
      <c r="AB977" s="213"/>
      <c r="AC977" s="204"/>
    </row>
    <row r="978" spans="1:29" ht="11.4">
      <c r="A978" s="211" t="str">
        <f t="shared" si="350"/>
        <v/>
      </c>
      <c r="B978" s="211"/>
      <c r="C978" s="185"/>
      <c r="D978" s="186" t="str">
        <f t="shared" si="339"/>
        <v/>
      </c>
      <c r="E978" s="186" t="str">
        <f>IF(OR(C978="",C978=Data!$B$3),"",IF(C978=Data!$B$4,"L","S"))</f>
        <v/>
      </c>
      <c r="F978" s="186" t="str">
        <f t="shared" si="340"/>
        <v/>
      </c>
      <c r="G978" s="187" t="str">
        <f t="shared" si="331"/>
        <v/>
      </c>
      <c r="H978" s="188"/>
      <c r="I978" s="189" t="str">
        <f t="shared" si="341"/>
        <v/>
      </c>
      <c r="J978" s="189" t="str">
        <f t="shared" si="342"/>
        <v/>
      </c>
      <c r="K978" s="190" t="str">
        <f t="shared" si="343"/>
        <v/>
      </c>
      <c r="L978" s="190" t="str">
        <f t="shared" si="344"/>
        <v/>
      </c>
      <c r="M978" s="214"/>
      <c r="N978" s="214"/>
      <c r="O978" s="189" t="str">
        <f t="shared" si="345"/>
        <v/>
      </c>
      <c r="P978" s="191" t="str">
        <f t="shared" si="332"/>
        <v/>
      </c>
      <c r="Q978" s="192" t="str">
        <f t="shared" si="346"/>
        <v/>
      </c>
      <c r="R978" s="191" t="str">
        <f t="shared" si="333"/>
        <v/>
      </c>
      <c r="S978" s="193" t="str">
        <f t="shared" si="347"/>
        <v/>
      </c>
      <c r="T978" s="194" t="str">
        <f t="shared" si="334"/>
        <v/>
      </c>
      <c r="U978" s="192" t="str">
        <f t="shared" si="348"/>
        <v/>
      </c>
      <c r="V978" s="195" t="str">
        <f t="shared" si="335"/>
        <v/>
      </c>
      <c r="W978" s="195" t="str">
        <f t="shared" si="336"/>
        <v/>
      </c>
      <c r="X978" s="196" t="str">
        <f t="shared" si="349"/>
        <v/>
      </c>
      <c r="Y978" s="191" t="str">
        <f t="shared" si="330"/>
        <v/>
      </c>
      <c r="Z978" s="197" t="str">
        <f t="shared" si="337"/>
        <v/>
      </c>
      <c r="AA978" s="197" t="str">
        <f t="shared" si="338"/>
        <v/>
      </c>
      <c r="AB978" s="213"/>
      <c r="AC978" s="204"/>
    </row>
    <row r="979" spans="1:29" ht="11.4">
      <c r="A979" s="211" t="str">
        <f t="shared" si="350"/>
        <v/>
      </c>
      <c r="B979" s="211"/>
      <c r="C979" s="185"/>
      <c r="D979" s="186" t="str">
        <f t="shared" si="339"/>
        <v/>
      </c>
      <c r="E979" s="186" t="str">
        <f>IF(OR(C979="",C979=Data!$B$3),"",IF(C979=Data!$B$4,"L","S"))</f>
        <v/>
      </c>
      <c r="F979" s="186" t="str">
        <f t="shared" si="340"/>
        <v/>
      </c>
      <c r="G979" s="187" t="str">
        <f t="shared" si="331"/>
        <v/>
      </c>
      <c r="H979" s="188"/>
      <c r="I979" s="189" t="str">
        <f t="shared" si="341"/>
        <v/>
      </c>
      <c r="J979" s="189" t="str">
        <f t="shared" si="342"/>
        <v/>
      </c>
      <c r="K979" s="190" t="str">
        <f t="shared" si="343"/>
        <v/>
      </c>
      <c r="L979" s="190" t="str">
        <f t="shared" si="344"/>
        <v/>
      </c>
      <c r="M979" s="214"/>
      <c r="N979" s="214"/>
      <c r="O979" s="189" t="str">
        <f t="shared" si="345"/>
        <v/>
      </c>
      <c r="P979" s="191" t="str">
        <f t="shared" si="332"/>
        <v/>
      </c>
      <c r="Q979" s="192" t="str">
        <f t="shared" si="346"/>
        <v/>
      </c>
      <c r="R979" s="191" t="str">
        <f t="shared" si="333"/>
        <v/>
      </c>
      <c r="S979" s="193" t="str">
        <f t="shared" si="347"/>
        <v/>
      </c>
      <c r="T979" s="194" t="str">
        <f t="shared" si="334"/>
        <v/>
      </c>
      <c r="U979" s="192" t="str">
        <f t="shared" si="348"/>
        <v/>
      </c>
      <c r="V979" s="195" t="str">
        <f t="shared" si="335"/>
        <v/>
      </c>
      <c r="W979" s="195" t="str">
        <f t="shared" si="336"/>
        <v/>
      </c>
      <c r="X979" s="196" t="str">
        <f t="shared" si="349"/>
        <v/>
      </c>
      <c r="Y979" s="191" t="str">
        <f t="shared" si="330"/>
        <v/>
      </c>
      <c r="Z979" s="197" t="str">
        <f t="shared" si="337"/>
        <v/>
      </c>
      <c r="AA979" s="197" t="str">
        <f t="shared" si="338"/>
        <v/>
      </c>
      <c r="AB979" s="213"/>
      <c r="AC979" s="204"/>
    </row>
    <row r="980" spans="1:29" ht="11.4">
      <c r="A980" s="211" t="str">
        <f t="shared" si="350"/>
        <v/>
      </c>
      <c r="B980" s="211"/>
      <c r="C980" s="185"/>
      <c r="D980" s="186" t="str">
        <f t="shared" si="339"/>
        <v/>
      </c>
      <c r="E980" s="186" t="str">
        <f>IF(OR(C980="",C980=Data!$B$3),"",IF(C980=Data!$B$4,"L","S"))</f>
        <v/>
      </c>
      <c r="F980" s="186" t="str">
        <f t="shared" si="340"/>
        <v/>
      </c>
      <c r="G980" s="187" t="str">
        <f t="shared" si="331"/>
        <v/>
      </c>
      <c r="H980" s="188"/>
      <c r="I980" s="189" t="str">
        <f t="shared" si="341"/>
        <v/>
      </c>
      <c r="J980" s="189" t="str">
        <f t="shared" si="342"/>
        <v/>
      </c>
      <c r="K980" s="190" t="str">
        <f t="shared" si="343"/>
        <v/>
      </c>
      <c r="L980" s="190" t="str">
        <f t="shared" si="344"/>
        <v/>
      </c>
      <c r="M980" s="214"/>
      <c r="N980" s="214"/>
      <c r="O980" s="189" t="str">
        <f t="shared" si="345"/>
        <v/>
      </c>
      <c r="P980" s="191" t="str">
        <f t="shared" si="332"/>
        <v/>
      </c>
      <c r="Q980" s="192" t="str">
        <f t="shared" si="346"/>
        <v/>
      </c>
      <c r="R980" s="191" t="str">
        <f t="shared" si="333"/>
        <v/>
      </c>
      <c r="S980" s="193" t="str">
        <f t="shared" si="347"/>
        <v/>
      </c>
      <c r="T980" s="194" t="str">
        <f t="shared" si="334"/>
        <v/>
      </c>
      <c r="U980" s="192" t="str">
        <f t="shared" si="348"/>
        <v/>
      </c>
      <c r="V980" s="195" t="str">
        <f t="shared" si="335"/>
        <v/>
      </c>
      <c r="W980" s="195" t="str">
        <f t="shared" si="336"/>
        <v/>
      </c>
      <c r="X980" s="196" t="str">
        <f t="shared" si="349"/>
        <v/>
      </c>
      <c r="Y980" s="191" t="str">
        <f t="shared" ref="Y980:Y994" si="351">IF(Y979="","",IF(T980="","",Y979+T980))</f>
        <v/>
      </c>
      <c r="Z980" s="197" t="str">
        <f t="shared" si="337"/>
        <v/>
      </c>
      <c r="AA980" s="197" t="str">
        <f t="shared" si="338"/>
        <v/>
      </c>
      <c r="AB980" s="213"/>
      <c r="AC980" s="204"/>
    </row>
    <row r="981" spans="1:29" ht="11.4">
      <c r="A981" s="211" t="str">
        <f t="shared" si="350"/>
        <v/>
      </c>
      <c r="B981" s="211"/>
      <c r="C981" s="185"/>
      <c r="D981" s="186" t="str">
        <f t="shared" si="339"/>
        <v/>
      </c>
      <c r="E981" s="186" t="str">
        <f>IF(OR(C981="",C981=Data!$B$3),"",IF(C981=Data!$B$4,"L","S"))</f>
        <v/>
      </c>
      <c r="F981" s="186" t="str">
        <f t="shared" si="340"/>
        <v/>
      </c>
      <c r="G981" s="187" t="str">
        <f t="shared" si="331"/>
        <v/>
      </c>
      <c r="H981" s="188"/>
      <c r="I981" s="189" t="str">
        <f t="shared" si="341"/>
        <v/>
      </c>
      <c r="J981" s="189" t="str">
        <f t="shared" si="342"/>
        <v/>
      </c>
      <c r="K981" s="190" t="str">
        <f t="shared" si="343"/>
        <v/>
      </c>
      <c r="L981" s="190" t="str">
        <f t="shared" si="344"/>
        <v/>
      </c>
      <c r="M981" s="214"/>
      <c r="N981" s="214"/>
      <c r="O981" s="189" t="str">
        <f t="shared" si="345"/>
        <v/>
      </c>
      <c r="P981" s="191" t="str">
        <f t="shared" si="332"/>
        <v/>
      </c>
      <c r="Q981" s="192" t="str">
        <f t="shared" si="346"/>
        <v/>
      </c>
      <c r="R981" s="191" t="str">
        <f t="shared" si="333"/>
        <v/>
      </c>
      <c r="S981" s="193" t="str">
        <f t="shared" si="347"/>
        <v/>
      </c>
      <c r="T981" s="194" t="str">
        <f t="shared" si="334"/>
        <v/>
      </c>
      <c r="U981" s="192" t="str">
        <f t="shared" si="348"/>
        <v/>
      </c>
      <c r="V981" s="195" t="str">
        <f t="shared" si="335"/>
        <v/>
      </c>
      <c r="W981" s="195" t="str">
        <f t="shared" si="336"/>
        <v/>
      </c>
      <c r="X981" s="196" t="str">
        <f t="shared" si="349"/>
        <v/>
      </c>
      <c r="Y981" s="191" t="str">
        <f t="shared" si="351"/>
        <v/>
      </c>
      <c r="Z981" s="197" t="str">
        <f t="shared" si="337"/>
        <v/>
      </c>
      <c r="AA981" s="197" t="str">
        <f t="shared" si="338"/>
        <v/>
      </c>
      <c r="AB981" s="213"/>
      <c r="AC981" s="204"/>
    </row>
    <row r="982" spans="1:29" ht="11.4">
      <c r="A982" s="211" t="str">
        <f t="shared" si="350"/>
        <v/>
      </c>
      <c r="B982" s="211"/>
      <c r="C982" s="185"/>
      <c r="D982" s="186" t="str">
        <f t="shared" si="339"/>
        <v/>
      </c>
      <c r="E982" s="186" t="str">
        <f>IF(OR(C982="",C982=Data!$B$3),"",IF(C982=Data!$B$4,"L","S"))</f>
        <v/>
      </c>
      <c r="F982" s="186" t="str">
        <f t="shared" si="340"/>
        <v/>
      </c>
      <c r="G982" s="187" t="str">
        <f t="shared" si="331"/>
        <v/>
      </c>
      <c r="H982" s="188"/>
      <c r="I982" s="189" t="str">
        <f t="shared" si="341"/>
        <v/>
      </c>
      <c r="J982" s="189" t="str">
        <f t="shared" si="342"/>
        <v/>
      </c>
      <c r="K982" s="190" t="str">
        <f t="shared" si="343"/>
        <v/>
      </c>
      <c r="L982" s="190" t="str">
        <f t="shared" si="344"/>
        <v/>
      </c>
      <c r="M982" s="214"/>
      <c r="N982" s="214"/>
      <c r="O982" s="189" t="str">
        <f t="shared" si="345"/>
        <v/>
      </c>
      <c r="P982" s="191" t="str">
        <f t="shared" si="332"/>
        <v/>
      </c>
      <c r="Q982" s="192" t="str">
        <f t="shared" si="346"/>
        <v/>
      </c>
      <c r="R982" s="191" t="str">
        <f t="shared" si="333"/>
        <v/>
      </c>
      <c r="S982" s="193" t="str">
        <f t="shared" si="347"/>
        <v/>
      </c>
      <c r="T982" s="194" t="str">
        <f t="shared" si="334"/>
        <v/>
      </c>
      <c r="U982" s="192" t="str">
        <f t="shared" si="348"/>
        <v/>
      </c>
      <c r="V982" s="195" t="str">
        <f t="shared" si="335"/>
        <v/>
      </c>
      <c r="W982" s="195" t="str">
        <f t="shared" si="336"/>
        <v/>
      </c>
      <c r="X982" s="196" t="str">
        <f t="shared" si="349"/>
        <v/>
      </c>
      <c r="Y982" s="191" t="str">
        <f t="shared" si="351"/>
        <v/>
      </c>
      <c r="Z982" s="197" t="str">
        <f t="shared" si="337"/>
        <v/>
      </c>
      <c r="AA982" s="197" t="str">
        <f t="shared" si="338"/>
        <v/>
      </c>
      <c r="AB982" s="213"/>
      <c r="AC982" s="204"/>
    </row>
    <row r="983" spans="1:29" ht="11.4">
      <c r="A983" s="211" t="str">
        <f t="shared" si="350"/>
        <v/>
      </c>
      <c r="B983" s="211"/>
      <c r="C983" s="185"/>
      <c r="D983" s="186" t="str">
        <f t="shared" si="339"/>
        <v/>
      </c>
      <c r="E983" s="186" t="str">
        <f>IF(OR(C983="",C983=Data!$B$3),"",IF(C983=Data!$B$4,"L","S"))</f>
        <v/>
      </c>
      <c r="F983" s="186" t="str">
        <f t="shared" si="340"/>
        <v/>
      </c>
      <c r="G983" s="187" t="str">
        <f t="shared" si="331"/>
        <v/>
      </c>
      <c r="H983" s="188"/>
      <c r="I983" s="189" t="str">
        <f t="shared" si="341"/>
        <v/>
      </c>
      <c r="J983" s="189" t="str">
        <f t="shared" si="342"/>
        <v/>
      </c>
      <c r="K983" s="190" t="str">
        <f t="shared" si="343"/>
        <v/>
      </c>
      <c r="L983" s="190" t="str">
        <f t="shared" si="344"/>
        <v/>
      </c>
      <c r="M983" s="214"/>
      <c r="N983" s="214"/>
      <c r="O983" s="189" t="str">
        <f t="shared" si="345"/>
        <v/>
      </c>
      <c r="P983" s="191" t="str">
        <f t="shared" si="332"/>
        <v/>
      </c>
      <c r="Q983" s="192" t="str">
        <f t="shared" si="346"/>
        <v/>
      </c>
      <c r="R983" s="191" t="str">
        <f t="shared" si="333"/>
        <v/>
      </c>
      <c r="S983" s="193" t="str">
        <f t="shared" si="347"/>
        <v/>
      </c>
      <c r="T983" s="194" t="str">
        <f t="shared" si="334"/>
        <v/>
      </c>
      <c r="U983" s="192" t="str">
        <f t="shared" si="348"/>
        <v/>
      </c>
      <c r="V983" s="195" t="str">
        <f t="shared" si="335"/>
        <v/>
      </c>
      <c r="W983" s="195" t="str">
        <f t="shared" si="336"/>
        <v/>
      </c>
      <c r="X983" s="196" t="str">
        <f t="shared" si="349"/>
        <v/>
      </c>
      <c r="Y983" s="191" t="str">
        <f t="shared" si="351"/>
        <v/>
      </c>
      <c r="Z983" s="197" t="str">
        <f t="shared" si="337"/>
        <v/>
      </c>
      <c r="AA983" s="197" t="str">
        <f t="shared" si="338"/>
        <v/>
      </c>
      <c r="AB983" s="213"/>
      <c r="AC983" s="204"/>
    </row>
    <row r="984" spans="1:29" ht="11.4">
      <c r="A984" s="211" t="str">
        <f t="shared" si="350"/>
        <v/>
      </c>
      <c r="B984" s="211"/>
      <c r="C984" s="185"/>
      <c r="D984" s="186" t="str">
        <f t="shared" si="339"/>
        <v/>
      </c>
      <c r="E984" s="186" t="str">
        <f>IF(OR(C984="",C984=Data!$B$3),"",IF(C984=Data!$B$4,"L","S"))</f>
        <v/>
      </c>
      <c r="F984" s="186" t="str">
        <f t="shared" si="340"/>
        <v/>
      </c>
      <c r="G984" s="187" t="str">
        <f t="shared" si="331"/>
        <v/>
      </c>
      <c r="H984" s="188"/>
      <c r="I984" s="189" t="str">
        <f t="shared" si="341"/>
        <v/>
      </c>
      <c r="J984" s="189" t="str">
        <f t="shared" si="342"/>
        <v/>
      </c>
      <c r="K984" s="190" t="str">
        <f t="shared" si="343"/>
        <v/>
      </c>
      <c r="L984" s="190" t="str">
        <f t="shared" si="344"/>
        <v/>
      </c>
      <c r="M984" s="214"/>
      <c r="N984" s="214"/>
      <c r="O984" s="189" t="str">
        <f t="shared" si="345"/>
        <v/>
      </c>
      <c r="P984" s="191" t="str">
        <f t="shared" si="332"/>
        <v/>
      </c>
      <c r="Q984" s="192" t="str">
        <f t="shared" si="346"/>
        <v/>
      </c>
      <c r="R984" s="191" t="str">
        <f t="shared" si="333"/>
        <v/>
      </c>
      <c r="S984" s="193" t="str">
        <f t="shared" si="347"/>
        <v/>
      </c>
      <c r="T984" s="194" t="str">
        <f t="shared" si="334"/>
        <v/>
      </c>
      <c r="U984" s="192" t="str">
        <f t="shared" si="348"/>
        <v/>
      </c>
      <c r="V984" s="195" t="str">
        <f t="shared" si="335"/>
        <v/>
      </c>
      <c r="W984" s="195" t="str">
        <f t="shared" si="336"/>
        <v/>
      </c>
      <c r="X984" s="196" t="str">
        <f t="shared" si="349"/>
        <v/>
      </c>
      <c r="Y984" s="191" t="str">
        <f t="shared" si="351"/>
        <v/>
      </c>
      <c r="Z984" s="197" t="str">
        <f t="shared" si="337"/>
        <v/>
      </c>
      <c r="AA984" s="197" t="str">
        <f t="shared" si="338"/>
        <v/>
      </c>
      <c r="AB984" s="213"/>
      <c r="AC984" s="204"/>
    </row>
    <row r="985" spans="1:29" ht="11.4">
      <c r="A985" s="211" t="str">
        <f t="shared" si="350"/>
        <v/>
      </c>
      <c r="B985" s="211"/>
      <c r="C985" s="185"/>
      <c r="D985" s="186" t="str">
        <f t="shared" si="339"/>
        <v/>
      </c>
      <c r="E985" s="186" t="str">
        <f>IF(OR(C985="",C985=Data!$B$3),"",IF(C985=Data!$B$4,"L","S"))</f>
        <v/>
      </c>
      <c r="F985" s="186" t="str">
        <f t="shared" si="340"/>
        <v/>
      </c>
      <c r="G985" s="187" t="str">
        <f t="shared" si="331"/>
        <v/>
      </c>
      <c r="H985" s="188"/>
      <c r="I985" s="189" t="str">
        <f t="shared" si="341"/>
        <v/>
      </c>
      <c r="J985" s="189" t="str">
        <f t="shared" si="342"/>
        <v/>
      </c>
      <c r="K985" s="190" t="str">
        <f t="shared" si="343"/>
        <v/>
      </c>
      <c r="L985" s="190" t="str">
        <f t="shared" si="344"/>
        <v/>
      </c>
      <c r="M985" s="214"/>
      <c r="N985" s="214"/>
      <c r="O985" s="189" t="str">
        <f t="shared" si="345"/>
        <v/>
      </c>
      <c r="P985" s="191" t="str">
        <f t="shared" si="332"/>
        <v/>
      </c>
      <c r="Q985" s="192" t="str">
        <f t="shared" si="346"/>
        <v/>
      </c>
      <c r="R985" s="191" t="str">
        <f t="shared" si="333"/>
        <v/>
      </c>
      <c r="S985" s="193" t="str">
        <f t="shared" si="347"/>
        <v/>
      </c>
      <c r="T985" s="194" t="str">
        <f t="shared" si="334"/>
        <v/>
      </c>
      <c r="U985" s="192" t="str">
        <f t="shared" si="348"/>
        <v/>
      </c>
      <c r="V985" s="195" t="str">
        <f t="shared" si="335"/>
        <v/>
      </c>
      <c r="W985" s="195" t="str">
        <f t="shared" si="336"/>
        <v/>
      </c>
      <c r="X985" s="196" t="str">
        <f t="shared" si="349"/>
        <v/>
      </c>
      <c r="Y985" s="191" t="str">
        <f t="shared" si="351"/>
        <v/>
      </c>
      <c r="Z985" s="197" t="str">
        <f t="shared" si="337"/>
        <v/>
      </c>
      <c r="AA985" s="197" t="str">
        <f t="shared" si="338"/>
        <v/>
      </c>
      <c r="AB985" s="213"/>
      <c r="AC985" s="204"/>
    </row>
    <row r="986" spans="1:29" ht="11.4">
      <c r="A986" s="211" t="str">
        <f t="shared" si="350"/>
        <v/>
      </c>
      <c r="B986" s="211"/>
      <c r="C986" s="185"/>
      <c r="D986" s="186" t="str">
        <f t="shared" si="339"/>
        <v/>
      </c>
      <c r="E986" s="186" t="str">
        <f>IF(OR(C986="",C986=Data!$B$3),"",IF(C986=Data!$B$4,"L","S"))</f>
        <v/>
      </c>
      <c r="F986" s="186" t="str">
        <f t="shared" si="340"/>
        <v/>
      </c>
      <c r="G986" s="187" t="str">
        <f t="shared" si="331"/>
        <v/>
      </c>
      <c r="H986" s="188"/>
      <c r="I986" s="189" t="str">
        <f t="shared" si="341"/>
        <v/>
      </c>
      <c r="J986" s="189" t="str">
        <f t="shared" si="342"/>
        <v/>
      </c>
      <c r="K986" s="190" t="str">
        <f t="shared" si="343"/>
        <v/>
      </c>
      <c r="L986" s="190" t="str">
        <f t="shared" si="344"/>
        <v/>
      </c>
      <c r="M986" s="214"/>
      <c r="N986" s="214"/>
      <c r="O986" s="189" t="str">
        <f t="shared" si="345"/>
        <v/>
      </c>
      <c r="P986" s="191" t="str">
        <f t="shared" si="332"/>
        <v/>
      </c>
      <c r="Q986" s="192" t="str">
        <f t="shared" si="346"/>
        <v/>
      </c>
      <c r="R986" s="191" t="str">
        <f t="shared" si="333"/>
        <v/>
      </c>
      <c r="S986" s="193" t="str">
        <f t="shared" si="347"/>
        <v/>
      </c>
      <c r="T986" s="194" t="str">
        <f t="shared" si="334"/>
        <v/>
      </c>
      <c r="U986" s="192" t="str">
        <f t="shared" si="348"/>
        <v/>
      </c>
      <c r="V986" s="195" t="str">
        <f t="shared" si="335"/>
        <v/>
      </c>
      <c r="W986" s="195" t="str">
        <f t="shared" si="336"/>
        <v/>
      </c>
      <c r="X986" s="196" t="str">
        <f t="shared" si="349"/>
        <v/>
      </c>
      <c r="Y986" s="191" t="str">
        <f t="shared" si="351"/>
        <v/>
      </c>
      <c r="Z986" s="197" t="str">
        <f t="shared" si="337"/>
        <v/>
      </c>
      <c r="AA986" s="197" t="str">
        <f t="shared" si="338"/>
        <v/>
      </c>
      <c r="AB986" s="213"/>
      <c r="AC986" s="204"/>
    </row>
    <row r="987" spans="1:29" ht="11.4">
      <c r="A987" s="211" t="str">
        <f t="shared" si="350"/>
        <v/>
      </c>
      <c r="B987" s="211"/>
      <c r="C987" s="185"/>
      <c r="D987" s="186" t="str">
        <f t="shared" si="339"/>
        <v/>
      </c>
      <c r="E987" s="186" t="str">
        <f>IF(OR(C987="",C987=Data!$B$3),"",IF(C987=Data!$B$4,"L","S"))</f>
        <v/>
      </c>
      <c r="F987" s="186" t="str">
        <f t="shared" si="340"/>
        <v/>
      </c>
      <c r="G987" s="187" t="str">
        <f t="shared" si="331"/>
        <v/>
      </c>
      <c r="H987" s="188"/>
      <c r="I987" s="189" t="str">
        <f t="shared" si="341"/>
        <v/>
      </c>
      <c r="J987" s="189" t="str">
        <f t="shared" si="342"/>
        <v/>
      </c>
      <c r="K987" s="190" t="str">
        <f t="shared" si="343"/>
        <v/>
      </c>
      <c r="L987" s="190" t="str">
        <f t="shared" si="344"/>
        <v/>
      </c>
      <c r="M987" s="214"/>
      <c r="N987" s="214"/>
      <c r="O987" s="189" t="str">
        <f t="shared" si="345"/>
        <v/>
      </c>
      <c r="P987" s="191" t="str">
        <f t="shared" si="332"/>
        <v/>
      </c>
      <c r="Q987" s="192" t="str">
        <f t="shared" si="346"/>
        <v/>
      </c>
      <c r="R987" s="191" t="str">
        <f t="shared" si="333"/>
        <v/>
      </c>
      <c r="S987" s="193" t="str">
        <f t="shared" si="347"/>
        <v/>
      </c>
      <c r="T987" s="194" t="str">
        <f t="shared" si="334"/>
        <v/>
      </c>
      <c r="U987" s="192" t="str">
        <f t="shared" si="348"/>
        <v/>
      </c>
      <c r="V987" s="195" t="str">
        <f t="shared" si="335"/>
        <v/>
      </c>
      <c r="W987" s="195" t="str">
        <f t="shared" si="336"/>
        <v/>
      </c>
      <c r="X987" s="196" t="str">
        <f t="shared" si="349"/>
        <v/>
      </c>
      <c r="Y987" s="191" t="str">
        <f t="shared" si="351"/>
        <v/>
      </c>
      <c r="Z987" s="197" t="str">
        <f t="shared" si="337"/>
        <v/>
      </c>
      <c r="AA987" s="197" t="str">
        <f t="shared" si="338"/>
        <v/>
      </c>
      <c r="AB987" s="213"/>
      <c r="AC987" s="204"/>
    </row>
    <row r="988" spans="1:29" ht="11.4">
      <c r="A988" s="211" t="str">
        <f t="shared" si="350"/>
        <v/>
      </c>
      <c r="B988" s="211"/>
      <c r="C988" s="185"/>
      <c r="D988" s="186" t="str">
        <f t="shared" si="339"/>
        <v/>
      </c>
      <c r="E988" s="186" t="str">
        <f>IF(OR(C988="",C988=Data!$B$3),"",IF(C988=Data!$B$4,"L","S"))</f>
        <v/>
      </c>
      <c r="F988" s="186" t="str">
        <f t="shared" si="340"/>
        <v/>
      </c>
      <c r="G988" s="187" t="str">
        <f t="shared" si="331"/>
        <v/>
      </c>
      <c r="H988" s="188"/>
      <c r="I988" s="189" t="str">
        <f t="shared" si="341"/>
        <v/>
      </c>
      <c r="J988" s="189" t="str">
        <f t="shared" si="342"/>
        <v/>
      </c>
      <c r="K988" s="190" t="str">
        <f t="shared" si="343"/>
        <v/>
      </c>
      <c r="L988" s="190" t="str">
        <f t="shared" si="344"/>
        <v/>
      </c>
      <c r="M988" s="214"/>
      <c r="N988" s="214"/>
      <c r="O988" s="189" t="str">
        <f t="shared" si="345"/>
        <v/>
      </c>
      <c r="P988" s="191" t="str">
        <f t="shared" si="332"/>
        <v/>
      </c>
      <c r="Q988" s="192" t="str">
        <f t="shared" si="346"/>
        <v/>
      </c>
      <c r="R988" s="191" t="str">
        <f t="shared" si="333"/>
        <v/>
      </c>
      <c r="S988" s="193" t="str">
        <f t="shared" si="347"/>
        <v/>
      </c>
      <c r="T988" s="194" t="str">
        <f t="shared" si="334"/>
        <v/>
      </c>
      <c r="U988" s="192" t="str">
        <f t="shared" si="348"/>
        <v/>
      </c>
      <c r="V988" s="195" t="str">
        <f t="shared" si="335"/>
        <v/>
      </c>
      <c r="W988" s="195" t="str">
        <f t="shared" si="336"/>
        <v/>
      </c>
      <c r="X988" s="196" t="str">
        <f t="shared" si="349"/>
        <v/>
      </c>
      <c r="Y988" s="191" t="str">
        <f t="shared" si="351"/>
        <v/>
      </c>
      <c r="Z988" s="197" t="str">
        <f t="shared" si="337"/>
        <v/>
      </c>
      <c r="AA988" s="197" t="str">
        <f t="shared" si="338"/>
        <v/>
      </c>
      <c r="AB988" s="213"/>
      <c r="AC988" s="204"/>
    </row>
    <row r="989" spans="1:29" ht="11.4">
      <c r="A989" s="211" t="str">
        <f t="shared" si="350"/>
        <v/>
      </c>
      <c r="B989" s="211"/>
      <c r="C989" s="185"/>
      <c r="D989" s="186" t="str">
        <f t="shared" si="339"/>
        <v/>
      </c>
      <c r="E989" s="186" t="str">
        <f>IF(OR(C989="",C989=Data!$B$3),"",IF(C989=Data!$B$4,"L","S"))</f>
        <v/>
      </c>
      <c r="F989" s="186" t="str">
        <f t="shared" si="340"/>
        <v/>
      </c>
      <c r="G989" s="187" t="str">
        <f t="shared" si="331"/>
        <v/>
      </c>
      <c r="H989" s="188"/>
      <c r="I989" s="189" t="str">
        <f t="shared" si="341"/>
        <v/>
      </c>
      <c r="J989" s="189" t="str">
        <f t="shared" si="342"/>
        <v/>
      </c>
      <c r="K989" s="190" t="str">
        <f t="shared" si="343"/>
        <v/>
      </c>
      <c r="L989" s="190" t="str">
        <f t="shared" si="344"/>
        <v/>
      </c>
      <c r="M989" s="214"/>
      <c r="N989" s="214"/>
      <c r="O989" s="189" t="str">
        <f t="shared" si="345"/>
        <v/>
      </c>
      <c r="P989" s="191" t="str">
        <f t="shared" si="332"/>
        <v/>
      </c>
      <c r="Q989" s="192" t="str">
        <f t="shared" si="346"/>
        <v/>
      </c>
      <c r="R989" s="191" t="str">
        <f t="shared" si="333"/>
        <v/>
      </c>
      <c r="S989" s="193" t="str">
        <f t="shared" si="347"/>
        <v/>
      </c>
      <c r="T989" s="194" t="str">
        <f t="shared" si="334"/>
        <v/>
      </c>
      <c r="U989" s="192" t="str">
        <f t="shared" si="348"/>
        <v/>
      </c>
      <c r="V989" s="195" t="str">
        <f t="shared" si="335"/>
        <v/>
      </c>
      <c r="W989" s="195" t="str">
        <f t="shared" si="336"/>
        <v/>
      </c>
      <c r="X989" s="196" t="str">
        <f t="shared" si="349"/>
        <v/>
      </c>
      <c r="Y989" s="191" t="str">
        <f t="shared" si="351"/>
        <v/>
      </c>
      <c r="Z989" s="197" t="str">
        <f t="shared" si="337"/>
        <v/>
      </c>
      <c r="AA989" s="197" t="str">
        <f t="shared" si="338"/>
        <v/>
      </c>
      <c r="AB989" s="213"/>
      <c r="AC989" s="204"/>
    </row>
    <row r="990" spans="1:29" ht="11.4">
      <c r="A990" s="211" t="str">
        <f t="shared" si="350"/>
        <v/>
      </c>
      <c r="B990" s="211"/>
      <c r="C990" s="185"/>
      <c r="D990" s="186" t="str">
        <f t="shared" si="339"/>
        <v/>
      </c>
      <c r="E990" s="186" t="str">
        <f>IF(OR(C990="",C990=Data!$B$3),"",IF(C990=Data!$B$4,"L","S"))</f>
        <v/>
      </c>
      <c r="F990" s="186" t="str">
        <f t="shared" si="340"/>
        <v/>
      </c>
      <c r="G990" s="187" t="str">
        <f t="shared" si="331"/>
        <v/>
      </c>
      <c r="H990" s="188"/>
      <c r="I990" s="189" t="str">
        <f t="shared" si="341"/>
        <v/>
      </c>
      <c r="J990" s="189" t="str">
        <f t="shared" si="342"/>
        <v/>
      </c>
      <c r="K990" s="190" t="str">
        <f t="shared" si="343"/>
        <v/>
      </c>
      <c r="L990" s="190" t="str">
        <f t="shared" si="344"/>
        <v/>
      </c>
      <c r="M990" s="214"/>
      <c r="N990" s="214"/>
      <c r="O990" s="189" t="str">
        <f t="shared" si="345"/>
        <v/>
      </c>
      <c r="P990" s="191" t="str">
        <f t="shared" si="332"/>
        <v/>
      </c>
      <c r="Q990" s="192" t="str">
        <f t="shared" si="346"/>
        <v/>
      </c>
      <c r="R990" s="191" t="str">
        <f t="shared" si="333"/>
        <v/>
      </c>
      <c r="S990" s="193" t="str">
        <f t="shared" si="347"/>
        <v/>
      </c>
      <c r="T990" s="194" t="str">
        <f t="shared" si="334"/>
        <v/>
      </c>
      <c r="U990" s="192" t="str">
        <f t="shared" si="348"/>
        <v/>
      </c>
      <c r="V990" s="195" t="str">
        <f t="shared" si="335"/>
        <v/>
      </c>
      <c r="W990" s="195" t="str">
        <f t="shared" si="336"/>
        <v/>
      </c>
      <c r="X990" s="196" t="str">
        <f t="shared" si="349"/>
        <v/>
      </c>
      <c r="Y990" s="191" t="str">
        <f t="shared" si="351"/>
        <v/>
      </c>
      <c r="Z990" s="197" t="str">
        <f t="shared" si="337"/>
        <v/>
      </c>
      <c r="AA990" s="197" t="str">
        <f t="shared" si="338"/>
        <v/>
      </c>
      <c r="AB990" s="213"/>
      <c r="AC990" s="204"/>
    </row>
    <row r="991" spans="1:29" ht="11.4">
      <c r="A991" s="211" t="str">
        <f t="shared" si="350"/>
        <v/>
      </c>
      <c r="B991" s="211"/>
      <c r="C991" s="185"/>
      <c r="D991" s="186" t="str">
        <f t="shared" si="339"/>
        <v/>
      </c>
      <c r="E991" s="186" t="str">
        <f>IF(OR(C991="",C991=Data!$B$3),"",IF(C991=Data!$B$4,"L","S"))</f>
        <v/>
      </c>
      <c r="F991" s="186" t="str">
        <f t="shared" si="340"/>
        <v/>
      </c>
      <c r="G991" s="187" t="str">
        <f t="shared" si="331"/>
        <v/>
      </c>
      <c r="H991" s="188"/>
      <c r="I991" s="189" t="str">
        <f t="shared" si="341"/>
        <v/>
      </c>
      <c r="J991" s="189" t="str">
        <f t="shared" si="342"/>
        <v/>
      </c>
      <c r="K991" s="190" t="str">
        <f t="shared" si="343"/>
        <v/>
      </c>
      <c r="L991" s="190" t="str">
        <f t="shared" si="344"/>
        <v/>
      </c>
      <c r="M991" s="214"/>
      <c r="N991" s="214"/>
      <c r="O991" s="189" t="str">
        <f t="shared" si="345"/>
        <v/>
      </c>
      <c r="P991" s="191" t="str">
        <f t="shared" si="332"/>
        <v/>
      </c>
      <c r="Q991" s="192" t="str">
        <f t="shared" si="346"/>
        <v/>
      </c>
      <c r="R991" s="191" t="str">
        <f t="shared" si="333"/>
        <v/>
      </c>
      <c r="S991" s="193" t="str">
        <f t="shared" si="347"/>
        <v/>
      </c>
      <c r="T991" s="194" t="str">
        <f t="shared" si="334"/>
        <v/>
      </c>
      <c r="U991" s="192" t="str">
        <f t="shared" si="348"/>
        <v/>
      </c>
      <c r="V991" s="195" t="str">
        <f t="shared" si="335"/>
        <v/>
      </c>
      <c r="W991" s="195" t="str">
        <f t="shared" si="336"/>
        <v/>
      </c>
      <c r="X991" s="196" t="str">
        <f t="shared" si="349"/>
        <v/>
      </c>
      <c r="Y991" s="191" t="str">
        <f t="shared" si="351"/>
        <v/>
      </c>
      <c r="Z991" s="197" t="str">
        <f t="shared" si="337"/>
        <v/>
      </c>
      <c r="AA991" s="197" t="str">
        <f t="shared" si="338"/>
        <v/>
      </c>
      <c r="AB991" s="213"/>
      <c r="AC991" s="204"/>
    </row>
    <row r="992" spans="1:29" ht="11.4">
      <c r="A992" s="211" t="str">
        <f t="shared" si="350"/>
        <v/>
      </c>
      <c r="B992" s="211"/>
      <c r="C992" s="185"/>
      <c r="D992" s="186" t="str">
        <f t="shared" si="339"/>
        <v/>
      </c>
      <c r="E992" s="186" t="str">
        <f>IF(OR(C992="",C992=Data!$B$3),"",IF(C992=Data!$B$4,"L","S"))</f>
        <v/>
      </c>
      <c r="F992" s="186" t="str">
        <f t="shared" si="340"/>
        <v/>
      </c>
      <c r="G992" s="187" t="str">
        <f t="shared" si="331"/>
        <v/>
      </c>
      <c r="H992" s="188"/>
      <c r="I992" s="189" t="str">
        <f t="shared" si="341"/>
        <v/>
      </c>
      <c r="J992" s="189" t="str">
        <f t="shared" si="342"/>
        <v/>
      </c>
      <c r="K992" s="190" t="str">
        <f t="shared" si="343"/>
        <v/>
      </c>
      <c r="L992" s="190" t="str">
        <f t="shared" si="344"/>
        <v/>
      </c>
      <c r="M992" s="214"/>
      <c r="N992" s="214"/>
      <c r="O992" s="189" t="str">
        <f t="shared" si="345"/>
        <v/>
      </c>
      <c r="P992" s="191" t="str">
        <f t="shared" si="332"/>
        <v/>
      </c>
      <c r="Q992" s="192" t="str">
        <f t="shared" si="346"/>
        <v/>
      </c>
      <c r="R992" s="191" t="str">
        <f t="shared" si="333"/>
        <v/>
      </c>
      <c r="S992" s="193" t="str">
        <f t="shared" si="347"/>
        <v/>
      </c>
      <c r="T992" s="194" t="str">
        <f t="shared" si="334"/>
        <v/>
      </c>
      <c r="U992" s="192" t="str">
        <f t="shared" si="348"/>
        <v/>
      </c>
      <c r="V992" s="195" t="str">
        <f t="shared" si="335"/>
        <v/>
      </c>
      <c r="W992" s="195" t="str">
        <f t="shared" si="336"/>
        <v/>
      </c>
      <c r="X992" s="196" t="str">
        <f t="shared" si="349"/>
        <v/>
      </c>
      <c r="Y992" s="191" t="str">
        <f t="shared" si="351"/>
        <v/>
      </c>
      <c r="Z992" s="197" t="str">
        <f t="shared" si="337"/>
        <v/>
      </c>
      <c r="AA992" s="197" t="str">
        <f t="shared" si="338"/>
        <v/>
      </c>
      <c r="AB992" s="213"/>
      <c r="AC992" s="204"/>
    </row>
    <row r="993" spans="1:29" ht="11.4">
      <c r="A993" s="211" t="str">
        <f t="shared" si="350"/>
        <v/>
      </c>
      <c r="B993" s="211"/>
      <c r="C993" s="185"/>
      <c r="D993" s="186" t="str">
        <f t="shared" si="339"/>
        <v/>
      </c>
      <c r="E993" s="186" t="str">
        <f>IF(OR(C993="",C993=Data!$B$3),"",IF(C993=Data!$B$4,"L","S"))</f>
        <v/>
      </c>
      <c r="F993" s="186" t="str">
        <f t="shared" si="340"/>
        <v/>
      </c>
      <c r="G993" s="187" t="str">
        <f t="shared" si="331"/>
        <v/>
      </c>
      <c r="H993" s="188"/>
      <c r="I993" s="189" t="str">
        <f t="shared" si="341"/>
        <v/>
      </c>
      <c r="J993" s="189" t="str">
        <f t="shared" si="342"/>
        <v/>
      </c>
      <c r="K993" s="190" t="str">
        <f t="shared" si="343"/>
        <v/>
      </c>
      <c r="L993" s="190" t="str">
        <f t="shared" si="344"/>
        <v/>
      </c>
      <c r="M993" s="214"/>
      <c r="N993" s="214"/>
      <c r="O993" s="189" t="str">
        <f t="shared" si="345"/>
        <v/>
      </c>
      <c r="P993" s="191" t="str">
        <f t="shared" si="332"/>
        <v/>
      </c>
      <c r="Q993" s="192" t="str">
        <f t="shared" si="346"/>
        <v/>
      </c>
      <c r="R993" s="191" t="str">
        <f t="shared" si="333"/>
        <v/>
      </c>
      <c r="S993" s="193" t="str">
        <f t="shared" si="347"/>
        <v/>
      </c>
      <c r="T993" s="194" t="str">
        <f t="shared" si="334"/>
        <v/>
      </c>
      <c r="U993" s="192" t="str">
        <f t="shared" si="348"/>
        <v/>
      </c>
      <c r="V993" s="195" t="str">
        <f t="shared" si="335"/>
        <v/>
      </c>
      <c r="W993" s="195" t="str">
        <f t="shared" si="336"/>
        <v/>
      </c>
      <c r="X993" s="196" t="str">
        <f t="shared" si="349"/>
        <v/>
      </c>
      <c r="Y993" s="191" t="str">
        <f t="shared" si="351"/>
        <v/>
      </c>
      <c r="Z993" s="197" t="str">
        <f t="shared" si="337"/>
        <v/>
      </c>
      <c r="AA993" s="197" t="str">
        <f t="shared" si="338"/>
        <v/>
      </c>
      <c r="AB993" s="213"/>
      <c r="AC993" s="204"/>
    </row>
    <row r="994" spans="1:29" ht="11.4">
      <c r="A994" s="211" t="str">
        <f t="shared" si="350"/>
        <v/>
      </c>
      <c r="B994" s="211"/>
      <c r="C994" s="185"/>
      <c r="D994" s="186" t="str">
        <f t="shared" si="339"/>
        <v/>
      </c>
      <c r="E994" s="186" t="str">
        <f>IF(OR(C994="",C994=Data!$B$3),"",IF(C994=Data!$B$4,"L","S"))</f>
        <v/>
      </c>
      <c r="F994" s="186" t="str">
        <f t="shared" si="340"/>
        <v/>
      </c>
      <c r="G994" s="187" t="str">
        <f t="shared" si="331"/>
        <v/>
      </c>
      <c r="H994" s="188"/>
      <c r="I994" s="189" t="str">
        <f t="shared" si="341"/>
        <v/>
      </c>
      <c r="J994" s="189" t="str">
        <f t="shared" si="342"/>
        <v/>
      </c>
      <c r="K994" s="190" t="str">
        <f t="shared" si="343"/>
        <v/>
      </c>
      <c r="L994" s="190" t="str">
        <f t="shared" si="344"/>
        <v/>
      </c>
      <c r="M994" s="214"/>
      <c r="N994" s="214"/>
      <c r="O994" s="189" t="str">
        <f t="shared" si="345"/>
        <v/>
      </c>
      <c r="P994" s="191" t="str">
        <f t="shared" si="332"/>
        <v/>
      </c>
      <c r="Q994" s="192" t="str">
        <f t="shared" si="346"/>
        <v/>
      </c>
      <c r="R994" s="191" t="str">
        <f t="shared" si="333"/>
        <v/>
      </c>
      <c r="S994" s="193" t="str">
        <f t="shared" si="347"/>
        <v/>
      </c>
      <c r="T994" s="194" t="str">
        <f t="shared" si="334"/>
        <v/>
      </c>
      <c r="U994" s="192" t="str">
        <f t="shared" si="348"/>
        <v/>
      </c>
      <c r="V994" s="195" t="str">
        <f t="shared" si="335"/>
        <v/>
      </c>
      <c r="W994" s="195" t="str">
        <f t="shared" si="336"/>
        <v/>
      </c>
      <c r="X994" s="196" t="str">
        <f t="shared" si="349"/>
        <v/>
      </c>
      <c r="Y994" s="191" t="str">
        <f t="shared" si="351"/>
        <v/>
      </c>
      <c r="Z994" s="197" t="str">
        <f t="shared" si="337"/>
        <v/>
      </c>
      <c r="AA994" s="197" t="str">
        <f t="shared" si="338"/>
        <v/>
      </c>
      <c r="AB994" s="213"/>
      <c r="AC994" s="204"/>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0</v>
      </c>
      <c r="U995" s="158"/>
      <c r="V995" s="161">
        <f>SUM(V12:V994)</f>
        <v>0</v>
      </c>
      <c r="W995" s="161">
        <f>SUM(W12:W994)</f>
        <v>0</v>
      </c>
      <c r="X995" s="162">
        <f>SUM(X12:X994)</f>
        <v>0</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0</v>
      </c>
      <c r="U996" s="158"/>
      <c r="V996" s="161"/>
      <c r="W996" s="161"/>
      <c r="X996" s="162">
        <f>SUMIF(X12:X994,"&gt;=0")</f>
        <v>0</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0</v>
      </c>
      <c r="U997" s="158"/>
      <c r="V997" s="161"/>
      <c r="W997" s="161"/>
      <c r="X997" s="162">
        <f>SUMIF(X12:X994,"&lt;=0")</f>
        <v>0</v>
      </c>
      <c r="Y997" s="157"/>
      <c r="Z997" s="163"/>
      <c r="AA997" s="163"/>
    </row>
  </sheetData>
  <mergeCells count="14">
    <mergeCell ref="A1:D1"/>
    <mergeCell ref="A9:D9"/>
    <mergeCell ref="I8:K8"/>
    <mergeCell ref="E2:Q2"/>
    <mergeCell ref="A7:D7"/>
    <mergeCell ref="A8:D8"/>
    <mergeCell ref="I4:K4"/>
    <mergeCell ref="I5:K5"/>
    <mergeCell ref="I7:K7"/>
    <mergeCell ref="AB10:AC10"/>
    <mergeCell ref="I6:K6"/>
    <mergeCell ref="E3:Q3"/>
    <mergeCell ref="S4:T4"/>
    <mergeCell ref="U4:X4"/>
  </mergeCells>
  <phoneticPr fontId="1" type="noConversion"/>
  <dataValidations disablePrompts="1" count="3">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D9" sqref="D9"/>
    </sheetView>
  </sheetViews>
  <sheetFormatPr defaultColWidth="9" defaultRowHeight="12"/>
  <cols>
    <col min="1" max="1" width="4.09765625" style="1" customWidth="1"/>
    <col min="2" max="2" width="7" style="4" customWidth="1"/>
    <col min="3" max="3" width="5.5" style="4" customWidth="1"/>
    <col min="4" max="4" width="11.69921875" style="39" customWidth="1"/>
    <col min="5" max="5" width="13" style="39" customWidth="1"/>
    <col min="6" max="6" width="13.19921875" style="43" customWidth="1"/>
    <col min="7" max="7" width="10.59765625" style="43" customWidth="1"/>
    <col min="8" max="8" width="10.8984375" style="44" customWidth="1"/>
    <col min="9" max="9" width="10.8984375" style="43" customWidth="1"/>
    <col min="10" max="10" width="11.8984375" style="44" customWidth="1"/>
    <col min="11" max="11" width="9.8984375" style="45" customWidth="1"/>
    <col min="12" max="12" width="10.5" style="45" customWidth="1"/>
    <col min="13" max="16384" width="9" style="40"/>
  </cols>
  <sheetData>
    <row r="1" spans="1:15" s="49" customFormat="1" ht="18" customHeight="1">
      <c r="A1" s="253" t="s">
        <v>87</v>
      </c>
      <c r="B1" s="254"/>
      <c r="C1" s="254"/>
      <c r="D1" s="254"/>
      <c r="E1" s="254"/>
      <c r="F1" s="46"/>
      <c r="G1" s="46"/>
      <c r="H1" s="47"/>
      <c r="I1" s="46"/>
      <c r="J1" s="47"/>
      <c r="K1" s="48"/>
      <c r="L1" s="48"/>
    </row>
    <row r="2" spans="1:15" s="49" customFormat="1" ht="17.25" customHeight="1">
      <c r="A2" s="255"/>
      <c r="B2" s="255"/>
      <c r="C2" s="255"/>
      <c r="D2" s="255"/>
      <c r="E2" s="255"/>
      <c r="F2" s="46"/>
      <c r="G2" s="46"/>
      <c r="H2" s="47"/>
      <c r="I2" s="46"/>
      <c r="J2" s="47"/>
      <c r="K2" s="48"/>
      <c r="L2" s="48"/>
    </row>
    <row r="3" spans="1:15" s="49" customFormat="1" ht="15" customHeight="1">
      <c r="A3" s="255"/>
      <c r="B3" s="255"/>
      <c r="C3" s="255"/>
      <c r="D3" s="255"/>
      <c r="E3" s="255"/>
      <c r="F3" s="46"/>
      <c r="G3" s="46"/>
      <c r="H3" s="47"/>
      <c r="I3" s="46"/>
      <c r="J3" s="47"/>
      <c r="K3" s="48"/>
      <c r="L3" s="48"/>
    </row>
    <row r="4" spans="1:15" s="49" customFormat="1" ht="14.25" customHeight="1">
      <c r="A4" s="255"/>
      <c r="B4" s="255"/>
      <c r="C4" s="255"/>
      <c r="D4" s="255"/>
      <c r="E4" s="255"/>
      <c r="F4" s="46"/>
      <c r="G4" s="46"/>
      <c r="H4" s="47"/>
      <c r="I4" s="46"/>
      <c r="J4" s="47"/>
      <c r="K4" s="48"/>
      <c r="L4" s="48"/>
    </row>
    <row r="5" spans="1:15" s="41" customFormat="1" ht="36" customHeight="1">
      <c r="A5" s="224" t="s">
        <v>0</v>
      </c>
      <c r="B5" s="230"/>
      <c r="C5" s="230"/>
      <c r="D5" s="230"/>
      <c r="E5" s="230"/>
      <c r="F5" s="252" t="s">
        <v>44</v>
      </c>
      <c r="G5" s="230"/>
      <c r="H5" s="230"/>
      <c r="I5" s="230"/>
      <c r="J5" s="230"/>
      <c r="K5" s="230"/>
      <c r="L5" s="230"/>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f>IF(C7="","",1)</f>
        <v>1</v>
      </c>
      <c r="B7" s="4">
        <v>2013</v>
      </c>
      <c r="C7" s="4">
        <v>4</v>
      </c>
      <c r="D7" s="39">
        <v>419</v>
      </c>
      <c r="E7" s="39">
        <v>419</v>
      </c>
      <c r="F7" s="43" t="e">
        <f t="shared" ref="F7:F70" si="0">IF(G7="","",E7+G7)</f>
        <v>#REF!</v>
      </c>
      <c r="G7" s="43" t="e">
        <f>IF(C7="","",H7/10)</f>
        <v>#REF!</v>
      </c>
      <c r="H7" s="44" t="e">
        <f>IF(C7="","",GETPIVOTDATA("WinPips",ProfitRpt!$A$7,"Trade Month",C7,"Trade Year",B7))</f>
        <v>#REF!</v>
      </c>
      <c r="I7" s="43" t="e">
        <f t="shared" ref="I7:I70" si="1">IF(B7="","",IF(B7=B6,I6+G7,G7))</f>
        <v>#REF!</v>
      </c>
      <c r="J7" s="44" t="e">
        <f t="shared" ref="J7:J70" si="2">IF(B7="","",IF(B6=B7,J6+H7,H7))</f>
        <v>#REF!</v>
      </c>
      <c r="K7" s="45" t="e">
        <f t="shared" ref="K7:K70" si="3">IF(F7="","",IF(E7="","",(F7-E7)/E7))</f>
        <v>#REF!</v>
      </c>
      <c r="L7" s="45" t="e">
        <f t="shared" ref="L7:L70" si="4">IF(I7="","",IF(D7="","",I7/D7) )</f>
        <v>#REF!</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topLeftCell="B1" workbookViewId="0">
      <pane ySplit="5" topLeftCell="A6" activePane="bottomLeft" state="frozen"/>
      <selection pane="bottomLeft" activeCell="C10" sqref="C10"/>
    </sheetView>
  </sheetViews>
  <sheetFormatPr defaultColWidth="9" defaultRowHeight="13.2"/>
  <cols>
    <col min="1" max="1" width="11.59765625" style="33" customWidth="1"/>
    <col min="2" max="2" width="12.796875" style="33" customWidth="1"/>
    <col min="3" max="3" width="21.69921875" style="33" customWidth="1"/>
    <col min="4" max="4" width="21.3984375" style="33" customWidth="1"/>
    <col min="5" max="5" width="11.5" style="33" customWidth="1"/>
    <col min="6" max="6" width="12.796875" style="33" customWidth="1"/>
    <col min="7" max="7" width="21.19921875" style="33" customWidth="1"/>
    <col min="8" max="9" width="20.59765625" style="33" customWidth="1"/>
    <col min="10" max="10" width="20.59765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5.6">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256" t="s">
        <v>89</v>
      </c>
      <c r="B4" s="257"/>
      <c r="C4" s="257"/>
      <c r="D4" s="257"/>
      <c r="E4" s="257"/>
      <c r="F4" s="257"/>
      <c r="G4" s="257"/>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257"/>
      <c r="B5" s="257"/>
      <c r="C5" s="257"/>
      <c r="D5" s="257"/>
      <c r="E5" s="257"/>
      <c r="F5" s="257"/>
      <c r="G5" s="257"/>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6">
      <c r="A7" s="264" t="s">
        <v>29</v>
      </c>
      <c r="B7" s="264" t="s">
        <v>28</v>
      </c>
      <c r="C7" s="265" t="s">
        <v>35</v>
      </c>
      <c r="D7"/>
      <c r="E7" s="264" t="s">
        <v>29</v>
      </c>
      <c r="F7" s="264" t="s">
        <v>28</v>
      </c>
      <c r="G7" s="265" t="s">
        <v>146</v>
      </c>
      <c r="H7"/>
      <c r="I7"/>
      <c r="J7"/>
    </row>
    <row r="8" spans="1:31" ht="15.6">
      <c r="A8" s="270" t="s">
        <v>96</v>
      </c>
      <c r="B8" s="270"/>
      <c r="C8" s="273"/>
      <c r="D8"/>
      <c r="E8" s="266" t="s">
        <v>154</v>
      </c>
      <c r="F8" s="267"/>
      <c r="G8" s="268"/>
      <c r="H8"/>
      <c r="I8"/>
      <c r="J8"/>
    </row>
    <row r="9" spans="1:31" ht="15.6">
      <c r="A9"/>
      <c r="B9"/>
      <c r="C9"/>
      <c r="D9"/>
      <c r="E9" s="269"/>
      <c r="F9" s="269"/>
      <c r="G9" s="268">
        <v>0</v>
      </c>
      <c r="H9"/>
      <c r="I9"/>
      <c r="J9"/>
    </row>
    <row r="10" spans="1:31" ht="15.6">
      <c r="A10"/>
      <c r="B10"/>
      <c r="C10"/>
      <c r="D10"/>
      <c r="E10" s="269"/>
      <c r="F10" s="269"/>
      <c r="G10" s="268"/>
      <c r="H10"/>
      <c r="I10"/>
      <c r="J10"/>
    </row>
    <row r="11" spans="1:31" ht="15.6">
      <c r="A11"/>
      <c r="B11"/>
      <c r="C11"/>
      <c r="D11"/>
      <c r="E11" s="270" t="s">
        <v>96</v>
      </c>
      <c r="F11" s="270"/>
      <c r="G11" s="271">
        <v>0</v>
      </c>
      <c r="H11"/>
      <c r="I11"/>
      <c r="J11"/>
    </row>
    <row r="12" spans="1:31" ht="15.6">
      <c r="A12"/>
      <c r="B12"/>
      <c r="C12"/>
      <c r="D12"/>
      <c r="E12"/>
      <c r="F12"/>
      <c r="G12"/>
      <c r="H12"/>
      <c r="I12"/>
      <c r="J12"/>
    </row>
    <row r="13" spans="1:31" ht="15.6">
      <c r="A13"/>
      <c r="B13"/>
      <c r="C13"/>
      <c r="D13"/>
      <c r="E13"/>
      <c r="F13"/>
      <c r="G13"/>
      <c r="H13"/>
      <c r="I13"/>
      <c r="J13"/>
    </row>
    <row r="14" spans="1:31" ht="15.6">
      <c r="A14"/>
      <c r="B14"/>
      <c r="C14"/>
      <c r="D14"/>
      <c r="E14"/>
      <c r="F14"/>
      <c r="G14"/>
      <c r="H14"/>
      <c r="I14"/>
      <c r="J14"/>
    </row>
    <row r="15" spans="1:31" ht="15.6">
      <c r="A15"/>
      <c r="B15"/>
      <c r="C15"/>
      <c r="D15"/>
      <c r="E15"/>
      <c r="F15"/>
      <c r="G15"/>
      <c r="H15"/>
      <c r="I15"/>
      <c r="J15"/>
    </row>
    <row r="16" spans="1:31" ht="15.6">
      <c r="A16"/>
      <c r="B16"/>
      <c r="C16"/>
      <c r="D16"/>
      <c r="E16"/>
      <c r="F16"/>
      <c r="G16"/>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9"/>
      <c r="B23" s="29"/>
      <c r="C23" s="29"/>
      <c r="D23" s="32"/>
      <c r="E23" s="29"/>
      <c r="F23" s="29"/>
      <c r="G23" s="29"/>
    </row>
    <row r="24" spans="1:10" ht="15.6">
      <c r="A24" s="29"/>
      <c r="B24" s="29"/>
      <c r="C24" s="29"/>
      <c r="D24" s="32"/>
      <c r="E24" s="29"/>
      <c r="F24" s="29"/>
      <c r="G24" s="29"/>
    </row>
    <row r="25" spans="1:10" ht="15.6">
      <c r="A25" s="29"/>
      <c r="B25" s="29"/>
      <c r="C25" s="29"/>
      <c r="D25" s="32"/>
      <c r="E25" s="29"/>
      <c r="F25" s="29"/>
      <c r="G25" s="29"/>
    </row>
    <row r="26" spans="1:10" ht="15.6">
      <c r="A26" s="29"/>
      <c r="B26" s="29"/>
      <c r="C26" s="29"/>
      <c r="D26" s="32"/>
      <c r="E26" s="29"/>
      <c r="F26" s="29"/>
      <c r="G26" s="29"/>
    </row>
    <row r="27" spans="1:10" ht="15.6">
      <c r="A27" s="29"/>
      <c r="B27" s="29"/>
      <c r="C27" s="29"/>
      <c r="D27" s="32"/>
      <c r="E27" s="29"/>
      <c r="F27" s="29"/>
      <c r="G27" s="29"/>
    </row>
    <row r="28" spans="1:10" ht="15.6">
      <c r="A28" s="29"/>
      <c r="B28" s="29"/>
      <c r="C28" s="29"/>
      <c r="D28" s="32"/>
      <c r="E28" s="29"/>
      <c r="F28" s="29"/>
      <c r="G28" s="29"/>
    </row>
    <row r="29" spans="1:10" s="34" customFormat="1" ht="15.6">
      <c r="A29" s="29"/>
      <c r="B29" s="29"/>
      <c r="C29" s="29"/>
      <c r="D29" s="35"/>
      <c r="E29" s="29"/>
      <c r="F29" s="29"/>
      <c r="G29" s="29"/>
    </row>
    <row r="30" spans="1:10" ht="15.6">
      <c r="A30" s="29"/>
      <c r="B30" s="29"/>
      <c r="C30" s="29"/>
      <c r="D30" s="32"/>
      <c r="E30" s="29"/>
      <c r="F30" s="29"/>
      <c r="G30" s="29"/>
    </row>
    <row r="31" spans="1:10" ht="15.6">
      <c r="A31" s="29"/>
      <c r="B31" s="29"/>
      <c r="C31" s="29"/>
      <c r="E31" s="29"/>
      <c r="F31" s="29"/>
      <c r="G31" s="29"/>
    </row>
    <row r="32" spans="1:10" ht="15.6">
      <c r="A32" s="29"/>
      <c r="B32" s="29"/>
      <c r="C32" s="29"/>
      <c r="E32" s="29"/>
      <c r="F32" s="29"/>
      <c r="G32" s="29"/>
    </row>
    <row r="33" spans="1:7" ht="15.6">
      <c r="A33" s="29"/>
      <c r="B33" s="29"/>
      <c r="C33" s="29"/>
      <c r="E33" s="29"/>
      <c r="F33" s="29"/>
      <c r="G33" s="29"/>
    </row>
    <row r="34" spans="1:7" ht="15.6">
      <c r="A34" s="29"/>
      <c r="B34" s="29"/>
      <c r="C34" s="29"/>
      <c r="E34" s="29"/>
      <c r="F34" s="29"/>
      <c r="G34" s="29"/>
    </row>
    <row r="35" spans="1:7" ht="15.6">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F10" sqref="F10"/>
    </sheetView>
  </sheetViews>
  <sheetFormatPr defaultColWidth="9" defaultRowHeight="13.2"/>
  <cols>
    <col min="1" max="1" width="12" style="33" customWidth="1"/>
    <col min="2" max="2" width="12.796875" style="33" customWidth="1"/>
    <col min="3" max="3" width="21.69921875" style="33" customWidth="1"/>
    <col min="4" max="4" width="21.3984375" style="33" customWidth="1"/>
    <col min="5" max="6" width="12.59765625" style="33" customWidth="1"/>
    <col min="7" max="7" width="12.796875" style="33" customWidth="1"/>
    <col min="8" max="8" width="21.19921875" style="33" customWidth="1"/>
    <col min="9" max="9" width="20.59765625" style="33" customWidth="1"/>
    <col min="10" max="10" width="22.89843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260" t="s">
        <v>91</v>
      </c>
      <c r="B3" s="261"/>
      <c r="C3" s="261"/>
      <c r="D3" s="261"/>
      <c r="E3" s="261"/>
      <c r="F3" s="261"/>
      <c r="G3" s="261"/>
      <c r="H3" s="261"/>
      <c r="I3" s="261"/>
    </row>
    <row r="4" spans="1:34" s="8" customFormat="1" ht="15.75" customHeight="1">
      <c r="A4" s="36"/>
      <c r="B4" s="36"/>
      <c r="C4" s="36"/>
      <c r="D4" s="258" t="s">
        <v>90</v>
      </c>
      <c r="E4" s="258"/>
      <c r="F4" s="258"/>
      <c r="G4" s="258"/>
      <c r="H4" s="259"/>
      <c r="I4" s="258"/>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6">
      <c r="A8" s="264" t="s">
        <v>29</v>
      </c>
      <c r="B8" s="264" t="s">
        <v>28</v>
      </c>
      <c r="C8" s="265" t="s">
        <v>35</v>
      </c>
      <c r="D8"/>
      <c r="F8" s="264" t="s">
        <v>29</v>
      </c>
      <c r="G8" s="264" t="s">
        <v>28</v>
      </c>
      <c r="H8" s="265" t="s">
        <v>146</v>
      </c>
      <c r="I8"/>
    </row>
    <row r="9" spans="1:34" ht="15.6">
      <c r="A9" s="270" t="s">
        <v>96</v>
      </c>
      <c r="B9" s="270"/>
      <c r="C9" s="273"/>
      <c r="D9"/>
      <c r="F9" s="266" t="s">
        <v>154</v>
      </c>
      <c r="G9" s="267"/>
      <c r="H9" s="268"/>
      <c r="I9"/>
    </row>
    <row r="10" spans="1:34" ht="15.6">
      <c r="A10"/>
      <c r="B10"/>
      <c r="C10"/>
      <c r="D10"/>
      <c r="F10" s="269"/>
      <c r="G10" s="269"/>
      <c r="H10" s="268">
        <v>0</v>
      </c>
      <c r="I10"/>
    </row>
    <row r="11" spans="1:34" ht="15.6">
      <c r="A11"/>
      <c r="B11"/>
      <c r="C11"/>
      <c r="D11"/>
      <c r="F11" s="269"/>
      <c r="G11" s="269"/>
      <c r="H11" s="268"/>
      <c r="I11"/>
    </row>
    <row r="12" spans="1:34" ht="15.6">
      <c r="A12"/>
      <c r="B12"/>
      <c r="C12"/>
      <c r="D12"/>
      <c r="F12" s="270" t="s">
        <v>96</v>
      </c>
      <c r="G12" s="270"/>
      <c r="H12" s="271">
        <v>0</v>
      </c>
      <c r="I12"/>
    </row>
    <row r="13" spans="1:34" ht="15.6">
      <c r="A13"/>
      <c r="B13"/>
      <c r="C13"/>
      <c r="D13"/>
      <c r="F13"/>
      <c r="G13"/>
      <c r="H13"/>
      <c r="I13"/>
    </row>
    <row r="14" spans="1:34" ht="15.6">
      <c r="A14"/>
      <c r="B14"/>
      <c r="C14"/>
      <c r="D14"/>
      <c r="F14"/>
      <c r="G14"/>
      <c r="H14"/>
      <c r="I14"/>
    </row>
    <row r="15" spans="1:34" ht="15.6">
      <c r="A15"/>
      <c r="B15"/>
      <c r="C15"/>
      <c r="D15"/>
      <c r="F15"/>
      <c r="G15"/>
      <c r="H15"/>
      <c r="I15"/>
    </row>
    <row r="16" spans="1:34" ht="15.6">
      <c r="A16"/>
      <c r="B16"/>
      <c r="C16"/>
      <c r="D16"/>
      <c r="F16"/>
      <c r="G16"/>
      <c r="H16"/>
      <c r="I16"/>
    </row>
    <row r="17" spans="1:9" ht="15.6">
      <c r="A17"/>
      <c r="B17"/>
      <c r="C17"/>
      <c r="D17"/>
      <c r="F17"/>
      <c r="G17"/>
      <c r="H17"/>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9"/>
      <c r="B29" s="29"/>
      <c r="C29" s="29"/>
      <c r="D29" s="29"/>
      <c r="F29" s="29"/>
      <c r="G29" s="29"/>
      <c r="H29" s="29"/>
      <c r="I29" s="29"/>
    </row>
    <row r="30" spans="1:9" ht="15.6">
      <c r="A30" s="29"/>
      <c r="B30" s="29"/>
      <c r="C30" s="29"/>
      <c r="D30" s="29"/>
      <c r="F30" s="29"/>
      <c r="G30" s="29"/>
      <c r="H30" s="29"/>
      <c r="I30" s="29"/>
    </row>
    <row r="31" spans="1:9" ht="15.6">
      <c r="A31" s="29"/>
      <c r="B31" s="29"/>
      <c r="C31" s="29"/>
      <c r="D31" s="29"/>
      <c r="F31" s="29"/>
      <c r="G31" s="29"/>
      <c r="H31" s="29"/>
      <c r="I31" s="29"/>
    </row>
    <row r="32" spans="1:9" ht="15.6">
      <c r="A32" s="29"/>
      <c r="B32" s="29"/>
      <c r="C32" s="29"/>
      <c r="D32" s="29"/>
      <c r="F32" s="29"/>
      <c r="G32" s="29"/>
      <c r="H32" s="29"/>
      <c r="I32" s="29"/>
    </row>
    <row r="33" spans="1:9" ht="15.6">
      <c r="A33" s="29"/>
      <c r="B33" s="29"/>
      <c r="C33" s="29"/>
      <c r="D33" s="29"/>
      <c r="F33" s="29"/>
      <c r="G33" s="29"/>
      <c r="H33" s="29"/>
      <c r="I33" s="29"/>
    </row>
    <row r="34" spans="1:9" ht="15.6">
      <c r="A34" s="29"/>
      <c r="B34" s="29"/>
      <c r="C34" s="29"/>
      <c r="D34" s="29"/>
      <c r="F34" s="29"/>
      <c r="G34" s="29"/>
      <c r="H34" s="29"/>
      <c r="I34" s="29"/>
    </row>
    <row r="35" spans="1:9" ht="15.6">
      <c r="A35" s="29"/>
      <c r="B35" s="29"/>
      <c r="C35" s="29"/>
      <c r="D35" s="29"/>
      <c r="F35" s="29"/>
      <c r="G35" s="29"/>
      <c r="H35" s="29"/>
      <c r="I35" s="29"/>
    </row>
    <row r="36" spans="1:9" ht="15.6">
      <c r="A36" s="29"/>
      <c r="B36" s="29"/>
      <c r="C36" s="29"/>
      <c r="D36" s="29"/>
      <c r="F36" s="29"/>
      <c r="G36" s="29"/>
      <c r="H36" s="29"/>
      <c r="I36" s="29"/>
    </row>
    <row r="37" spans="1:9" ht="15.6">
      <c r="A37" s="29"/>
      <c r="B37" s="29"/>
      <c r="C37" s="29"/>
      <c r="D37" s="29"/>
      <c r="F37" s="29"/>
      <c r="G37" s="29"/>
      <c r="H37" s="29"/>
      <c r="I37" s="29"/>
    </row>
    <row r="38" spans="1:9" ht="15.6">
      <c r="A38" s="29"/>
      <c r="B38" s="29"/>
      <c r="C38" s="29"/>
      <c r="D38" s="29"/>
      <c r="F38" s="29"/>
      <c r="G38" s="29"/>
      <c r="H38" s="29"/>
      <c r="I38" s="29"/>
    </row>
    <row r="39" spans="1:9" ht="15.6">
      <c r="A39" s="29"/>
      <c r="B39" s="29"/>
      <c r="C39" s="29"/>
      <c r="D39" s="29"/>
      <c r="F39" s="29"/>
      <c r="G39" s="29"/>
      <c r="H39" s="29"/>
      <c r="I39" s="29"/>
    </row>
    <row r="40" spans="1:9" ht="15.6">
      <c r="A40" s="29"/>
      <c r="B40" s="29"/>
      <c r="C40" s="29"/>
      <c r="D40" s="29"/>
      <c r="F40" s="29"/>
      <c r="G40" s="29"/>
      <c r="H40" s="29"/>
      <c r="I40" s="29"/>
    </row>
    <row r="41" spans="1:9" ht="15.6">
      <c r="A41" s="29"/>
      <c r="B41" s="29"/>
      <c r="C41" s="29"/>
      <c r="D41" s="29"/>
      <c r="F41" s="29"/>
      <c r="G41" s="29"/>
      <c r="H41" s="29"/>
      <c r="I41" s="29"/>
    </row>
    <row r="42" spans="1:9" ht="15.6">
      <c r="A42" s="29"/>
      <c r="B42" s="29"/>
      <c r="C42" s="29"/>
      <c r="D42" s="29"/>
      <c r="F42" s="29"/>
      <c r="G42" s="29"/>
      <c r="H42" s="29"/>
      <c r="I42" s="29"/>
    </row>
    <row r="43" spans="1:9" ht="15.6">
      <c r="A43" s="29"/>
      <c r="B43" s="29"/>
      <c r="C43" s="29"/>
      <c r="D43" s="29"/>
      <c r="F43" s="29"/>
      <c r="G43" s="29"/>
      <c r="H43" s="29"/>
      <c r="I43" s="29"/>
    </row>
    <row r="44" spans="1:9" ht="15.6">
      <c r="A44" s="29"/>
      <c r="B44" s="29"/>
      <c r="C44" s="29"/>
      <c r="D44" s="29"/>
      <c r="F44" s="29"/>
      <c r="G44" s="29"/>
      <c r="H44" s="29"/>
      <c r="I44" s="29"/>
    </row>
    <row r="45" spans="1:9" ht="15.6">
      <c r="A45" s="29"/>
      <c r="B45" s="29"/>
      <c r="C45" s="29"/>
      <c r="D45" s="29"/>
      <c r="F45" s="29"/>
      <c r="G45" s="29"/>
      <c r="H45" s="29"/>
      <c r="I45" s="29"/>
    </row>
    <row r="46" spans="1:9" ht="15.6">
      <c r="A46" s="29"/>
      <c r="B46" s="29"/>
      <c r="C46" s="29"/>
      <c r="D46" s="29"/>
      <c r="F46" s="29"/>
      <c r="G46" s="29"/>
      <c r="H46" s="29"/>
      <c r="I46" s="29"/>
    </row>
    <row r="47" spans="1:9" ht="15.6">
      <c r="A47" s="29"/>
      <c r="B47" s="29"/>
      <c r="C47" s="29"/>
      <c r="D47" s="29"/>
      <c r="F47" s="29"/>
      <c r="G47" s="29"/>
      <c r="H47" s="29"/>
      <c r="I47" s="29"/>
    </row>
    <row r="48" spans="1:9" ht="15.6">
      <c r="A48" s="29"/>
      <c r="B48" s="29"/>
      <c r="C48" s="29"/>
      <c r="D48" s="29"/>
      <c r="F48" s="29"/>
      <c r="G48" s="29"/>
      <c r="H48" s="29"/>
      <c r="I48" s="29"/>
    </row>
    <row r="49" spans="1:9" ht="15.6">
      <c r="A49" s="29"/>
      <c r="B49" s="29"/>
      <c r="C49" s="29"/>
      <c r="D49" s="29"/>
      <c r="F49" s="29"/>
      <c r="G49" s="29"/>
      <c r="H49" s="29"/>
      <c r="I49" s="29"/>
    </row>
    <row r="50" spans="1:9" ht="15.6">
      <c r="A50" s="29"/>
      <c r="B50" s="29"/>
      <c r="C50" s="29"/>
      <c r="D50" s="29"/>
      <c r="F50" s="29"/>
      <c r="G50" s="29"/>
      <c r="H50" s="29"/>
      <c r="I50" s="29"/>
    </row>
    <row r="51" spans="1:9" ht="15.6">
      <c r="A51" s="29"/>
      <c r="B51" s="29"/>
      <c r="C51" s="29"/>
      <c r="D51" s="29"/>
      <c r="F51" s="29"/>
      <c r="G51" s="29"/>
      <c r="H51" s="29"/>
      <c r="I51" s="29"/>
    </row>
    <row r="52" spans="1:9" ht="15.6">
      <c r="A52" s="29"/>
      <c r="B52" s="29"/>
      <c r="C52" s="29"/>
      <c r="D52" s="29"/>
      <c r="F52" s="29"/>
      <c r="G52" s="29"/>
      <c r="H52" s="29"/>
      <c r="I52" s="29"/>
    </row>
    <row r="53" spans="1:9" ht="15.6">
      <c r="A53" s="29"/>
      <c r="B53" s="29"/>
      <c r="C53" s="29"/>
      <c r="D53" s="29"/>
      <c r="F53" s="29"/>
      <c r="G53" s="29"/>
      <c r="H53" s="29"/>
      <c r="I53" s="29"/>
    </row>
    <row r="54" spans="1:9" ht="15.6">
      <c r="A54" s="29"/>
      <c r="B54" s="29"/>
      <c r="C54" s="29"/>
      <c r="D54" s="29"/>
      <c r="F54" s="29"/>
      <c r="G54" s="29"/>
      <c r="H54" s="29"/>
      <c r="I54" s="29"/>
    </row>
    <row r="55" spans="1:9" ht="15.6">
      <c r="A55" s="29"/>
      <c r="B55" s="29"/>
      <c r="C55" s="29"/>
      <c r="D55" s="29"/>
      <c r="F55" s="29"/>
      <c r="G55" s="29"/>
      <c r="H55" s="29"/>
      <c r="I55" s="29"/>
    </row>
    <row r="56" spans="1:9" ht="15.6">
      <c r="A56" s="29"/>
      <c r="B56" s="29"/>
      <c r="C56" s="29"/>
      <c r="D56" s="29"/>
      <c r="F56" s="29"/>
      <c r="G56" s="29"/>
      <c r="H56" s="29"/>
      <c r="I56" s="29"/>
    </row>
    <row r="57" spans="1:9" ht="15.6">
      <c r="A57" s="29"/>
      <c r="B57" s="29"/>
      <c r="C57" s="29"/>
      <c r="D57" s="29"/>
      <c r="F57" s="29"/>
      <c r="G57" s="29"/>
      <c r="H57" s="29"/>
      <c r="I57" s="29"/>
    </row>
    <row r="58" spans="1:9" ht="15.6">
      <c r="A58" s="29"/>
      <c r="B58" s="29"/>
      <c r="C58" s="29"/>
      <c r="D58" s="29"/>
      <c r="F58" s="29"/>
      <c r="G58" s="29"/>
      <c r="H58" s="29"/>
      <c r="I58" s="29"/>
    </row>
    <row r="59" spans="1:9" ht="15.6">
      <c r="A59" s="29"/>
      <c r="B59" s="29"/>
      <c r="C59" s="29"/>
      <c r="D59" s="29"/>
      <c r="F59" s="29"/>
      <c r="G59" s="29"/>
      <c r="H59" s="29"/>
      <c r="I59" s="29"/>
    </row>
    <row r="60" spans="1:9" ht="15.6">
      <c r="A60" s="29"/>
      <c r="B60" s="29"/>
      <c r="C60" s="29"/>
      <c r="D60" s="29"/>
      <c r="F60" s="29"/>
      <c r="G60" s="29"/>
      <c r="H60" s="29"/>
      <c r="I60" s="29"/>
    </row>
    <row r="61" spans="1:9" ht="15.6">
      <c r="A61" s="29"/>
      <c r="B61" s="29"/>
      <c r="C61" s="29"/>
      <c r="D61" s="29"/>
      <c r="F61" s="29"/>
      <c r="G61" s="29"/>
      <c r="H61" s="29"/>
      <c r="I61" s="29"/>
    </row>
    <row r="62" spans="1:9" ht="15.6">
      <c r="A62" s="29"/>
      <c r="B62" s="29"/>
      <c r="C62" s="29"/>
      <c r="D62" s="29"/>
      <c r="F62" s="29"/>
      <c r="G62" s="29"/>
      <c r="H62" s="29"/>
      <c r="I62" s="29"/>
    </row>
    <row r="63" spans="1:9" ht="15.6">
      <c r="A63" s="29"/>
      <c r="B63" s="29"/>
      <c r="C63" s="29"/>
      <c r="D63" s="29"/>
      <c r="F63" s="29"/>
      <c r="G63" s="29"/>
      <c r="H63" s="29"/>
      <c r="I63" s="29"/>
    </row>
    <row r="64" spans="1:9" ht="15.6">
      <c r="A64" s="29"/>
      <c r="B64" s="29"/>
      <c r="C64" s="29"/>
      <c r="D64" s="29"/>
      <c r="F64" s="29"/>
      <c r="G64" s="29"/>
      <c r="H64" s="29"/>
      <c r="I64" s="29"/>
    </row>
    <row r="65" spans="1:9" ht="15.6">
      <c r="A65" s="29"/>
      <c r="B65" s="29"/>
      <c r="C65" s="29"/>
      <c r="D65" s="29"/>
      <c r="F65" s="29"/>
      <c r="G65" s="29"/>
      <c r="H65" s="29"/>
      <c r="I65" s="29"/>
    </row>
    <row r="66" spans="1:9" ht="15.6">
      <c r="A66" s="29"/>
      <c r="B66" s="29"/>
      <c r="C66" s="29"/>
      <c r="D66" s="29"/>
      <c r="F66" s="29"/>
      <c r="G66" s="29"/>
      <c r="H66" s="29"/>
      <c r="I66" s="29"/>
    </row>
    <row r="67" spans="1:9" ht="15.6">
      <c r="A67" s="29"/>
      <c r="B67" s="29"/>
      <c r="C67" s="29"/>
      <c r="D67" s="29"/>
      <c r="F67" s="29"/>
      <c r="G67" s="29"/>
      <c r="H67" s="29"/>
      <c r="I67" s="29"/>
    </row>
    <row r="68" spans="1:9" ht="15.6">
      <c r="A68" s="29"/>
      <c r="B68" s="29"/>
      <c r="C68" s="29"/>
      <c r="D68" s="29"/>
      <c r="F68" s="29"/>
      <c r="G68" s="29"/>
      <c r="H68" s="29"/>
      <c r="I68" s="29"/>
    </row>
    <row r="69" spans="1:9" ht="15.6">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E9" sqref="E9"/>
    </sheetView>
  </sheetViews>
  <sheetFormatPr defaultColWidth="9" defaultRowHeight="13.2"/>
  <cols>
    <col min="1" max="1" width="11.3984375" style="33" customWidth="1"/>
    <col min="2" max="2" width="21.69921875" style="33" customWidth="1"/>
    <col min="3" max="3" width="21.3984375" style="33" customWidth="1"/>
    <col min="4" max="4" width="12.59765625" style="33" customWidth="1"/>
    <col min="5" max="5" width="11.3984375" style="33" customWidth="1"/>
    <col min="6" max="6" width="21.19921875" style="33" customWidth="1"/>
    <col min="7" max="7" width="20.59765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260" t="s">
        <v>38</v>
      </c>
      <c r="B3" s="262"/>
      <c r="C3" s="262"/>
      <c r="D3" s="262"/>
      <c r="E3" s="262"/>
      <c r="F3" s="262"/>
      <c r="G3" s="263"/>
    </row>
    <row r="4" spans="1:31" s="8" customFormat="1" ht="15.6">
      <c r="A4" s="36"/>
      <c r="B4" s="36"/>
      <c r="C4" s="36"/>
      <c r="D4" s="258" t="s">
        <v>36</v>
      </c>
      <c r="E4" s="259"/>
      <c r="F4" s="258"/>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6">
      <c r="A6"/>
      <c r="B6"/>
      <c r="E6"/>
      <c r="F6"/>
    </row>
    <row r="8" spans="1:31" ht="15.6">
      <c r="A8" s="264" t="s">
        <v>29</v>
      </c>
      <c r="B8" s="265" t="s">
        <v>35</v>
      </c>
      <c r="C8"/>
      <c r="E8" s="264" t="s">
        <v>29</v>
      </c>
      <c r="F8" s="265" t="s">
        <v>146</v>
      </c>
      <c r="G8"/>
    </row>
    <row r="9" spans="1:31" ht="15.6">
      <c r="A9" s="267"/>
      <c r="B9" s="272">
        <v>0</v>
      </c>
      <c r="C9"/>
      <c r="E9" s="269"/>
      <c r="F9" s="268">
        <v>0</v>
      </c>
      <c r="G9"/>
    </row>
    <row r="10" spans="1:31" ht="15.6">
      <c r="A10" s="270" t="s">
        <v>96</v>
      </c>
      <c r="B10" s="273">
        <v>0</v>
      </c>
      <c r="C10"/>
      <c r="E10" s="270" t="s">
        <v>96</v>
      </c>
      <c r="F10" s="271">
        <v>0</v>
      </c>
      <c r="G10"/>
    </row>
    <row r="11" spans="1:31" ht="15.6">
      <c r="A11"/>
      <c r="B11"/>
      <c r="C11"/>
      <c r="E11"/>
      <c r="F11"/>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9"/>
      <c r="F20" s="29"/>
      <c r="G20" s="29"/>
    </row>
    <row r="21" spans="1:7" ht="15.6">
      <c r="A21"/>
      <c r="B21"/>
      <c r="C21"/>
      <c r="E21" s="29"/>
      <c r="F21" s="29"/>
      <c r="G21" s="29"/>
    </row>
    <row r="22" spans="1:7" ht="15.6">
      <c r="A22" s="29"/>
      <c r="B22" s="29"/>
      <c r="C22" s="29"/>
      <c r="E22" s="29"/>
      <c r="F22" s="29"/>
      <c r="G22" s="29"/>
    </row>
    <row r="23" spans="1:7" ht="15.6">
      <c r="A23" s="29"/>
      <c r="B23" s="29"/>
      <c r="C23" s="29"/>
      <c r="E23" s="29"/>
      <c r="F23" s="29"/>
      <c r="G23" s="29"/>
    </row>
    <row r="24" spans="1:7" ht="15.6">
      <c r="A24" s="29"/>
      <c r="B24" s="29"/>
      <c r="C24" s="29"/>
      <c r="E24" s="29"/>
      <c r="F24" s="29"/>
      <c r="G24" s="29"/>
    </row>
    <row r="25" spans="1:7" ht="15.6">
      <c r="A25" s="29"/>
      <c r="B25" s="29"/>
      <c r="C25" s="29"/>
      <c r="E25" s="29"/>
      <c r="F25" s="29"/>
      <c r="G25" s="29"/>
    </row>
    <row r="26" spans="1:7" ht="15.6">
      <c r="A26" s="29"/>
      <c r="B26" s="29"/>
      <c r="C26" s="29"/>
      <c r="E26" s="29"/>
      <c r="F26" s="29"/>
      <c r="G26" s="29"/>
    </row>
    <row r="27" spans="1:7" ht="15.6">
      <c r="A27" s="29"/>
      <c r="B27" s="29"/>
      <c r="C27" s="29"/>
      <c r="E27" s="29"/>
      <c r="F27" s="29"/>
      <c r="G27" s="29"/>
    </row>
    <row r="28" spans="1:7" ht="15.6">
      <c r="A28" s="29"/>
      <c r="B28" s="29"/>
      <c r="C28" s="29"/>
      <c r="E28" s="29"/>
      <c r="F28" s="29"/>
      <c r="G28" s="29"/>
    </row>
    <row r="29" spans="1:7" ht="15.6">
      <c r="A29" s="29"/>
      <c r="B29" s="29"/>
      <c r="C29" s="29"/>
      <c r="E29" s="29"/>
      <c r="F29" s="29"/>
      <c r="G29" s="29"/>
    </row>
    <row r="30" spans="1:7" ht="15.6">
      <c r="A30" s="29"/>
      <c r="B30" s="29"/>
      <c r="C30" s="29"/>
      <c r="E30" s="29"/>
      <c r="F30" s="29"/>
      <c r="G30" s="29"/>
    </row>
    <row r="31" spans="1:7" ht="15.6">
      <c r="A31" s="29"/>
      <c r="B31" s="29"/>
      <c r="C31" s="29"/>
      <c r="E31" s="29"/>
      <c r="F31" s="29"/>
      <c r="G31" s="29"/>
    </row>
    <row r="32" spans="1:7" ht="15.6">
      <c r="A32" s="29"/>
      <c r="B32" s="29"/>
      <c r="C32" s="29"/>
      <c r="E32" s="29"/>
      <c r="F32" s="29"/>
      <c r="G32" s="29"/>
    </row>
    <row r="33" spans="1:7" ht="15.6">
      <c r="A33" s="29"/>
      <c r="B33" s="29"/>
      <c r="C33" s="29"/>
      <c r="E33" s="29"/>
      <c r="F33" s="29"/>
      <c r="G33" s="29"/>
    </row>
    <row r="34" spans="1:7" ht="15.6">
      <c r="A34" s="29"/>
      <c r="B34" s="29"/>
      <c r="C34" s="29"/>
    </row>
    <row r="35" spans="1:7" ht="15.6">
      <c r="A35" s="29"/>
      <c r="B35" s="29"/>
      <c r="C35" s="29"/>
    </row>
    <row r="36" spans="1:7" ht="15.6">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D21"/>
  <sheetViews>
    <sheetView topLeftCell="A2" workbookViewId="0">
      <selection activeCell="B2" sqref="B2"/>
    </sheetView>
  </sheetViews>
  <sheetFormatPr defaultRowHeight="15.6"/>
  <cols>
    <col min="1" max="1" width="7.69921875" bestFit="1" customWidth="1"/>
    <col min="2" max="2" width="7.3984375" style="167" bestFit="1" customWidth="1"/>
    <col min="3" max="3" width="3.5" bestFit="1" customWidth="1"/>
    <col min="4" max="4" width="5" bestFit="1" customWidth="1"/>
  </cols>
  <sheetData>
    <row r="1" spans="1:4">
      <c r="A1" s="166" t="s">
        <v>126</v>
      </c>
      <c r="B1" s="166" t="s">
        <v>150</v>
      </c>
      <c r="C1" s="166" t="s">
        <v>134</v>
      </c>
      <c r="D1" s="166" t="s">
        <v>160</v>
      </c>
    </row>
    <row r="2" spans="1:4">
      <c r="A2" s="202" t="s">
        <v>131</v>
      </c>
      <c r="B2" s="199" t="s">
        <v>148</v>
      </c>
      <c r="C2" s="199" t="s">
        <v>111</v>
      </c>
      <c r="D2" s="199">
        <v>0.01</v>
      </c>
    </row>
    <row r="3" spans="1:4">
      <c r="A3" s="202" t="s">
        <v>124</v>
      </c>
      <c r="B3" s="199" t="s">
        <v>152</v>
      </c>
      <c r="C3" s="199" t="s">
        <v>110</v>
      </c>
      <c r="D3" s="199">
        <f>D2+0.01</f>
        <v>0.02</v>
      </c>
    </row>
    <row r="4" spans="1:4">
      <c r="A4" s="199" t="s">
        <v>127</v>
      </c>
      <c r="B4" s="199" t="s">
        <v>151</v>
      </c>
      <c r="C4" s="198"/>
      <c r="D4" s="199">
        <f t="shared" ref="D4:D21" si="0">D3+0.01</f>
        <v>0.03</v>
      </c>
    </row>
    <row r="5" spans="1:4">
      <c r="A5" s="202" t="s">
        <v>132</v>
      </c>
      <c r="B5" s="199"/>
      <c r="C5" s="198"/>
      <c r="D5" s="199">
        <f t="shared" si="0"/>
        <v>0.04</v>
      </c>
    </row>
    <row r="6" spans="1:4">
      <c r="A6" s="199" t="s">
        <v>128</v>
      </c>
      <c r="B6" s="199"/>
      <c r="C6" s="198"/>
      <c r="D6" s="199">
        <f t="shared" si="0"/>
        <v>0.05</v>
      </c>
    </row>
    <row r="7" spans="1:4">
      <c r="A7" s="199" t="s">
        <v>129</v>
      </c>
      <c r="B7" s="199"/>
      <c r="C7" s="198"/>
      <c r="D7" s="199">
        <f t="shared" si="0"/>
        <v>6.0000000000000005E-2</v>
      </c>
    </row>
    <row r="8" spans="1:4">
      <c r="A8" s="199" t="s">
        <v>156</v>
      </c>
      <c r="B8" s="199"/>
      <c r="C8" s="198"/>
      <c r="D8" s="199">
        <f t="shared" si="0"/>
        <v>7.0000000000000007E-2</v>
      </c>
    </row>
    <row r="9" spans="1:4">
      <c r="A9" s="199" t="s">
        <v>155</v>
      </c>
      <c r="B9" s="199"/>
      <c r="C9" s="198"/>
      <c r="D9" s="199">
        <f t="shared" si="0"/>
        <v>0.08</v>
      </c>
    </row>
    <row r="10" spans="1:4">
      <c r="A10" s="203" t="s">
        <v>133</v>
      </c>
      <c r="B10" s="199"/>
      <c r="C10" s="198"/>
      <c r="D10" s="199">
        <f t="shared" si="0"/>
        <v>0.09</v>
      </c>
    </row>
    <row r="11" spans="1:4">
      <c r="A11" s="199"/>
      <c r="B11" s="199"/>
      <c r="C11" s="198"/>
      <c r="D11" s="199">
        <f t="shared" si="0"/>
        <v>9.9999999999999992E-2</v>
      </c>
    </row>
    <row r="12" spans="1:4">
      <c r="A12" s="199"/>
      <c r="B12" s="199"/>
      <c r="C12" s="198"/>
      <c r="D12" s="199">
        <f t="shared" si="0"/>
        <v>0.10999999999999999</v>
      </c>
    </row>
    <row r="13" spans="1:4">
      <c r="A13" s="199"/>
      <c r="B13" s="199"/>
      <c r="C13" s="198"/>
      <c r="D13" s="199">
        <f t="shared" si="0"/>
        <v>0.11999999999999998</v>
      </c>
    </row>
    <row r="14" spans="1:4">
      <c r="A14" s="199"/>
      <c r="B14" s="199"/>
      <c r="C14" s="198"/>
      <c r="D14" s="199">
        <f t="shared" si="0"/>
        <v>0.12999999999999998</v>
      </c>
    </row>
    <row r="15" spans="1:4">
      <c r="A15" s="199"/>
      <c r="B15" s="199"/>
      <c r="C15" s="198"/>
      <c r="D15" s="199">
        <f t="shared" si="0"/>
        <v>0.13999999999999999</v>
      </c>
    </row>
    <row r="16" spans="1:4">
      <c r="A16" s="203"/>
      <c r="B16" s="199"/>
      <c r="C16" s="198"/>
      <c r="D16" s="199">
        <f t="shared" si="0"/>
        <v>0.15</v>
      </c>
    </row>
    <row r="17" spans="1:4">
      <c r="A17" s="198"/>
      <c r="B17" s="199"/>
      <c r="C17" s="198"/>
      <c r="D17" s="199">
        <f t="shared" si="0"/>
        <v>0.16</v>
      </c>
    </row>
    <row r="18" spans="1:4">
      <c r="A18" s="198"/>
      <c r="B18" s="199"/>
      <c r="C18" s="198"/>
      <c r="D18" s="199">
        <f t="shared" si="0"/>
        <v>0.17</v>
      </c>
    </row>
    <row r="19" spans="1:4">
      <c r="A19" s="198"/>
      <c r="B19" s="199"/>
      <c r="C19" s="198"/>
      <c r="D19" s="199">
        <f t="shared" si="0"/>
        <v>0.18000000000000002</v>
      </c>
    </row>
    <row r="20" spans="1:4">
      <c r="A20" s="198"/>
      <c r="B20" s="199"/>
      <c r="C20" s="198"/>
      <c r="D20" s="199">
        <f t="shared" si="0"/>
        <v>0.19000000000000003</v>
      </c>
    </row>
    <row r="21" spans="1:4">
      <c r="A21" s="198"/>
      <c r="B21" s="199"/>
      <c r="C21" s="198"/>
      <c r="D21" s="199">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Recap</vt:lpstr>
      <vt:lpstr>Trade Log</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2014-02-05T18:21:33Z</dcterms:modified>
</cp:coreProperties>
</file>