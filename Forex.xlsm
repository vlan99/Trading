
<file path=[Content_Types].xml><?xml version="1.0" encoding="utf-8"?>
<Types xmlns="http://schemas.openxmlformats.org/package/2006/content-types">
  <Default Extension="bin" ContentType="application/vnd.openxmlformats-officedocument.spreadsheetml.printerSettings"/>
  <Default Extension="png" ContentType="image/png"/>
  <Override PartName="/xl/pivotTables/pivotTable5.xml" ContentType="application/vnd.openxmlformats-officedocument.spreadsheetml.pivotTable+xml"/>
  <Override PartName="/xl/pivotTables/pivotTable6.xml" ContentType="application/vnd.openxmlformats-officedocument.spreadsheetml.pivotTable+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6.xml" ContentType="application/vnd.openxmlformats-officedocument.spreadsheetml.pivotCacheDefinition+xml"/>
  <Default Extension="jpeg" ContentType="image/jpeg"/>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705" yWindow="-180" windowWidth="12390" windowHeight="8565" tabRatio="863" firstSheet="1" activeTab="3"/>
  </bookViews>
  <sheets>
    <sheet name="Welcome" sheetId="16" r:id="rId1"/>
    <sheet name="Account Log" sheetId="13" r:id="rId2"/>
    <sheet name="Milestone" sheetId="17" r:id="rId3"/>
    <sheet name="Trade Log" sheetId="1" r:id="rId4"/>
    <sheet name="Recap" sheetId="20"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Data!$A$2:$A$4</definedName>
    <definedName name="Trend">Data!$B$2:$B$4</definedName>
  </definedNames>
  <calcPr calcId="125725"/>
  <pivotCaches>
    <pivotCache cacheId="9" r:id="rId11"/>
    <pivotCache cacheId="13" r:id="rId12"/>
    <pivotCache cacheId="17" r:id="rId13"/>
    <pivotCache cacheId="21" r:id="rId14"/>
    <pivotCache cacheId="25" r:id="rId15"/>
    <pivotCache cacheId="29" r:id="rId16"/>
  </pivotCaches>
</workbook>
</file>

<file path=xl/calcChain.xml><?xml version="1.0" encoding="utf-8"?>
<calcChain xmlns="http://schemas.openxmlformats.org/spreadsheetml/2006/main">
  <c r="A4" i="17"/>
  <c r="A5" s="1"/>
  <c r="A6" s="1"/>
  <c r="A7" s="1"/>
  <c r="A8" s="1"/>
  <c r="A9" s="1"/>
  <c r="A10" s="1"/>
  <c r="A11" s="1"/>
  <c r="A12" s="1"/>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3"/>
  <c r="B3"/>
  <c r="B2"/>
  <c r="A994" i="1" l="1"/>
  <c r="A993"/>
  <c r="A992"/>
  <c r="A991"/>
  <c r="A990"/>
  <c r="A989"/>
  <c r="A988"/>
  <c r="A987"/>
  <c r="A986"/>
  <c r="A985"/>
  <c r="A984"/>
  <c r="A983"/>
  <c r="A982"/>
  <c r="A981"/>
  <c r="A980"/>
  <c r="A979"/>
  <c r="A978"/>
  <c r="A977"/>
  <c r="A976"/>
  <c r="A975"/>
  <c r="A974"/>
  <c r="A973"/>
  <c r="A972"/>
  <c r="A971"/>
  <c r="A970"/>
  <c r="A969"/>
  <c r="A968"/>
  <c r="A967"/>
  <c r="A966"/>
  <c r="A965"/>
  <c r="A964"/>
  <c r="A963"/>
  <c r="A962"/>
  <c r="A961"/>
  <c r="A960"/>
  <c r="A959"/>
  <c r="A958"/>
  <c r="A957"/>
  <c r="A956"/>
  <c r="A955"/>
  <c r="A954"/>
  <c r="A953"/>
  <c r="A952"/>
  <c r="A951"/>
  <c r="A950"/>
  <c r="A949"/>
  <c r="A948"/>
  <c r="A947"/>
  <c r="A946"/>
  <c r="A945"/>
  <c r="A944"/>
  <c r="A943"/>
  <c r="A942"/>
  <c r="A941"/>
  <c r="A940"/>
  <c r="A939"/>
  <c r="A938"/>
  <c r="A937"/>
  <c r="A936"/>
  <c r="A935"/>
  <c r="A934"/>
  <c r="A933"/>
  <c r="A932"/>
  <c r="A931"/>
  <c r="A930"/>
  <c r="A929"/>
  <c r="A928"/>
  <c r="A927"/>
  <c r="A926"/>
  <c r="A925"/>
  <c r="A924"/>
  <c r="A923"/>
  <c r="A922"/>
  <c r="A921"/>
  <c r="A920"/>
  <c r="A919"/>
  <c r="A918"/>
  <c r="A917"/>
  <c r="A916"/>
  <c r="A915"/>
  <c r="A914"/>
  <c r="A913"/>
  <c r="A912"/>
  <c r="A911"/>
  <c r="A910"/>
  <c r="A909"/>
  <c r="A908"/>
  <c r="A907"/>
  <c r="A906"/>
  <c r="A905"/>
  <c r="A904"/>
  <c r="A903"/>
  <c r="A902"/>
  <c r="A901"/>
  <c r="A900"/>
  <c r="A899"/>
  <c r="A898"/>
  <c r="A897"/>
  <c r="A896"/>
  <c r="A895"/>
  <c r="A894"/>
  <c r="A893"/>
  <c r="A892"/>
  <c r="A891"/>
  <c r="A890"/>
  <c r="A889"/>
  <c r="A888"/>
  <c r="A887"/>
  <c r="A886"/>
  <c r="A885"/>
  <c r="A884"/>
  <c r="A883"/>
  <c r="A882"/>
  <c r="A881"/>
  <c r="A880"/>
  <c r="A879"/>
  <c r="A878"/>
  <c r="A877"/>
  <c r="A876"/>
  <c r="A875"/>
  <c r="A874"/>
  <c r="A873"/>
  <c r="A872"/>
  <c r="A871"/>
  <c r="A870"/>
  <c r="A869"/>
  <c r="A868"/>
  <c r="A867"/>
  <c r="A866"/>
  <c r="A865"/>
  <c r="A864"/>
  <c r="A863"/>
  <c r="A862"/>
  <c r="A861"/>
  <c r="A860"/>
  <c r="A859"/>
  <c r="A858"/>
  <c r="A857"/>
  <c r="A856"/>
  <c r="A855"/>
  <c r="A854"/>
  <c r="A853"/>
  <c r="A852"/>
  <c r="A851"/>
  <c r="A850"/>
  <c r="A849"/>
  <c r="A848"/>
  <c r="A847"/>
  <c r="A846"/>
  <c r="A845"/>
  <c r="A844"/>
  <c r="A843"/>
  <c r="A842"/>
  <c r="A841"/>
  <c r="A840"/>
  <c r="A839"/>
  <c r="A838"/>
  <c r="A837"/>
  <c r="A836"/>
  <c r="A835"/>
  <c r="A834"/>
  <c r="A833"/>
  <c r="A832"/>
  <c r="A831"/>
  <c r="A830"/>
  <c r="A829"/>
  <c r="A828"/>
  <c r="A827"/>
  <c r="A826"/>
  <c r="A825"/>
  <c r="A824"/>
  <c r="A823"/>
  <c r="A822"/>
  <c r="A821"/>
  <c r="A820"/>
  <c r="A819"/>
  <c r="A818"/>
  <c r="A817"/>
  <c r="A816"/>
  <c r="A815"/>
  <c r="A814"/>
  <c r="A813"/>
  <c r="A812"/>
  <c r="A811"/>
  <c r="A810"/>
  <c r="A809"/>
  <c r="A808"/>
  <c r="A807"/>
  <c r="A806"/>
  <c r="A805"/>
  <c r="A804"/>
  <c r="A803"/>
  <c r="A802"/>
  <c r="A801"/>
  <c r="A800"/>
  <c r="A799"/>
  <c r="A798"/>
  <c r="A797"/>
  <c r="A796"/>
  <c r="A795"/>
  <c r="A794"/>
  <c r="A793"/>
  <c r="A792"/>
  <c r="A791"/>
  <c r="A790"/>
  <c r="A789"/>
  <c r="A788"/>
  <c r="A787"/>
  <c r="A786"/>
  <c r="A785"/>
  <c r="A784"/>
  <c r="A783"/>
  <c r="A782"/>
  <c r="A781"/>
  <c r="A780"/>
  <c r="A779"/>
  <c r="A778"/>
  <c r="A777"/>
  <c r="A776"/>
  <c r="A775"/>
  <c r="A774"/>
  <c r="A773"/>
  <c r="A772"/>
  <c r="A771"/>
  <c r="A770"/>
  <c r="A769"/>
  <c r="A768"/>
  <c r="A767"/>
  <c r="A766"/>
  <c r="A765"/>
  <c r="A764"/>
  <c r="A763"/>
  <c r="A762"/>
  <c r="A761"/>
  <c r="A760"/>
  <c r="A759"/>
  <c r="A758"/>
  <c r="A757"/>
  <c r="A756"/>
  <c r="A755"/>
  <c r="A754"/>
  <c r="A753"/>
  <c r="A752"/>
  <c r="A751"/>
  <c r="A750"/>
  <c r="A749"/>
  <c r="A748"/>
  <c r="A747"/>
  <c r="A746"/>
  <c r="A745"/>
  <c r="A744"/>
  <c r="A743"/>
  <c r="A742"/>
  <c r="A741"/>
  <c r="A740"/>
  <c r="A739"/>
  <c r="A738"/>
  <c r="A737"/>
  <c r="A736"/>
  <c r="A735"/>
  <c r="A734"/>
  <c r="A733"/>
  <c r="A732"/>
  <c r="A731"/>
  <c r="A730"/>
  <c r="A729"/>
  <c r="A728"/>
  <c r="A727"/>
  <c r="A726"/>
  <c r="A725"/>
  <c r="A724"/>
  <c r="A723"/>
  <c r="A722"/>
  <c r="A721"/>
  <c r="A720"/>
  <c r="A719"/>
  <c r="A718"/>
  <c r="A717"/>
  <c r="A716"/>
  <c r="A715"/>
  <c r="A714"/>
  <c r="A713"/>
  <c r="A712"/>
  <c r="A711"/>
  <c r="A710"/>
  <c r="A709"/>
  <c r="A708"/>
  <c r="A707"/>
  <c r="A706"/>
  <c r="A705"/>
  <c r="A704"/>
  <c r="A703"/>
  <c r="A702"/>
  <c r="A701"/>
  <c r="A700"/>
  <c r="A699"/>
  <c r="A698"/>
  <c r="A697"/>
  <c r="A696"/>
  <c r="A695"/>
  <c r="A694"/>
  <c r="A693"/>
  <c r="A692"/>
  <c r="A691"/>
  <c r="A690"/>
  <c r="A689"/>
  <c r="A688"/>
  <c r="A687"/>
  <c r="A686"/>
  <c r="A685"/>
  <c r="A684"/>
  <c r="A683"/>
  <c r="A682"/>
  <c r="A681"/>
  <c r="A680"/>
  <c r="A679"/>
  <c r="A678"/>
  <c r="A677"/>
  <c r="A676"/>
  <c r="A675"/>
  <c r="A674"/>
  <c r="A673"/>
  <c r="A672"/>
  <c r="A671"/>
  <c r="A670"/>
  <c r="A669"/>
  <c r="A668"/>
  <c r="A667"/>
  <c r="A666"/>
  <c r="A665"/>
  <c r="A664"/>
  <c r="A663"/>
  <c r="A662"/>
  <c r="A661"/>
  <c r="A660"/>
  <c r="A659"/>
  <c r="A658"/>
  <c r="A657"/>
  <c r="A656"/>
  <c r="A655"/>
  <c r="A654"/>
  <c r="A653"/>
  <c r="A652"/>
  <c r="A651"/>
  <c r="A650"/>
  <c r="A649"/>
  <c r="A648"/>
  <c r="A647"/>
  <c r="A646"/>
  <c r="A645"/>
  <c r="A644"/>
  <c r="A643"/>
  <c r="A642"/>
  <c r="A641"/>
  <c r="A640"/>
  <c r="A639"/>
  <c r="A638"/>
  <c r="A637"/>
  <c r="A636"/>
  <c r="A635"/>
  <c r="A634"/>
  <c r="A633"/>
  <c r="A632"/>
  <c r="A631"/>
  <c r="A630"/>
  <c r="A629"/>
  <c r="A628"/>
  <c r="A627"/>
  <c r="A626"/>
  <c r="A625"/>
  <c r="A624"/>
  <c r="A623"/>
  <c r="A622"/>
  <c r="A621"/>
  <c r="A620"/>
  <c r="A619"/>
  <c r="A618"/>
  <c r="A617"/>
  <c r="A616"/>
  <c r="A615"/>
  <c r="A614"/>
  <c r="A613"/>
  <c r="A612"/>
  <c r="A611"/>
  <c r="A610"/>
  <c r="A609"/>
  <c r="A608"/>
  <c r="A607"/>
  <c r="A606"/>
  <c r="A605"/>
  <c r="A604"/>
  <c r="A603"/>
  <c r="A602"/>
  <c r="A601"/>
  <c r="A600"/>
  <c r="A599"/>
  <c r="A598"/>
  <c r="A597"/>
  <c r="A596"/>
  <c r="A595"/>
  <c r="A594"/>
  <c r="A593"/>
  <c r="A592"/>
  <c r="A591"/>
  <c r="A590"/>
  <c r="A589"/>
  <c r="A588"/>
  <c r="A587"/>
  <c r="A586"/>
  <c r="A585"/>
  <c r="A584"/>
  <c r="A583"/>
  <c r="A582"/>
  <c r="A581"/>
  <c r="A580"/>
  <c r="A579"/>
  <c r="A578"/>
  <c r="A577"/>
  <c r="A576"/>
  <c r="A575"/>
  <c r="A574"/>
  <c r="A573"/>
  <c r="A572"/>
  <c r="A571"/>
  <c r="A570"/>
  <c r="A569"/>
  <c r="A568"/>
  <c r="A567"/>
  <c r="A566"/>
  <c r="A565"/>
  <c r="A564"/>
  <c r="A563"/>
  <c r="A562"/>
  <c r="A561"/>
  <c r="A560"/>
  <c r="A559"/>
  <c r="A558"/>
  <c r="A557"/>
  <c r="A556"/>
  <c r="A555"/>
  <c r="A554"/>
  <c r="A553"/>
  <c r="A552"/>
  <c r="A551"/>
  <c r="A550"/>
  <c r="A549"/>
  <c r="A548"/>
  <c r="A547"/>
  <c r="A546"/>
  <c r="A545"/>
  <c r="A544"/>
  <c r="A543"/>
  <c r="A542"/>
  <c r="A541"/>
  <c r="A540"/>
  <c r="A539"/>
  <c r="A538"/>
  <c r="A537"/>
  <c r="A536"/>
  <c r="A535"/>
  <c r="A534"/>
  <c r="A533"/>
  <c r="A532"/>
  <c r="A531"/>
  <c r="A530"/>
  <c r="A529"/>
  <c r="A528"/>
  <c r="A527"/>
  <c r="A526"/>
  <c r="A525"/>
  <c r="A524"/>
  <c r="A523"/>
  <c r="A522"/>
  <c r="A521"/>
  <c r="A520"/>
  <c r="A519"/>
  <c r="A518"/>
  <c r="A517"/>
  <c r="A516"/>
  <c r="A515"/>
  <c r="A514"/>
  <c r="A513"/>
  <c r="A512"/>
  <c r="A511"/>
  <c r="A510"/>
  <c r="A509"/>
  <c r="A508"/>
  <c r="A507"/>
  <c r="A506"/>
  <c r="A505"/>
  <c r="A504"/>
  <c r="A503"/>
  <c r="A502"/>
  <c r="A501"/>
  <c r="A500"/>
  <c r="A499"/>
  <c r="A498"/>
  <c r="A497"/>
  <c r="A496"/>
  <c r="A495"/>
  <c r="A494"/>
  <c r="A493"/>
  <c r="A492"/>
  <c r="A491"/>
  <c r="A490"/>
  <c r="A489"/>
  <c r="A488"/>
  <c r="A487"/>
  <c r="A486"/>
  <c r="A485"/>
  <c r="A484"/>
  <c r="A483"/>
  <c r="A482"/>
  <c r="A481"/>
  <c r="A480"/>
  <c r="A479"/>
  <c r="A478"/>
  <c r="A477"/>
  <c r="A476"/>
  <c r="A475"/>
  <c r="A474"/>
  <c r="A473"/>
  <c r="A472"/>
  <c r="A471"/>
  <c r="A470"/>
  <c r="A469"/>
  <c r="A468"/>
  <c r="A467"/>
  <c r="A466"/>
  <c r="A465"/>
  <c r="A464"/>
  <c r="A463"/>
  <c r="A462"/>
  <c r="A461"/>
  <c r="A460"/>
  <c r="A459"/>
  <c r="A458"/>
  <c r="A457"/>
  <c r="A456"/>
  <c r="A455"/>
  <c r="A454"/>
  <c r="A453"/>
  <c r="A452"/>
  <c r="A451"/>
  <c r="A450"/>
  <c r="A449"/>
  <c r="A448"/>
  <c r="A447"/>
  <c r="A446"/>
  <c r="A445"/>
  <c r="A444"/>
  <c r="A443"/>
  <c r="A442"/>
  <c r="A441"/>
  <c r="A440"/>
  <c r="A439"/>
  <c r="A438"/>
  <c r="A437"/>
  <c r="A436"/>
  <c r="A435"/>
  <c r="A434"/>
  <c r="A433"/>
  <c r="A432"/>
  <c r="A431"/>
  <c r="A430"/>
  <c r="A429"/>
  <c r="A428"/>
  <c r="A427"/>
  <c r="A426"/>
  <c r="A425"/>
  <c r="A424"/>
  <c r="A423"/>
  <c r="A422"/>
  <c r="A421"/>
  <c r="A420"/>
  <c r="A419"/>
  <c r="A418"/>
  <c r="A417"/>
  <c r="A416"/>
  <c r="A415"/>
  <c r="A414"/>
  <c r="A413"/>
  <c r="A412"/>
  <c r="A411"/>
  <c r="A410"/>
  <c r="A409"/>
  <c r="A408"/>
  <c r="A407"/>
  <c r="A406"/>
  <c r="A405"/>
  <c r="A404"/>
  <c r="A403"/>
  <c r="A402"/>
  <c r="A401"/>
  <c r="A400"/>
  <c r="A399"/>
  <c r="A398"/>
  <c r="A397"/>
  <c r="A396"/>
  <c r="A395"/>
  <c r="A394"/>
  <c r="A393"/>
  <c r="A392"/>
  <c r="A391"/>
  <c r="A390"/>
  <c r="A389"/>
  <c r="A388"/>
  <c r="A387"/>
  <c r="A386"/>
  <c r="A385"/>
  <c r="A384"/>
  <c r="A383"/>
  <c r="A382"/>
  <c r="A381"/>
  <c r="A380"/>
  <c r="A379"/>
  <c r="A378"/>
  <c r="A377"/>
  <c r="A376"/>
  <c r="A375"/>
  <c r="A374"/>
  <c r="A373"/>
  <c r="A372"/>
  <c r="A371"/>
  <c r="A370"/>
  <c r="A369"/>
  <c r="A368"/>
  <c r="A367"/>
  <c r="A366"/>
  <c r="A365"/>
  <c r="A364"/>
  <c r="A363"/>
  <c r="A362"/>
  <c r="A361"/>
  <c r="A360"/>
  <c r="A359"/>
  <c r="A358"/>
  <c r="A357"/>
  <c r="A356"/>
  <c r="A355"/>
  <c r="A354"/>
  <c r="A353"/>
  <c r="A352"/>
  <c r="A351"/>
  <c r="A350"/>
  <c r="A349"/>
  <c r="A348"/>
  <c r="A347"/>
  <c r="A346"/>
  <c r="A345"/>
  <c r="A344"/>
  <c r="A343"/>
  <c r="A342"/>
  <c r="A341"/>
  <c r="A340"/>
  <c r="A339"/>
  <c r="A338"/>
  <c r="A337"/>
  <c r="A336"/>
  <c r="A335"/>
  <c r="A334"/>
  <c r="A333"/>
  <c r="A332"/>
  <c r="A331"/>
  <c r="A330"/>
  <c r="A329"/>
  <c r="A328"/>
  <c r="A327"/>
  <c r="A326"/>
  <c r="A325"/>
  <c r="A324"/>
  <c r="A323"/>
  <c r="A322"/>
  <c r="A321"/>
  <c r="A320"/>
  <c r="A319"/>
  <c r="A318"/>
  <c r="A317"/>
  <c r="A316"/>
  <c r="A315"/>
  <c r="A314"/>
  <c r="A313"/>
  <c r="A312"/>
  <c r="A311"/>
  <c r="A310"/>
  <c r="A309"/>
  <c r="A308"/>
  <c r="A307"/>
  <c r="A306"/>
  <c r="A305"/>
  <c r="A304"/>
  <c r="A303"/>
  <c r="A302"/>
  <c r="A301"/>
  <c r="A300"/>
  <c r="A299"/>
  <c r="A298"/>
  <c r="A297"/>
  <c r="A296"/>
  <c r="A295"/>
  <c r="A294"/>
  <c r="A293"/>
  <c r="A292"/>
  <c r="A291"/>
  <c r="A290"/>
  <c r="A289"/>
  <c r="A288"/>
  <c r="A287"/>
  <c r="A286"/>
  <c r="A285"/>
  <c r="A284"/>
  <c r="A283"/>
  <c r="A282"/>
  <c r="A281"/>
  <c r="A280"/>
  <c r="A279"/>
  <c r="A278"/>
  <c r="A277"/>
  <c r="A276"/>
  <c r="A275"/>
  <c r="A274"/>
  <c r="A273"/>
  <c r="A272"/>
  <c r="A271"/>
  <c r="A270"/>
  <c r="A269"/>
  <c r="A268"/>
  <c r="A267"/>
  <c r="A266"/>
  <c r="A265"/>
  <c r="A264"/>
  <c r="A263"/>
  <c r="A262"/>
  <c r="A261"/>
  <c r="A260"/>
  <c r="A259"/>
  <c r="A258"/>
  <c r="A257"/>
  <c r="A256"/>
  <c r="A255"/>
  <c r="A254"/>
  <c r="A253"/>
  <c r="A252"/>
  <c r="A251"/>
  <c r="A250"/>
  <c r="A249"/>
  <c r="A248"/>
  <c r="A247"/>
  <c r="A246"/>
  <c r="A245"/>
  <c r="A244"/>
  <c r="A243"/>
  <c r="A242"/>
  <c r="A241"/>
  <c r="A240"/>
  <c r="A239"/>
  <c r="A238"/>
  <c r="A237"/>
  <c r="A236"/>
  <c r="A235"/>
  <c r="A234"/>
  <c r="A233"/>
  <c r="A232"/>
  <c r="A231"/>
  <c r="A230"/>
  <c r="A229"/>
  <c r="A228"/>
  <c r="A227"/>
  <c r="A226"/>
  <c r="A225"/>
  <c r="A224"/>
  <c r="A223"/>
  <c r="A222"/>
  <c r="A221"/>
  <c r="A220"/>
  <c r="A219"/>
  <c r="A218"/>
  <c r="A217"/>
  <c r="A216"/>
  <c r="A215"/>
  <c r="A214"/>
  <c r="A213"/>
  <c r="A212"/>
  <c r="A211"/>
  <c r="A210"/>
  <c r="A209"/>
  <c r="A208"/>
  <c r="A207"/>
  <c r="A206"/>
  <c r="A205"/>
  <c r="A204"/>
  <c r="A203"/>
  <c r="A202"/>
  <c r="A201"/>
  <c r="A200"/>
  <c r="A199"/>
  <c r="A198"/>
  <c r="A197"/>
  <c r="A196"/>
  <c r="A195"/>
  <c r="A194"/>
  <c r="A193"/>
  <c r="A192"/>
  <c r="A191"/>
  <c r="A190"/>
  <c r="A189"/>
  <c r="A188"/>
  <c r="A187"/>
  <c r="A186"/>
  <c r="A185"/>
  <c r="A184"/>
  <c r="A183"/>
  <c r="A182"/>
  <c r="A181"/>
  <c r="A180"/>
  <c r="A179"/>
  <c r="A178"/>
  <c r="A177"/>
  <c r="A176"/>
  <c r="A175"/>
  <c r="A174"/>
  <c r="A173"/>
  <c r="A172"/>
  <c r="A171"/>
  <c r="A170"/>
  <c r="A169"/>
  <c r="A168"/>
  <c r="A167"/>
  <c r="A166"/>
  <c r="A165"/>
  <c r="A164"/>
  <c r="A163"/>
  <c r="A162"/>
  <c r="A161"/>
  <c r="A160"/>
  <c r="A159"/>
  <c r="A158"/>
  <c r="A157"/>
  <c r="A156"/>
  <c r="A155"/>
  <c r="A154"/>
  <c r="A153"/>
  <c r="A152"/>
  <c r="A151"/>
  <c r="A150"/>
  <c r="A149"/>
  <c r="A148"/>
  <c r="A147"/>
  <c r="A146"/>
  <c r="A145"/>
  <c r="A144"/>
  <c r="A143"/>
  <c r="A142"/>
  <c r="A141"/>
  <c r="A140"/>
  <c r="A139"/>
  <c r="A138"/>
  <c r="A137"/>
  <c r="A136"/>
  <c r="A135"/>
  <c r="A134"/>
  <c r="A133"/>
  <c r="A132"/>
  <c r="A131"/>
  <c r="A130"/>
  <c r="A129"/>
  <c r="A128"/>
  <c r="A127"/>
  <c r="A126"/>
  <c r="A125"/>
  <c r="A124"/>
  <c r="A123"/>
  <c r="A122"/>
  <c r="A121"/>
  <c r="A120"/>
  <c r="A119"/>
  <c r="A118"/>
  <c r="A117"/>
  <c r="A116"/>
  <c r="A115"/>
  <c r="A114"/>
  <c r="A113"/>
  <c r="A112"/>
  <c r="A111"/>
  <c r="A110"/>
  <c r="A109"/>
  <c r="A108"/>
  <c r="A107"/>
  <c r="A106"/>
  <c r="A105"/>
  <c r="A104"/>
  <c r="A103"/>
  <c r="A102"/>
  <c r="A101"/>
  <c r="A100"/>
  <c r="A99"/>
  <c r="A98"/>
  <c r="A97"/>
  <c r="A96"/>
  <c r="A95"/>
  <c r="A94"/>
  <c r="A93"/>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G3" i="17" l="1"/>
  <c r="G4" s="1"/>
  <c r="G5" s="1"/>
  <c r="G6" s="1"/>
  <c r="G7" s="1"/>
  <c r="G8" s="1"/>
  <c r="G9" s="1"/>
  <c r="G10" s="1"/>
  <c r="G11" s="1"/>
  <c r="G12" s="1"/>
  <c r="G13" s="1"/>
  <c r="G14" s="1"/>
  <c r="G15" s="1"/>
  <c r="G16" s="1"/>
  <c r="G17" s="1"/>
  <c r="G18" s="1"/>
  <c r="G19" s="1"/>
  <c r="G20" s="1"/>
  <c r="G21" s="1"/>
  <c r="G22" s="1"/>
  <c r="G23" s="1"/>
  <c r="G24" s="1"/>
  <c r="G25" s="1"/>
  <c r="G26" s="1"/>
  <c r="G27" s="1"/>
  <c r="G28" s="1"/>
  <c r="G29" s="1"/>
  <c r="G30" s="1"/>
  <c r="G31" s="1"/>
  <c r="G32" s="1"/>
  <c r="G33" s="1"/>
  <c r="G34" s="1"/>
  <c r="G35" s="1"/>
  <c r="G36" s="1"/>
  <c r="G37" s="1"/>
  <c r="G38" s="1"/>
  <c r="G39" s="1"/>
  <c r="G40" s="1"/>
  <c r="G41" s="1"/>
  <c r="G42" s="1"/>
  <c r="G43" s="1"/>
  <c r="G44" s="1"/>
  <c r="G45" s="1"/>
  <c r="G46" s="1"/>
  <c r="G47" s="1"/>
  <c r="G48" s="1"/>
  <c r="G49" s="1"/>
  <c r="G50" s="1"/>
  <c r="G51" s="1"/>
  <c r="G52" s="1"/>
  <c r="G53" s="1"/>
  <c r="G54" s="1"/>
  <c r="G55" s="1"/>
  <c r="G56" s="1"/>
  <c r="G57" s="1"/>
  <c r="G58" s="1"/>
  <c r="G59" s="1"/>
  <c r="G60" s="1"/>
  <c r="G61" s="1"/>
  <c r="G62" s="1"/>
  <c r="G63" s="1"/>
  <c r="G64" s="1"/>
  <c r="G65" s="1"/>
  <c r="G66" s="1"/>
  <c r="G67" s="1"/>
  <c r="G68" s="1"/>
  <c r="G69" s="1"/>
  <c r="G70" s="1"/>
  <c r="G71" s="1"/>
  <c r="G72" s="1"/>
  <c r="G73" s="1"/>
  <c r="G74" s="1"/>
  <c r="G75" s="1"/>
  <c r="G76" s="1"/>
  <c r="G77" s="1"/>
  <c r="G78" s="1"/>
  <c r="G79" s="1"/>
  <c r="G80" s="1"/>
  <c r="G81" s="1"/>
  <c r="G82" s="1"/>
  <c r="G83" s="1"/>
  <c r="G84" s="1"/>
  <c r="G85" s="1"/>
  <c r="G86" s="1"/>
  <c r="G87" s="1"/>
  <c r="G88" s="1"/>
  <c r="G89" s="1"/>
  <c r="G90" s="1"/>
  <c r="G91" s="1"/>
  <c r="G92" s="1"/>
  <c r="G93" s="1"/>
  <c r="G94" s="1"/>
  <c r="G95" s="1"/>
  <c r="G96" s="1"/>
  <c r="G97" s="1"/>
  <c r="G98" s="1"/>
  <c r="G99" s="1"/>
  <c r="G100" s="1"/>
  <c r="G101" s="1"/>
  <c r="G102" s="1"/>
  <c r="G103" s="1"/>
  <c r="G104" s="1"/>
  <c r="G105" s="1"/>
  <c r="G106" s="1"/>
  <c r="G107" s="1"/>
  <c r="G108" s="1"/>
  <c r="G109" s="1"/>
  <c r="G110" s="1"/>
  <c r="G111" s="1"/>
  <c r="G112" s="1"/>
  <c r="G113" s="1"/>
  <c r="G114" s="1"/>
  <c r="G115" s="1"/>
  <c r="G116" s="1"/>
  <c r="G117" s="1"/>
  <c r="G118" s="1"/>
  <c r="G119" s="1"/>
  <c r="G120" s="1"/>
  <c r="G121" s="1"/>
  <c r="G122" s="1"/>
  <c r="G123" s="1"/>
  <c r="G124" s="1"/>
  <c r="G125" s="1"/>
  <c r="G126" s="1"/>
  <c r="G127" s="1"/>
  <c r="G128" s="1"/>
  <c r="G129" s="1"/>
  <c r="G130" s="1"/>
  <c r="G131" s="1"/>
  <c r="G132" s="1"/>
  <c r="G133" s="1"/>
  <c r="G134" s="1"/>
  <c r="G135" s="1"/>
  <c r="G136" s="1"/>
  <c r="G137" s="1"/>
  <c r="G138" s="1"/>
  <c r="G139" s="1"/>
  <c r="G140" s="1"/>
  <c r="G141" s="1"/>
  <c r="G142" s="1"/>
  <c r="G143" s="1"/>
  <c r="G144" s="1"/>
  <c r="G145" s="1"/>
  <c r="H4"/>
  <c r="H3"/>
  <c r="D2"/>
  <c r="E2" s="1"/>
  <c r="B5" l="1"/>
  <c r="B4"/>
  <c r="D3"/>
  <c r="E3" s="1"/>
  <c r="H5"/>
  <c r="B6" l="1"/>
  <c r="H6"/>
  <c r="D4"/>
  <c r="E4" s="1"/>
  <c r="D5"/>
  <c r="E5" s="1"/>
  <c r="B7"/>
  <c r="E12" i="1"/>
  <c r="J12" s="1"/>
  <c r="I994"/>
  <c r="J994" s="1"/>
  <c r="O994" s="1"/>
  <c r="X994" s="1"/>
  <c r="T994" s="1"/>
  <c r="U994" s="1"/>
  <c r="I993"/>
  <c r="J993" s="1"/>
  <c r="O993" s="1"/>
  <c r="X993" s="1"/>
  <c r="T993" s="1"/>
  <c r="U993" s="1"/>
  <c r="I992"/>
  <c r="J992" s="1"/>
  <c r="O992" s="1"/>
  <c r="P992" s="1"/>
  <c r="S992" s="1"/>
  <c r="I991"/>
  <c r="J991" s="1"/>
  <c r="O991" s="1"/>
  <c r="X991" s="1"/>
  <c r="T991" s="1"/>
  <c r="U991" s="1"/>
  <c r="I990"/>
  <c r="J990" s="1"/>
  <c r="O990" s="1"/>
  <c r="X990" s="1"/>
  <c r="T990" s="1"/>
  <c r="U990" s="1"/>
  <c r="I989"/>
  <c r="J989" s="1"/>
  <c r="O989" s="1"/>
  <c r="X989" s="1"/>
  <c r="I988"/>
  <c r="J988" s="1"/>
  <c r="O988" s="1"/>
  <c r="I987"/>
  <c r="J987" s="1"/>
  <c r="O987" s="1"/>
  <c r="X987" s="1"/>
  <c r="T987" s="1"/>
  <c r="U987" s="1"/>
  <c r="I986"/>
  <c r="J986" s="1"/>
  <c r="O986" s="1"/>
  <c r="X986" s="1"/>
  <c r="T986" s="1"/>
  <c r="U986" s="1"/>
  <c r="I985"/>
  <c r="J985" s="1"/>
  <c r="O985" s="1"/>
  <c r="X985" s="1"/>
  <c r="T985" s="1"/>
  <c r="U985" s="1"/>
  <c r="I984"/>
  <c r="J984" s="1"/>
  <c r="O984" s="1"/>
  <c r="I983"/>
  <c r="J983" s="1"/>
  <c r="O983" s="1"/>
  <c r="X983" s="1"/>
  <c r="T983" s="1"/>
  <c r="U983" s="1"/>
  <c r="I982"/>
  <c r="J982" s="1"/>
  <c r="O982" s="1"/>
  <c r="X982" s="1"/>
  <c r="T982" s="1"/>
  <c r="U982" s="1"/>
  <c r="I981"/>
  <c r="J981" s="1"/>
  <c r="O981" s="1"/>
  <c r="X981" s="1"/>
  <c r="I980"/>
  <c r="J980" s="1"/>
  <c r="O980" s="1"/>
  <c r="I979"/>
  <c r="J979" s="1"/>
  <c r="O979" s="1"/>
  <c r="X979" s="1"/>
  <c r="T979" s="1"/>
  <c r="U979" s="1"/>
  <c r="I978"/>
  <c r="J978" s="1"/>
  <c r="O978" s="1"/>
  <c r="X978" s="1"/>
  <c r="T978" s="1"/>
  <c r="U978" s="1"/>
  <c r="I977"/>
  <c r="J977" s="1"/>
  <c r="O977" s="1"/>
  <c r="X977" s="1"/>
  <c r="T977" s="1"/>
  <c r="U977" s="1"/>
  <c r="I976"/>
  <c r="J976" s="1"/>
  <c r="O976" s="1"/>
  <c r="P976" s="1"/>
  <c r="S976" s="1"/>
  <c r="I975"/>
  <c r="J975" s="1"/>
  <c r="O975" s="1"/>
  <c r="X975" s="1"/>
  <c r="T975" s="1"/>
  <c r="U975" s="1"/>
  <c r="I974"/>
  <c r="J974" s="1"/>
  <c r="O974" s="1"/>
  <c r="X974" s="1"/>
  <c r="T974" s="1"/>
  <c r="U974" s="1"/>
  <c r="I973"/>
  <c r="J973" s="1"/>
  <c r="O973" s="1"/>
  <c r="X973" s="1"/>
  <c r="I972"/>
  <c r="J972" s="1"/>
  <c r="O972" s="1"/>
  <c r="I971"/>
  <c r="J971" s="1"/>
  <c r="O971" s="1"/>
  <c r="X971" s="1"/>
  <c r="T971" s="1"/>
  <c r="U971" s="1"/>
  <c r="I970"/>
  <c r="J970" s="1"/>
  <c r="O970" s="1"/>
  <c r="X970" s="1"/>
  <c r="T970" s="1"/>
  <c r="U970" s="1"/>
  <c r="I969"/>
  <c r="J969" s="1"/>
  <c r="O969" s="1"/>
  <c r="X969" s="1"/>
  <c r="T969" s="1"/>
  <c r="U969" s="1"/>
  <c r="I968"/>
  <c r="J968" s="1"/>
  <c r="O968" s="1"/>
  <c r="I967"/>
  <c r="J967" s="1"/>
  <c r="O967" s="1"/>
  <c r="X967" s="1"/>
  <c r="T967" s="1"/>
  <c r="U967" s="1"/>
  <c r="I966"/>
  <c r="J966" s="1"/>
  <c r="O966" s="1"/>
  <c r="X966" s="1"/>
  <c r="T966" s="1"/>
  <c r="U966" s="1"/>
  <c r="I965"/>
  <c r="J965" s="1"/>
  <c r="O965" s="1"/>
  <c r="X965" s="1"/>
  <c r="I964"/>
  <c r="J964" s="1"/>
  <c r="O964" s="1"/>
  <c r="I963"/>
  <c r="J963" s="1"/>
  <c r="O963" s="1"/>
  <c r="X963" s="1"/>
  <c r="T963" s="1"/>
  <c r="U963" s="1"/>
  <c r="I962"/>
  <c r="J962" s="1"/>
  <c r="O962" s="1"/>
  <c r="X962" s="1"/>
  <c r="T962" s="1"/>
  <c r="U962" s="1"/>
  <c r="I961"/>
  <c r="J961" s="1"/>
  <c r="O961" s="1"/>
  <c r="X961" s="1"/>
  <c r="T961" s="1"/>
  <c r="U961" s="1"/>
  <c r="I960"/>
  <c r="J960" s="1"/>
  <c r="O960" s="1"/>
  <c r="P960" s="1"/>
  <c r="S960" s="1"/>
  <c r="I959"/>
  <c r="J959" s="1"/>
  <c r="O959" s="1"/>
  <c r="X959" s="1"/>
  <c r="T959" s="1"/>
  <c r="U959" s="1"/>
  <c r="I958"/>
  <c r="J958" s="1"/>
  <c r="O958" s="1"/>
  <c r="X958" s="1"/>
  <c r="T958" s="1"/>
  <c r="U958" s="1"/>
  <c r="I957"/>
  <c r="J957" s="1"/>
  <c r="O957" s="1"/>
  <c r="X957" s="1"/>
  <c r="I956"/>
  <c r="J956" s="1"/>
  <c r="O956" s="1"/>
  <c r="I955"/>
  <c r="J955" s="1"/>
  <c r="O955" s="1"/>
  <c r="X955" s="1"/>
  <c r="T955" s="1"/>
  <c r="U955" s="1"/>
  <c r="I954"/>
  <c r="J954" s="1"/>
  <c r="O954" s="1"/>
  <c r="X954" s="1"/>
  <c r="T954" s="1"/>
  <c r="U954" s="1"/>
  <c r="I953"/>
  <c r="J953" s="1"/>
  <c r="O953" s="1"/>
  <c r="X953" s="1"/>
  <c r="T953" s="1"/>
  <c r="U953" s="1"/>
  <c r="I952"/>
  <c r="J952" s="1"/>
  <c r="O952" s="1"/>
  <c r="R952" s="1"/>
  <c r="I951"/>
  <c r="J951" s="1"/>
  <c r="O951" s="1"/>
  <c r="X951" s="1"/>
  <c r="I950"/>
  <c r="J950" s="1"/>
  <c r="O950" s="1"/>
  <c r="X950" s="1"/>
  <c r="T950" s="1"/>
  <c r="U950" s="1"/>
  <c r="I949"/>
  <c r="J949" s="1"/>
  <c r="O949" s="1"/>
  <c r="X949" s="1"/>
  <c r="I948"/>
  <c r="J948" s="1"/>
  <c r="O948" s="1"/>
  <c r="I947"/>
  <c r="J947" s="1"/>
  <c r="O947" s="1"/>
  <c r="X947" s="1"/>
  <c r="T947" s="1"/>
  <c r="U947" s="1"/>
  <c r="I946"/>
  <c r="J946" s="1"/>
  <c r="O946" s="1"/>
  <c r="X946" s="1"/>
  <c r="T946" s="1"/>
  <c r="U946" s="1"/>
  <c r="I945"/>
  <c r="J945" s="1"/>
  <c r="O945" s="1"/>
  <c r="X945" s="1"/>
  <c r="T945" s="1"/>
  <c r="U945" s="1"/>
  <c r="I944"/>
  <c r="J944" s="1"/>
  <c r="O944" s="1"/>
  <c r="I943"/>
  <c r="J943" s="1"/>
  <c r="O943" s="1"/>
  <c r="X943" s="1"/>
  <c r="T943" s="1"/>
  <c r="U943" s="1"/>
  <c r="I942"/>
  <c r="J942" s="1"/>
  <c r="O942" s="1"/>
  <c r="X942" s="1"/>
  <c r="T942" s="1"/>
  <c r="U942" s="1"/>
  <c r="I941"/>
  <c r="J941" s="1"/>
  <c r="O941" s="1"/>
  <c r="X941" s="1"/>
  <c r="I940"/>
  <c r="J940" s="1"/>
  <c r="O940" s="1"/>
  <c r="I939"/>
  <c r="J939" s="1"/>
  <c r="O939" s="1"/>
  <c r="X939" s="1"/>
  <c r="T939" s="1"/>
  <c r="U939" s="1"/>
  <c r="I938"/>
  <c r="J938" s="1"/>
  <c r="O938" s="1"/>
  <c r="V938" s="1"/>
  <c r="I937"/>
  <c r="J937" s="1"/>
  <c r="O937" s="1"/>
  <c r="X937" s="1"/>
  <c r="T937" s="1"/>
  <c r="U937" s="1"/>
  <c r="I936"/>
  <c r="J936" s="1"/>
  <c r="O936" s="1"/>
  <c r="P936" s="1"/>
  <c r="I935"/>
  <c r="J935" s="1"/>
  <c r="O935" s="1"/>
  <c r="X935" s="1"/>
  <c r="T935" s="1"/>
  <c r="U935" s="1"/>
  <c r="I934"/>
  <c r="J934" s="1"/>
  <c r="O934" s="1"/>
  <c r="I933"/>
  <c r="J933" s="1"/>
  <c r="O933" s="1"/>
  <c r="X933" s="1"/>
  <c r="I932"/>
  <c r="J932" s="1"/>
  <c r="O932" s="1"/>
  <c r="I931"/>
  <c r="J931" s="1"/>
  <c r="O931" s="1"/>
  <c r="X931" s="1"/>
  <c r="T931" s="1"/>
  <c r="U931" s="1"/>
  <c r="I930"/>
  <c r="J930" s="1"/>
  <c r="O930" s="1"/>
  <c r="I929"/>
  <c r="J929" s="1"/>
  <c r="O929" s="1"/>
  <c r="X929" s="1"/>
  <c r="T929" s="1"/>
  <c r="U929" s="1"/>
  <c r="I928"/>
  <c r="J928" s="1"/>
  <c r="O928" s="1"/>
  <c r="P928" s="1"/>
  <c r="I927"/>
  <c r="J927" s="1"/>
  <c r="O927" s="1"/>
  <c r="X927" s="1"/>
  <c r="T927" s="1"/>
  <c r="U927" s="1"/>
  <c r="I926"/>
  <c r="J926" s="1"/>
  <c r="O926" s="1"/>
  <c r="I925"/>
  <c r="J925" s="1"/>
  <c r="O925" s="1"/>
  <c r="X925" s="1"/>
  <c r="I924"/>
  <c r="J924" s="1"/>
  <c r="O924" s="1"/>
  <c r="I923"/>
  <c r="J923" s="1"/>
  <c r="O923" s="1"/>
  <c r="X923" s="1"/>
  <c r="T923" s="1"/>
  <c r="U923" s="1"/>
  <c r="I922"/>
  <c r="J922" s="1"/>
  <c r="O922" s="1"/>
  <c r="I921"/>
  <c r="J921" s="1"/>
  <c r="O921" s="1"/>
  <c r="X921" s="1"/>
  <c r="T921" s="1"/>
  <c r="U921" s="1"/>
  <c r="I920"/>
  <c r="J920" s="1"/>
  <c r="O920" s="1"/>
  <c r="I919"/>
  <c r="J919" s="1"/>
  <c r="O919" s="1"/>
  <c r="X919" s="1"/>
  <c r="T919" s="1"/>
  <c r="U919" s="1"/>
  <c r="I918"/>
  <c r="J918" s="1"/>
  <c r="O918" s="1"/>
  <c r="I917"/>
  <c r="J917" s="1"/>
  <c r="O917" s="1"/>
  <c r="X917" s="1"/>
  <c r="I916"/>
  <c r="J916" s="1"/>
  <c r="O916" s="1"/>
  <c r="I915"/>
  <c r="J915" s="1"/>
  <c r="O915" s="1"/>
  <c r="X915" s="1"/>
  <c r="T915" s="1"/>
  <c r="U915" s="1"/>
  <c r="I914"/>
  <c r="J914" s="1"/>
  <c r="O914" s="1"/>
  <c r="R914" s="1"/>
  <c r="I913"/>
  <c r="J913" s="1"/>
  <c r="O913" s="1"/>
  <c r="X913" s="1"/>
  <c r="T913" s="1"/>
  <c r="U913" s="1"/>
  <c r="I912"/>
  <c r="J912" s="1"/>
  <c r="O912" s="1"/>
  <c r="I911"/>
  <c r="J911" s="1"/>
  <c r="O911" s="1"/>
  <c r="X911" s="1"/>
  <c r="T911" s="1"/>
  <c r="U911" s="1"/>
  <c r="I910"/>
  <c r="J910" s="1"/>
  <c r="O910" s="1"/>
  <c r="I909"/>
  <c r="J909" s="1"/>
  <c r="O909" s="1"/>
  <c r="X909" s="1"/>
  <c r="I908"/>
  <c r="J908" s="1"/>
  <c r="O908" s="1"/>
  <c r="I907"/>
  <c r="J907" s="1"/>
  <c r="O907" s="1"/>
  <c r="X907" s="1"/>
  <c r="T907" s="1"/>
  <c r="U907" s="1"/>
  <c r="I906"/>
  <c r="J906" s="1"/>
  <c r="O906" s="1"/>
  <c r="I905"/>
  <c r="J905" s="1"/>
  <c r="O905" s="1"/>
  <c r="X905" s="1"/>
  <c r="T905" s="1"/>
  <c r="U905" s="1"/>
  <c r="I904"/>
  <c r="J904" s="1"/>
  <c r="O904" s="1"/>
  <c r="P904" s="1"/>
  <c r="S904" s="1"/>
  <c r="I903"/>
  <c r="J903" s="1"/>
  <c r="O903" s="1"/>
  <c r="X903" s="1"/>
  <c r="T903" s="1"/>
  <c r="U903" s="1"/>
  <c r="I902"/>
  <c r="J902" s="1"/>
  <c r="O902" s="1"/>
  <c r="I901"/>
  <c r="J901" s="1"/>
  <c r="O901" s="1"/>
  <c r="X901" s="1"/>
  <c r="I900"/>
  <c r="J900" s="1"/>
  <c r="O900" s="1"/>
  <c r="I899"/>
  <c r="J899" s="1"/>
  <c r="O899" s="1"/>
  <c r="X899" s="1"/>
  <c r="T899" s="1"/>
  <c r="U899" s="1"/>
  <c r="I898"/>
  <c r="J898" s="1"/>
  <c r="O898" s="1"/>
  <c r="W898" s="1"/>
  <c r="I897"/>
  <c r="J897" s="1"/>
  <c r="O897" s="1"/>
  <c r="X897" s="1"/>
  <c r="T897" s="1"/>
  <c r="U897" s="1"/>
  <c r="I896"/>
  <c r="J896" s="1"/>
  <c r="O896" s="1"/>
  <c r="R896" s="1"/>
  <c r="I895"/>
  <c r="J895" s="1"/>
  <c r="O895" s="1"/>
  <c r="X895" s="1"/>
  <c r="T895" s="1"/>
  <c r="U895" s="1"/>
  <c r="I894"/>
  <c r="J894" s="1"/>
  <c r="O894" s="1"/>
  <c r="I893"/>
  <c r="J893" s="1"/>
  <c r="O893" s="1"/>
  <c r="X893" s="1"/>
  <c r="I892"/>
  <c r="J892" s="1"/>
  <c r="O892" s="1"/>
  <c r="I891"/>
  <c r="J891" s="1"/>
  <c r="O891" s="1"/>
  <c r="X891" s="1"/>
  <c r="T891" s="1"/>
  <c r="U891" s="1"/>
  <c r="I890"/>
  <c r="J890" s="1"/>
  <c r="O890" s="1"/>
  <c r="I889"/>
  <c r="J889" s="1"/>
  <c r="O889" s="1"/>
  <c r="I888"/>
  <c r="J888" s="1"/>
  <c r="O888" s="1"/>
  <c r="V888" s="1"/>
  <c r="I887"/>
  <c r="J887" s="1"/>
  <c r="O887" s="1"/>
  <c r="X887" s="1"/>
  <c r="T887" s="1"/>
  <c r="U887" s="1"/>
  <c r="I886"/>
  <c r="J886" s="1"/>
  <c r="O886" s="1"/>
  <c r="I885"/>
  <c r="J885" s="1"/>
  <c r="O885" s="1"/>
  <c r="X885" s="1"/>
  <c r="I884"/>
  <c r="J884" s="1"/>
  <c r="O884" s="1"/>
  <c r="I883"/>
  <c r="J883" s="1"/>
  <c r="O883" s="1"/>
  <c r="X883" s="1"/>
  <c r="T883" s="1"/>
  <c r="U883" s="1"/>
  <c r="I882"/>
  <c r="J882" s="1"/>
  <c r="O882" s="1"/>
  <c r="W882" s="1"/>
  <c r="I881"/>
  <c r="J881" s="1"/>
  <c r="O881" s="1"/>
  <c r="P881" s="1"/>
  <c r="Q881" s="1"/>
  <c r="I880"/>
  <c r="J880" s="1"/>
  <c r="O880" s="1"/>
  <c r="I879"/>
  <c r="J879" s="1"/>
  <c r="O879" s="1"/>
  <c r="X879" s="1"/>
  <c r="T879" s="1"/>
  <c r="U879" s="1"/>
  <c r="I878"/>
  <c r="J878" s="1"/>
  <c r="O878" s="1"/>
  <c r="I877"/>
  <c r="J877" s="1"/>
  <c r="O877" s="1"/>
  <c r="X877" s="1"/>
  <c r="I876"/>
  <c r="J876" s="1"/>
  <c r="O876" s="1"/>
  <c r="I875"/>
  <c r="J875" s="1"/>
  <c r="O875" s="1"/>
  <c r="X875" s="1"/>
  <c r="T875" s="1"/>
  <c r="U875" s="1"/>
  <c r="I874"/>
  <c r="J874" s="1"/>
  <c r="O874" s="1"/>
  <c r="I873"/>
  <c r="J873" s="1"/>
  <c r="O873" s="1"/>
  <c r="W873" s="1"/>
  <c r="I872"/>
  <c r="J872" s="1"/>
  <c r="O872" s="1"/>
  <c r="I871"/>
  <c r="J871" s="1"/>
  <c r="O871" s="1"/>
  <c r="X871" s="1"/>
  <c r="T871" s="1"/>
  <c r="U871" s="1"/>
  <c r="I870"/>
  <c r="J870" s="1"/>
  <c r="O870" s="1"/>
  <c r="I869"/>
  <c r="J869" s="1"/>
  <c r="O869" s="1"/>
  <c r="X869" s="1"/>
  <c r="I868"/>
  <c r="J868" s="1"/>
  <c r="O868" s="1"/>
  <c r="I867"/>
  <c r="J867" s="1"/>
  <c r="O867" s="1"/>
  <c r="X867" s="1"/>
  <c r="T867" s="1"/>
  <c r="U867" s="1"/>
  <c r="I866"/>
  <c r="J866" s="1"/>
  <c r="O866" s="1"/>
  <c r="R866" s="1"/>
  <c r="I865"/>
  <c r="J865" s="1"/>
  <c r="O865" s="1"/>
  <c r="I864"/>
  <c r="J864" s="1"/>
  <c r="O864" s="1"/>
  <c r="R864" s="1"/>
  <c r="I863"/>
  <c r="J863" s="1"/>
  <c r="O863" s="1"/>
  <c r="X863" s="1"/>
  <c r="T863" s="1"/>
  <c r="U863" s="1"/>
  <c r="I862"/>
  <c r="J862" s="1"/>
  <c r="O862" s="1"/>
  <c r="I861"/>
  <c r="J861" s="1"/>
  <c r="O861" s="1"/>
  <c r="X861" s="1"/>
  <c r="I860"/>
  <c r="J860" s="1"/>
  <c r="O860" s="1"/>
  <c r="I859"/>
  <c r="J859" s="1"/>
  <c r="O859" s="1"/>
  <c r="X859" s="1"/>
  <c r="T859" s="1"/>
  <c r="U859" s="1"/>
  <c r="I858"/>
  <c r="J858" s="1"/>
  <c r="O858" s="1"/>
  <c r="I857"/>
  <c r="J857" s="1"/>
  <c r="O857" s="1"/>
  <c r="P857" s="1"/>
  <c r="Q857" s="1"/>
  <c r="I856"/>
  <c r="J856" s="1"/>
  <c r="O856" s="1"/>
  <c r="R856" s="1"/>
  <c r="I855"/>
  <c r="J855" s="1"/>
  <c r="O855" s="1"/>
  <c r="X855" s="1"/>
  <c r="T855" s="1"/>
  <c r="U855" s="1"/>
  <c r="I854"/>
  <c r="J854" s="1"/>
  <c r="O854" s="1"/>
  <c r="I853"/>
  <c r="J853" s="1"/>
  <c r="O853" s="1"/>
  <c r="X853" s="1"/>
  <c r="I852"/>
  <c r="J852" s="1"/>
  <c r="O852" s="1"/>
  <c r="I851"/>
  <c r="J851" s="1"/>
  <c r="O851" s="1"/>
  <c r="X851" s="1"/>
  <c r="T851" s="1"/>
  <c r="U851" s="1"/>
  <c r="I850"/>
  <c r="J850" s="1"/>
  <c r="O850" s="1"/>
  <c r="I849"/>
  <c r="J849" s="1"/>
  <c r="O849" s="1"/>
  <c r="W849" s="1"/>
  <c r="I848"/>
  <c r="J848" s="1"/>
  <c r="O848" s="1"/>
  <c r="I847"/>
  <c r="J847" s="1"/>
  <c r="O847" s="1"/>
  <c r="X847" s="1"/>
  <c r="T847" s="1"/>
  <c r="U847" s="1"/>
  <c r="I846"/>
  <c r="J846" s="1"/>
  <c r="O846" s="1"/>
  <c r="I845"/>
  <c r="J845" s="1"/>
  <c r="O845" s="1"/>
  <c r="X845" s="1"/>
  <c r="I844"/>
  <c r="J844" s="1"/>
  <c r="O844" s="1"/>
  <c r="I843"/>
  <c r="J843" s="1"/>
  <c r="O843" s="1"/>
  <c r="X843" s="1"/>
  <c r="T843" s="1"/>
  <c r="U843" s="1"/>
  <c r="I842"/>
  <c r="J842" s="1"/>
  <c r="O842" s="1"/>
  <c r="I841"/>
  <c r="J841" s="1"/>
  <c r="O841" s="1"/>
  <c r="I840"/>
  <c r="J840" s="1"/>
  <c r="O840" s="1"/>
  <c r="I839"/>
  <c r="J839" s="1"/>
  <c r="O839" s="1"/>
  <c r="X839" s="1"/>
  <c r="T839" s="1"/>
  <c r="U839" s="1"/>
  <c r="I838"/>
  <c r="J838" s="1"/>
  <c r="O838" s="1"/>
  <c r="I837"/>
  <c r="J837" s="1"/>
  <c r="O837" s="1"/>
  <c r="X837" s="1"/>
  <c r="I836"/>
  <c r="J836" s="1"/>
  <c r="O836" s="1"/>
  <c r="I835"/>
  <c r="J835" s="1"/>
  <c r="O835" s="1"/>
  <c r="X835" s="1"/>
  <c r="T835" s="1"/>
  <c r="U835" s="1"/>
  <c r="I834"/>
  <c r="J834" s="1"/>
  <c r="O834" s="1"/>
  <c r="I833"/>
  <c r="J833" s="1"/>
  <c r="O833" s="1"/>
  <c r="I832"/>
  <c r="J832" s="1"/>
  <c r="O832" s="1"/>
  <c r="I831"/>
  <c r="J831" s="1"/>
  <c r="O831" s="1"/>
  <c r="X831" s="1"/>
  <c r="T831" s="1"/>
  <c r="U831" s="1"/>
  <c r="I830"/>
  <c r="J830" s="1"/>
  <c r="O830" s="1"/>
  <c r="I829"/>
  <c r="J829" s="1"/>
  <c r="O829" s="1"/>
  <c r="X829" s="1"/>
  <c r="I828"/>
  <c r="J828" s="1"/>
  <c r="O828" s="1"/>
  <c r="I827"/>
  <c r="J827" s="1"/>
  <c r="O827" s="1"/>
  <c r="X827" s="1"/>
  <c r="T827" s="1"/>
  <c r="U827" s="1"/>
  <c r="I826"/>
  <c r="J826" s="1"/>
  <c r="O826" s="1"/>
  <c r="I825"/>
  <c r="J825" s="1"/>
  <c r="O825" s="1"/>
  <c r="I824"/>
  <c r="J824" s="1"/>
  <c r="O824" s="1"/>
  <c r="R824" s="1"/>
  <c r="I823"/>
  <c r="J823" s="1"/>
  <c r="O823" s="1"/>
  <c r="X823" s="1"/>
  <c r="T823" s="1"/>
  <c r="U823" s="1"/>
  <c r="I822"/>
  <c r="J822" s="1"/>
  <c r="O822" s="1"/>
  <c r="I821"/>
  <c r="J821" s="1"/>
  <c r="O821" s="1"/>
  <c r="X821" s="1"/>
  <c r="I820"/>
  <c r="J820" s="1"/>
  <c r="O820" s="1"/>
  <c r="I819"/>
  <c r="J819" s="1"/>
  <c r="O819" s="1"/>
  <c r="X819" s="1"/>
  <c r="T819" s="1"/>
  <c r="U819" s="1"/>
  <c r="I818"/>
  <c r="J818" s="1"/>
  <c r="O818" s="1"/>
  <c r="W818" s="1"/>
  <c r="I817"/>
  <c r="J817" s="1"/>
  <c r="O817" s="1"/>
  <c r="R817" s="1"/>
  <c r="I816"/>
  <c r="J816" s="1"/>
  <c r="O816" s="1"/>
  <c r="I815"/>
  <c r="J815" s="1"/>
  <c r="O815" s="1"/>
  <c r="X815" s="1"/>
  <c r="T815" s="1"/>
  <c r="U815" s="1"/>
  <c r="I814"/>
  <c r="J814" s="1"/>
  <c r="O814" s="1"/>
  <c r="I813"/>
  <c r="J813" s="1"/>
  <c r="O813" s="1"/>
  <c r="X813" s="1"/>
  <c r="I812"/>
  <c r="J812" s="1"/>
  <c r="O812" s="1"/>
  <c r="I811"/>
  <c r="J811" s="1"/>
  <c r="O811" s="1"/>
  <c r="X811" s="1"/>
  <c r="T811" s="1"/>
  <c r="U811" s="1"/>
  <c r="I810"/>
  <c r="J810" s="1"/>
  <c r="O810" s="1"/>
  <c r="I809"/>
  <c r="J809" s="1"/>
  <c r="O809" s="1"/>
  <c r="R809" s="1"/>
  <c r="I808"/>
  <c r="J808" s="1"/>
  <c r="O808" s="1"/>
  <c r="R808" s="1"/>
  <c r="I807"/>
  <c r="J807" s="1"/>
  <c r="O807" s="1"/>
  <c r="X807" s="1"/>
  <c r="T807" s="1"/>
  <c r="U807" s="1"/>
  <c r="I806"/>
  <c r="J806" s="1"/>
  <c r="O806" s="1"/>
  <c r="I805"/>
  <c r="J805" s="1"/>
  <c r="O805" s="1"/>
  <c r="X805" s="1"/>
  <c r="I804"/>
  <c r="J804" s="1"/>
  <c r="O804" s="1"/>
  <c r="I803"/>
  <c r="J803" s="1"/>
  <c r="O803" s="1"/>
  <c r="X803" s="1"/>
  <c r="T803" s="1"/>
  <c r="U803" s="1"/>
  <c r="I802"/>
  <c r="J802" s="1"/>
  <c r="O802" s="1"/>
  <c r="I801"/>
  <c r="J801" s="1"/>
  <c r="O801" s="1"/>
  <c r="I800"/>
  <c r="J800" s="1"/>
  <c r="O800" s="1"/>
  <c r="I799"/>
  <c r="J799" s="1"/>
  <c r="O799" s="1"/>
  <c r="X799" s="1"/>
  <c r="T799" s="1"/>
  <c r="U799" s="1"/>
  <c r="I798"/>
  <c r="J798" s="1"/>
  <c r="O798" s="1"/>
  <c r="I797"/>
  <c r="J797" s="1"/>
  <c r="O797" s="1"/>
  <c r="X797" s="1"/>
  <c r="I796"/>
  <c r="J796" s="1"/>
  <c r="O796" s="1"/>
  <c r="I795"/>
  <c r="J795" s="1"/>
  <c r="O795" s="1"/>
  <c r="X795" s="1"/>
  <c r="T795" s="1"/>
  <c r="U795" s="1"/>
  <c r="I794"/>
  <c r="J794" s="1"/>
  <c r="O794" s="1"/>
  <c r="W794" s="1"/>
  <c r="I793"/>
  <c r="J793" s="1"/>
  <c r="O793" s="1"/>
  <c r="P793" s="1"/>
  <c r="Q793" s="1"/>
  <c r="I792"/>
  <c r="J792" s="1"/>
  <c r="O792" s="1"/>
  <c r="I791"/>
  <c r="J791" s="1"/>
  <c r="O791" s="1"/>
  <c r="X791" s="1"/>
  <c r="T791" s="1"/>
  <c r="U791" s="1"/>
  <c r="I790"/>
  <c r="J790" s="1"/>
  <c r="O790" s="1"/>
  <c r="I789"/>
  <c r="J789" s="1"/>
  <c r="O789" s="1"/>
  <c r="X789" s="1"/>
  <c r="I788"/>
  <c r="J788" s="1"/>
  <c r="O788" s="1"/>
  <c r="I787"/>
  <c r="J787" s="1"/>
  <c r="O787" s="1"/>
  <c r="X787" s="1"/>
  <c r="T787" s="1"/>
  <c r="U787" s="1"/>
  <c r="I786"/>
  <c r="J786" s="1"/>
  <c r="O786" s="1"/>
  <c r="I785"/>
  <c r="J785" s="1"/>
  <c r="O785" s="1"/>
  <c r="W785" s="1"/>
  <c r="I784"/>
  <c r="J784" s="1"/>
  <c r="O784" s="1"/>
  <c r="R784" s="1"/>
  <c r="I783"/>
  <c r="J783" s="1"/>
  <c r="O783" s="1"/>
  <c r="X783" s="1"/>
  <c r="T783" s="1"/>
  <c r="U783" s="1"/>
  <c r="I782"/>
  <c r="J782" s="1"/>
  <c r="O782" s="1"/>
  <c r="I781"/>
  <c r="J781" s="1"/>
  <c r="O781" s="1"/>
  <c r="X781" s="1"/>
  <c r="I780"/>
  <c r="J780" s="1"/>
  <c r="O780" s="1"/>
  <c r="I779"/>
  <c r="J779" s="1"/>
  <c r="O779" s="1"/>
  <c r="X779" s="1"/>
  <c r="T779" s="1"/>
  <c r="U779" s="1"/>
  <c r="I778"/>
  <c r="J778" s="1"/>
  <c r="O778" s="1"/>
  <c r="R778" s="1"/>
  <c r="I777"/>
  <c r="J777" s="1"/>
  <c r="O777" s="1"/>
  <c r="I776"/>
  <c r="J776" s="1"/>
  <c r="O776" s="1"/>
  <c r="R776" s="1"/>
  <c r="I775"/>
  <c r="J775" s="1"/>
  <c r="O775" s="1"/>
  <c r="X775" s="1"/>
  <c r="T775" s="1"/>
  <c r="U775" s="1"/>
  <c r="I774"/>
  <c r="J774" s="1"/>
  <c r="O774" s="1"/>
  <c r="I773"/>
  <c r="J773" s="1"/>
  <c r="O773" s="1"/>
  <c r="X773" s="1"/>
  <c r="I772"/>
  <c r="J772" s="1"/>
  <c r="O772" s="1"/>
  <c r="I771"/>
  <c r="J771" s="1"/>
  <c r="O771" s="1"/>
  <c r="X771" s="1"/>
  <c r="T771" s="1"/>
  <c r="U771" s="1"/>
  <c r="I770"/>
  <c r="J770" s="1"/>
  <c r="O770" s="1"/>
  <c r="I769"/>
  <c r="J769" s="1"/>
  <c r="O769" s="1"/>
  <c r="I768"/>
  <c r="J768" s="1"/>
  <c r="O768" s="1"/>
  <c r="I767"/>
  <c r="J767" s="1"/>
  <c r="O767" s="1"/>
  <c r="X767" s="1"/>
  <c r="T767" s="1"/>
  <c r="U767" s="1"/>
  <c r="I766"/>
  <c r="J766" s="1"/>
  <c r="O766" s="1"/>
  <c r="I765"/>
  <c r="J765" s="1"/>
  <c r="O765" s="1"/>
  <c r="X765" s="1"/>
  <c r="I764"/>
  <c r="J764" s="1"/>
  <c r="O764" s="1"/>
  <c r="I763"/>
  <c r="J763" s="1"/>
  <c r="O763" s="1"/>
  <c r="X763" s="1"/>
  <c r="T763" s="1"/>
  <c r="U763" s="1"/>
  <c r="I762"/>
  <c r="J762" s="1"/>
  <c r="O762" s="1"/>
  <c r="I761"/>
  <c r="J761" s="1"/>
  <c r="O761" s="1"/>
  <c r="R761" s="1"/>
  <c r="I760"/>
  <c r="J760" s="1"/>
  <c r="O760" s="1"/>
  <c r="I759"/>
  <c r="J759" s="1"/>
  <c r="O759" s="1"/>
  <c r="X759" s="1"/>
  <c r="T759" s="1"/>
  <c r="U759" s="1"/>
  <c r="I758"/>
  <c r="J758" s="1"/>
  <c r="O758" s="1"/>
  <c r="I757"/>
  <c r="J757" s="1"/>
  <c r="O757" s="1"/>
  <c r="X757" s="1"/>
  <c r="I756"/>
  <c r="J756" s="1"/>
  <c r="O756" s="1"/>
  <c r="I755"/>
  <c r="J755" s="1"/>
  <c r="O755" s="1"/>
  <c r="X755" s="1"/>
  <c r="T755" s="1"/>
  <c r="U755" s="1"/>
  <c r="I754"/>
  <c r="J754" s="1"/>
  <c r="O754" s="1"/>
  <c r="I753"/>
  <c r="J753" s="1"/>
  <c r="O753" s="1"/>
  <c r="W753" s="1"/>
  <c r="I752"/>
  <c r="J752" s="1"/>
  <c r="O752" s="1"/>
  <c r="R752" s="1"/>
  <c r="I751"/>
  <c r="J751" s="1"/>
  <c r="O751" s="1"/>
  <c r="X751" s="1"/>
  <c r="T751" s="1"/>
  <c r="U751" s="1"/>
  <c r="I750"/>
  <c r="J750" s="1"/>
  <c r="O750" s="1"/>
  <c r="I749"/>
  <c r="J749" s="1"/>
  <c r="O749" s="1"/>
  <c r="X749" s="1"/>
  <c r="I748"/>
  <c r="J748" s="1"/>
  <c r="O748" s="1"/>
  <c r="I747"/>
  <c r="J747" s="1"/>
  <c r="O747" s="1"/>
  <c r="X747" s="1"/>
  <c r="T747" s="1"/>
  <c r="U747" s="1"/>
  <c r="I746"/>
  <c r="J746" s="1"/>
  <c r="O746" s="1"/>
  <c r="R746" s="1"/>
  <c r="I745"/>
  <c r="J745" s="1"/>
  <c r="O745" s="1"/>
  <c r="I744"/>
  <c r="J744" s="1"/>
  <c r="O744" s="1"/>
  <c r="R744" s="1"/>
  <c r="I743"/>
  <c r="J743" s="1"/>
  <c r="O743" s="1"/>
  <c r="X743" s="1"/>
  <c r="T743" s="1"/>
  <c r="U743" s="1"/>
  <c r="I742"/>
  <c r="J742" s="1"/>
  <c r="O742" s="1"/>
  <c r="I741"/>
  <c r="J741" s="1"/>
  <c r="O741" s="1"/>
  <c r="X741" s="1"/>
  <c r="I740"/>
  <c r="J740" s="1"/>
  <c r="O740" s="1"/>
  <c r="I739"/>
  <c r="J739" s="1"/>
  <c r="O739" s="1"/>
  <c r="X739" s="1"/>
  <c r="T739" s="1"/>
  <c r="U739" s="1"/>
  <c r="I738"/>
  <c r="J738" s="1"/>
  <c r="O738" s="1"/>
  <c r="I737"/>
  <c r="J737" s="1"/>
  <c r="O737" s="1"/>
  <c r="I736"/>
  <c r="J736" s="1"/>
  <c r="O736" s="1"/>
  <c r="I735"/>
  <c r="J735" s="1"/>
  <c r="O735" s="1"/>
  <c r="X735" s="1"/>
  <c r="T735" s="1"/>
  <c r="U735" s="1"/>
  <c r="I734"/>
  <c r="J734" s="1"/>
  <c r="O734" s="1"/>
  <c r="I733"/>
  <c r="J733" s="1"/>
  <c r="O733" s="1"/>
  <c r="X733" s="1"/>
  <c r="I732"/>
  <c r="J732" s="1"/>
  <c r="O732" s="1"/>
  <c r="I731"/>
  <c r="J731" s="1"/>
  <c r="O731" s="1"/>
  <c r="X731" s="1"/>
  <c r="T731" s="1"/>
  <c r="U731" s="1"/>
  <c r="I730"/>
  <c r="J730" s="1"/>
  <c r="O730" s="1"/>
  <c r="I729"/>
  <c r="J729" s="1"/>
  <c r="O729" s="1"/>
  <c r="P729" s="1"/>
  <c r="I728"/>
  <c r="J728" s="1"/>
  <c r="O728" s="1"/>
  <c r="R728" s="1"/>
  <c r="I727"/>
  <c r="J727" s="1"/>
  <c r="O727" s="1"/>
  <c r="X727" s="1"/>
  <c r="T727" s="1"/>
  <c r="U727" s="1"/>
  <c r="I726"/>
  <c r="J726" s="1"/>
  <c r="O726" s="1"/>
  <c r="I725"/>
  <c r="J725" s="1"/>
  <c r="O725" s="1"/>
  <c r="X725" s="1"/>
  <c r="I724"/>
  <c r="J724" s="1"/>
  <c r="O724" s="1"/>
  <c r="I723"/>
  <c r="J723" s="1"/>
  <c r="O723" s="1"/>
  <c r="X723" s="1"/>
  <c r="T723" s="1"/>
  <c r="U723" s="1"/>
  <c r="I722"/>
  <c r="J722" s="1"/>
  <c r="O722" s="1"/>
  <c r="I721"/>
  <c r="J721" s="1"/>
  <c r="O721" s="1"/>
  <c r="I720"/>
  <c r="J720" s="1"/>
  <c r="O720" s="1"/>
  <c r="I719"/>
  <c r="J719" s="1"/>
  <c r="O719" s="1"/>
  <c r="X719" s="1"/>
  <c r="T719" s="1"/>
  <c r="U719" s="1"/>
  <c r="I718"/>
  <c r="J718" s="1"/>
  <c r="O718" s="1"/>
  <c r="I717"/>
  <c r="J717" s="1"/>
  <c r="O717" s="1"/>
  <c r="X717" s="1"/>
  <c r="I716"/>
  <c r="J716" s="1"/>
  <c r="O716" s="1"/>
  <c r="I715"/>
  <c r="J715" s="1"/>
  <c r="O715" s="1"/>
  <c r="X715" s="1"/>
  <c r="T715" s="1"/>
  <c r="U715" s="1"/>
  <c r="I714"/>
  <c r="J714" s="1"/>
  <c r="O714" s="1"/>
  <c r="R714" s="1"/>
  <c r="I713"/>
  <c r="J713" s="1"/>
  <c r="O713" s="1"/>
  <c r="I712"/>
  <c r="J712" s="1"/>
  <c r="O712" s="1"/>
  <c r="R712" s="1"/>
  <c r="I711"/>
  <c r="J711" s="1"/>
  <c r="O711" s="1"/>
  <c r="X711" s="1"/>
  <c r="T711" s="1"/>
  <c r="U711" s="1"/>
  <c r="I710"/>
  <c r="J710" s="1"/>
  <c r="O710" s="1"/>
  <c r="I709"/>
  <c r="J709" s="1"/>
  <c r="O709" s="1"/>
  <c r="X709" s="1"/>
  <c r="I708"/>
  <c r="J708" s="1"/>
  <c r="O708" s="1"/>
  <c r="I707"/>
  <c r="J707" s="1"/>
  <c r="O707" s="1"/>
  <c r="X707" s="1"/>
  <c r="T707" s="1"/>
  <c r="U707" s="1"/>
  <c r="I706"/>
  <c r="J706" s="1"/>
  <c r="O706" s="1"/>
  <c r="V706" s="1"/>
  <c r="I705"/>
  <c r="J705" s="1"/>
  <c r="O705" s="1"/>
  <c r="I704"/>
  <c r="J704" s="1"/>
  <c r="O704" s="1"/>
  <c r="I703"/>
  <c r="J703" s="1"/>
  <c r="O703" s="1"/>
  <c r="X703" s="1"/>
  <c r="T703" s="1"/>
  <c r="U703" s="1"/>
  <c r="I702"/>
  <c r="J702" s="1"/>
  <c r="O702" s="1"/>
  <c r="I701"/>
  <c r="J701" s="1"/>
  <c r="O701" s="1"/>
  <c r="X701" s="1"/>
  <c r="I700"/>
  <c r="J700" s="1"/>
  <c r="O700" s="1"/>
  <c r="I699"/>
  <c r="J699" s="1"/>
  <c r="O699" s="1"/>
  <c r="X699" s="1"/>
  <c r="T699" s="1"/>
  <c r="U699" s="1"/>
  <c r="I698"/>
  <c r="J698" s="1"/>
  <c r="O698" s="1"/>
  <c r="I697"/>
  <c r="J697" s="1"/>
  <c r="O697" s="1"/>
  <c r="P697" s="1"/>
  <c r="I696"/>
  <c r="J696" s="1"/>
  <c r="O696" s="1"/>
  <c r="R696" s="1"/>
  <c r="I695"/>
  <c r="J695" s="1"/>
  <c r="O695" s="1"/>
  <c r="X695" s="1"/>
  <c r="T695" s="1"/>
  <c r="U695" s="1"/>
  <c r="I694"/>
  <c r="J694" s="1"/>
  <c r="O694" s="1"/>
  <c r="I693"/>
  <c r="J693" s="1"/>
  <c r="O693" s="1"/>
  <c r="X693" s="1"/>
  <c r="I692"/>
  <c r="J692" s="1"/>
  <c r="O692" s="1"/>
  <c r="I691"/>
  <c r="J691" s="1"/>
  <c r="O691" s="1"/>
  <c r="X691" s="1"/>
  <c r="T691" s="1"/>
  <c r="U691" s="1"/>
  <c r="I690"/>
  <c r="J690" s="1"/>
  <c r="O690" s="1"/>
  <c r="I689"/>
  <c r="J689" s="1"/>
  <c r="O689" s="1"/>
  <c r="I688"/>
  <c r="J688" s="1"/>
  <c r="O688" s="1"/>
  <c r="I687"/>
  <c r="J687" s="1"/>
  <c r="O687" s="1"/>
  <c r="X687" s="1"/>
  <c r="T687" s="1"/>
  <c r="U687" s="1"/>
  <c r="I686"/>
  <c r="J686" s="1"/>
  <c r="O686" s="1"/>
  <c r="I685"/>
  <c r="J685" s="1"/>
  <c r="O685" s="1"/>
  <c r="X685" s="1"/>
  <c r="I684"/>
  <c r="J684" s="1"/>
  <c r="O684" s="1"/>
  <c r="I683"/>
  <c r="J683" s="1"/>
  <c r="O683" s="1"/>
  <c r="X683" s="1"/>
  <c r="T683" s="1"/>
  <c r="U683" s="1"/>
  <c r="I682"/>
  <c r="J682" s="1"/>
  <c r="O682" s="1"/>
  <c r="R682" s="1"/>
  <c r="I681"/>
  <c r="J681" s="1"/>
  <c r="O681" s="1"/>
  <c r="I680"/>
  <c r="J680" s="1"/>
  <c r="O680" s="1"/>
  <c r="I679"/>
  <c r="J679" s="1"/>
  <c r="O679" s="1"/>
  <c r="X679" s="1"/>
  <c r="T679" s="1"/>
  <c r="U679" s="1"/>
  <c r="I678"/>
  <c r="J678" s="1"/>
  <c r="O678" s="1"/>
  <c r="I677"/>
  <c r="J677" s="1"/>
  <c r="O677" s="1"/>
  <c r="X677" s="1"/>
  <c r="I676"/>
  <c r="J676" s="1"/>
  <c r="O676" s="1"/>
  <c r="I675"/>
  <c r="J675" s="1"/>
  <c r="O675" s="1"/>
  <c r="X675" s="1"/>
  <c r="T675" s="1"/>
  <c r="U675" s="1"/>
  <c r="I674"/>
  <c r="J674" s="1"/>
  <c r="O674" s="1"/>
  <c r="V674" s="1"/>
  <c r="I673"/>
  <c r="J673" s="1"/>
  <c r="O673" s="1"/>
  <c r="I672"/>
  <c r="J672" s="1"/>
  <c r="O672" s="1"/>
  <c r="I671"/>
  <c r="J671" s="1"/>
  <c r="O671" s="1"/>
  <c r="X671" s="1"/>
  <c r="T671" s="1"/>
  <c r="U671" s="1"/>
  <c r="I670"/>
  <c r="J670" s="1"/>
  <c r="O670" s="1"/>
  <c r="I669"/>
  <c r="J669" s="1"/>
  <c r="O669" s="1"/>
  <c r="X669" s="1"/>
  <c r="I668"/>
  <c r="J668" s="1"/>
  <c r="O668" s="1"/>
  <c r="I667"/>
  <c r="J667" s="1"/>
  <c r="O667" s="1"/>
  <c r="X667" s="1"/>
  <c r="T667" s="1"/>
  <c r="U667" s="1"/>
  <c r="I666"/>
  <c r="J666" s="1"/>
  <c r="O666" s="1"/>
  <c r="I665"/>
  <c r="J665" s="1"/>
  <c r="O665" s="1"/>
  <c r="P665" s="1"/>
  <c r="I664"/>
  <c r="J664" s="1"/>
  <c r="O664" s="1"/>
  <c r="I663"/>
  <c r="J663" s="1"/>
  <c r="O663" s="1"/>
  <c r="X663" s="1"/>
  <c r="T663" s="1"/>
  <c r="U663" s="1"/>
  <c r="I662"/>
  <c r="J662" s="1"/>
  <c r="O662" s="1"/>
  <c r="I661"/>
  <c r="J661" s="1"/>
  <c r="O661" s="1"/>
  <c r="X661" s="1"/>
  <c r="I660"/>
  <c r="J660" s="1"/>
  <c r="O660" s="1"/>
  <c r="I659"/>
  <c r="J659" s="1"/>
  <c r="O659" s="1"/>
  <c r="X659" s="1"/>
  <c r="T659" s="1"/>
  <c r="U659" s="1"/>
  <c r="I658"/>
  <c r="J658" s="1"/>
  <c r="O658" s="1"/>
  <c r="I657"/>
  <c r="J657" s="1"/>
  <c r="O657" s="1"/>
  <c r="I656"/>
  <c r="J656" s="1"/>
  <c r="O656" s="1"/>
  <c r="I655"/>
  <c r="J655" s="1"/>
  <c r="O655" s="1"/>
  <c r="X655" s="1"/>
  <c r="T655" s="1"/>
  <c r="U655" s="1"/>
  <c r="I654"/>
  <c r="J654" s="1"/>
  <c r="O654" s="1"/>
  <c r="I653"/>
  <c r="J653" s="1"/>
  <c r="O653" s="1"/>
  <c r="X653" s="1"/>
  <c r="I652"/>
  <c r="J652" s="1"/>
  <c r="O652" s="1"/>
  <c r="I651"/>
  <c r="J651" s="1"/>
  <c r="O651" s="1"/>
  <c r="X651" s="1"/>
  <c r="T651" s="1"/>
  <c r="U651" s="1"/>
  <c r="I650"/>
  <c r="J650" s="1"/>
  <c r="O650" s="1"/>
  <c r="R650" s="1"/>
  <c r="I649"/>
  <c r="J649" s="1"/>
  <c r="O649" s="1"/>
  <c r="I648"/>
  <c r="J648" s="1"/>
  <c r="O648" s="1"/>
  <c r="I647"/>
  <c r="J647" s="1"/>
  <c r="O647" s="1"/>
  <c r="X647" s="1"/>
  <c r="T647" s="1"/>
  <c r="U647" s="1"/>
  <c r="I646"/>
  <c r="J646" s="1"/>
  <c r="O646" s="1"/>
  <c r="I645"/>
  <c r="J645" s="1"/>
  <c r="O645" s="1"/>
  <c r="X645" s="1"/>
  <c r="I644"/>
  <c r="J644" s="1"/>
  <c r="O644" s="1"/>
  <c r="I643"/>
  <c r="J643" s="1"/>
  <c r="O643" s="1"/>
  <c r="X643" s="1"/>
  <c r="T643" s="1"/>
  <c r="U643" s="1"/>
  <c r="I642"/>
  <c r="J642" s="1"/>
  <c r="O642" s="1"/>
  <c r="R642" s="1"/>
  <c r="I641"/>
  <c r="J641" s="1"/>
  <c r="O641" s="1"/>
  <c r="I640"/>
  <c r="J640" s="1"/>
  <c r="O640" s="1"/>
  <c r="R640" s="1"/>
  <c r="I639"/>
  <c r="J639" s="1"/>
  <c r="O639" s="1"/>
  <c r="X639" s="1"/>
  <c r="T639" s="1"/>
  <c r="U639" s="1"/>
  <c r="I638"/>
  <c r="J638" s="1"/>
  <c r="O638" s="1"/>
  <c r="I637"/>
  <c r="J637" s="1"/>
  <c r="O637" s="1"/>
  <c r="X637" s="1"/>
  <c r="I636"/>
  <c r="J636" s="1"/>
  <c r="O636" s="1"/>
  <c r="I635"/>
  <c r="J635" s="1"/>
  <c r="O635" s="1"/>
  <c r="X635" s="1"/>
  <c r="T635" s="1"/>
  <c r="U635" s="1"/>
  <c r="I634"/>
  <c r="J634" s="1"/>
  <c r="O634" s="1"/>
  <c r="I633"/>
  <c r="J633" s="1"/>
  <c r="O633" s="1"/>
  <c r="P633" s="1"/>
  <c r="S633" s="1"/>
  <c r="I632"/>
  <c r="J632" s="1"/>
  <c r="O632" s="1"/>
  <c r="I631"/>
  <c r="J631" s="1"/>
  <c r="O631" s="1"/>
  <c r="X631" s="1"/>
  <c r="T631" s="1"/>
  <c r="U631" s="1"/>
  <c r="I630"/>
  <c r="J630" s="1"/>
  <c r="O630" s="1"/>
  <c r="I629"/>
  <c r="J629" s="1"/>
  <c r="O629" s="1"/>
  <c r="X629" s="1"/>
  <c r="I628"/>
  <c r="J628" s="1"/>
  <c r="O628" s="1"/>
  <c r="I627"/>
  <c r="J627" s="1"/>
  <c r="O627" s="1"/>
  <c r="X627" s="1"/>
  <c r="T627" s="1"/>
  <c r="U627" s="1"/>
  <c r="I626"/>
  <c r="J626" s="1"/>
  <c r="O626" s="1"/>
  <c r="I625"/>
  <c r="J625" s="1"/>
  <c r="O625" s="1"/>
  <c r="I624"/>
  <c r="J624" s="1"/>
  <c r="O624" s="1"/>
  <c r="R624" s="1"/>
  <c r="I623"/>
  <c r="J623" s="1"/>
  <c r="O623" s="1"/>
  <c r="X623" s="1"/>
  <c r="T623" s="1"/>
  <c r="U623" s="1"/>
  <c r="I622"/>
  <c r="J622" s="1"/>
  <c r="O622" s="1"/>
  <c r="V622" s="1"/>
  <c r="I621"/>
  <c r="J621" s="1"/>
  <c r="O621" s="1"/>
  <c r="X621" s="1"/>
  <c r="I620"/>
  <c r="J620" s="1"/>
  <c r="O620" s="1"/>
  <c r="I619"/>
  <c r="J619" s="1"/>
  <c r="O619" s="1"/>
  <c r="X619" s="1"/>
  <c r="T619" s="1"/>
  <c r="U619" s="1"/>
  <c r="I618"/>
  <c r="J618" s="1"/>
  <c r="O618" s="1"/>
  <c r="R618" s="1"/>
  <c r="I617"/>
  <c r="J617" s="1"/>
  <c r="O617" s="1"/>
  <c r="I616"/>
  <c r="J616" s="1"/>
  <c r="O616" s="1"/>
  <c r="I615"/>
  <c r="J615" s="1"/>
  <c r="O615" s="1"/>
  <c r="X615" s="1"/>
  <c r="T615" s="1"/>
  <c r="U615" s="1"/>
  <c r="I614"/>
  <c r="J614" s="1"/>
  <c r="O614" s="1"/>
  <c r="I613"/>
  <c r="J613" s="1"/>
  <c r="O613" s="1"/>
  <c r="X613" s="1"/>
  <c r="I612"/>
  <c r="J612" s="1"/>
  <c r="O612" s="1"/>
  <c r="I611"/>
  <c r="J611" s="1"/>
  <c r="O611" s="1"/>
  <c r="X611" s="1"/>
  <c r="T611" s="1"/>
  <c r="U611" s="1"/>
  <c r="I610"/>
  <c r="J610" s="1"/>
  <c r="O610" s="1"/>
  <c r="R610" s="1"/>
  <c r="I609"/>
  <c r="J609" s="1"/>
  <c r="O609" s="1"/>
  <c r="R609" s="1"/>
  <c r="I608"/>
  <c r="J608" s="1"/>
  <c r="O608" s="1"/>
  <c r="R608" s="1"/>
  <c r="I607"/>
  <c r="J607" s="1"/>
  <c r="O607" s="1"/>
  <c r="X607" s="1"/>
  <c r="T607" s="1"/>
  <c r="U607" s="1"/>
  <c r="I606"/>
  <c r="J606" s="1"/>
  <c r="O606" s="1"/>
  <c r="I605"/>
  <c r="J605" s="1"/>
  <c r="O605" s="1"/>
  <c r="X605" s="1"/>
  <c r="I604"/>
  <c r="J604" s="1"/>
  <c r="O604" s="1"/>
  <c r="I603"/>
  <c r="J603" s="1"/>
  <c r="O603" s="1"/>
  <c r="X603" s="1"/>
  <c r="T603" s="1"/>
  <c r="U603" s="1"/>
  <c r="I602"/>
  <c r="J602" s="1"/>
  <c r="O602" s="1"/>
  <c r="I601"/>
  <c r="J601" s="1"/>
  <c r="O601" s="1"/>
  <c r="R601" s="1"/>
  <c r="I600"/>
  <c r="J600" s="1"/>
  <c r="O600" s="1"/>
  <c r="I599"/>
  <c r="J599" s="1"/>
  <c r="O599" s="1"/>
  <c r="X599" s="1"/>
  <c r="T599" s="1"/>
  <c r="U599" s="1"/>
  <c r="I598"/>
  <c r="J598" s="1"/>
  <c r="O598" s="1"/>
  <c r="I597"/>
  <c r="J597" s="1"/>
  <c r="O597" s="1"/>
  <c r="X597" s="1"/>
  <c r="I596"/>
  <c r="J596" s="1"/>
  <c r="O596" s="1"/>
  <c r="I595"/>
  <c r="J595" s="1"/>
  <c r="O595" s="1"/>
  <c r="X595" s="1"/>
  <c r="T595" s="1"/>
  <c r="U595" s="1"/>
  <c r="I594"/>
  <c r="J594" s="1"/>
  <c r="O594" s="1"/>
  <c r="I593"/>
  <c r="J593" s="1"/>
  <c r="O593" s="1"/>
  <c r="I592"/>
  <c r="J592" s="1"/>
  <c r="O592" s="1"/>
  <c r="R592" s="1"/>
  <c r="I591"/>
  <c r="J591" s="1"/>
  <c r="O591" s="1"/>
  <c r="X591" s="1"/>
  <c r="T591" s="1"/>
  <c r="U591" s="1"/>
  <c r="I590"/>
  <c r="J590" s="1"/>
  <c r="O590" s="1"/>
  <c r="V590" s="1"/>
  <c r="I589"/>
  <c r="J589" s="1"/>
  <c r="O589" s="1"/>
  <c r="X589" s="1"/>
  <c r="I588"/>
  <c r="J588" s="1"/>
  <c r="O588" s="1"/>
  <c r="I587"/>
  <c r="J587" s="1"/>
  <c r="O587" s="1"/>
  <c r="X587" s="1"/>
  <c r="T587" s="1"/>
  <c r="U587" s="1"/>
  <c r="I586"/>
  <c r="J586" s="1"/>
  <c r="O586" s="1"/>
  <c r="R586" s="1"/>
  <c r="I585"/>
  <c r="J585" s="1"/>
  <c r="O585" s="1"/>
  <c r="I584"/>
  <c r="J584" s="1"/>
  <c r="O584" s="1"/>
  <c r="I583"/>
  <c r="J583" s="1"/>
  <c r="O583" s="1"/>
  <c r="X583" s="1"/>
  <c r="T583" s="1"/>
  <c r="U583" s="1"/>
  <c r="I582"/>
  <c r="J582" s="1"/>
  <c r="O582" s="1"/>
  <c r="I581"/>
  <c r="J581" s="1"/>
  <c r="O581" s="1"/>
  <c r="X581" s="1"/>
  <c r="I580"/>
  <c r="J580" s="1"/>
  <c r="O580" s="1"/>
  <c r="I579"/>
  <c r="J579" s="1"/>
  <c r="O579" s="1"/>
  <c r="X579" s="1"/>
  <c r="T579" s="1"/>
  <c r="U579" s="1"/>
  <c r="I578"/>
  <c r="J578" s="1"/>
  <c r="O578" s="1"/>
  <c r="R578" s="1"/>
  <c r="I577"/>
  <c r="J577" s="1"/>
  <c r="O577" s="1"/>
  <c r="R577" s="1"/>
  <c r="I576"/>
  <c r="J576" s="1"/>
  <c r="O576" s="1"/>
  <c r="I575"/>
  <c r="J575" s="1"/>
  <c r="O575" s="1"/>
  <c r="X575" s="1"/>
  <c r="T575" s="1"/>
  <c r="U575" s="1"/>
  <c r="I574"/>
  <c r="J574" s="1"/>
  <c r="O574" s="1"/>
  <c r="I573"/>
  <c r="J573" s="1"/>
  <c r="O573" s="1"/>
  <c r="X573" s="1"/>
  <c r="I572"/>
  <c r="J572" s="1"/>
  <c r="O572" s="1"/>
  <c r="I571"/>
  <c r="J571" s="1"/>
  <c r="O571" s="1"/>
  <c r="P571" s="1"/>
  <c r="Q571" s="1"/>
  <c r="I570"/>
  <c r="J570" s="1"/>
  <c r="O570" s="1"/>
  <c r="I569"/>
  <c r="J569" s="1"/>
  <c r="O569" s="1"/>
  <c r="R569" s="1"/>
  <c r="I568"/>
  <c r="J568" s="1"/>
  <c r="O568" s="1"/>
  <c r="R568" s="1"/>
  <c r="I567"/>
  <c r="J567" s="1"/>
  <c r="O567" s="1"/>
  <c r="P567" s="1"/>
  <c r="S567" s="1"/>
  <c r="I566"/>
  <c r="J566" s="1"/>
  <c r="O566" s="1"/>
  <c r="I565"/>
  <c r="J565" s="1"/>
  <c r="O565" s="1"/>
  <c r="X565" s="1"/>
  <c r="I564"/>
  <c r="J564" s="1"/>
  <c r="O564" s="1"/>
  <c r="I563"/>
  <c r="J563" s="1"/>
  <c r="O563" s="1"/>
  <c r="W563" s="1"/>
  <c r="I562"/>
  <c r="J562" s="1"/>
  <c r="O562" s="1"/>
  <c r="I561"/>
  <c r="J561" s="1"/>
  <c r="O561" s="1"/>
  <c r="I560"/>
  <c r="J560" s="1"/>
  <c r="O560" s="1"/>
  <c r="I559"/>
  <c r="J559" s="1"/>
  <c r="O559" s="1"/>
  <c r="W559" s="1"/>
  <c r="I558"/>
  <c r="J558" s="1"/>
  <c r="O558" s="1"/>
  <c r="R558" s="1"/>
  <c r="I557"/>
  <c r="J557" s="1"/>
  <c r="O557" s="1"/>
  <c r="X557" s="1"/>
  <c r="I556"/>
  <c r="J556" s="1"/>
  <c r="O556" s="1"/>
  <c r="I555"/>
  <c r="J555" s="1"/>
  <c r="O555" s="1"/>
  <c r="P555" s="1"/>
  <c r="S555" s="1"/>
  <c r="I554"/>
  <c r="J554" s="1"/>
  <c r="O554" s="1"/>
  <c r="P554" s="1"/>
  <c r="Q554" s="1"/>
  <c r="I553"/>
  <c r="J553" s="1"/>
  <c r="O553" s="1"/>
  <c r="P553" s="1"/>
  <c r="S553" s="1"/>
  <c r="I552"/>
  <c r="J552" s="1"/>
  <c r="O552" s="1"/>
  <c r="I551"/>
  <c r="J551" s="1"/>
  <c r="O551" s="1"/>
  <c r="W551" s="1"/>
  <c r="I550"/>
  <c r="J550" s="1"/>
  <c r="O550" s="1"/>
  <c r="I549"/>
  <c r="J549" s="1"/>
  <c r="O549" s="1"/>
  <c r="X549" s="1"/>
  <c r="I548"/>
  <c r="J548" s="1"/>
  <c r="O548" s="1"/>
  <c r="I547"/>
  <c r="J547" s="1"/>
  <c r="O547" s="1"/>
  <c r="W547" s="1"/>
  <c r="I546"/>
  <c r="J546" s="1"/>
  <c r="O546" s="1"/>
  <c r="I545"/>
  <c r="J545" s="1"/>
  <c r="O545" s="1"/>
  <c r="P545" s="1"/>
  <c r="I544"/>
  <c r="J544" s="1"/>
  <c r="O544" s="1"/>
  <c r="I543"/>
  <c r="J543" s="1"/>
  <c r="O543" s="1"/>
  <c r="P543" s="1"/>
  <c r="I542"/>
  <c r="J542" s="1"/>
  <c r="O542" s="1"/>
  <c r="I541"/>
  <c r="J541" s="1"/>
  <c r="O541" s="1"/>
  <c r="X541" s="1"/>
  <c r="I540"/>
  <c r="J540" s="1"/>
  <c r="O540" s="1"/>
  <c r="I539"/>
  <c r="J539" s="1"/>
  <c r="O539" s="1"/>
  <c r="W539" s="1"/>
  <c r="I538"/>
  <c r="J538" s="1"/>
  <c r="O538" s="1"/>
  <c r="I537"/>
  <c r="J537" s="1"/>
  <c r="O537" s="1"/>
  <c r="I536"/>
  <c r="J536" s="1"/>
  <c r="O536" s="1"/>
  <c r="W536" s="1"/>
  <c r="I535"/>
  <c r="J535" s="1"/>
  <c r="O535" s="1"/>
  <c r="W535" s="1"/>
  <c r="I534"/>
  <c r="J534" s="1"/>
  <c r="O534" s="1"/>
  <c r="I533"/>
  <c r="J533" s="1"/>
  <c r="O533" s="1"/>
  <c r="X533" s="1"/>
  <c r="I532"/>
  <c r="J532" s="1"/>
  <c r="O532" s="1"/>
  <c r="I531"/>
  <c r="J531" s="1"/>
  <c r="O531" s="1"/>
  <c r="W531" s="1"/>
  <c r="I530"/>
  <c r="J530" s="1"/>
  <c r="O530" s="1"/>
  <c r="I529"/>
  <c r="J529" s="1"/>
  <c r="O529" s="1"/>
  <c r="I528"/>
  <c r="J528" s="1"/>
  <c r="O528" s="1"/>
  <c r="I527"/>
  <c r="J527" s="1"/>
  <c r="O527" s="1"/>
  <c r="W527" s="1"/>
  <c r="I526"/>
  <c r="J526" s="1"/>
  <c r="O526" s="1"/>
  <c r="I525"/>
  <c r="J525" s="1"/>
  <c r="O525" s="1"/>
  <c r="X525" s="1"/>
  <c r="I524"/>
  <c r="J524" s="1"/>
  <c r="O524" s="1"/>
  <c r="I523"/>
  <c r="J523" s="1"/>
  <c r="O523" s="1"/>
  <c r="P523" s="1"/>
  <c r="I522"/>
  <c r="J522" s="1"/>
  <c r="O522" s="1"/>
  <c r="R522" s="1"/>
  <c r="I521"/>
  <c r="J521" s="1"/>
  <c r="O521" s="1"/>
  <c r="I520"/>
  <c r="J520" s="1"/>
  <c r="O520" s="1"/>
  <c r="R520" s="1"/>
  <c r="I519"/>
  <c r="J519" s="1"/>
  <c r="O519" s="1"/>
  <c r="W519" s="1"/>
  <c r="I518"/>
  <c r="J518" s="1"/>
  <c r="O518" s="1"/>
  <c r="I517"/>
  <c r="J517" s="1"/>
  <c r="O517" s="1"/>
  <c r="X517" s="1"/>
  <c r="I516"/>
  <c r="J516" s="1"/>
  <c r="O516" s="1"/>
  <c r="I515"/>
  <c r="J515" s="1"/>
  <c r="O515" s="1"/>
  <c r="W515" s="1"/>
  <c r="I514"/>
  <c r="J514" s="1"/>
  <c r="O514" s="1"/>
  <c r="I513"/>
  <c r="J513" s="1"/>
  <c r="O513" s="1"/>
  <c r="W513" s="1"/>
  <c r="I512"/>
  <c r="J512" s="1"/>
  <c r="O512" s="1"/>
  <c r="I511"/>
  <c r="J511" s="1"/>
  <c r="O511" s="1"/>
  <c r="P511" s="1"/>
  <c r="S511" s="1"/>
  <c r="I510"/>
  <c r="J510" s="1"/>
  <c r="O510" s="1"/>
  <c r="P510" s="1"/>
  <c r="I509"/>
  <c r="J509" s="1"/>
  <c r="O509" s="1"/>
  <c r="X509" s="1"/>
  <c r="I508"/>
  <c r="J508" s="1"/>
  <c r="O508" s="1"/>
  <c r="I507"/>
  <c r="J507" s="1"/>
  <c r="O507" s="1"/>
  <c r="V507" s="1"/>
  <c r="I506"/>
  <c r="J506" s="1"/>
  <c r="O506" s="1"/>
  <c r="I505"/>
  <c r="J505" s="1"/>
  <c r="O505" s="1"/>
  <c r="I504"/>
  <c r="J504" s="1"/>
  <c r="O504" s="1"/>
  <c r="I503"/>
  <c r="J503" s="1"/>
  <c r="O503" s="1"/>
  <c r="W503" s="1"/>
  <c r="I502"/>
  <c r="J502" s="1"/>
  <c r="O502" s="1"/>
  <c r="I501"/>
  <c r="J501" s="1"/>
  <c r="O501" s="1"/>
  <c r="X501" s="1"/>
  <c r="I500"/>
  <c r="J500" s="1"/>
  <c r="O500" s="1"/>
  <c r="I499"/>
  <c r="J499" s="1"/>
  <c r="O499" s="1"/>
  <c r="V499" s="1"/>
  <c r="I498"/>
  <c r="J498" s="1"/>
  <c r="O498" s="1"/>
  <c r="I497"/>
  <c r="J497" s="1"/>
  <c r="O497" s="1"/>
  <c r="V497" s="1"/>
  <c r="I496"/>
  <c r="J496" s="1"/>
  <c r="O496" s="1"/>
  <c r="I495"/>
  <c r="J495" s="1"/>
  <c r="O495" s="1"/>
  <c r="R495" s="1"/>
  <c r="I494"/>
  <c r="J494" s="1"/>
  <c r="O494" s="1"/>
  <c r="I493"/>
  <c r="J493" s="1"/>
  <c r="O493" s="1"/>
  <c r="X493" s="1"/>
  <c r="I492"/>
  <c r="J492" s="1"/>
  <c r="O492" s="1"/>
  <c r="I491"/>
  <c r="J491" s="1"/>
  <c r="O491" s="1"/>
  <c r="R491" s="1"/>
  <c r="I490"/>
  <c r="J490" s="1"/>
  <c r="O490" s="1"/>
  <c r="R490" s="1"/>
  <c r="I489"/>
  <c r="J489" s="1"/>
  <c r="O489" s="1"/>
  <c r="P489" s="1"/>
  <c r="Q489" s="1"/>
  <c r="I488"/>
  <c r="J488" s="1"/>
  <c r="O488" s="1"/>
  <c r="I487"/>
  <c r="J487" s="1"/>
  <c r="O487" s="1"/>
  <c r="R487" s="1"/>
  <c r="I486"/>
  <c r="J486" s="1"/>
  <c r="O486" s="1"/>
  <c r="I485"/>
  <c r="J485" s="1"/>
  <c r="O485" s="1"/>
  <c r="X485" s="1"/>
  <c r="I484"/>
  <c r="J484" s="1"/>
  <c r="O484" s="1"/>
  <c r="I483"/>
  <c r="J483" s="1"/>
  <c r="O483" s="1"/>
  <c r="V483" s="1"/>
  <c r="I482"/>
  <c r="J482" s="1"/>
  <c r="O482" s="1"/>
  <c r="I481"/>
  <c r="J481" s="1"/>
  <c r="O481" s="1"/>
  <c r="W481" s="1"/>
  <c r="I480"/>
  <c r="J480" s="1"/>
  <c r="O480" s="1"/>
  <c r="R480" s="1"/>
  <c r="I479"/>
  <c r="J479" s="1"/>
  <c r="O479" s="1"/>
  <c r="I478"/>
  <c r="J478" s="1"/>
  <c r="O478" s="1"/>
  <c r="V478" s="1"/>
  <c r="I477"/>
  <c r="J477" s="1"/>
  <c r="O477" s="1"/>
  <c r="X477" s="1"/>
  <c r="I476"/>
  <c r="J476" s="1"/>
  <c r="O476" s="1"/>
  <c r="I475"/>
  <c r="J475" s="1"/>
  <c r="O475" s="1"/>
  <c r="R475" s="1"/>
  <c r="I474"/>
  <c r="J474" s="1"/>
  <c r="O474" s="1"/>
  <c r="P474" s="1"/>
  <c r="S474" s="1"/>
  <c r="I473"/>
  <c r="J473" s="1"/>
  <c r="O473" s="1"/>
  <c r="I472"/>
  <c r="J472" s="1"/>
  <c r="O472" s="1"/>
  <c r="R472" s="1"/>
  <c r="I471"/>
  <c r="J471" s="1"/>
  <c r="O471" s="1"/>
  <c r="V471" s="1"/>
  <c r="I470"/>
  <c r="J470" s="1"/>
  <c r="O470" s="1"/>
  <c r="P470" s="1"/>
  <c r="I469"/>
  <c r="J469" s="1"/>
  <c r="O469" s="1"/>
  <c r="X469" s="1"/>
  <c r="I468"/>
  <c r="J468" s="1"/>
  <c r="O468" s="1"/>
  <c r="I467"/>
  <c r="J467" s="1"/>
  <c r="O467" s="1"/>
  <c r="V467" s="1"/>
  <c r="I466"/>
  <c r="J466" s="1"/>
  <c r="O466" s="1"/>
  <c r="I465"/>
  <c r="J465" s="1"/>
  <c r="O465" s="1"/>
  <c r="P465" s="1"/>
  <c r="S465" s="1"/>
  <c r="I464"/>
  <c r="J464" s="1"/>
  <c r="O464" s="1"/>
  <c r="I463"/>
  <c r="J463" s="1"/>
  <c r="O463" s="1"/>
  <c r="V463" s="1"/>
  <c r="I462"/>
  <c r="J462" s="1"/>
  <c r="O462" s="1"/>
  <c r="I461"/>
  <c r="J461" s="1"/>
  <c r="O461" s="1"/>
  <c r="X461" s="1"/>
  <c r="I460"/>
  <c r="J460" s="1"/>
  <c r="O460" s="1"/>
  <c r="I459"/>
  <c r="J459" s="1"/>
  <c r="O459" s="1"/>
  <c r="R459" s="1"/>
  <c r="I458"/>
  <c r="J458" s="1"/>
  <c r="O458" s="1"/>
  <c r="I457"/>
  <c r="J457" s="1"/>
  <c r="O457" s="1"/>
  <c r="P457" s="1"/>
  <c r="S457" s="1"/>
  <c r="I456"/>
  <c r="J456" s="1"/>
  <c r="O456" s="1"/>
  <c r="P456" s="1"/>
  <c r="I455"/>
  <c r="J455" s="1"/>
  <c r="O455" s="1"/>
  <c r="W455" s="1"/>
  <c r="I454"/>
  <c r="J454" s="1"/>
  <c r="O454" s="1"/>
  <c r="I453"/>
  <c r="J453" s="1"/>
  <c r="O453" s="1"/>
  <c r="X453" s="1"/>
  <c r="I452"/>
  <c r="J452" s="1"/>
  <c r="O452" s="1"/>
  <c r="I451"/>
  <c r="J451" s="1"/>
  <c r="O451" s="1"/>
  <c r="W451" s="1"/>
  <c r="I450"/>
  <c r="J450" s="1"/>
  <c r="O450" s="1"/>
  <c r="V450" s="1"/>
  <c r="I449"/>
  <c r="J449" s="1"/>
  <c r="O449" s="1"/>
  <c r="I448"/>
  <c r="J448" s="1"/>
  <c r="O448" s="1"/>
  <c r="I447"/>
  <c r="J447" s="1"/>
  <c r="O447" s="1"/>
  <c r="W447" s="1"/>
  <c r="I446"/>
  <c r="J446" s="1"/>
  <c r="O446" s="1"/>
  <c r="V446" s="1"/>
  <c r="I445"/>
  <c r="J445" s="1"/>
  <c r="O445" s="1"/>
  <c r="X445" s="1"/>
  <c r="I444"/>
  <c r="J444" s="1"/>
  <c r="O444" s="1"/>
  <c r="I443"/>
  <c r="J443" s="1"/>
  <c r="O443" s="1"/>
  <c r="W443" s="1"/>
  <c r="I442"/>
  <c r="J442" s="1"/>
  <c r="O442" s="1"/>
  <c r="I441"/>
  <c r="J441" s="1"/>
  <c r="O441" s="1"/>
  <c r="I440"/>
  <c r="J440" s="1"/>
  <c r="O440" s="1"/>
  <c r="I439"/>
  <c r="J439" s="1"/>
  <c r="O439" s="1"/>
  <c r="V439" s="1"/>
  <c r="I438"/>
  <c r="J438" s="1"/>
  <c r="O438" s="1"/>
  <c r="I437"/>
  <c r="J437" s="1"/>
  <c r="O437" s="1"/>
  <c r="X437" s="1"/>
  <c r="I436"/>
  <c r="J436" s="1"/>
  <c r="O436" s="1"/>
  <c r="I435"/>
  <c r="J435" s="1"/>
  <c r="O435" s="1"/>
  <c r="V435" s="1"/>
  <c r="I434"/>
  <c r="J434" s="1"/>
  <c r="O434" s="1"/>
  <c r="I433"/>
  <c r="J433" s="1"/>
  <c r="O433" s="1"/>
  <c r="V433" s="1"/>
  <c r="I432"/>
  <c r="J432" s="1"/>
  <c r="O432" s="1"/>
  <c r="I431"/>
  <c r="J431" s="1"/>
  <c r="O431" s="1"/>
  <c r="V431" s="1"/>
  <c r="I430"/>
  <c r="J430" s="1"/>
  <c r="O430" s="1"/>
  <c r="I429"/>
  <c r="J429" s="1"/>
  <c r="O429" s="1"/>
  <c r="X429" s="1"/>
  <c r="I428"/>
  <c r="J428" s="1"/>
  <c r="O428" s="1"/>
  <c r="I427"/>
  <c r="J427" s="1"/>
  <c r="O427" s="1"/>
  <c r="V427" s="1"/>
  <c r="I426"/>
  <c r="J426" s="1"/>
  <c r="O426" s="1"/>
  <c r="I425"/>
  <c r="J425" s="1"/>
  <c r="O425" s="1"/>
  <c r="I424"/>
  <c r="J424" s="1"/>
  <c r="O424" s="1"/>
  <c r="I423"/>
  <c r="J423" s="1"/>
  <c r="O423" s="1"/>
  <c r="W423" s="1"/>
  <c r="I422"/>
  <c r="J422" s="1"/>
  <c r="O422" s="1"/>
  <c r="I421"/>
  <c r="J421" s="1"/>
  <c r="O421" s="1"/>
  <c r="X421" s="1"/>
  <c r="I420"/>
  <c r="J420" s="1"/>
  <c r="O420" s="1"/>
  <c r="I419"/>
  <c r="J419" s="1"/>
  <c r="O419" s="1"/>
  <c r="R419" s="1"/>
  <c r="I418"/>
  <c r="J418" s="1"/>
  <c r="O418" s="1"/>
  <c r="P418" s="1"/>
  <c r="I417"/>
  <c r="J417" s="1"/>
  <c r="O417" s="1"/>
  <c r="I416"/>
  <c r="J416" s="1"/>
  <c r="O416" s="1"/>
  <c r="I415"/>
  <c r="J415" s="1"/>
  <c r="O415" s="1"/>
  <c r="W415" s="1"/>
  <c r="I414"/>
  <c r="J414" s="1"/>
  <c r="O414" s="1"/>
  <c r="I413"/>
  <c r="J413" s="1"/>
  <c r="O413" s="1"/>
  <c r="X413" s="1"/>
  <c r="I412"/>
  <c r="J412" s="1"/>
  <c r="O412" s="1"/>
  <c r="I411"/>
  <c r="J411" s="1"/>
  <c r="O411" s="1"/>
  <c r="P411" s="1"/>
  <c r="I410"/>
  <c r="J410" s="1"/>
  <c r="O410" s="1"/>
  <c r="I409"/>
  <c r="J409" s="1"/>
  <c r="O409" s="1"/>
  <c r="I408"/>
  <c r="J408" s="1"/>
  <c r="O408" s="1"/>
  <c r="I407"/>
  <c r="J407" s="1"/>
  <c r="O407" s="1"/>
  <c r="P407" s="1"/>
  <c r="Q407" s="1"/>
  <c r="I406"/>
  <c r="J406" s="1"/>
  <c r="O406" s="1"/>
  <c r="I405"/>
  <c r="J405" s="1"/>
  <c r="O405" s="1"/>
  <c r="X405" s="1"/>
  <c r="I404"/>
  <c r="J404" s="1"/>
  <c r="O404" s="1"/>
  <c r="I403"/>
  <c r="J403" s="1"/>
  <c r="O403" s="1"/>
  <c r="P403" s="1"/>
  <c r="Q403" s="1"/>
  <c r="I402"/>
  <c r="J402" s="1"/>
  <c r="O402" s="1"/>
  <c r="I401"/>
  <c r="J401" s="1"/>
  <c r="O401" s="1"/>
  <c r="I400"/>
  <c r="J400" s="1"/>
  <c r="O400" s="1"/>
  <c r="I399"/>
  <c r="J399" s="1"/>
  <c r="O399" s="1"/>
  <c r="W399" s="1"/>
  <c r="I398"/>
  <c r="J398" s="1"/>
  <c r="O398" s="1"/>
  <c r="I397"/>
  <c r="J397" s="1"/>
  <c r="O397" s="1"/>
  <c r="X397" s="1"/>
  <c r="I396"/>
  <c r="J396" s="1"/>
  <c r="O396" s="1"/>
  <c r="I395"/>
  <c r="J395" s="1"/>
  <c r="O395" s="1"/>
  <c r="V395" s="1"/>
  <c r="I394"/>
  <c r="J394" s="1"/>
  <c r="O394" s="1"/>
  <c r="R394" s="1"/>
  <c r="I393"/>
  <c r="J393" s="1"/>
  <c r="O393" s="1"/>
  <c r="I392"/>
  <c r="J392" s="1"/>
  <c r="O392" s="1"/>
  <c r="I391"/>
  <c r="J391" s="1"/>
  <c r="O391" s="1"/>
  <c r="I390"/>
  <c r="J390" s="1"/>
  <c r="O390" s="1"/>
  <c r="I389"/>
  <c r="J389" s="1"/>
  <c r="O389" s="1"/>
  <c r="X389" s="1"/>
  <c r="I388"/>
  <c r="J388" s="1"/>
  <c r="O388" s="1"/>
  <c r="I387"/>
  <c r="J387" s="1"/>
  <c r="O387" s="1"/>
  <c r="V387" s="1"/>
  <c r="I386"/>
  <c r="J386" s="1"/>
  <c r="O386" s="1"/>
  <c r="I385"/>
  <c r="J385" s="1"/>
  <c r="O385" s="1"/>
  <c r="P385" s="1"/>
  <c r="Q385" s="1"/>
  <c r="I384"/>
  <c r="J384" s="1"/>
  <c r="O384" s="1"/>
  <c r="I383"/>
  <c r="J383" s="1"/>
  <c r="O383" s="1"/>
  <c r="P383" s="1"/>
  <c r="S383" s="1"/>
  <c r="I382"/>
  <c r="J382" s="1"/>
  <c r="O382" s="1"/>
  <c r="I381"/>
  <c r="J381" s="1"/>
  <c r="O381" s="1"/>
  <c r="X381" s="1"/>
  <c r="I380"/>
  <c r="J380" s="1"/>
  <c r="O380" s="1"/>
  <c r="I379"/>
  <c r="J379" s="1"/>
  <c r="O379" s="1"/>
  <c r="V379" s="1"/>
  <c r="I378"/>
  <c r="J378" s="1"/>
  <c r="O378" s="1"/>
  <c r="I377"/>
  <c r="J377" s="1"/>
  <c r="O377" s="1"/>
  <c r="I376"/>
  <c r="J376" s="1"/>
  <c r="O376" s="1"/>
  <c r="I375"/>
  <c r="J375" s="1"/>
  <c r="O375" s="1"/>
  <c r="W375" s="1"/>
  <c r="I374"/>
  <c r="J374" s="1"/>
  <c r="O374" s="1"/>
  <c r="I373"/>
  <c r="J373" s="1"/>
  <c r="O373" s="1"/>
  <c r="X373" s="1"/>
  <c r="I372"/>
  <c r="J372" s="1"/>
  <c r="O372" s="1"/>
  <c r="I371"/>
  <c r="J371" s="1"/>
  <c r="O371" s="1"/>
  <c r="W371" s="1"/>
  <c r="I370"/>
  <c r="J370" s="1"/>
  <c r="O370" s="1"/>
  <c r="I369"/>
  <c r="J369" s="1"/>
  <c r="O369" s="1"/>
  <c r="I368"/>
  <c r="J368" s="1"/>
  <c r="O368" s="1"/>
  <c r="I367"/>
  <c r="J367" s="1"/>
  <c r="O367" s="1"/>
  <c r="V367" s="1"/>
  <c r="I366"/>
  <c r="J366" s="1"/>
  <c r="O366" s="1"/>
  <c r="V366" s="1"/>
  <c r="I365"/>
  <c r="J365" s="1"/>
  <c r="O365" s="1"/>
  <c r="X365" s="1"/>
  <c r="I364"/>
  <c r="J364" s="1"/>
  <c r="O364" s="1"/>
  <c r="I363"/>
  <c r="J363" s="1"/>
  <c r="O363" s="1"/>
  <c r="W363" s="1"/>
  <c r="I362"/>
  <c r="J362" s="1"/>
  <c r="O362" s="1"/>
  <c r="I361"/>
  <c r="J361" s="1"/>
  <c r="O361" s="1"/>
  <c r="V361" s="1"/>
  <c r="I360"/>
  <c r="J360" s="1"/>
  <c r="O360" s="1"/>
  <c r="P360" s="1"/>
  <c r="I359"/>
  <c r="J359" s="1"/>
  <c r="O359" s="1"/>
  <c r="R359" s="1"/>
  <c r="I358"/>
  <c r="J358" s="1"/>
  <c r="O358" s="1"/>
  <c r="I357"/>
  <c r="J357" s="1"/>
  <c r="O357" s="1"/>
  <c r="X357" s="1"/>
  <c r="I356"/>
  <c r="J356" s="1"/>
  <c r="O356" s="1"/>
  <c r="I355"/>
  <c r="J355" s="1"/>
  <c r="O355" s="1"/>
  <c r="W355" s="1"/>
  <c r="I354"/>
  <c r="J354" s="1"/>
  <c r="O354" s="1"/>
  <c r="I353"/>
  <c r="J353" s="1"/>
  <c r="O353" s="1"/>
  <c r="I352"/>
  <c r="J352" s="1"/>
  <c r="O352" s="1"/>
  <c r="I351"/>
  <c r="J351" s="1"/>
  <c r="O351" s="1"/>
  <c r="W351" s="1"/>
  <c r="I350"/>
  <c r="J350" s="1"/>
  <c r="O350" s="1"/>
  <c r="I349"/>
  <c r="J349" s="1"/>
  <c r="O349" s="1"/>
  <c r="X349" s="1"/>
  <c r="I348"/>
  <c r="J348" s="1"/>
  <c r="O348" s="1"/>
  <c r="I347"/>
  <c r="J347" s="1"/>
  <c r="O347" s="1"/>
  <c r="R347" s="1"/>
  <c r="I346"/>
  <c r="J346" s="1"/>
  <c r="O346" s="1"/>
  <c r="P346" s="1"/>
  <c r="I345"/>
  <c r="J345" s="1"/>
  <c r="O345" s="1"/>
  <c r="I344"/>
  <c r="J344" s="1"/>
  <c r="O344" s="1"/>
  <c r="I343"/>
  <c r="J343" s="1"/>
  <c r="O343" s="1"/>
  <c r="R343" s="1"/>
  <c r="I342"/>
  <c r="J342" s="1"/>
  <c r="O342" s="1"/>
  <c r="R342" s="1"/>
  <c r="I341"/>
  <c r="J341" s="1"/>
  <c r="O341" s="1"/>
  <c r="X341" s="1"/>
  <c r="I340"/>
  <c r="J340" s="1"/>
  <c r="O340" s="1"/>
  <c r="I339"/>
  <c r="J339" s="1"/>
  <c r="O339" s="1"/>
  <c r="R339" s="1"/>
  <c r="I338"/>
  <c r="J338" s="1"/>
  <c r="O338" s="1"/>
  <c r="P338" s="1"/>
  <c r="S338" s="1"/>
  <c r="I337"/>
  <c r="J337" s="1"/>
  <c r="O337" s="1"/>
  <c r="P337" s="1"/>
  <c r="I336"/>
  <c r="J336" s="1"/>
  <c r="O336" s="1"/>
  <c r="I335"/>
  <c r="J335" s="1"/>
  <c r="O335" s="1"/>
  <c r="W335" s="1"/>
  <c r="I334"/>
  <c r="J334" s="1"/>
  <c r="O334" s="1"/>
  <c r="I333"/>
  <c r="J333" s="1"/>
  <c r="O333" s="1"/>
  <c r="X333" s="1"/>
  <c r="I332"/>
  <c r="J332" s="1"/>
  <c r="O332" s="1"/>
  <c r="I331"/>
  <c r="J331" s="1"/>
  <c r="O331" s="1"/>
  <c r="P331" s="1"/>
  <c r="S331" s="1"/>
  <c r="I330"/>
  <c r="J330" s="1"/>
  <c r="O330" s="1"/>
  <c r="I329"/>
  <c r="J329" s="1"/>
  <c r="O329" s="1"/>
  <c r="V329" s="1"/>
  <c r="I328"/>
  <c r="J328" s="1"/>
  <c r="O328" s="1"/>
  <c r="I327"/>
  <c r="J327" s="1"/>
  <c r="O327" s="1"/>
  <c r="V327" s="1"/>
  <c r="I326"/>
  <c r="J326" s="1"/>
  <c r="O326" s="1"/>
  <c r="I325"/>
  <c r="J325" s="1"/>
  <c r="O325" s="1"/>
  <c r="X325" s="1"/>
  <c r="I324"/>
  <c r="J324" s="1"/>
  <c r="O324" s="1"/>
  <c r="I323"/>
  <c r="J323" s="1"/>
  <c r="O323" s="1"/>
  <c r="W323" s="1"/>
  <c r="I322"/>
  <c r="J322" s="1"/>
  <c r="O322" s="1"/>
  <c r="I321"/>
  <c r="J321" s="1"/>
  <c r="O321" s="1"/>
  <c r="I320"/>
  <c r="J320" s="1"/>
  <c r="O320" s="1"/>
  <c r="I319"/>
  <c r="J319" s="1"/>
  <c r="O319" s="1"/>
  <c r="W319" s="1"/>
  <c r="I318"/>
  <c r="J318" s="1"/>
  <c r="O318" s="1"/>
  <c r="I317"/>
  <c r="J317" s="1"/>
  <c r="O317" s="1"/>
  <c r="X317" s="1"/>
  <c r="I316"/>
  <c r="J316" s="1"/>
  <c r="O316" s="1"/>
  <c r="I315"/>
  <c r="J315" s="1"/>
  <c r="O315" s="1"/>
  <c r="I314"/>
  <c r="J314" s="1"/>
  <c r="O314" s="1"/>
  <c r="I313"/>
  <c r="J313" s="1"/>
  <c r="O313" s="1"/>
  <c r="I312"/>
  <c r="J312" s="1"/>
  <c r="O312" s="1"/>
  <c r="I311"/>
  <c r="J311" s="1"/>
  <c r="O311" s="1"/>
  <c r="V311" s="1"/>
  <c r="I310"/>
  <c r="J310" s="1"/>
  <c r="O310" s="1"/>
  <c r="R310" s="1"/>
  <c r="I309"/>
  <c r="J309" s="1"/>
  <c r="O309" s="1"/>
  <c r="X309" s="1"/>
  <c r="I308"/>
  <c r="J308" s="1"/>
  <c r="O308" s="1"/>
  <c r="I307"/>
  <c r="J307" s="1"/>
  <c r="O307" s="1"/>
  <c r="V307" s="1"/>
  <c r="I306"/>
  <c r="J306" s="1"/>
  <c r="O306" s="1"/>
  <c r="I305"/>
  <c r="J305" s="1"/>
  <c r="O305" s="1"/>
  <c r="P305" s="1"/>
  <c r="Q305" s="1"/>
  <c r="I304"/>
  <c r="J304" s="1"/>
  <c r="O304" s="1"/>
  <c r="I303"/>
  <c r="J303" s="1"/>
  <c r="O303" s="1"/>
  <c r="R303" s="1"/>
  <c r="I302"/>
  <c r="J302" s="1"/>
  <c r="O302" s="1"/>
  <c r="I301"/>
  <c r="J301" s="1"/>
  <c r="O301" s="1"/>
  <c r="X301" s="1"/>
  <c r="I300"/>
  <c r="J300" s="1"/>
  <c r="O300" s="1"/>
  <c r="I299"/>
  <c r="J299" s="1"/>
  <c r="O299" s="1"/>
  <c r="W299" s="1"/>
  <c r="I298"/>
  <c r="J298" s="1"/>
  <c r="O298" s="1"/>
  <c r="R298" s="1"/>
  <c r="I297"/>
  <c r="J297" s="1"/>
  <c r="O297" s="1"/>
  <c r="I296"/>
  <c r="J296" s="1"/>
  <c r="O296" s="1"/>
  <c r="I295"/>
  <c r="J295" s="1"/>
  <c r="O295" s="1"/>
  <c r="P295" s="1"/>
  <c r="S295" s="1"/>
  <c r="I294"/>
  <c r="J294" s="1"/>
  <c r="O294" s="1"/>
  <c r="R294" s="1"/>
  <c r="I293"/>
  <c r="J293" s="1"/>
  <c r="O293" s="1"/>
  <c r="X293" s="1"/>
  <c r="T293" s="1"/>
  <c r="U293" s="1"/>
  <c r="I292"/>
  <c r="J292" s="1"/>
  <c r="O292" s="1"/>
  <c r="I291"/>
  <c r="J291" s="1"/>
  <c r="O291" s="1"/>
  <c r="W291" s="1"/>
  <c r="I290"/>
  <c r="J290" s="1"/>
  <c r="O290" s="1"/>
  <c r="I289"/>
  <c r="J289" s="1"/>
  <c r="O289" s="1"/>
  <c r="I288"/>
  <c r="J288" s="1"/>
  <c r="O288" s="1"/>
  <c r="I287"/>
  <c r="J287" s="1"/>
  <c r="O287" s="1"/>
  <c r="W287" s="1"/>
  <c r="I286"/>
  <c r="J286" s="1"/>
  <c r="O286" s="1"/>
  <c r="I285"/>
  <c r="J285" s="1"/>
  <c r="O285" s="1"/>
  <c r="X285" s="1"/>
  <c r="I284"/>
  <c r="J284" s="1"/>
  <c r="O284" s="1"/>
  <c r="I283"/>
  <c r="J283" s="1"/>
  <c r="O283" s="1"/>
  <c r="V283" s="1"/>
  <c r="I282"/>
  <c r="J282" s="1"/>
  <c r="O282" s="1"/>
  <c r="I281"/>
  <c r="J281" s="1"/>
  <c r="O281" s="1"/>
  <c r="I280"/>
  <c r="J280" s="1"/>
  <c r="O280" s="1"/>
  <c r="I279"/>
  <c r="J279" s="1"/>
  <c r="O279" s="1"/>
  <c r="P279" s="1"/>
  <c r="S279" s="1"/>
  <c r="I278"/>
  <c r="J278" s="1"/>
  <c r="O278" s="1"/>
  <c r="I277"/>
  <c r="J277" s="1"/>
  <c r="O277" s="1"/>
  <c r="X277" s="1"/>
  <c r="I276"/>
  <c r="J276" s="1"/>
  <c r="O276" s="1"/>
  <c r="I275"/>
  <c r="J275" s="1"/>
  <c r="O275" s="1"/>
  <c r="R275" s="1"/>
  <c r="I274"/>
  <c r="J274" s="1"/>
  <c r="O274" s="1"/>
  <c r="I273"/>
  <c r="J273" s="1"/>
  <c r="O273" s="1"/>
  <c r="P273" s="1"/>
  <c r="Q273" s="1"/>
  <c r="I272"/>
  <c r="J272" s="1"/>
  <c r="O272" s="1"/>
  <c r="I271"/>
  <c r="J271" s="1"/>
  <c r="O271" s="1"/>
  <c r="W271" s="1"/>
  <c r="I270"/>
  <c r="J270" s="1"/>
  <c r="O270" s="1"/>
  <c r="I269"/>
  <c r="J269" s="1"/>
  <c r="O269" s="1"/>
  <c r="X269" s="1"/>
  <c r="T269" s="1"/>
  <c r="U269" s="1"/>
  <c r="I268"/>
  <c r="J268" s="1"/>
  <c r="O268" s="1"/>
  <c r="I267"/>
  <c r="J267" s="1"/>
  <c r="O267" s="1"/>
  <c r="P267" s="1"/>
  <c r="S267" s="1"/>
  <c r="I266"/>
  <c r="J266" s="1"/>
  <c r="O266" s="1"/>
  <c r="R266" s="1"/>
  <c r="I265"/>
  <c r="J265" s="1"/>
  <c r="O265" s="1"/>
  <c r="I264"/>
  <c r="J264" s="1"/>
  <c r="O264" s="1"/>
  <c r="I263"/>
  <c r="J263" s="1"/>
  <c r="O263" s="1"/>
  <c r="P263" s="1"/>
  <c r="S263" s="1"/>
  <c r="I262"/>
  <c r="J262" s="1"/>
  <c r="O262" s="1"/>
  <c r="I261"/>
  <c r="J261" s="1"/>
  <c r="O261" s="1"/>
  <c r="X261" s="1"/>
  <c r="I260"/>
  <c r="J260" s="1"/>
  <c r="O260" s="1"/>
  <c r="I259"/>
  <c r="J259" s="1"/>
  <c r="O259" s="1"/>
  <c r="P259" s="1"/>
  <c r="S259" s="1"/>
  <c r="I258"/>
  <c r="J258" s="1"/>
  <c r="O258" s="1"/>
  <c r="I257"/>
  <c r="J257" s="1"/>
  <c r="O257" s="1"/>
  <c r="I256"/>
  <c r="J256" s="1"/>
  <c r="O256" s="1"/>
  <c r="I255"/>
  <c r="J255" s="1"/>
  <c r="O255" s="1"/>
  <c r="R255" s="1"/>
  <c r="I254"/>
  <c r="J254" s="1"/>
  <c r="O254" s="1"/>
  <c r="P254" s="1"/>
  <c r="Q254" s="1"/>
  <c r="I253"/>
  <c r="J253" s="1"/>
  <c r="O253" s="1"/>
  <c r="X253" s="1"/>
  <c r="T253" s="1"/>
  <c r="U253" s="1"/>
  <c r="I252"/>
  <c r="J252" s="1"/>
  <c r="O252" s="1"/>
  <c r="I251"/>
  <c r="J251" s="1"/>
  <c r="O251" s="1"/>
  <c r="R251" s="1"/>
  <c r="I250"/>
  <c r="J250" s="1"/>
  <c r="O250" s="1"/>
  <c r="I249"/>
  <c r="J249" s="1"/>
  <c r="O249" s="1"/>
  <c r="I248"/>
  <c r="J248" s="1"/>
  <c r="O248" s="1"/>
  <c r="I247"/>
  <c r="J247" s="1"/>
  <c r="O247" s="1"/>
  <c r="V247" s="1"/>
  <c r="I246"/>
  <c r="J246" s="1"/>
  <c r="O246" s="1"/>
  <c r="I245"/>
  <c r="J245" s="1"/>
  <c r="O245" s="1"/>
  <c r="X245" s="1"/>
  <c r="T245" s="1"/>
  <c r="U245" s="1"/>
  <c r="I244"/>
  <c r="J244" s="1"/>
  <c r="O244" s="1"/>
  <c r="I243"/>
  <c r="J243" s="1"/>
  <c r="O243" s="1"/>
  <c r="R243" s="1"/>
  <c r="I242"/>
  <c r="J242" s="1"/>
  <c r="O242" s="1"/>
  <c r="I241"/>
  <c r="J241" s="1"/>
  <c r="O241" s="1"/>
  <c r="I240"/>
  <c r="J240" s="1"/>
  <c r="O240" s="1"/>
  <c r="I239"/>
  <c r="J239" s="1"/>
  <c r="O239" s="1"/>
  <c r="V239" s="1"/>
  <c r="I238"/>
  <c r="J238" s="1"/>
  <c r="O238" s="1"/>
  <c r="I237"/>
  <c r="J237" s="1"/>
  <c r="O237" s="1"/>
  <c r="X237" s="1"/>
  <c r="T237" s="1"/>
  <c r="U237" s="1"/>
  <c r="I236"/>
  <c r="J236" s="1"/>
  <c r="O236" s="1"/>
  <c r="I235"/>
  <c r="J235" s="1"/>
  <c r="O235" s="1"/>
  <c r="I234"/>
  <c r="J234" s="1"/>
  <c r="O234" s="1"/>
  <c r="I233"/>
  <c r="J233" s="1"/>
  <c r="O233" s="1"/>
  <c r="I232"/>
  <c r="J232" s="1"/>
  <c r="O232" s="1"/>
  <c r="I231"/>
  <c r="J231" s="1"/>
  <c r="O231" s="1"/>
  <c r="R231" s="1"/>
  <c r="I230"/>
  <c r="J230" s="1"/>
  <c r="O230" s="1"/>
  <c r="I229"/>
  <c r="J229" s="1"/>
  <c r="O229" s="1"/>
  <c r="X229" s="1"/>
  <c r="I228"/>
  <c r="J228" s="1"/>
  <c r="O228" s="1"/>
  <c r="I227"/>
  <c r="J227" s="1"/>
  <c r="O227" s="1"/>
  <c r="I226"/>
  <c r="J226" s="1"/>
  <c r="O226" s="1"/>
  <c r="I225"/>
  <c r="J225" s="1"/>
  <c r="O225" s="1"/>
  <c r="I224"/>
  <c r="J224" s="1"/>
  <c r="O224" s="1"/>
  <c r="P224" s="1"/>
  <c r="S224" s="1"/>
  <c r="I223"/>
  <c r="J223" s="1"/>
  <c r="O223" s="1"/>
  <c r="W223" s="1"/>
  <c r="I222"/>
  <c r="J222" s="1"/>
  <c r="O222" s="1"/>
  <c r="I221"/>
  <c r="J221" s="1"/>
  <c r="O221" s="1"/>
  <c r="X221" s="1"/>
  <c r="T221" s="1"/>
  <c r="U221" s="1"/>
  <c r="I220"/>
  <c r="J220" s="1"/>
  <c r="O220" s="1"/>
  <c r="I219"/>
  <c r="J219" s="1"/>
  <c r="O219" s="1"/>
  <c r="P219" s="1"/>
  <c r="Q219" s="1"/>
  <c r="I218"/>
  <c r="J218" s="1"/>
  <c r="O218" s="1"/>
  <c r="I217"/>
  <c r="J217" s="1"/>
  <c r="O217" s="1"/>
  <c r="I216"/>
  <c r="J216" s="1"/>
  <c r="O216" s="1"/>
  <c r="I215"/>
  <c r="J215" s="1"/>
  <c r="O215" s="1"/>
  <c r="P215" s="1"/>
  <c r="I214"/>
  <c r="J214" s="1"/>
  <c r="O214" s="1"/>
  <c r="P214" s="1"/>
  <c r="Q214" s="1"/>
  <c r="I213"/>
  <c r="J213" s="1"/>
  <c r="O213" s="1"/>
  <c r="X213" s="1"/>
  <c r="I212"/>
  <c r="J212" s="1"/>
  <c r="O212" s="1"/>
  <c r="I211"/>
  <c r="J211" s="1"/>
  <c r="O211" s="1"/>
  <c r="P211" s="1"/>
  <c r="S211" s="1"/>
  <c r="I210"/>
  <c r="J210" s="1"/>
  <c r="O210" s="1"/>
  <c r="I209"/>
  <c r="J209" s="1"/>
  <c r="O209" s="1"/>
  <c r="I208"/>
  <c r="J208" s="1"/>
  <c r="O208" s="1"/>
  <c r="I207"/>
  <c r="J207" s="1"/>
  <c r="O207" s="1"/>
  <c r="W207" s="1"/>
  <c r="I206"/>
  <c r="J206" s="1"/>
  <c r="O206" s="1"/>
  <c r="I205"/>
  <c r="J205" s="1"/>
  <c r="O205" s="1"/>
  <c r="X205" s="1"/>
  <c r="T205" s="1"/>
  <c r="U205" s="1"/>
  <c r="I204"/>
  <c r="J204" s="1"/>
  <c r="O204" s="1"/>
  <c r="I203"/>
  <c r="J203" s="1"/>
  <c r="O203" s="1"/>
  <c r="W203" s="1"/>
  <c r="I202"/>
  <c r="J202" s="1"/>
  <c r="O202" s="1"/>
  <c r="I201"/>
  <c r="J201" s="1"/>
  <c r="O201" s="1"/>
  <c r="P201" s="1"/>
  <c r="S201" s="1"/>
  <c r="I200"/>
  <c r="J200" s="1"/>
  <c r="O200" s="1"/>
  <c r="I199"/>
  <c r="J199" s="1"/>
  <c r="O199" s="1"/>
  <c r="P199" s="1"/>
  <c r="I198"/>
  <c r="J198" s="1"/>
  <c r="O198" s="1"/>
  <c r="I197"/>
  <c r="J197" s="1"/>
  <c r="O197" s="1"/>
  <c r="X197" s="1"/>
  <c r="I196"/>
  <c r="J196" s="1"/>
  <c r="O196" s="1"/>
  <c r="I195"/>
  <c r="J195" s="1"/>
  <c r="O195" s="1"/>
  <c r="I194"/>
  <c r="J194" s="1"/>
  <c r="O194" s="1"/>
  <c r="I193"/>
  <c r="J193" s="1"/>
  <c r="O193" s="1"/>
  <c r="I192"/>
  <c r="J192" s="1"/>
  <c r="O192" s="1"/>
  <c r="I191"/>
  <c r="J191" s="1"/>
  <c r="O191" s="1"/>
  <c r="V191" s="1"/>
  <c r="I190"/>
  <c r="J190" s="1"/>
  <c r="O190" s="1"/>
  <c r="I189"/>
  <c r="J189" s="1"/>
  <c r="O189" s="1"/>
  <c r="X189" s="1"/>
  <c r="T189" s="1"/>
  <c r="U189" s="1"/>
  <c r="I188"/>
  <c r="J188" s="1"/>
  <c r="O188" s="1"/>
  <c r="I187"/>
  <c r="J187" s="1"/>
  <c r="O187" s="1"/>
  <c r="P187" s="1"/>
  <c r="S187" s="1"/>
  <c r="I186"/>
  <c r="J186" s="1"/>
  <c r="O186" s="1"/>
  <c r="I185"/>
  <c r="J185" s="1"/>
  <c r="O185" s="1"/>
  <c r="I184"/>
  <c r="J184" s="1"/>
  <c r="O184" s="1"/>
  <c r="I183"/>
  <c r="J183" s="1"/>
  <c r="O183" s="1"/>
  <c r="R183" s="1"/>
  <c r="I182"/>
  <c r="J182" s="1"/>
  <c r="O182" s="1"/>
  <c r="I181"/>
  <c r="J181" s="1"/>
  <c r="O181" s="1"/>
  <c r="X181" s="1"/>
  <c r="T181" s="1"/>
  <c r="U181" s="1"/>
  <c r="I180"/>
  <c r="J180" s="1"/>
  <c r="O180" s="1"/>
  <c r="I179"/>
  <c r="J179" s="1"/>
  <c r="O179" s="1"/>
  <c r="R179" s="1"/>
  <c r="I178"/>
  <c r="J178" s="1"/>
  <c r="O178" s="1"/>
  <c r="I177"/>
  <c r="J177" s="1"/>
  <c r="O177" s="1"/>
  <c r="I176"/>
  <c r="J176" s="1"/>
  <c r="O176" s="1"/>
  <c r="I175"/>
  <c r="J175" s="1"/>
  <c r="O175" s="1"/>
  <c r="I174"/>
  <c r="J174" s="1"/>
  <c r="O174" s="1"/>
  <c r="I173"/>
  <c r="J173" s="1"/>
  <c r="O173" s="1"/>
  <c r="X173" s="1"/>
  <c r="T173" s="1"/>
  <c r="U173" s="1"/>
  <c r="I172"/>
  <c r="J172" s="1"/>
  <c r="O172" s="1"/>
  <c r="I171"/>
  <c r="J171" s="1"/>
  <c r="O171" s="1"/>
  <c r="W171" s="1"/>
  <c r="I170"/>
  <c r="J170" s="1"/>
  <c r="O170" s="1"/>
  <c r="W170" s="1"/>
  <c r="I169"/>
  <c r="J169" s="1"/>
  <c r="O169" s="1"/>
  <c r="I168"/>
  <c r="J168" s="1"/>
  <c r="O168" s="1"/>
  <c r="I167"/>
  <c r="J167" s="1"/>
  <c r="O167" s="1"/>
  <c r="W167" s="1"/>
  <c r="I166"/>
  <c r="J166" s="1"/>
  <c r="O166" s="1"/>
  <c r="I165"/>
  <c r="J165" s="1"/>
  <c r="O165" s="1"/>
  <c r="X165" s="1"/>
  <c r="I164"/>
  <c r="J164" s="1"/>
  <c r="O164" s="1"/>
  <c r="I163"/>
  <c r="J163" s="1"/>
  <c r="O163" s="1"/>
  <c r="V163" s="1"/>
  <c r="I162"/>
  <c r="J162" s="1"/>
  <c r="O162" s="1"/>
  <c r="I161"/>
  <c r="J161" s="1"/>
  <c r="O161" s="1"/>
  <c r="I160"/>
  <c r="J160" s="1"/>
  <c r="O160" s="1"/>
  <c r="V160" s="1"/>
  <c r="I159"/>
  <c r="J159" s="1"/>
  <c r="O159" s="1"/>
  <c r="P159" s="1"/>
  <c r="I158"/>
  <c r="J158" s="1"/>
  <c r="O158" s="1"/>
  <c r="W158" s="1"/>
  <c r="I157"/>
  <c r="J157" s="1"/>
  <c r="O157" s="1"/>
  <c r="X157" s="1"/>
  <c r="T157" s="1"/>
  <c r="U157" s="1"/>
  <c r="I156"/>
  <c r="J156" s="1"/>
  <c r="O156" s="1"/>
  <c r="I155"/>
  <c r="J155" s="1"/>
  <c r="O155" s="1"/>
  <c r="R155" s="1"/>
  <c r="I154"/>
  <c r="J154" s="1"/>
  <c r="O154" s="1"/>
  <c r="V154" s="1"/>
  <c r="I153"/>
  <c r="J153" s="1"/>
  <c r="O153" s="1"/>
  <c r="I152"/>
  <c r="J152" s="1"/>
  <c r="O152" s="1"/>
  <c r="I151"/>
  <c r="J151" s="1"/>
  <c r="O151" s="1"/>
  <c r="V151" s="1"/>
  <c r="I150"/>
  <c r="J150" s="1"/>
  <c r="O150" s="1"/>
  <c r="I149"/>
  <c r="J149" s="1"/>
  <c r="O149" s="1"/>
  <c r="X149" s="1"/>
  <c r="I148"/>
  <c r="J148" s="1"/>
  <c r="O148" s="1"/>
  <c r="I147"/>
  <c r="J147" s="1"/>
  <c r="O147" s="1"/>
  <c r="W147" s="1"/>
  <c r="I146"/>
  <c r="J146" s="1"/>
  <c r="O146" s="1"/>
  <c r="I145"/>
  <c r="J145" s="1"/>
  <c r="O145" s="1"/>
  <c r="I144"/>
  <c r="J144" s="1"/>
  <c r="O144" s="1"/>
  <c r="I143"/>
  <c r="J143" s="1"/>
  <c r="O143" s="1"/>
  <c r="P143" s="1"/>
  <c r="I142"/>
  <c r="J142" s="1"/>
  <c r="O142" s="1"/>
  <c r="I141"/>
  <c r="J141" s="1"/>
  <c r="O141" s="1"/>
  <c r="X141" s="1"/>
  <c r="T141" s="1"/>
  <c r="U141" s="1"/>
  <c r="I140"/>
  <c r="J140" s="1"/>
  <c r="O140" s="1"/>
  <c r="I139"/>
  <c r="J139" s="1"/>
  <c r="O139" s="1"/>
  <c r="W139" s="1"/>
  <c r="I138"/>
  <c r="J138" s="1"/>
  <c r="O138" s="1"/>
  <c r="W138" s="1"/>
  <c r="I137"/>
  <c r="J137" s="1"/>
  <c r="O137" s="1"/>
  <c r="I136"/>
  <c r="J136" s="1"/>
  <c r="O136" s="1"/>
  <c r="I135"/>
  <c r="J135" s="1"/>
  <c r="O135" s="1"/>
  <c r="W135" s="1"/>
  <c r="I134"/>
  <c r="J134" s="1"/>
  <c r="O134" s="1"/>
  <c r="P134" s="1"/>
  <c r="I133"/>
  <c r="J133" s="1"/>
  <c r="O133" s="1"/>
  <c r="X133" s="1"/>
  <c r="I132"/>
  <c r="J132" s="1"/>
  <c r="O132" s="1"/>
  <c r="I131"/>
  <c r="J131" s="1"/>
  <c r="O131" s="1"/>
  <c r="R131" s="1"/>
  <c r="I130"/>
  <c r="J130" s="1"/>
  <c r="O130" s="1"/>
  <c r="I129"/>
  <c r="J129" s="1"/>
  <c r="O129" s="1"/>
  <c r="I128"/>
  <c r="J128" s="1"/>
  <c r="O128" s="1"/>
  <c r="I127"/>
  <c r="J127" s="1"/>
  <c r="O127" s="1"/>
  <c r="P127" s="1"/>
  <c r="Q127" s="1"/>
  <c r="I126"/>
  <c r="J126" s="1"/>
  <c r="O126" s="1"/>
  <c r="I125"/>
  <c r="J125" s="1"/>
  <c r="O125" s="1"/>
  <c r="X125" s="1"/>
  <c r="T125" s="1"/>
  <c r="U125" s="1"/>
  <c r="I124"/>
  <c r="J124" s="1"/>
  <c r="O124" s="1"/>
  <c r="I123"/>
  <c r="J123" s="1"/>
  <c r="O123" s="1"/>
  <c r="R123" s="1"/>
  <c r="I122"/>
  <c r="J122" s="1"/>
  <c r="O122" s="1"/>
  <c r="I121"/>
  <c r="J121" s="1"/>
  <c r="O121" s="1"/>
  <c r="I120"/>
  <c r="J120" s="1"/>
  <c r="O120" s="1"/>
  <c r="I119"/>
  <c r="J119" s="1"/>
  <c r="O119" s="1"/>
  <c r="R119" s="1"/>
  <c r="I118"/>
  <c r="J118" s="1"/>
  <c r="O118" s="1"/>
  <c r="I117"/>
  <c r="J117" s="1"/>
  <c r="O117" s="1"/>
  <c r="X117" s="1"/>
  <c r="T117" s="1"/>
  <c r="U117" s="1"/>
  <c r="I116"/>
  <c r="J116" s="1"/>
  <c r="O116" s="1"/>
  <c r="I115"/>
  <c r="J115" s="1"/>
  <c r="O115" s="1"/>
  <c r="P115" s="1"/>
  <c r="I114"/>
  <c r="J114" s="1"/>
  <c r="O114" s="1"/>
  <c r="I113"/>
  <c r="J113" s="1"/>
  <c r="O113" s="1"/>
  <c r="I112"/>
  <c r="J112" s="1"/>
  <c r="O112" s="1"/>
  <c r="I111"/>
  <c r="J111" s="1"/>
  <c r="O111" s="1"/>
  <c r="V111" s="1"/>
  <c r="I110"/>
  <c r="J110" s="1"/>
  <c r="O110" s="1"/>
  <c r="V110" s="1"/>
  <c r="I109"/>
  <c r="J109" s="1"/>
  <c r="O109" s="1"/>
  <c r="X109" s="1"/>
  <c r="T109" s="1"/>
  <c r="U109" s="1"/>
  <c r="I108"/>
  <c r="J108" s="1"/>
  <c r="O108" s="1"/>
  <c r="I107"/>
  <c r="J107" s="1"/>
  <c r="O107" s="1"/>
  <c r="W107" s="1"/>
  <c r="I106"/>
  <c r="J106" s="1"/>
  <c r="O106" s="1"/>
  <c r="I105"/>
  <c r="J105" s="1"/>
  <c r="O105" s="1"/>
  <c r="P105" s="1"/>
  <c r="S105" s="1"/>
  <c r="I104"/>
  <c r="J104" s="1"/>
  <c r="O104" s="1"/>
  <c r="I103"/>
  <c r="J103" s="1"/>
  <c r="O103" s="1"/>
  <c r="P103" s="1"/>
  <c r="S103" s="1"/>
  <c r="I102"/>
  <c r="J102" s="1"/>
  <c r="O102" s="1"/>
  <c r="I101"/>
  <c r="J101" s="1"/>
  <c r="O101" s="1"/>
  <c r="X101" s="1"/>
  <c r="I100"/>
  <c r="J100" s="1"/>
  <c r="O100" s="1"/>
  <c r="I99"/>
  <c r="J99" s="1"/>
  <c r="O99" s="1"/>
  <c r="P99" s="1"/>
  <c r="S99" s="1"/>
  <c r="I98"/>
  <c r="J98" s="1"/>
  <c r="O98" s="1"/>
  <c r="I97"/>
  <c r="J97" s="1"/>
  <c r="O97" s="1"/>
  <c r="I96"/>
  <c r="J96" s="1"/>
  <c r="O96" s="1"/>
  <c r="V96" s="1"/>
  <c r="I95"/>
  <c r="J95" s="1"/>
  <c r="O95" s="1"/>
  <c r="R95" s="1"/>
  <c r="I94"/>
  <c r="J94" s="1"/>
  <c r="O94" s="1"/>
  <c r="I93"/>
  <c r="J93" s="1"/>
  <c r="O93" s="1"/>
  <c r="X93" s="1"/>
  <c r="T93" s="1"/>
  <c r="U93" s="1"/>
  <c r="I92"/>
  <c r="J92" s="1"/>
  <c r="O92" s="1"/>
  <c r="I91"/>
  <c r="J91" s="1"/>
  <c r="O91" s="1"/>
  <c r="V91" s="1"/>
  <c r="I90"/>
  <c r="J90" s="1"/>
  <c r="O90" s="1"/>
  <c r="I89"/>
  <c r="J89" s="1"/>
  <c r="O89" s="1"/>
  <c r="I88"/>
  <c r="J88" s="1"/>
  <c r="O88" s="1"/>
  <c r="I87"/>
  <c r="J87" s="1"/>
  <c r="O87" s="1"/>
  <c r="P87" s="1"/>
  <c r="Q87" s="1"/>
  <c r="I86"/>
  <c r="J86" s="1"/>
  <c r="O86" s="1"/>
  <c r="P86" s="1"/>
  <c r="S86" s="1"/>
  <c r="I85"/>
  <c r="J85" s="1"/>
  <c r="O85" s="1"/>
  <c r="X85" s="1"/>
  <c r="I84"/>
  <c r="J84" s="1"/>
  <c r="O84" s="1"/>
  <c r="I83"/>
  <c r="J83" s="1"/>
  <c r="O83" s="1"/>
  <c r="X83" s="1"/>
  <c r="T83" s="1"/>
  <c r="U83" s="1"/>
  <c r="I82"/>
  <c r="J82" s="1"/>
  <c r="O82" s="1"/>
  <c r="I81"/>
  <c r="J81" s="1"/>
  <c r="O81" s="1"/>
  <c r="I80"/>
  <c r="J80" s="1"/>
  <c r="O80" s="1"/>
  <c r="I79"/>
  <c r="J79" s="1"/>
  <c r="O79" s="1"/>
  <c r="X79" s="1"/>
  <c r="T79" s="1"/>
  <c r="U79" s="1"/>
  <c r="I78"/>
  <c r="J78" s="1"/>
  <c r="O78" s="1"/>
  <c r="I77"/>
  <c r="J77" s="1"/>
  <c r="O77" s="1"/>
  <c r="X77" s="1"/>
  <c r="T77" s="1"/>
  <c r="U77" s="1"/>
  <c r="I76"/>
  <c r="J76" s="1"/>
  <c r="O76" s="1"/>
  <c r="I75"/>
  <c r="J75" s="1"/>
  <c r="O75" s="1"/>
  <c r="X75" s="1"/>
  <c r="T75" s="1"/>
  <c r="U75" s="1"/>
  <c r="I74"/>
  <c r="J74" s="1"/>
  <c r="O74" s="1"/>
  <c r="I73"/>
  <c r="J73" s="1"/>
  <c r="O73" s="1"/>
  <c r="P73" s="1"/>
  <c r="S73" s="1"/>
  <c r="I72"/>
  <c r="J72" s="1"/>
  <c r="O72" s="1"/>
  <c r="I71"/>
  <c r="J71" s="1"/>
  <c r="O71" s="1"/>
  <c r="X71" s="1"/>
  <c r="T71" s="1"/>
  <c r="U71" s="1"/>
  <c r="I70"/>
  <c r="J70" s="1"/>
  <c r="O70" s="1"/>
  <c r="I69"/>
  <c r="J69" s="1"/>
  <c r="O69" s="1"/>
  <c r="X69" s="1"/>
  <c r="I68"/>
  <c r="J68" s="1"/>
  <c r="O68" s="1"/>
  <c r="I67"/>
  <c r="J67" s="1"/>
  <c r="O67" s="1"/>
  <c r="X67" s="1"/>
  <c r="T67" s="1"/>
  <c r="U67" s="1"/>
  <c r="I66"/>
  <c r="J66" s="1"/>
  <c r="O66" s="1"/>
  <c r="P66" s="1"/>
  <c r="Q66" s="1"/>
  <c r="I65"/>
  <c r="J65" s="1"/>
  <c r="O65" s="1"/>
  <c r="I64"/>
  <c r="J64" s="1"/>
  <c r="O64" s="1"/>
  <c r="I63"/>
  <c r="J63" s="1"/>
  <c r="O63" s="1"/>
  <c r="X63" s="1"/>
  <c r="T63" s="1"/>
  <c r="U63" s="1"/>
  <c r="I62"/>
  <c r="J62" s="1"/>
  <c r="O62" s="1"/>
  <c r="I61"/>
  <c r="J61" s="1"/>
  <c r="O61" s="1"/>
  <c r="X61" s="1"/>
  <c r="T61" s="1"/>
  <c r="U61" s="1"/>
  <c r="I60"/>
  <c r="J60" s="1"/>
  <c r="O60" s="1"/>
  <c r="I59"/>
  <c r="J59" s="1"/>
  <c r="O59" s="1"/>
  <c r="X59" s="1"/>
  <c r="T59" s="1"/>
  <c r="U59" s="1"/>
  <c r="I58"/>
  <c r="J58" s="1"/>
  <c r="O58" s="1"/>
  <c r="I57"/>
  <c r="J57" s="1"/>
  <c r="O57" s="1"/>
  <c r="I56"/>
  <c r="J56" s="1"/>
  <c r="O56" s="1"/>
  <c r="I55"/>
  <c r="J55" s="1"/>
  <c r="O55" s="1"/>
  <c r="I54"/>
  <c r="J54" s="1"/>
  <c r="O54" s="1"/>
  <c r="I53"/>
  <c r="J53" s="1"/>
  <c r="O53" s="1"/>
  <c r="X53" s="1"/>
  <c r="T53" s="1"/>
  <c r="U53" s="1"/>
  <c r="I52"/>
  <c r="J52" s="1"/>
  <c r="O52" s="1"/>
  <c r="I51"/>
  <c r="J51" s="1"/>
  <c r="O51" s="1"/>
  <c r="I50"/>
  <c r="J50" s="1"/>
  <c r="O50" s="1"/>
  <c r="I49"/>
  <c r="J49" s="1"/>
  <c r="O49" s="1"/>
  <c r="I48"/>
  <c r="J48" s="1"/>
  <c r="O48" s="1"/>
  <c r="I47"/>
  <c r="J47" s="1"/>
  <c r="O47" s="1"/>
  <c r="X47" s="1"/>
  <c r="T47" s="1"/>
  <c r="U47" s="1"/>
  <c r="I46"/>
  <c r="J46" s="1"/>
  <c r="O46" s="1"/>
  <c r="I45"/>
  <c r="J45" s="1"/>
  <c r="O45" s="1"/>
  <c r="X45" s="1"/>
  <c r="T45" s="1"/>
  <c r="U45" s="1"/>
  <c r="I44"/>
  <c r="J44" s="1"/>
  <c r="O44" s="1"/>
  <c r="I43"/>
  <c r="J43" s="1"/>
  <c r="O43" s="1"/>
  <c r="I42"/>
  <c r="J42" s="1"/>
  <c r="O42" s="1"/>
  <c r="W42" s="1"/>
  <c r="I41"/>
  <c r="J41" s="1"/>
  <c r="O41" s="1"/>
  <c r="I40"/>
  <c r="J40" s="1"/>
  <c r="O40" s="1"/>
  <c r="I39"/>
  <c r="J39" s="1"/>
  <c r="O39" s="1"/>
  <c r="X39" s="1"/>
  <c r="T39" s="1"/>
  <c r="U39" s="1"/>
  <c r="I38"/>
  <c r="J38" s="1"/>
  <c r="O38" s="1"/>
  <c r="I37"/>
  <c r="J37" s="1"/>
  <c r="O37" s="1"/>
  <c r="X37" s="1"/>
  <c r="I36"/>
  <c r="J36" s="1"/>
  <c r="O36" s="1"/>
  <c r="I35"/>
  <c r="J35" s="1"/>
  <c r="O35" s="1"/>
  <c r="X35" s="1"/>
  <c r="T35" s="1"/>
  <c r="U35" s="1"/>
  <c r="I34"/>
  <c r="J34" s="1"/>
  <c r="O34" s="1"/>
  <c r="I33"/>
  <c r="J33" s="1"/>
  <c r="O33" s="1"/>
  <c r="I32"/>
  <c r="J32" s="1"/>
  <c r="O32" s="1"/>
  <c r="I31"/>
  <c r="J31" s="1"/>
  <c r="O31" s="1"/>
  <c r="X31" s="1"/>
  <c r="T31" s="1"/>
  <c r="U31" s="1"/>
  <c r="I30"/>
  <c r="J30" s="1"/>
  <c r="O30" s="1"/>
  <c r="I29"/>
  <c r="J29" s="1"/>
  <c r="O29" s="1"/>
  <c r="X29" s="1"/>
  <c r="T29" s="1"/>
  <c r="U29" s="1"/>
  <c r="I28"/>
  <c r="J28" s="1"/>
  <c r="O28" s="1"/>
  <c r="I27"/>
  <c r="J27" s="1"/>
  <c r="O27" s="1"/>
  <c r="X27" s="1"/>
  <c r="T27" s="1"/>
  <c r="U27" s="1"/>
  <c r="I26"/>
  <c r="J26" s="1"/>
  <c r="O26" s="1"/>
  <c r="X26" s="1"/>
  <c r="T26" s="1"/>
  <c r="U26" s="1"/>
  <c r="I25"/>
  <c r="J25" s="1"/>
  <c r="O25" s="1"/>
  <c r="P25" s="1"/>
  <c r="S25" s="1"/>
  <c r="I24"/>
  <c r="J24" s="1"/>
  <c r="O24" s="1"/>
  <c r="I23"/>
  <c r="J23" s="1"/>
  <c r="O23" s="1"/>
  <c r="X23" s="1"/>
  <c r="T23" s="1"/>
  <c r="U23" s="1"/>
  <c r="I22"/>
  <c r="J22" s="1"/>
  <c r="O22" s="1"/>
  <c r="X22" s="1"/>
  <c r="T22" s="1"/>
  <c r="U22" s="1"/>
  <c r="I21"/>
  <c r="J21" s="1"/>
  <c r="O21" s="1"/>
  <c r="X21" s="1"/>
  <c r="I20"/>
  <c r="J20" s="1"/>
  <c r="O20" s="1"/>
  <c r="I19"/>
  <c r="J19" s="1"/>
  <c r="O19" s="1"/>
  <c r="X19" s="1"/>
  <c r="T19" s="1"/>
  <c r="U19" s="1"/>
  <c r="I18"/>
  <c r="J18" s="1"/>
  <c r="O18" s="1"/>
  <c r="I17"/>
  <c r="J17" s="1"/>
  <c r="O17" s="1"/>
  <c r="P17" s="1"/>
  <c r="I16"/>
  <c r="J16" s="1"/>
  <c r="O16" s="1"/>
  <c r="I15"/>
  <c r="J15" s="1"/>
  <c r="O15" s="1"/>
  <c r="X15" s="1"/>
  <c r="T15" s="1"/>
  <c r="U15" s="1"/>
  <c r="I14"/>
  <c r="J14" s="1"/>
  <c r="O14" s="1"/>
  <c r="I13"/>
  <c r="J13" s="1"/>
  <c r="O13" s="1"/>
  <c r="X13" s="1"/>
  <c r="T13" s="1"/>
  <c r="U13" s="1"/>
  <c r="E994"/>
  <c r="E993"/>
  <c r="E992"/>
  <c r="E991"/>
  <c r="E990"/>
  <c r="E989"/>
  <c r="E988"/>
  <c r="E987"/>
  <c r="E986"/>
  <c r="E985"/>
  <c r="E984"/>
  <c r="E983"/>
  <c r="E982"/>
  <c r="E981"/>
  <c r="E980"/>
  <c r="E979"/>
  <c r="E978"/>
  <c r="E977"/>
  <c r="E976"/>
  <c r="E975"/>
  <c r="E974"/>
  <c r="E973"/>
  <c r="E972"/>
  <c r="E971"/>
  <c r="E970"/>
  <c r="E969"/>
  <c r="E968"/>
  <c r="E967"/>
  <c r="E966"/>
  <c r="E965"/>
  <c r="E964"/>
  <c r="E963"/>
  <c r="E962"/>
  <c r="E961"/>
  <c r="E960"/>
  <c r="E959"/>
  <c r="E958"/>
  <c r="E957"/>
  <c r="E956"/>
  <c r="E955"/>
  <c r="E954"/>
  <c r="E953"/>
  <c r="E952"/>
  <c r="E951"/>
  <c r="E950"/>
  <c r="E949"/>
  <c r="E948"/>
  <c r="E947"/>
  <c r="E946"/>
  <c r="E945"/>
  <c r="E944"/>
  <c r="E943"/>
  <c r="E942"/>
  <c r="E941"/>
  <c r="E940"/>
  <c r="E939"/>
  <c r="E938"/>
  <c r="E937"/>
  <c r="E936"/>
  <c r="E935"/>
  <c r="E934"/>
  <c r="E933"/>
  <c r="E932"/>
  <c r="E931"/>
  <c r="E930"/>
  <c r="E929"/>
  <c r="E928"/>
  <c r="E927"/>
  <c r="E926"/>
  <c r="E925"/>
  <c r="E924"/>
  <c r="E923"/>
  <c r="E922"/>
  <c r="E921"/>
  <c r="E920"/>
  <c r="E919"/>
  <c r="E918"/>
  <c r="E917"/>
  <c r="E916"/>
  <c r="E915"/>
  <c r="E914"/>
  <c r="E913"/>
  <c r="E912"/>
  <c r="E911"/>
  <c r="E910"/>
  <c r="E909"/>
  <c r="E908"/>
  <c r="E907"/>
  <c r="E906"/>
  <c r="E905"/>
  <c r="E904"/>
  <c r="E903"/>
  <c r="E902"/>
  <c r="E901"/>
  <c r="E900"/>
  <c r="E899"/>
  <c r="E898"/>
  <c r="E897"/>
  <c r="E896"/>
  <c r="E895"/>
  <c r="E894"/>
  <c r="E893"/>
  <c r="E892"/>
  <c r="E891"/>
  <c r="E890"/>
  <c r="E889"/>
  <c r="E888"/>
  <c r="E887"/>
  <c r="E886"/>
  <c r="E885"/>
  <c r="E884"/>
  <c r="E883"/>
  <c r="E882"/>
  <c r="E881"/>
  <c r="E880"/>
  <c r="E879"/>
  <c r="E878"/>
  <c r="E877"/>
  <c r="E876"/>
  <c r="E875"/>
  <c r="E874"/>
  <c r="E873"/>
  <c r="E872"/>
  <c r="E871"/>
  <c r="E870"/>
  <c r="E869"/>
  <c r="E868"/>
  <c r="E867"/>
  <c r="E866"/>
  <c r="E865"/>
  <c r="E864"/>
  <c r="E863"/>
  <c r="E862"/>
  <c r="E861"/>
  <c r="E860"/>
  <c r="E859"/>
  <c r="E858"/>
  <c r="E857"/>
  <c r="E856"/>
  <c r="E855"/>
  <c r="E854"/>
  <c r="E853"/>
  <c r="E852"/>
  <c r="E851"/>
  <c r="E850"/>
  <c r="E849"/>
  <c r="E848"/>
  <c r="E847"/>
  <c r="E846"/>
  <c r="E845"/>
  <c r="E844"/>
  <c r="E843"/>
  <c r="E842"/>
  <c r="E841"/>
  <c r="E840"/>
  <c r="E839"/>
  <c r="E838"/>
  <c r="E837"/>
  <c r="E836"/>
  <c r="E835"/>
  <c r="E834"/>
  <c r="E833"/>
  <c r="E832"/>
  <c r="E831"/>
  <c r="E830"/>
  <c r="E829"/>
  <c r="E828"/>
  <c r="E827"/>
  <c r="E826"/>
  <c r="E825"/>
  <c r="E824"/>
  <c r="E823"/>
  <c r="E822"/>
  <c r="E821"/>
  <c r="E820"/>
  <c r="E819"/>
  <c r="E818"/>
  <c r="E817"/>
  <c r="E816"/>
  <c r="E815"/>
  <c r="E814"/>
  <c r="E813"/>
  <c r="E812"/>
  <c r="E811"/>
  <c r="E810"/>
  <c r="E809"/>
  <c r="E808"/>
  <c r="E807"/>
  <c r="E806"/>
  <c r="E805"/>
  <c r="E804"/>
  <c r="E803"/>
  <c r="E802"/>
  <c r="E801"/>
  <c r="E800"/>
  <c r="E799"/>
  <c r="E798"/>
  <c r="E797"/>
  <c r="E796"/>
  <c r="E795"/>
  <c r="E794"/>
  <c r="E793"/>
  <c r="E792"/>
  <c r="E791"/>
  <c r="E790"/>
  <c r="E789"/>
  <c r="E788"/>
  <c r="E787"/>
  <c r="E786"/>
  <c r="E785"/>
  <c r="E784"/>
  <c r="E783"/>
  <c r="E782"/>
  <c r="E781"/>
  <c r="E780"/>
  <c r="E779"/>
  <c r="E778"/>
  <c r="E777"/>
  <c r="E776"/>
  <c r="E775"/>
  <c r="E774"/>
  <c r="E773"/>
  <c r="E772"/>
  <c r="E771"/>
  <c r="E770"/>
  <c r="E769"/>
  <c r="E768"/>
  <c r="E767"/>
  <c r="E766"/>
  <c r="E765"/>
  <c r="E764"/>
  <c r="E763"/>
  <c r="E762"/>
  <c r="E761"/>
  <c r="E760"/>
  <c r="E759"/>
  <c r="E758"/>
  <c r="E757"/>
  <c r="E756"/>
  <c r="E755"/>
  <c r="E754"/>
  <c r="E753"/>
  <c r="E752"/>
  <c r="E751"/>
  <c r="E750"/>
  <c r="E749"/>
  <c r="E748"/>
  <c r="E747"/>
  <c r="E746"/>
  <c r="E745"/>
  <c r="E744"/>
  <c r="E743"/>
  <c r="E742"/>
  <c r="E741"/>
  <c r="E740"/>
  <c r="E739"/>
  <c r="E738"/>
  <c r="E737"/>
  <c r="E736"/>
  <c r="E735"/>
  <c r="E734"/>
  <c r="E733"/>
  <c r="E732"/>
  <c r="E731"/>
  <c r="E730"/>
  <c r="E729"/>
  <c r="E728"/>
  <c r="E727"/>
  <c r="E726"/>
  <c r="E725"/>
  <c r="E724"/>
  <c r="E723"/>
  <c r="E722"/>
  <c r="E721"/>
  <c r="E720"/>
  <c r="E719"/>
  <c r="E718"/>
  <c r="E717"/>
  <c r="E716"/>
  <c r="E715"/>
  <c r="E714"/>
  <c r="E713"/>
  <c r="E712"/>
  <c r="E711"/>
  <c r="E710"/>
  <c r="E709"/>
  <c r="E708"/>
  <c r="E707"/>
  <c r="E706"/>
  <c r="E705"/>
  <c r="E704"/>
  <c r="E703"/>
  <c r="E702"/>
  <c r="E701"/>
  <c r="E700"/>
  <c r="E699"/>
  <c r="E698"/>
  <c r="E697"/>
  <c r="E696"/>
  <c r="E695"/>
  <c r="E694"/>
  <c r="E693"/>
  <c r="E692"/>
  <c r="E691"/>
  <c r="E690"/>
  <c r="E689"/>
  <c r="E688"/>
  <c r="E687"/>
  <c r="E686"/>
  <c r="E685"/>
  <c r="E684"/>
  <c r="E683"/>
  <c r="E682"/>
  <c r="E681"/>
  <c r="E680"/>
  <c r="E679"/>
  <c r="E678"/>
  <c r="E677"/>
  <c r="E676"/>
  <c r="E675"/>
  <c r="E674"/>
  <c r="E673"/>
  <c r="E672"/>
  <c r="E671"/>
  <c r="E670"/>
  <c r="E669"/>
  <c r="E668"/>
  <c r="E667"/>
  <c r="E666"/>
  <c r="E665"/>
  <c r="E664"/>
  <c r="E663"/>
  <c r="E662"/>
  <c r="E661"/>
  <c r="E660"/>
  <c r="E659"/>
  <c r="E658"/>
  <c r="E657"/>
  <c r="E656"/>
  <c r="E655"/>
  <c r="E654"/>
  <c r="E653"/>
  <c r="E652"/>
  <c r="E651"/>
  <c r="E650"/>
  <c r="E649"/>
  <c r="E648"/>
  <c r="E647"/>
  <c r="E646"/>
  <c r="E645"/>
  <c r="E644"/>
  <c r="E643"/>
  <c r="E642"/>
  <c r="E641"/>
  <c r="E640"/>
  <c r="E639"/>
  <c r="E638"/>
  <c r="E637"/>
  <c r="E636"/>
  <c r="E635"/>
  <c r="E634"/>
  <c r="E633"/>
  <c r="E632"/>
  <c r="E631"/>
  <c r="E630"/>
  <c r="E629"/>
  <c r="E628"/>
  <c r="E627"/>
  <c r="E626"/>
  <c r="E625"/>
  <c r="E624"/>
  <c r="E623"/>
  <c r="E622"/>
  <c r="E621"/>
  <c r="E620"/>
  <c r="E619"/>
  <c r="E618"/>
  <c r="E617"/>
  <c r="E616"/>
  <c r="E615"/>
  <c r="E614"/>
  <c r="E613"/>
  <c r="E612"/>
  <c r="E611"/>
  <c r="E610"/>
  <c r="E609"/>
  <c r="E608"/>
  <c r="E607"/>
  <c r="E606"/>
  <c r="E605"/>
  <c r="E604"/>
  <c r="E603"/>
  <c r="E602"/>
  <c r="E601"/>
  <c r="E600"/>
  <c r="E599"/>
  <c r="E598"/>
  <c r="E597"/>
  <c r="E596"/>
  <c r="E595"/>
  <c r="E594"/>
  <c r="E593"/>
  <c r="E592"/>
  <c r="E591"/>
  <c r="E590"/>
  <c r="E589"/>
  <c r="E588"/>
  <c r="E587"/>
  <c r="E586"/>
  <c r="E585"/>
  <c r="E584"/>
  <c r="E583"/>
  <c r="E582"/>
  <c r="E581"/>
  <c r="E580"/>
  <c r="E579"/>
  <c r="E578"/>
  <c r="E577"/>
  <c r="E576"/>
  <c r="E575"/>
  <c r="E574"/>
  <c r="E573"/>
  <c r="E572"/>
  <c r="E571"/>
  <c r="E570"/>
  <c r="E569"/>
  <c r="E568"/>
  <c r="E567"/>
  <c r="E566"/>
  <c r="E565"/>
  <c r="E564"/>
  <c r="E563"/>
  <c r="E562"/>
  <c r="E561"/>
  <c r="E560"/>
  <c r="E559"/>
  <c r="E558"/>
  <c r="E557"/>
  <c r="E556"/>
  <c r="E555"/>
  <c r="E554"/>
  <c r="E553"/>
  <c r="E552"/>
  <c r="E551"/>
  <c r="E550"/>
  <c r="E549"/>
  <c r="E548"/>
  <c r="E547"/>
  <c r="E546"/>
  <c r="E545"/>
  <c r="E544"/>
  <c r="E543"/>
  <c r="E542"/>
  <c r="E541"/>
  <c r="E540"/>
  <c r="E539"/>
  <c r="E538"/>
  <c r="E537"/>
  <c r="E536"/>
  <c r="E535"/>
  <c r="E534"/>
  <c r="E533"/>
  <c r="E532"/>
  <c r="E531"/>
  <c r="E530"/>
  <c r="E529"/>
  <c r="E528"/>
  <c r="E527"/>
  <c r="E526"/>
  <c r="E525"/>
  <c r="E524"/>
  <c r="E523"/>
  <c r="E522"/>
  <c r="E521"/>
  <c r="E520"/>
  <c r="E519"/>
  <c r="E518"/>
  <c r="E517"/>
  <c r="E516"/>
  <c r="E515"/>
  <c r="E514"/>
  <c r="E513"/>
  <c r="E512"/>
  <c r="E511"/>
  <c r="E510"/>
  <c r="E509"/>
  <c r="E508"/>
  <c r="E507"/>
  <c r="E506"/>
  <c r="E505"/>
  <c r="E504"/>
  <c r="E503"/>
  <c r="E502"/>
  <c r="E501"/>
  <c r="E500"/>
  <c r="E499"/>
  <c r="E498"/>
  <c r="E497"/>
  <c r="E496"/>
  <c r="E495"/>
  <c r="E494"/>
  <c r="E493"/>
  <c r="E492"/>
  <c r="E491"/>
  <c r="E490"/>
  <c r="E489"/>
  <c r="E488"/>
  <c r="E487"/>
  <c r="E486"/>
  <c r="E485"/>
  <c r="E484"/>
  <c r="E483"/>
  <c r="E482"/>
  <c r="E481"/>
  <c r="E480"/>
  <c r="E479"/>
  <c r="E478"/>
  <c r="E477"/>
  <c r="E476"/>
  <c r="E475"/>
  <c r="E474"/>
  <c r="E473"/>
  <c r="E472"/>
  <c r="E471"/>
  <c r="E470"/>
  <c r="E469"/>
  <c r="E468"/>
  <c r="E467"/>
  <c r="E466"/>
  <c r="E465"/>
  <c r="E464"/>
  <c r="E463"/>
  <c r="E462"/>
  <c r="E461"/>
  <c r="E460"/>
  <c r="E459"/>
  <c r="E458"/>
  <c r="E457"/>
  <c r="E456"/>
  <c r="E455"/>
  <c r="E454"/>
  <c r="E453"/>
  <c r="E452"/>
  <c r="E451"/>
  <c r="E450"/>
  <c r="E449"/>
  <c r="E448"/>
  <c r="E447"/>
  <c r="E446"/>
  <c r="E445"/>
  <c r="E444"/>
  <c r="E443"/>
  <c r="E442"/>
  <c r="E441"/>
  <c r="E440"/>
  <c r="E439"/>
  <c r="E438"/>
  <c r="E437"/>
  <c r="E436"/>
  <c r="E435"/>
  <c r="E434"/>
  <c r="E433"/>
  <c r="E432"/>
  <c r="E431"/>
  <c r="E430"/>
  <c r="E429"/>
  <c r="E428"/>
  <c r="E427"/>
  <c r="E426"/>
  <c r="E425"/>
  <c r="E424"/>
  <c r="E423"/>
  <c r="E422"/>
  <c r="E421"/>
  <c r="E420"/>
  <c r="E419"/>
  <c r="E418"/>
  <c r="E417"/>
  <c r="E416"/>
  <c r="E415"/>
  <c r="E414"/>
  <c r="E413"/>
  <c r="E412"/>
  <c r="E411"/>
  <c r="E410"/>
  <c r="E409"/>
  <c r="E408"/>
  <c r="E407"/>
  <c r="E406"/>
  <c r="E405"/>
  <c r="E404"/>
  <c r="E403"/>
  <c r="E402"/>
  <c r="E401"/>
  <c r="E400"/>
  <c r="E399"/>
  <c r="E398"/>
  <c r="E397"/>
  <c r="E396"/>
  <c r="E395"/>
  <c r="E394"/>
  <c r="E393"/>
  <c r="E392"/>
  <c r="E391"/>
  <c r="E390"/>
  <c r="E389"/>
  <c r="E388"/>
  <c r="E387"/>
  <c r="E386"/>
  <c r="E385"/>
  <c r="E384"/>
  <c r="E383"/>
  <c r="E382"/>
  <c r="E381"/>
  <c r="E380"/>
  <c r="E379"/>
  <c r="E378"/>
  <c r="E377"/>
  <c r="E376"/>
  <c r="E375"/>
  <c r="E374"/>
  <c r="E373"/>
  <c r="E372"/>
  <c r="E371"/>
  <c r="E370"/>
  <c r="E369"/>
  <c r="E368"/>
  <c r="E367"/>
  <c r="E366"/>
  <c r="E365"/>
  <c r="E364"/>
  <c r="E363"/>
  <c r="E362"/>
  <c r="E361"/>
  <c r="E360"/>
  <c r="E359"/>
  <c r="E358"/>
  <c r="E357"/>
  <c r="E356"/>
  <c r="E355"/>
  <c r="E354"/>
  <c r="E353"/>
  <c r="E352"/>
  <c r="E351"/>
  <c r="E350"/>
  <c r="E349"/>
  <c r="E348"/>
  <c r="E347"/>
  <c r="E346"/>
  <c r="E345"/>
  <c r="E344"/>
  <c r="E343"/>
  <c r="E342"/>
  <c r="E341"/>
  <c r="E340"/>
  <c r="E339"/>
  <c r="E338"/>
  <c r="E337"/>
  <c r="E336"/>
  <c r="E335"/>
  <c r="E334"/>
  <c r="E333"/>
  <c r="E332"/>
  <c r="E331"/>
  <c r="E330"/>
  <c r="E329"/>
  <c r="E328"/>
  <c r="E327"/>
  <c r="E326"/>
  <c r="E325"/>
  <c r="E324"/>
  <c r="E323"/>
  <c r="E322"/>
  <c r="E321"/>
  <c r="E320"/>
  <c r="E319"/>
  <c r="E318"/>
  <c r="E317"/>
  <c r="E316"/>
  <c r="E315"/>
  <c r="E314"/>
  <c r="E313"/>
  <c r="E312"/>
  <c r="E311"/>
  <c r="E310"/>
  <c r="E309"/>
  <c r="E308"/>
  <c r="E307"/>
  <c r="E306"/>
  <c r="E305"/>
  <c r="E304"/>
  <c r="E303"/>
  <c r="E302"/>
  <c r="E301"/>
  <c r="E300"/>
  <c r="E299"/>
  <c r="E298"/>
  <c r="E297"/>
  <c r="E296"/>
  <c r="E295"/>
  <c r="E294"/>
  <c r="E293"/>
  <c r="E292"/>
  <c r="E291"/>
  <c r="E290"/>
  <c r="E289"/>
  <c r="E288"/>
  <c r="E287"/>
  <c r="E286"/>
  <c r="E285"/>
  <c r="E284"/>
  <c r="E283"/>
  <c r="E282"/>
  <c r="E281"/>
  <c r="E280"/>
  <c r="E279"/>
  <c r="E278"/>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5"/>
  <c r="E194"/>
  <c r="E193"/>
  <c r="E192"/>
  <c r="E191"/>
  <c r="E190"/>
  <c r="E189"/>
  <c r="E188"/>
  <c r="E187"/>
  <c r="E186"/>
  <c r="E185"/>
  <c r="E184"/>
  <c r="E183"/>
  <c r="E182"/>
  <c r="E181"/>
  <c r="E180"/>
  <c r="E179"/>
  <c r="E178"/>
  <c r="E177"/>
  <c r="E176"/>
  <c r="E175"/>
  <c r="E174"/>
  <c r="E173"/>
  <c r="E172"/>
  <c r="E171"/>
  <c r="E170"/>
  <c r="E169"/>
  <c r="E168"/>
  <c r="E167"/>
  <c r="E166"/>
  <c r="E165"/>
  <c r="E164"/>
  <c r="E163"/>
  <c r="E162"/>
  <c r="E161"/>
  <c r="E160"/>
  <c r="E159"/>
  <c r="E158"/>
  <c r="E157"/>
  <c r="E156"/>
  <c r="E155"/>
  <c r="E154"/>
  <c r="E153"/>
  <c r="E152"/>
  <c r="E151"/>
  <c r="E150"/>
  <c r="E149"/>
  <c r="E148"/>
  <c r="E147"/>
  <c r="E146"/>
  <c r="E145"/>
  <c r="E144"/>
  <c r="E143"/>
  <c r="E142"/>
  <c r="E141"/>
  <c r="E140"/>
  <c r="E139"/>
  <c r="E138"/>
  <c r="E137"/>
  <c r="E136"/>
  <c r="E135"/>
  <c r="E134"/>
  <c r="E133"/>
  <c r="E132"/>
  <c r="E131"/>
  <c r="E130"/>
  <c r="E129"/>
  <c r="E128"/>
  <c r="E127"/>
  <c r="E126"/>
  <c r="E125"/>
  <c r="E124"/>
  <c r="E123"/>
  <c r="E122"/>
  <c r="E121"/>
  <c r="E120"/>
  <c r="E119"/>
  <c r="E118"/>
  <c r="E117"/>
  <c r="E116"/>
  <c r="E115"/>
  <c r="E114"/>
  <c r="E113"/>
  <c r="E112"/>
  <c r="E111"/>
  <c r="E110"/>
  <c r="E109"/>
  <c r="E108"/>
  <c r="E107"/>
  <c r="E106"/>
  <c r="E105"/>
  <c r="E104"/>
  <c r="E103"/>
  <c r="E102"/>
  <c r="E101"/>
  <c r="E100"/>
  <c r="E99"/>
  <c r="E98"/>
  <c r="E97"/>
  <c r="E96"/>
  <c r="E95"/>
  <c r="E94"/>
  <c r="E93"/>
  <c r="E92"/>
  <c r="E91"/>
  <c r="E90"/>
  <c r="E89"/>
  <c r="E88"/>
  <c r="E87"/>
  <c r="E86"/>
  <c r="E85"/>
  <c r="E84"/>
  <c r="E83"/>
  <c r="E82"/>
  <c r="E81"/>
  <c r="E80"/>
  <c r="E79"/>
  <c r="E78"/>
  <c r="E77"/>
  <c r="E76"/>
  <c r="E75"/>
  <c r="E74"/>
  <c r="E73"/>
  <c r="E72"/>
  <c r="E71"/>
  <c r="E70"/>
  <c r="E69"/>
  <c r="E68"/>
  <c r="E67"/>
  <c r="E66"/>
  <c r="E65"/>
  <c r="E64"/>
  <c r="E63"/>
  <c r="E62"/>
  <c r="E61"/>
  <c r="E60"/>
  <c r="E59"/>
  <c r="E58"/>
  <c r="E57"/>
  <c r="E56"/>
  <c r="E55"/>
  <c r="E54"/>
  <c r="E53"/>
  <c r="E52"/>
  <c r="E51"/>
  <c r="E50"/>
  <c r="E49"/>
  <c r="E48"/>
  <c r="E47"/>
  <c r="E46"/>
  <c r="E45"/>
  <c r="E44"/>
  <c r="E43"/>
  <c r="E42"/>
  <c r="E41"/>
  <c r="E40"/>
  <c r="E39"/>
  <c r="E38"/>
  <c r="E37"/>
  <c r="E36"/>
  <c r="E35"/>
  <c r="E34"/>
  <c r="E33"/>
  <c r="E32"/>
  <c r="E31"/>
  <c r="E30"/>
  <c r="E29"/>
  <c r="E28"/>
  <c r="E27"/>
  <c r="E26"/>
  <c r="E25"/>
  <c r="E24"/>
  <c r="E23"/>
  <c r="E22"/>
  <c r="E21"/>
  <c r="E20"/>
  <c r="E19"/>
  <c r="E18"/>
  <c r="E17"/>
  <c r="E16"/>
  <c r="E15"/>
  <c r="E14"/>
  <c r="E13"/>
  <c r="T21"/>
  <c r="U21" s="1"/>
  <c r="T37"/>
  <c r="U37" s="1"/>
  <c r="T69"/>
  <c r="U69" s="1"/>
  <c r="T85"/>
  <c r="U85" s="1"/>
  <c r="T101"/>
  <c r="U101" s="1"/>
  <c r="T133"/>
  <c r="U133" s="1"/>
  <c r="T149"/>
  <c r="U149" s="1"/>
  <c r="T165"/>
  <c r="U165" s="1"/>
  <c r="T197"/>
  <c r="U197" s="1"/>
  <c r="T213"/>
  <c r="U213" s="1"/>
  <c r="T229"/>
  <c r="U229" s="1"/>
  <c r="T261"/>
  <c r="U261" s="1"/>
  <c r="T277"/>
  <c r="U277" s="1"/>
  <c r="T285"/>
  <c r="U285" s="1"/>
  <c r="T301"/>
  <c r="U301" s="1"/>
  <c r="T309"/>
  <c r="U309" s="1"/>
  <c r="T317"/>
  <c r="U317" s="1"/>
  <c r="T325"/>
  <c r="U325" s="1"/>
  <c r="T333"/>
  <c r="U333" s="1"/>
  <c r="T341"/>
  <c r="U341" s="1"/>
  <c r="T349"/>
  <c r="U349" s="1"/>
  <c r="T357"/>
  <c r="U357" s="1"/>
  <c r="T365"/>
  <c r="U365" s="1"/>
  <c r="T373"/>
  <c r="U373" s="1"/>
  <c r="T381"/>
  <c r="U381" s="1"/>
  <c r="T389"/>
  <c r="U389" s="1"/>
  <c r="T397"/>
  <c r="U397" s="1"/>
  <c r="T405"/>
  <c r="U405" s="1"/>
  <c r="T413"/>
  <c r="U413" s="1"/>
  <c r="T421"/>
  <c r="U421" s="1"/>
  <c r="T429"/>
  <c r="U429" s="1"/>
  <c r="T437"/>
  <c r="U437" s="1"/>
  <c r="T445"/>
  <c r="U445" s="1"/>
  <c r="T453"/>
  <c r="U453" s="1"/>
  <c r="T461"/>
  <c r="U461" s="1"/>
  <c r="T469"/>
  <c r="U469" s="1"/>
  <c r="T477"/>
  <c r="U477" s="1"/>
  <c r="T485"/>
  <c r="U485" s="1"/>
  <c r="T493"/>
  <c r="U493" s="1"/>
  <c r="T501"/>
  <c r="U501" s="1"/>
  <c r="T509"/>
  <c r="U509" s="1"/>
  <c r="T517"/>
  <c r="U517" s="1"/>
  <c r="T525"/>
  <c r="U525" s="1"/>
  <c r="T533"/>
  <c r="U533" s="1"/>
  <c r="T541"/>
  <c r="U541" s="1"/>
  <c r="T549"/>
  <c r="U549" s="1"/>
  <c r="T557"/>
  <c r="U557" s="1"/>
  <c r="T565"/>
  <c r="U565" s="1"/>
  <c r="T573"/>
  <c r="U573" s="1"/>
  <c r="T581"/>
  <c r="U581" s="1"/>
  <c r="T589"/>
  <c r="U589" s="1"/>
  <c r="T597"/>
  <c r="U597" s="1"/>
  <c r="T605"/>
  <c r="U605" s="1"/>
  <c r="T613"/>
  <c r="U613" s="1"/>
  <c r="T621"/>
  <c r="U621" s="1"/>
  <c r="T629"/>
  <c r="U629" s="1"/>
  <c r="T637"/>
  <c r="U637" s="1"/>
  <c r="T645"/>
  <c r="U645" s="1"/>
  <c r="T653"/>
  <c r="U653" s="1"/>
  <c r="T661"/>
  <c r="U661" s="1"/>
  <c r="T669"/>
  <c r="U669" s="1"/>
  <c r="T677"/>
  <c r="U677" s="1"/>
  <c r="T685"/>
  <c r="U685" s="1"/>
  <c r="T693"/>
  <c r="U693" s="1"/>
  <c r="T701"/>
  <c r="U701" s="1"/>
  <c r="T709"/>
  <c r="U709" s="1"/>
  <c r="T717"/>
  <c r="U717" s="1"/>
  <c r="T725"/>
  <c r="U725" s="1"/>
  <c r="T733"/>
  <c r="U733" s="1"/>
  <c r="T741"/>
  <c r="U741" s="1"/>
  <c r="T749"/>
  <c r="U749" s="1"/>
  <c r="T757"/>
  <c r="U757" s="1"/>
  <c r="T765"/>
  <c r="U765" s="1"/>
  <c r="T773"/>
  <c r="U773" s="1"/>
  <c r="T781"/>
  <c r="U781" s="1"/>
  <c r="T789"/>
  <c r="U789" s="1"/>
  <c r="T797"/>
  <c r="U797" s="1"/>
  <c r="T805"/>
  <c r="U805" s="1"/>
  <c r="T813"/>
  <c r="U813" s="1"/>
  <c r="T821"/>
  <c r="U821" s="1"/>
  <c r="T829"/>
  <c r="U829" s="1"/>
  <c r="T837"/>
  <c r="U837" s="1"/>
  <c r="T845"/>
  <c r="U845" s="1"/>
  <c r="T853"/>
  <c r="U853" s="1"/>
  <c r="T861"/>
  <c r="U861" s="1"/>
  <c r="T869"/>
  <c r="U869" s="1"/>
  <c r="T877"/>
  <c r="U877" s="1"/>
  <c r="T885"/>
  <c r="U885" s="1"/>
  <c r="T893"/>
  <c r="U893" s="1"/>
  <c r="T901"/>
  <c r="U901" s="1"/>
  <c r="T909"/>
  <c r="U909" s="1"/>
  <c r="T917"/>
  <c r="U917" s="1"/>
  <c r="T925"/>
  <c r="U925" s="1"/>
  <c r="T933"/>
  <c r="U933" s="1"/>
  <c r="T941"/>
  <c r="U941" s="1"/>
  <c r="T949"/>
  <c r="U949" s="1"/>
  <c r="T951"/>
  <c r="U951" s="1"/>
  <c r="T957"/>
  <c r="U957" s="1"/>
  <c r="T965"/>
  <c r="U965" s="1"/>
  <c r="T973"/>
  <c r="U973" s="1"/>
  <c r="T981"/>
  <c r="U981" s="1"/>
  <c r="T989"/>
  <c r="U989" s="1"/>
  <c r="A12"/>
  <c r="F991"/>
  <c r="F990"/>
  <c r="F988"/>
  <c r="F987"/>
  <c r="F983"/>
  <c r="F978"/>
  <c r="F971"/>
  <c r="F969"/>
  <c r="F968"/>
  <c r="F965"/>
  <c r="F964"/>
  <c r="F962"/>
  <c r="F958"/>
  <c r="F957"/>
  <c r="F955"/>
  <c r="F944"/>
  <c r="F943"/>
  <c r="F931"/>
  <c r="F923"/>
  <c r="F921"/>
  <c r="F914"/>
  <c r="F913"/>
  <c r="F910"/>
  <c r="F906"/>
  <c r="F903"/>
  <c r="F901"/>
  <c r="F894"/>
  <c r="F889"/>
  <c r="F886"/>
  <c r="F884"/>
  <c r="F882"/>
  <c r="F879"/>
  <c r="F878"/>
  <c r="F875"/>
  <c r="F874"/>
  <c r="F869"/>
  <c r="F868"/>
  <c r="F863"/>
  <c r="F860"/>
  <c r="F859"/>
  <c r="F854"/>
  <c r="F850"/>
  <c r="F848"/>
  <c r="F845"/>
  <c r="F840"/>
  <c r="F835"/>
  <c r="F833"/>
  <c r="F831"/>
  <c r="F829"/>
  <c r="F828"/>
  <c r="F827"/>
  <c r="F826"/>
  <c r="F822"/>
  <c r="F821"/>
  <c r="F819"/>
  <c r="F814"/>
  <c r="F812"/>
  <c r="F811"/>
  <c r="F810"/>
  <c r="F807"/>
  <c r="F802"/>
  <c r="F800"/>
  <c r="F793"/>
  <c r="F791"/>
  <c r="F787"/>
  <c r="F786"/>
  <c r="F782"/>
  <c r="F780"/>
  <c r="F778"/>
  <c r="F777"/>
  <c r="F772"/>
  <c r="F766"/>
  <c r="F763"/>
  <c r="F762"/>
  <c r="F758"/>
  <c r="F756"/>
  <c r="F755"/>
  <c r="F750"/>
  <c r="F746"/>
  <c r="F744"/>
  <c r="F736"/>
  <c r="F734"/>
  <c r="F731"/>
  <c r="F714"/>
  <c r="F710"/>
  <c r="F708"/>
  <c r="F701"/>
  <c r="F699"/>
  <c r="F690"/>
  <c r="F687"/>
  <c r="F683"/>
  <c r="F680"/>
  <c r="F678"/>
  <c r="F675"/>
  <c r="F673"/>
  <c r="F672"/>
  <c r="F664"/>
  <c r="F660"/>
  <c r="F656"/>
  <c r="F651"/>
  <c r="F650"/>
  <c r="F649"/>
  <c r="F645"/>
  <c r="F644"/>
  <c r="F641"/>
  <c r="F628"/>
  <c r="F625"/>
  <c r="F621"/>
  <c r="F615"/>
  <c r="F613"/>
  <c r="F608"/>
  <c r="F597"/>
  <c r="F591"/>
  <c r="F586"/>
  <c r="F581"/>
  <c r="F577"/>
  <c r="F576"/>
  <c r="F574"/>
  <c r="F572"/>
  <c r="F569"/>
  <c r="F565"/>
  <c r="F564"/>
  <c r="F563"/>
  <c r="F560"/>
  <c r="F556"/>
  <c r="F551"/>
  <c r="F550"/>
  <c r="F547"/>
  <c r="F545"/>
  <c r="F544"/>
  <c r="F540"/>
  <c r="F535"/>
  <c r="F532"/>
  <c r="F528"/>
  <c r="F527"/>
  <c r="F525"/>
  <c r="F523"/>
  <c r="F520"/>
  <c r="F513"/>
  <c r="F509"/>
  <c r="F508"/>
  <c r="F504"/>
  <c r="F498"/>
  <c r="F495"/>
  <c r="F492"/>
  <c r="F489"/>
  <c r="F481"/>
  <c r="F479"/>
  <c r="F473"/>
  <c r="F471"/>
  <c r="F469"/>
  <c r="F465"/>
  <c r="G459"/>
  <c r="F456"/>
  <c r="F453"/>
  <c r="F451"/>
  <c r="F445"/>
  <c r="F443"/>
  <c r="F440"/>
  <c r="F438"/>
  <c r="F433"/>
  <c r="F431"/>
  <c r="F427"/>
  <c r="F421"/>
  <c r="F419"/>
  <c r="F414"/>
  <c r="F413"/>
  <c r="F410"/>
  <c r="F405"/>
  <c r="F397"/>
  <c r="F389"/>
  <c r="F383"/>
  <c r="F381"/>
  <c r="F380"/>
  <c r="F375"/>
  <c r="F373"/>
  <c r="F372"/>
  <c r="F371"/>
  <c r="F368"/>
  <c r="F364"/>
  <c r="F361"/>
  <c r="F360"/>
  <c r="F352"/>
  <c r="F351"/>
  <c r="F347"/>
  <c r="F344"/>
  <c r="F339"/>
  <c r="F337"/>
  <c r="F336"/>
  <c r="F333"/>
  <c r="F329"/>
  <c r="F327"/>
  <c r="F324"/>
  <c r="F323"/>
  <c r="F319"/>
  <c r="F317"/>
  <c r="F315"/>
  <c r="F314"/>
  <c r="F311"/>
  <c r="F310"/>
  <c r="F309"/>
  <c r="F305"/>
  <c r="F303"/>
  <c r="F298"/>
  <c r="F296"/>
  <c r="F295"/>
  <c r="F290"/>
  <c r="F289"/>
  <c r="F287"/>
  <c r="F285"/>
  <c r="F283"/>
  <c r="F277"/>
  <c r="F276"/>
  <c r="F275"/>
  <c r="F271"/>
  <c r="F270"/>
  <c r="F268"/>
  <c r="F264"/>
  <c r="F262"/>
  <c r="F259"/>
  <c r="F256"/>
  <c r="F248"/>
  <c r="F247"/>
  <c r="F245"/>
  <c r="F243"/>
  <c r="F242"/>
  <c r="F232"/>
  <c r="F225"/>
  <c r="F222"/>
  <c r="F221"/>
  <c r="F220"/>
  <c r="F219"/>
  <c r="F216"/>
  <c r="F215"/>
  <c r="F209"/>
  <c r="F208"/>
  <c r="F202"/>
  <c r="F200"/>
  <c r="F196"/>
  <c r="F184"/>
  <c r="F183"/>
  <c r="F178"/>
  <c r="F177"/>
  <c r="F174"/>
  <c r="F170"/>
  <c r="F168"/>
  <c r="F166"/>
  <c r="F161"/>
  <c r="F151"/>
  <c r="F145"/>
  <c r="F142"/>
  <c r="F140"/>
  <c r="F137"/>
  <c r="F134"/>
  <c r="F124"/>
  <c r="F122"/>
  <c r="F113"/>
  <c r="F110"/>
  <c r="F109"/>
  <c r="F103"/>
  <c r="F102"/>
  <c r="F101"/>
  <c r="F97"/>
  <c r="F91"/>
  <c r="F82"/>
  <c r="F76"/>
  <c r="F65"/>
  <c r="F62"/>
  <c r="F61"/>
  <c r="F56"/>
  <c r="F54"/>
  <c r="F48"/>
  <c r="F43"/>
  <c r="F41"/>
  <c r="F38"/>
  <c r="F34"/>
  <c r="F30"/>
  <c r="F24"/>
  <c r="F15"/>
  <c r="F3" i="13"/>
  <c r="I4" i="1" s="1"/>
  <c r="D3" i="19"/>
  <c r="D4" s="1"/>
  <c r="D5" s="1"/>
  <c r="D6" s="1"/>
  <c r="D7" s="1"/>
  <c r="D8" s="1"/>
  <c r="D9" s="1"/>
  <c r="D10" s="1"/>
  <c r="D11" s="1"/>
  <c r="D12" s="1"/>
  <c r="D13" s="1"/>
  <c r="D14" s="1"/>
  <c r="D15" s="1"/>
  <c r="D16" s="1"/>
  <c r="D17" s="1"/>
  <c r="D18" s="1"/>
  <c r="D19" s="1"/>
  <c r="D20" s="1"/>
  <c r="D21" s="1"/>
  <c r="A7" i="15"/>
  <c r="A8"/>
  <c r="G8"/>
  <c r="F8" s="1"/>
  <c r="K8" s="1"/>
  <c r="H8"/>
  <c r="I8"/>
  <c r="L8" s="1"/>
  <c r="J8"/>
  <c r="A9"/>
  <c r="G9"/>
  <c r="F9" s="1"/>
  <c r="K9" s="1"/>
  <c r="H9"/>
  <c r="I9"/>
  <c r="L9" s="1"/>
  <c r="J9"/>
  <c r="A10"/>
  <c r="G10"/>
  <c r="F10" s="1"/>
  <c r="K10" s="1"/>
  <c r="H10"/>
  <c r="I10"/>
  <c r="L10" s="1"/>
  <c r="J10"/>
  <c r="A11"/>
  <c r="G11"/>
  <c r="F11" s="1"/>
  <c r="K11" s="1"/>
  <c r="H11"/>
  <c r="I11"/>
  <c r="L11" s="1"/>
  <c r="J11"/>
  <c r="A12"/>
  <c r="G12"/>
  <c r="F12" s="1"/>
  <c r="K12" s="1"/>
  <c r="H12"/>
  <c r="I12"/>
  <c r="L12" s="1"/>
  <c r="J12"/>
  <c r="A13"/>
  <c r="G13"/>
  <c r="F13" s="1"/>
  <c r="K13" s="1"/>
  <c r="H13"/>
  <c r="I13"/>
  <c r="L13" s="1"/>
  <c r="J13"/>
  <c r="A14"/>
  <c r="G14"/>
  <c r="F14" s="1"/>
  <c r="K14" s="1"/>
  <c r="H14"/>
  <c r="I14"/>
  <c r="L14" s="1"/>
  <c r="J14"/>
  <c r="A15"/>
  <c r="G15"/>
  <c r="F15" s="1"/>
  <c r="K15" s="1"/>
  <c r="H15"/>
  <c r="I15"/>
  <c r="L15" s="1"/>
  <c r="J15"/>
  <c r="A16"/>
  <c r="G16"/>
  <c r="F16" s="1"/>
  <c r="K16" s="1"/>
  <c r="H16"/>
  <c r="I16"/>
  <c r="L16" s="1"/>
  <c r="J16"/>
  <c r="A17"/>
  <c r="G17"/>
  <c r="F17" s="1"/>
  <c r="K17" s="1"/>
  <c r="H17"/>
  <c r="I17"/>
  <c r="L17" s="1"/>
  <c r="J17"/>
  <c r="A18"/>
  <c r="G18"/>
  <c r="F18" s="1"/>
  <c r="K18" s="1"/>
  <c r="H18"/>
  <c r="I18"/>
  <c r="L18" s="1"/>
  <c r="J18"/>
  <c r="A19"/>
  <c r="G19"/>
  <c r="F19" s="1"/>
  <c r="K19" s="1"/>
  <c r="H19"/>
  <c r="I19"/>
  <c r="L19" s="1"/>
  <c r="J19"/>
  <c r="A20"/>
  <c r="G20"/>
  <c r="F20" s="1"/>
  <c r="K20" s="1"/>
  <c r="H20"/>
  <c r="I20"/>
  <c r="L20" s="1"/>
  <c r="J20"/>
  <c r="A21"/>
  <c r="G21"/>
  <c r="F21" s="1"/>
  <c r="K21" s="1"/>
  <c r="H21"/>
  <c r="I21"/>
  <c r="L21" s="1"/>
  <c r="J21"/>
  <c r="A22"/>
  <c r="G22"/>
  <c r="F22" s="1"/>
  <c r="K22" s="1"/>
  <c r="H22"/>
  <c r="I22"/>
  <c r="L22" s="1"/>
  <c r="J22"/>
  <c r="A23"/>
  <c r="G23"/>
  <c r="F23" s="1"/>
  <c r="K23" s="1"/>
  <c r="H23"/>
  <c r="I23"/>
  <c r="L23" s="1"/>
  <c r="J23"/>
  <c r="A24"/>
  <c r="G24"/>
  <c r="F24" s="1"/>
  <c r="K24" s="1"/>
  <c r="H24"/>
  <c r="I24"/>
  <c r="L24" s="1"/>
  <c r="J24"/>
  <c r="A25"/>
  <c r="G25"/>
  <c r="F25" s="1"/>
  <c r="K25" s="1"/>
  <c r="H25"/>
  <c r="I25"/>
  <c r="L25" s="1"/>
  <c r="J25"/>
  <c r="A26"/>
  <c r="G26"/>
  <c r="F26" s="1"/>
  <c r="K26" s="1"/>
  <c r="H26"/>
  <c r="I26"/>
  <c r="L26" s="1"/>
  <c r="J26"/>
  <c r="A27"/>
  <c r="G27"/>
  <c r="F27" s="1"/>
  <c r="K27" s="1"/>
  <c r="H27"/>
  <c r="I27"/>
  <c r="L27" s="1"/>
  <c r="J27"/>
  <c r="A28"/>
  <c r="G28"/>
  <c r="F28" s="1"/>
  <c r="K28" s="1"/>
  <c r="H28"/>
  <c r="I28"/>
  <c r="L28" s="1"/>
  <c r="J28"/>
  <c r="A29"/>
  <c r="G29"/>
  <c r="F29" s="1"/>
  <c r="K29" s="1"/>
  <c r="H29"/>
  <c r="I29"/>
  <c r="L29" s="1"/>
  <c r="J29"/>
  <c r="A30"/>
  <c r="G30"/>
  <c r="F30" s="1"/>
  <c r="K30" s="1"/>
  <c r="H30"/>
  <c r="I30"/>
  <c r="L30" s="1"/>
  <c r="J30"/>
  <c r="A31"/>
  <c r="G31"/>
  <c r="F31" s="1"/>
  <c r="K31" s="1"/>
  <c r="H31"/>
  <c r="I31"/>
  <c r="L31" s="1"/>
  <c r="J31"/>
  <c r="A32"/>
  <c r="G32"/>
  <c r="F32" s="1"/>
  <c r="K32" s="1"/>
  <c r="H32"/>
  <c r="I32"/>
  <c r="L32" s="1"/>
  <c r="J32"/>
  <c r="A33"/>
  <c r="G33"/>
  <c r="F33" s="1"/>
  <c r="K33" s="1"/>
  <c r="H33"/>
  <c r="I33"/>
  <c r="L33" s="1"/>
  <c r="J33"/>
  <c r="A34"/>
  <c r="G34"/>
  <c r="F34" s="1"/>
  <c r="K34" s="1"/>
  <c r="H34"/>
  <c r="I34"/>
  <c r="L34" s="1"/>
  <c r="J34"/>
  <c r="A35"/>
  <c r="G35"/>
  <c r="F35" s="1"/>
  <c r="K35" s="1"/>
  <c r="H35"/>
  <c r="I35"/>
  <c r="L35" s="1"/>
  <c r="J35"/>
  <c r="A36"/>
  <c r="G36"/>
  <c r="F36" s="1"/>
  <c r="K36" s="1"/>
  <c r="H36"/>
  <c r="I36"/>
  <c r="L36" s="1"/>
  <c r="J36"/>
  <c r="A37"/>
  <c r="G37"/>
  <c r="F37" s="1"/>
  <c r="K37" s="1"/>
  <c r="H37"/>
  <c r="I37"/>
  <c r="L37" s="1"/>
  <c r="J37"/>
  <c r="A38"/>
  <c r="G38"/>
  <c r="F38" s="1"/>
  <c r="K38" s="1"/>
  <c r="H38"/>
  <c r="I38"/>
  <c r="L38" s="1"/>
  <c r="J38"/>
  <c r="A39"/>
  <c r="G39"/>
  <c r="F39" s="1"/>
  <c r="K39" s="1"/>
  <c r="H39"/>
  <c r="I39"/>
  <c r="L39" s="1"/>
  <c r="J39"/>
  <c r="A40"/>
  <c r="G40"/>
  <c r="F40" s="1"/>
  <c r="K40" s="1"/>
  <c r="H40"/>
  <c r="I40"/>
  <c r="L40" s="1"/>
  <c r="J40"/>
  <c r="A41"/>
  <c r="G41"/>
  <c r="F41" s="1"/>
  <c r="K41" s="1"/>
  <c r="H41"/>
  <c r="I41"/>
  <c r="L41" s="1"/>
  <c r="J41"/>
  <c r="A42"/>
  <c r="G42"/>
  <c r="F42" s="1"/>
  <c r="K42" s="1"/>
  <c r="H42"/>
  <c r="I42"/>
  <c r="L42" s="1"/>
  <c r="J42"/>
  <c r="A43"/>
  <c r="G43"/>
  <c r="F43" s="1"/>
  <c r="K43" s="1"/>
  <c r="H43"/>
  <c r="I43"/>
  <c r="L43" s="1"/>
  <c r="J43"/>
  <c r="A44"/>
  <c r="G44"/>
  <c r="F44" s="1"/>
  <c r="K44" s="1"/>
  <c r="H44"/>
  <c r="I44"/>
  <c r="L44" s="1"/>
  <c r="J44"/>
  <c r="A45"/>
  <c r="G45"/>
  <c r="F45" s="1"/>
  <c r="K45" s="1"/>
  <c r="H45"/>
  <c r="I45"/>
  <c r="L45" s="1"/>
  <c r="J45"/>
  <c r="A46"/>
  <c r="G46"/>
  <c r="F46" s="1"/>
  <c r="K46" s="1"/>
  <c r="H46"/>
  <c r="I46"/>
  <c r="L46" s="1"/>
  <c r="J46"/>
  <c r="A47"/>
  <c r="G47"/>
  <c r="F47" s="1"/>
  <c r="K47" s="1"/>
  <c r="H47"/>
  <c r="I47"/>
  <c r="L47" s="1"/>
  <c r="J47"/>
  <c r="A48"/>
  <c r="G48"/>
  <c r="F48" s="1"/>
  <c r="K48" s="1"/>
  <c r="H48"/>
  <c r="I48"/>
  <c r="L48" s="1"/>
  <c r="J48"/>
  <c r="A49"/>
  <c r="G49"/>
  <c r="F49" s="1"/>
  <c r="K49" s="1"/>
  <c r="H49"/>
  <c r="I49"/>
  <c r="L49" s="1"/>
  <c r="J49"/>
  <c r="A50"/>
  <c r="G50"/>
  <c r="F50" s="1"/>
  <c r="K50" s="1"/>
  <c r="H50"/>
  <c r="I50"/>
  <c r="L50" s="1"/>
  <c r="J50"/>
  <c r="A51"/>
  <c r="G51"/>
  <c r="F51" s="1"/>
  <c r="K51" s="1"/>
  <c r="H51"/>
  <c r="I51"/>
  <c r="L51" s="1"/>
  <c r="J51"/>
  <c r="A52"/>
  <c r="G52"/>
  <c r="F52" s="1"/>
  <c r="K52" s="1"/>
  <c r="H52"/>
  <c r="I52"/>
  <c r="L52" s="1"/>
  <c r="J52"/>
  <c r="A53"/>
  <c r="G53"/>
  <c r="F53" s="1"/>
  <c r="K53" s="1"/>
  <c r="H53"/>
  <c r="I53"/>
  <c r="L53" s="1"/>
  <c r="J53"/>
  <c r="A54"/>
  <c r="G54"/>
  <c r="F54" s="1"/>
  <c r="K54" s="1"/>
  <c r="H54"/>
  <c r="I54"/>
  <c r="L54" s="1"/>
  <c r="J54"/>
  <c r="A55"/>
  <c r="G55"/>
  <c r="F55" s="1"/>
  <c r="K55" s="1"/>
  <c r="H55"/>
  <c r="I55"/>
  <c r="L55" s="1"/>
  <c r="J55"/>
  <c r="A56"/>
  <c r="G56"/>
  <c r="F56" s="1"/>
  <c r="K56" s="1"/>
  <c r="H56"/>
  <c r="I56"/>
  <c r="L56" s="1"/>
  <c r="J56"/>
  <c r="A57"/>
  <c r="G57"/>
  <c r="F57" s="1"/>
  <c r="K57" s="1"/>
  <c r="H57"/>
  <c r="I57"/>
  <c r="L57" s="1"/>
  <c r="J57"/>
  <c r="A58"/>
  <c r="G58"/>
  <c r="F58" s="1"/>
  <c r="K58" s="1"/>
  <c r="H58"/>
  <c r="I58"/>
  <c r="L58" s="1"/>
  <c r="J58"/>
  <c r="A59"/>
  <c r="G59"/>
  <c r="F59" s="1"/>
  <c r="K59" s="1"/>
  <c r="H59"/>
  <c r="I59"/>
  <c r="L59" s="1"/>
  <c r="J59"/>
  <c r="A60"/>
  <c r="G60"/>
  <c r="F60" s="1"/>
  <c r="K60" s="1"/>
  <c r="H60"/>
  <c r="I60"/>
  <c r="L60" s="1"/>
  <c r="J60"/>
  <c r="A61"/>
  <c r="G61"/>
  <c r="F61" s="1"/>
  <c r="K61" s="1"/>
  <c r="H61"/>
  <c r="I61"/>
  <c r="L61" s="1"/>
  <c r="J61"/>
  <c r="A62"/>
  <c r="G62"/>
  <c r="F62" s="1"/>
  <c r="K62" s="1"/>
  <c r="H62"/>
  <c r="I62"/>
  <c r="L62" s="1"/>
  <c r="J62"/>
  <c r="A63"/>
  <c r="G63"/>
  <c r="F63" s="1"/>
  <c r="K63" s="1"/>
  <c r="H63"/>
  <c r="I63"/>
  <c r="L63" s="1"/>
  <c r="J63"/>
  <c r="A64"/>
  <c r="G64"/>
  <c r="F64" s="1"/>
  <c r="K64" s="1"/>
  <c r="H64"/>
  <c r="I64"/>
  <c r="L64" s="1"/>
  <c r="J64"/>
  <c r="A65"/>
  <c r="G65"/>
  <c r="F65" s="1"/>
  <c r="K65" s="1"/>
  <c r="H65"/>
  <c r="I65"/>
  <c r="L65" s="1"/>
  <c r="J65"/>
  <c r="A66"/>
  <c r="G66"/>
  <c r="F66" s="1"/>
  <c r="K66" s="1"/>
  <c r="H66"/>
  <c r="I66"/>
  <c r="L66" s="1"/>
  <c r="J66"/>
  <c r="A67"/>
  <c r="G67"/>
  <c r="F67" s="1"/>
  <c r="K67" s="1"/>
  <c r="H67"/>
  <c r="I67"/>
  <c r="L67" s="1"/>
  <c r="J67"/>
  <c r="A68"/>
  <c r="G68"/>
  <c r="F68" s="1"/>
  <c r="K68" s="1"/>
  <c r="H68"/>
  <c r="I68"/>
  <c r="L68" s="1"/>
  <c r="J68"/>
  <c r="A69"/>
  <c r="G69"/>
  <c r="F69" s="1"/>
  <c r="K69" s="1"/>
  <c r="H69"/>
  <c r="I69"/>
  <c r="L69" s="1"/>
  <c r="J69"/>
  <c r="A70"/>
  <c r="G70"/>
  <c r="F70" s="1"/>
  <c r="K70" s="1"/>
  <c r="H70"/>
  <c r="I70"/>
  <c r="L70" s="1"/>
  <c r="J70"/>
  <c r="A71"/>
  <c r="G71"/>
  <c r="F71" s="1"/>
  <c r="K71" s="1"/>
  <c r="H71"/>
  <c r="I71"/>
  <c r="L71" s="1"/>
  <c r="J71"/>
  <c r="A72"/>
  <c r="G72"/>
  <c r="F72" s="1"/>
  <c r="K72" s="1"/>
  <c r="H72"/>
  <c r="I72"/>
  <c r="L72" s="1"/>
  <c r="J72"/>
  <c r="A73"/>
  <c r="G73"/>
  <c r="F73" s="1"/>
  <c r="K73" s="1"/>
  <c r="H73"/>
  <c r="I73"/>
  <c r="L73" s="1"/>
  <c r="J73"/>
  <c r="A74"/>
  <c r="G74"/>
  <c r="F74" s="1"/>
  <c r="K74" s="1"/>
  <c r="H74"/>
  <c r="I74"/>
  <c r="L74" s="1"/>
  <c r="J74"/>
  <c r="A75"/>
  <c r="G75"/>
  <c r="F75" s="1"/>
  <c r="K75" s="1"/>
  <c r="H75"/>
  <c r="I75"/>
  <c r="L75" s="1"/>
  <c r="J75"/>
  <c r="A76"/>
  <c r="G76"/>
  <c r="F76" s="1"/>
  <c r="K76" s="1"/>
  <c r="H76"/>
  <c r="I76"/>
  <c r="L76" s="1"/>
  <c r="J76"/>
  <c r="A77"/>
  <c r="G77"/>
  <c r="F77" s="1"/>
  <c r="K77" s="1"/>
  <c r="H77"/>
  <c r="I77"/>
  <c r="L77" s="1"/>
  <c r="J77"/>
  <c r="A78"/>
  <c r="G78"/>
  <c r="F78" s="1"/>
  <c r="K78" s="1"/>
  <c r="H78"/>
  <c r="I78"/>
  <c r="L78" s="1"/>
  <c r="J78"/>
  <c r="A79"/>
  <c r="G79"/>
  <c r="F79" s="1"/>
  <c r="K79" s="1"/>
  <c r="H79"/>
  <c r="I79"/>
  <c r="L79" s="1"/>
  <c r="J79"/>
  <c r="A80"/>
  <c r="G80"/>
  <c r="F80" s="1"/>
  <c r="K80" s="1"/>
  <c r="H80"/>
  <c r="I80"/>
  <c r="L80" s="1"/>
  <c r="J80"/>
  <c r="A81"/>
  <c r="G81"/>
  <c r="F81" s="1"/>
  <c r="K81" s="1"/>
  <c r="H81"/>
  <c r="I81"/>
  <c r="L81" s="1"/>
  <c r="J81"/>
  <c r="A82"/>
  <c r="G82"/>
  <c r="F82" s="1"/>
  <c r="K82" s="1"/>
  <c r="H82"/>
  <c r="I82"/>
  <c r="L82" s="1"/>
  <c r="J82"/>
  <c r="A83"/>
  <c r="G83"/>
  <c r="F83" s="1"/>
  <c r="K83" s="1"/>
  <c r="H83"/>
  <c r="I83"/>
  <c r="L83" s="1"/>
  <c r="J83"/>
  <c r="A84"/>
  <c r="G84"/>
  <c r="F84" s="1"/>
  <c r="K84" s="1"/>
  <c r="H84"/>
  <c r="I84"/>
  <c r="L84" s="1"/>
  <c r="J84"/>
  <c r="A85"/>
  <c r="G85"/>
  <c r="F85" s="1"/>
  <c r="K85" s="1"/>
  <c r="H85"/>
  <c r="I85"/>
  <c r="L85" s="1"/>
  <c r="J85"/>
  <c r="A86"/>
  <c r="G86"/>
  <c r="F86" s="1"/>
  <c r="K86" s="1"/>
  <c r="H86"/>
  <c r="I86"/>
  <c r="L86" s="1"/>
  <c r="J86"/>
  <c r="A87"/>
  <c r="G87"/>
  <c r="F87" s="1"/>
  <c r="K87" s="1"/>
  <c r="H87"/>
  <c r="I87"/>
  <c r="L87" s="1"/>
  <c r="J87"/>
  <c r="A88"/>
  <c r="G88"/>
  <c r="F88" s="1"/>
  <c r="K88" s="1"/>
  <c r="H88"/>
  <c r="I88"/>
  <c r="L88" s="1"/>
  <c r="J88"/>
  <c r="A89"/>
  <c r="G89"/>
  <c r="F89" s="1"/>
  <c r="K89" s="1"/>
  <c r="H89"/>
  <c r="I89"/>
  <c r="L89" s="1"/>
  <c r="J89"/>
  <c r="A90"/>
  <c r="G90"/>
  <c r="F90" s="1"/>
  <c r="K90" s="1"/>
  <c r="H90"/>
  <c r="I90"/>
  <c r="L90" s="1"/>
  <c r="J90"/>
  <c r="A91"/>
  <c r="G91"/>
  <c r="F91" s="1"/>
  <c r="K91" s="1"/>
  <c r="H91"/>
  <c r="I91"/>
  <c r="L91" s="1"/>
  <c r="J91"/>
  <c r="A92"/>
  <c r="G92"/>
  <c r="F92" s="1"/>
  <c r="K92" s="1"/>
  <c r="H92"/>
  <c r="I92"/>
  <c r="L92" s="1"/>
  <c r="J92"/>
  <c r="A93"/>
  <c r="G93"/>
  <c r="F93" s="1"/>
  <c r="K93" s="1"/>
  <c r="H93"/>
  <c r="I93"/>
  <c r="L93" s="1"/>
  <c r="J93"/>
  <c r="A94"/>
  <c r="G94"/>
  <c r="F94" s="1"/>
  <c r="K94" s="1"/>
  <c r="H94"/>
  <c r="I94"/>
  <c r="L94" s="1"/>
  <c r="J94"/>
  <c r="A95"/>
  <c r="G95"/>
  <c r="F95" s="1"/>
  <c r="K95" s="1"/>
  <c r="H95"/>
  <c r="I95"/>
  <c r="L95" s="1"/>
  <c r="J95"/>
  <c r="A96"/>
  <c r="G96"/>
  <c r="F96" s="1"/>
  <c r="K96" s="1"/>
  <c r="H96"/>
  <c r="I96"/>
  <c r="L96" s="1"/>
  <c r="J96"/>
  <c r="A97"/>
  <c r="G97"/>
  <c r="F97" s="1"/>
  <c r="K97" s="1"/>
  <c r="H97"/>
  <c r="I97"/>
  <c r="L97" s="1"/>
  <c r="J97"/>
  <c r="A98"/>
  <c r="G98"/>
  <c r="F98" s="1"/>
  <c r="K98" s="1"/>
  <c r="H98"/>
  <c r="I98"/>
  <c r="L98" s="1"/>
  <c r="J98"/>
  <c r="A99"/>
  <c r="G99"/>
  <c r="F99" s="1"/>
  <c r="K99" s="1"/>
  <c r="H99"/>
  <c r="I99"/>
  <c r="L99" s="1"/>
  <c r="J99"/>
  <c r="A100"/>
  <c r="G100"/>
  <c r="F100" s="1"/>
  <c r="K100" s="1"/>
  <c r="H100"/>
  <c r="I100"/>
  <c r="L100" s="1"/>
  <c r="J100"/>
  <c r="A101"/>
  <c r="G101"/>
  <c r="F101" s="1"/>
  <c r="K101" s="1"/>
  <c r="H101"/>
  <c r="I101"/>
  <c r="L101" s="1"/>
  <c r="J101"/>
  <c r="A102"/>
  <c r="G102"/>
  <c r="F102" s="1"/>
  <c r="K102" s="1"/>
  <c r="H102"/>
  <c r="I102"/>
  <c r="L102" s="1"/>
  <c r="J102"/>
  <c r="A103"/>
  <c r="G103"/>
  <c r="F103" s="1"/>
  <c r="K103" s="1"/>
  <c r="H103"/>
  <c r="I103"/>
  <c r="L103" s="1"/>
  <c r="J103"/>
  <c r="A104"/>
  <c r="G104"/>
  <c r="F104" s="1"/>
  <c r="K104" s="1"/>
  <c r="H104"/>
  <c r="I104"/>
  <c r="L104" s="1"/>
  <c r="J104"/>
  <c r="A105"/>
  <c r="G105"/>
  <c r="F105" s="1"/>
  <c r="K105" s="1"/>
  <c r="H105"/>
  <c r="I105"/>
  <c r="L105" s="1"/>
  <c r="J105"/>
  <c r="A106"/>
  <c r="G106"/>
  <c r="F106" s="1"/>
  <c r="K106" s="1"/>
  <c r="H106"/>
  <c r="I106"/>
  <c r="L106" s="1"/>
  <c r="J106"/>
  <c r="A107"/>
  <c r="G107"/>
  <c r="F107" s="1"/>
  <c r="K107" s="1"/>
  <c r="H107"/>
  <c r="I107"/>
  <c r="L107" s="1"/>
  <c r="J107"/>
  <c r="A108"/>
  <c r="G108"/>
  <c r="F108" s="1"/>
  <c r="K108" s="1"/>
  <c r="H108"/>
  <c r="I108"/>
  <c r="L108" s="1"/>
  <c r="J108"/>
  <c r="A109"/>
  <c r="G109"/>
  <c r="F109" s="1"/>
  <c r="K109" s="1"/>
  <c r="H109"/>
  <c r="I109"/>
  <c r="L109" s="1"/>
  <c r="J109"/>
  <c r="A110"/>
  <c r="G110"/>
  <c r="F110" s="1"/>
  <c r="K110" s="1"/>
  <c r="H110"/>
  <c r="I110"/>
  <c r="L110" s="1"/>
  <c r="J110"/>
  <c r="A111"/>
  <c r="G111"/>
  <c r="F111" s="1"/>
  <c r="K111" s="1"/>
  <c r="H111"/>
  <c r="I111"/>
  <c r="L111" s="1"/>
  <c r="J111"/>
  <c r="A112"/>
  <c r="G112"/>
  <c r="F112" s="1"/>
  <c r="K112" s="1"/>
  <c r="H112"/>
  <c r="I112"/>
  <c r="L112" s="1"/>
  <c r="J112"/>
  <c r="A113"/>
  <c r="G113"/>
  <c r="F113" s="1"/>
  <c r="K113" s="1"/>
  <c r="H113"/>
  <c r="I113"/>
  <c r="L113" s="1"/>
  <c r="J113"/>
  <c r="A114"/>
  <c r="G114"/>
  <c r="F114" s="1"/>
  <c r="K114" s="1"/>
  <c r="H114"/>
  <c r="I114"/>
  <c r="L114" s="1"/>
  <c r="J114"/>
  <c r="A115"/>
  <c r="G115"/>
  <c r="F115" s="1"/>
  <c r="K115" s="1"/>
  <c r="H115"/>
  <c r="I115"/>
  <c r="L115" s="1"/>
  <c r="J115"/>
  <c r="A116"/>
  <c r="G116"/>
  <c r="F116" s="1"/>
  <c r="K116" s="1"/>
  <c r="H116"/>
  <c r="I116"/>
  <c r="L116" s="1"/>
  <c r="J116"/>
  <c r="A117"/>
  <c r="G117"/>
  <c r="F117" s="1"/>
  <c r="K117" s="1"/>
  <c r="H117"/>
  <c r="I117"/>
  <c r="L117" s="1"/>
  <c r="J117"/>
  <c r="A118"/>
  <c r="G118"/>
  <c r="F118" s="1"/>
  <c r="K118" s="1"/>
  <c r="H118"/>
  <c r="I118"/>
  <c r="L118" s="1"/>
  <c r="J118"/>
  <c r="A119"/>
  <c r="G119"/>
  <c r="F119" s="1"/>
  <c r="K119" s="1"/>
  <c r="H119"/>
  <c r="I119"/>
  <c r="L119" s="1"/>
  <c r="J119"/>
  <c r="A120"/>
  <c r="G120"/>
  <c r="F120" s="1"/>
  <c r="K120" s="1"/>
  <c r="H120"/>
  <c r="I120"/>
  <c r="L120" s="1"/>
  <c r="J120"/>
  <c r="A121"/>
  <c r="G121"/>
  <c r="F121" s="1"/>
  <c r="K121" s="1"/>
  <c r="H121"/>
  <c r="I121"/>
  <c r="L121" s="1"/>
  <c r="J121"/>
  <c r="A122"/>
  <c r="G122"/>
  <c r="F122" s="1"/>
  <c r="K122" s="1"/>
  <c r="H122"/>
  <c r="I122"/>
  <c r="L122" s="1"/>
  <c r="J122"/>
  <c r="A123"/>
  <c r="G123"/>
  <c r="F123" s="1"/>
  <c r="K123" s="1"/>
  <c r="H123"/>
  <c r="I123"/>
  <c r="L123" s="1"/>
  <c r="J123"/>
  <c r="A124"/>
  <c r="G124"/>
  <c r="F124" s="1"/>
  <c r="K124" s="1"/>
  <c r="H124"/>
  <c r="I124"/>
  <c r="L124" s="1"/>
  <c r="J124"/>
  <c r="A125"/>
  <c r="G125"/>
  <c r="F125" s="1"/>
  <c r="K125" s="1"/>
  <c r="H125"/>
  <c r="I125"/>
  <c r="L125" s="1"/>
  <c r="J125"/>
  <c r="A126"/>
  <c r="G126"/>
  <c r="F126" s="1"/>
  <c r="K126" s="1"/>
  <c r="H126"/>
  <c r="I126"/>
  <c r="L126" s="1"/>
  <c r="J126"/>
  <c r="A127"/>
  <c r="G127"/>
  <c r="F127" s="1"/>
  <c r="K127" s="1"/>
  <c r="H127"/>
  <c r="I127"/>
  <c r="L127" s="1"/>
  <c r="J127"/>
  <c r="A128"/>
  <c r="G128"/>
  <c r="F128" s="1"/>
  <c r="K128" s="1"/>
  <c r="H128"/>
  <c r="I128"/>
  <c r="L128" s="1"/>
  <c r="J128"/>
  <c r="A129"/>
  <c r="G129"/>
  <c r="F129" s="1"/>
  <c r="K129" s="1"/>
  <c r="H129"/>
  <c r="I129"/>
  <c r="L129" s="1"/>
  <c r="J129"/>
  <c r="A130"/>
  <c r="G130"/>
  <c r="F130" s="1"/>
  <c r="K130" s="1"/>
  <c r="H130"/>
  <c r="I130"/>
  <c r="L130" s="1"/>
  <c r="J130"/>
  <c r="A131"/>
  <c r="G131"/>
  <c r="F131" s="1"/>
  <c r="K131" s="1"/>
  <c r="H131"/>
  <c r="I131"/>
  <c r="L131" s="1"/>
  <c r="J131"/>
  <c r="A132"/>
  <c r="G132"/>
  <c r="F132" s="1"/>
  <c r="K132" s="1"/>
  <c r="H132"/>
  <c r="I132"/>
  <c r="L132" s="1"/>
  <c r="J132"/>
  <c r="A133"/>
  <c r="G133"/>
  <c r="F133" s="1"/>
  <c r="K133" s="1"/>
  <c r="H133"/>
  <c r="I133"/>
  <c r="L133" s="1"/>
  <c r="J133"/>
  <c r="A134"/>
  <c r="G134"/>
  <c r="F134" s="1"/>
  <c r="K134" s="1"/>
  <c r="H134"/>
  <c r="I134"/>
  <c r="L134" s="1"/>
  <c r="J134"/>
  <c r="A135"/>
  <c r="G135"/>
  <c r="F135" s="1"/>
  <c r="K135" s="1"/>
  <c r="H135"/>
  <c r="I135"/>
  <c r="L135" s="1"/>
  <c r="J135"/>
  <c r="A136"/>
  <c r="G136"/>
  <c r="F136" s="1"/>
  <c r="K136" s="1"/>
  <c r="H136"/>
  <c r="I136"/>
  <c r="L136" s="1"/>
  <c r="J136"/>
  <c r="A137"/>
  <c r="G137"/>
  <c r="F137" s="1"/>
  <c r="K137" s="1"/>
  <c r="H137"/>
  <c r="I137"/>
  <c r="L137" s="1"/>
  <c r="J137"/>
  <c r="A138"/>
  <c r="G138"/>
  <c r="F138" s="1"/>
  <c r="K138" s="1"/>
  <c r="H138"/>
  <c r="I138"/>
  <c r="L138" s="1"/>
  <c r="J138"/>
  <c r="A139"/>
  <c r="G139"/>
  <c r="F139" s="1"/>
  <c r="K139" s="1"/>
  <c r="H139"/>
  <c r="I139"/>
  <c r="L139" s="1"/>
  <c r="J139"/>
  <c r="A140"/>
  <c r="G140"/>
  <c r="F140" s="1"/>
  <c r="K140" s="1"/>
  <c r="H140"/>
  <c r="I140"/>
  <c r="L140" s="1"/>
  <c r="J140"/>
  <c r="A141"/>
  <c r="G141"/>
  <c r="F141" s="1"/>
  <c r="K141" s="1"/>
  <c r="H141"/>
  <c r="I141"/>
  <c r="L141" s="1"/>
  <c r="J141"/>
  <c r="A142"/>
  <c r="G142"/>
  <c r="F142" s="1"/>
  <c r="K142" s="1"/>
  <c r="H142"/>
  <c r="I142"/>
  <c r="L142" s="1"/>
  <c r="J142"/>
  <c r="A143"/>
  <c r="G143"/>
  <c r="F143" s="1"/>
  <c r="K143" s="1"/>
  <c r="H143"/>
  <c r="I143"/>
  <c r="L143" s="1"/>
  <c r="J143"/>
  <c r="A144"/>
  <c r="G144"/>
  <c r="F144" s="1"/>
  <c r="K144" s="1"/>
  <c r="H144"/>
  <c r="I144"/>
  <c r="L144" s="1"/>
  <c r="J144"/>
  <c r="A145"/>
  <c r="G145"/>
  <c r="F145" s="1"/>
  <c r="K145" s="1"/>
  <c r="H145"/>
  <c r="I145"/>
  <c r="L145" s="1"/>
  <c r="J145"/>
  <c r="A146"/>
  <c r="G146"/>
  <c r="F146" s="1"/>
  <c r="K146" s="1"/>
  <c r="H146"/>
  <c r="I146"/>
  <c r="L146" s="1"/>
  <c r="J146"/>
  <c r="A147"/>
  <c r="G147"/>
  <c r="F147" s="1"/>
  <c r="K147" s="1"/>
  <c r="H147"/>
  <c r="I147"/>
  <c r="L147" s="1"/>
  <c r="J147"/>
  <c r="A148"/>
  <c r="G148"/>
  <c r="F148" s="1"/>
  <c r="K148" s="1"/>
  <c r="H148"/>
  <c r="I148"/>
  <c r="L148" s="1"/>
  <c r="J148"/>
  <c r="A149"/>
  <c r="G149"/>
  <c r="F149" s="1"/>
  <c r="K149" s="1"/>
  <c r="H149"/>
  <c r="I149"/>
  <c r="L149" s="1"/>
  <c r="J149"/>
  <c r="A150"/>
  <c r="G150"/>
  <c r="F150" s="1"/>
  <c r="K150" s="1"/>
  <c r="H150"/>
  <c r="I150"/>
  <c r="L150" s="1"/>
  <c r="J150"/>
  <c r="A151"/>
  <c r="G151"/>
  <c r="F151" s="1"/>
  <c r="K151" s="1"/>
  <c r="H151"/>
  <c r="I151"/>
  <c r="L151" s="1"/>
  <c r="J151"/>
  <c r="A152"/>
  <c r="G152"/>
  <c r="F152" s="1"/>
  <c r="K152" s="1"/>
  <c r="H152"/>
  <c r="I152"/>
  <c r="L152" s="1"/>
  <c r="J152"/>
  <c r="A153"/>
  <c r="G153"/>
  <c r="F153" s="1"/>
  <c r="K153" s="1"/>
  <c r="H153"/>
  <c r="I153"/>
  <c r="L153" s="1"/>
  <c r="J153"/>
  <c r="A154"/>
  <c r="G154"/>
  <c r="F154" s="1"/>
  <c r="K154" s="1"/>
  <c r="H154"/>
  <c r="I154"/>
  <c r="L154" s="1"/>
  <c r="J154"/>
  <c r="A155"/>
  <c r="G155"/>
  <c r="F155" s="1"/>
  <c r="K155" s="1"/>
  <c r="H155"/>
  <c r="I155"/>
  <c r="L155" s="1"/>
  <c r="J155"/>
  <c r="A156"/>
  <c r="G156"/>
  <c r="F156" s="1"/>
  <c r="K156" s="1"/>
  <c r="H156"/>
  <c r="I156"/>
  <c r="L156" s="1"/>
  <c r="J156"/>
  <c r="A157"/>
  <c r="G157"/>
  <c r="F157" s="1"/>
  <c r="K157" s="1"/>
  <c r="H157"/>
  <c r="I157"/>
  <c r="L157" s="1"/>
  <c r="J157"/>
  <c r="A158"/>
  <c r="G158"/>
  <c r="F158" s="1"/>
  <c r="K158" s="1"/>
  <c r="H158"/>
  <c r="I158"/>
  <c r="L158" s="1"/>
  <c r="J158"/>
  <c r="A159"/>
  <c r="G159"/>
  <c r="F159" s="1"/>
  <c r="K159" s="1"/>
  <c r="H159"/>
  <c r="I159"/>
  <c r="L159" s="1"/>
  <c r="J159"/>
  <c r="A160"/>
  <c r="G160"/>
  <c r="F160" s="1"/>
  <c r="K160" s="1"/>
  <c r="H160"/>
  <c r="I160"/>
  <c r="L160" s="1"/>
  <c r="J160"/>
  <c r="A161"/>
  <c r="G161"/>
  <c r="F161" s="1"/>
  <c r="K161" s="1"/>
  <c r="H161"/>
  <c r="I161"/>
  <c r="L161" s="1"/>
  <c r="J161"/>
  <c r="A162"/>
  <c r="G162"/>
  <c r="F162" s="1"/>
  <c r="K162" s="1"/>
  <c r="H162"/>
  <c r="I162"/>
  <c r="L162" s="1"/>
  <c r="J162"/>
  <c r="A163"/>
  <c r="G163"/>
  <c r="F163" s="1"/>
  <c r="K163" s="1"/>
  <c r="H163"/>
  <c r="I163"/>
  <c r="L163" s="1"/>
  <c r="J163"/>
  <c r="A164"/>
  <c r="G164"/>
  <c r="F164" s="1"/>
  <c r="K164" s="1"/>
  <c r="H164"/>
  <c r="I164"/>
  <c r="L164" s="1"/>
  <c r="J164"/>
  <c r="A165"/>
  <c r="G165"/>
  <c r="F165" s="1"/>
  <c r="K165" s="1"/>
  <c r="H165"/>
  <c r="I165"/>
  <c r="L165" s="1"/>
  <c r="J165"/>
  <c r="A166"/>
  <c r="G166"/>
  <c r="F166" s="1"/>
  <c r="K166" s="1"/>
  <c r="H166"/>
  <c r="I166"/>
  <c r="L166" s="1"/>
  <c r="J166"/>
  <c r="A167"/>
  <c r="G167"/>
  <c r="F167" s="1"/>
  <c r="K167" s="1"/>
  <c r="H167"/>
  <c r="I167"/>
  <c r="L167" s="1"/>
  <c r="J167"/>
  <c r="A168"/>
  <c r="G168"/>
  <c r="F168" s="1"/>
  <c r="K168" s="1"/>
  <c r="H168"/>
  <c r="I168"/>
  <c r="L168" s="1"/>
  <c r="J168"/>
  <c r="A169"/>
  <c r="G169"/>
  <c r="F169" s="1"/>
  <c r="K169" s="1"/>
  <c r="H169"/>
  <c r="I169"/>
  <c r="L169" s="1"/>
  <c r="J169"/>
  <c r="A170"/>
  <c r="G170"/>
  <c r="F170" s="1"/>
  <c r="K170" s="1"/>
  <c r="H170"/>
  <c r="I170"/>
  <c r="L170" s="1"/>
  <c r="J170"/>
  <c r="A171"/>
  <c r="G171"/>
  <c r="F171" s="1"/>
  <c r="K171" s="1"/>
  <c r="H171"/>
  <c r="I171"/>
  <c r="L171" s="1"/>
  <c r="J171"/>
  <c r="A172"/>
  <c r="G172"/>
  <c r="F172" s="1"/>
  <c r="K172" s="1"/>
  <c r="H172"/>
  <c r="I172"/>
  <c r="L172" s="1"/>
  <c r="J172"/>
  <c r="A173"/>
  <c r="G173"/>
  <c r="F173" s="1"/>
  <c r="K173" s="1"/>
  <c r="H173"/>
  <c r="I173"/>
  <c r="L173" s="1"/>
  <c r="J173"/>
  <c r="A174"/>
  <c r="G174"/>
  <c r="F174" s="1"/>
  <c r="K174" s="1"/>
  <c r="H174"/>
  <c r="I174"/>
  <c r="L174" s="1"/>
  <c r="J174"/>
  <c r="A175"/>
  <c r="G175"/>
  <c r="F175" s="1"/>
  <c r="K175" s="1"/>
  <c r="H175"/>
  <c r="I175"/>
  <c r="L175" s="1"/>
  <c r="J175"/>
  <c r="A176"/>
  <c r="G176"/>
  <c r="F176" s="1"/>
  <c r="K176" s="1"/>
  <c r="H176"/>
  <c r="I176"/>
  <c r="L176" s="1"/>
  <c r="J176"/>
  <c r="A177"/>
  <c r="G177"/>
  <c r="F177" s="1"/>
  <c r="K177" s="1"/>
  <c r="H177"/>
  <c r="I177"/>
  <c r="L177" s="1"/>
  <c r="J177"/>
  <c r="A178"/>
  <c r="G178"/>
  <c r="F178" s="1"/>
  <c r="K178" s="1"/>
  <c r="H178"/>
  <c r="I178"/>
  <c r="L178" s="1"/>
  <c r="J178"/>
  <c r="A179"/>
  <c r="G179"/>
  <c r="F179" s="1"/>
  <c r="K179" s="1"/>
  <c r="H179"/>
  <c r="I179"/>
  <c r="L179" s="1"/>
  <c r="J179"/>
  <c r="A180"/>
  <c r="G180"/>
  <c r="F180" s="1"/>
  <c r="K180" s="1"/>
  <c r="H180"/>
  <c r="I180"/>
  <c r="L180" s="1"/>
  <c r="J180"/>
  <c r="A181"/>
  <c r="G181"/>
  <c r="F181" s="1"/>
  <c r="K181" s="1"/>
  <c r="H181"/>
  <c r="I181"/>
  <c r="L181" s="1"/>
  <c r="J181"/>
  <c r="A182"/>
  <c r="G182"/>
  <c r="F182" s="1"/>
  <c r="K182" s="1"/>
  <c r="H182"/>
  <c r="I182"/>
  <c r="L182" s="1"/>
  <c r="J182"/>
  <c r="A183"/>
  <c r="G183"/>
  <c r="F183" s="1"/>
  <c r="K183" s="1"/>
  <c r="H183"/>
  <c r="I183"/>
  <c r="L183" s="1"/>
  <c r="J183"/>
  <c r="A184"/>
  <c r="G184"/>
  <c r="F184" s="1"/>
  <c r="K184" s="1"/>
  <c r="H184"/>
  <c r="I184"/>
  <c r="L184" s="1"/>
  <c r="J184"/>
  <c r="A185"/>
  <c r="G185"/>
  <c r="F185" s="1"/>
  <c r="K185" s="1"/>
  <c r="H185"/>
  <c r="I185"/>
  <c r="L185" s="1"/>
  <c r="J185"/>
  <c r="A186"/>
  <c r="G186"/>
  <c r="F186" s="1"/>
  <c r="K186" s="1"/>
  <c r="H186"/>
  <c r="I186"/>
  <c r="L186" s="1"/>
  <c r="J186"/>
  <c r="A187"/>
  <c r="G187"/>
  <c r="F187" s="1"/>
  <c r="K187" s="1"/>
  <c r="H187"/>
  <c r="I187"/>
  <c r="L187" s="1"/>
  <c r="J187"/>
  <c r="A188"/>
  <c r="G188"/>
  <c r="F188" s="1"/>
  <c r="K188" s="1"/>
  <c r="H188"/>
  <c r="I188"/>
  <c r="L188" s="1"/>
  <c r="J188"/>
  <c r="A189"/>
  <c r="G189"/>
  <c r="F189" s="1"/>
  <c r="K189" s="1"/>
  <c r="H189"/>
  <c r="I189"/>
  <c r="L189" s="1"/>
  <c r="J189"/>
  <c r="A190"/>
  <c r="G190"/>
  <c r="F190" s="1"/>
  <c r="K190" s="1"/>
  <c r="H190"/>
  <c r="I190"/>
  <c r="L190" s="1"/>
  <c r="J190"/>
  <c r="A191"/>
  <c r="G191"/>
  <c r="F191" s="1"/>
  <c r="K191" s="1"/>
  <c r="H191"/>
  <c r="I191"/>
  <c r="L191" s="1"/>
  <c r="J191"/>
  <c r="A192"/>
  <c r="G192"/>
  <c r="F192" s="1"/>
  <c r="K192" s="1"/>
  <c r="H192"/>
  <c r="I192"/>
  <c r="L192" s="1"/>
  <c r="J192"/>
  <c r="A193"/>
  <c r="G193"/>
  <c r="F193" s="1"/>
  <c r="K193" s="1"/>
  <c r="H193"/>
  <c r="I193"/>
  <c r="L193" s="1"/>
  <c r="J193"/>
  <c r="A194"/>
  <c r="G194"/>
  <c r="F194" s="1"/>
  <c r="K194" s="1"/>
  <c r="H194"/>
  <c r="I194"/>
  <c r="L194" s="1"/>
  <c r="J194"/>
  <c r="A195"/>
  <c r="G195"/>
  <c r="F195" s="1"/>
  <c r="K195" s="1"/>
  <c r="H195"/>
  <c r="I195"/>
  <c r="L195" s="1"/>
  <c r="J195"/>
  <c r="A196"/>
  <c r="G196"/>
  <c r="F196" s="1"/>
  <c r="K196" s="1"/>
  <c r="H196"/>
  <c r="I196"/>
  <c r="L196" s="1"/>
  <c r="J196"/>
  <c r="A197"/>
  <c r="G197"/>
  <c r="F197" s="1"/>
  <c r="K197" s="1"/>
  <c r="H197"/>
  <c r="I197"/>
  <c r="L197" s="1"/>
  <c r="J197"/>
  <c r="A198"/>
  <c r="G198"/>
  <c r="F198" s="1"/>
  <c r="K198" s="1"/>
  <c r="H198"/>
  <c r="I198"/>
  <c r="L198" s="1"/>
  <c r="J198"/>
  <c r="A199"/>
  <c r="G199"/>
  <c r="F199" s="1"/>
  <c r="K199" s="1"/>
  <c r="H199"/>
  <c r="I199"/>
  <c r="L199" s="1"/>
  <c r="J199"/>
  <c r="A200"/>
  <c r="G200"/>
  <c r="F200" s="1"/>
  <c r="K200" s="1"/>
  <c r="H200"/>
  <c r="I200"/>
  <c r="L200" s="1"/>
  <c r="J200"/>
  <c r="A201"/>
  <c r="G201"/>
  <c r="F201" s="1"/>
  <c r="K201" s="1"/>
  <c r="H201"/>
  <c r="I201"/>
  <c r="L201" s="1"/>
  <c r="J201"/>
  <c r="A202"/>
  <c r="G202"/>
  <c r="F202" s="1"/>
  <c r="K202" s="1"/>
  <c r="H202"/>
  <c r="I202"/>
  <c r="L202" s="1"/>
  <c r="J202"/>
  <c r="A203"/>
  <c r="G203"/>
  <c r="F203" s="1"/>
  <c r="K203" s="1"/>
  <c r="H203"/>
  <c r="I203"/>
  <c r="L203" s="1"/>
  <c r="J203"/>
  <c r="A204"/>
  <c r="G204"/>
  <c r="F204" s="1"/>
  <c r="K204" s="1"/>
  <c r="H204"/>
  <c r="I204"/>
  <c r="L204" s="1"/>
  <c r="J204"/>
  <c r="A205"/>
  <c r="G205"/>
  <c r="F205" s="1"/>
  <c r="K205" s="1"/>
  <c r="H205"/>
  <c r="I205"/>
  <c r="L205" s="1"/>
  <c r="J205"/>
  <c r="A206"/>
  <c r="G206"/>
  <c r="F206" s="1"/>
  <c r="K206" s="1"/>
  <c r="H206"/>
  <c r="I206"/>
  <c r="L206" s="1"/>
  <c r="J206"/>
  <c r="A207"/>
  <c r="G207"/>
  <c r="F207" s="1"/>
  <c r="K207" s="1"/>
  <c r="H207"/>
  <c r="I207"/>
  <c r="L207" s="1"/>
  <c r="J207"/>
  <c r="A208"/>
  <c r="G208"/>
  <c r="F208" s="1"/>
  <c r="K208" s="1"/>
  <c r="H208"/>
  <c r="I208"/>
  <c r="L208" s="1"/>
  <c r="J208"/>
  <c r="A209"/>
  <c r="G209"/>
  <c r="F209" s="1"/>
  <c r="K209" s="1"/>
  <c r="H209"/>
  <c r="I209"/>
  <c r="L209" s="1"/>
  <c r="J209"/>
  <c r="A210"/>
  <c r="G210"/>
  <c r="F210" s="1"/>
  <c r="K210" s="1"/>
  <c r="H210"/>
  <c r="I210"/>
  <c r="L210" s="1"/>
  <c r="J210"/>
  <c r="A211"/>
  <c r="G211"/>
  <c r="F211" s="1"/>
  <c r="K211" s="1"/>
  <c r="H211"/>
  <c r="I211"/>
  <c r="L211" s="1"/>
  <c r="J211"/>
  <c r="A212"/>
  <c r="G212"/>
  <c r="F212" s="1"/>
  <c r="K212" s="1"/>
  <c r="H212"/>
  <c r="I212"/>
  <c r="L212" s="1"/>
  <c r="J212"/>
  <c r="A213"/>
  <c r="G213"/>
  <c r="F213" s="1"/>
  <c r="K213" s="1"/>
  <c r="H213"/>
  <c r="I213"/>
  <c r="L213" s="1"/>
  <c r="J213"/>
  <c r="A214"/>
  <c r="G214"/>
  <c r="F214" s="1"/>
  <c r="K214" s="1"/>
  <c r="H214"/>
  <c r="I214"/>
  <c r="L214" s="1"/>
  <c r="J214"/>
  <c r="A215"/>
  <c r="G215"/>
  <c r="F215" s="1"/>
  <c r="K215" s="1"/>
  <c r="H215"/>
  <c r="I215"/>
  <c r="L215" s="1"/>
  <c r="J215"/>
  <c r="A216"/>
  <c r="G216"/>
  <c r="F216" s="1"/>
  <c r="K216" s="1"/>
  <c r="H216"/>
  <c r="I216"/>
  <c r="L216" s="1"/>
  <c r="J216"/>
  <c r="A217"/>
  <c r="G217"/>
  <c r="F217" s="1"/>
  <c r="K217" s="1"/>
  <c r="H217"/>
  <c r="I217"/>
  <c r="L217" s="1"/>
  <c r="J217"/>
  <c r="A218"/>
  <c r="G218"/>
  <c r="F218" s="1"/>
  <c r="K218" s="1"/>
  <c r="H218"/>
  <c r="I218"/>
  <c r="L218" s="1"/>
  <c r="J218"/>
  <c r="A219"/>
  <c r="G219"/>
  <c r="F219" s="1"/>
  <c r="K219" s="1"/>
  <c r="H219"/>
  <c r="I219"/>
  <c r="L219" s="1"/>
  <c r="J219"/>
  <c r="A220"/>
  <c r="G220"/>
  <c r="F220" s="1"/>
  <c r="K220" s="1"/>
  <c r="H220"/>
  <c r="I220"/>
  <c r="L220" s="1"/>
  <c r="J220"/>
  <c r="A221"/>
  <c r="G221"/>
  <c r="F221" s="1"/>
  <c r="K221" s="1"/>
  <c r="H221"/>
  <c r="I221"/>
  <c r="L221" s="1"/>
  <c r="J221"/>
  <c r="A222"/>
  <c r="G222"/>
  <c r="F222" s="1"/>
  <c r="K222" s="1"/>
  <c r="H222"/>
  <c r="I222"/>
  <c r="L222" s="1"/>
  <c r="J222"/>
  <c r="A223"/>
  <c r="G223"/>
  <c r="F223" s="1"/>
  <c r="K223" s="1"/>
  <c r="H223"/>
  <c r="I223"/>
  <c r="L223" s="1"/>
  <c r="J223"/>
  <c r="A224"/>
  <c r="G224"/>
  <c r="F224" s="1"/>
  <c r="K224" s="1"/>
  <c r="H224"/>
  <c r="I224"/>
  <c r="L224" s="1"/>
  <c r="J224"/>
  <c r="A225"/>
  <c r="G225"/>
  <c r="F225" s="1"/>
  <c r="K225" s="1"/>
  <c r="H225"/>
  <c r="I225"/>
  <c r="L225" s="1"/>
  <c r="J225"/>
  <c r="A226"/>
  <c r="G226"/>
  <c r="F226" s="1"/>
  <c r="K226" s="1"/>
  <c r="H226"/>
  <c r="I226"/>
  <c r="L226" s="1"/>
  <c r="J226"/>
  <c r="A227"/>
  <c r="G227"/>
  <c r="F227" s="1"/>
  <c r="K227" s="1"/>
  <c r="H227"/>
  <c r="I227"/>
  <c r="L227" s="1"/>
  <c r="J227"/>
  <c r="A228"/>
  <c r="G228"/>
  <c r="F228" s="1"/>
  <c r="K228" s="1"/>
  <c r="H228"/>
  <c r="I228"/>
  <c r="L228" s="1"/>
  <c r="J228"/>
  <c r="A229"/>
  <c r="G229"/>
  <c r="F229" s="1"/>
  <c r="K229" s="1"/>
  <c r="H229"/>
  <c r="I229"/>
  <c r="L229" s="1"/>
  <c r="J229"/>
  <c r="A230"/>
  <c r="G230"/>
  <c r="F230" s="1"/>
  <c r="K230" s="1"/>
  <c r="H230"/>
  <c r="I230"/>
  <c r="L230" s="1"/>
  <c r="J230"/>
  <c r="A231"/>
  <c r="G231"/>
  <c r="F231" s="1"/>
  <c r="K231" s="1"/>
  <c r="H231"/>
  <c r="I231"/>
  <c r="L231" s="1"/>
  <c r="J231"/>
  <c r="A232"/>
  <c r="G232"/>
  <c r="F232" s="1"/>
  <c r="K232" s="1"/>
  <c r="H232"/>
  <c r="I232"/>
  <c r="L232" s="1"/>
  <c r="J232"/>
  <c r="A233"/>
  <c r="G233"/>
  <c r="F233" s="1"/>
  <c r="K233" s="1"/>
  <c r="H233"/>
  <c r="I233"/>
  <c r="L233" s="1"/>
  <c r="J233"/>
  <c r="A234"/>
  <c r="G234"/>
  <c r="F234" s="1"/>
  <c r="K234" s="1"/>
  <c r="H234"/>
  <c r="I234"/>
  <c r="L234" s="1"/>
  <c r="J234"/>
  <c r="A235"/>
  <c r="G235"/>
  <c r="F235" s="1"/>
  <c r="K235" s="1"/>
  <c r="H235"/>
  <c r="I235"/>
  <c r="L235" s="1"/>
  <c r="J235"/>
  <c r="A236"/>
  <c r="G236"/>
  <c r="F236" s="1"/>
  <c r="K236" s="1"/>
  <c r="H236"/>
  <c r="I236"/>
  <c r="L236" s="1"/>
  <c r="J236"/>
  <c r="A237"/>
  <c r="G237"/>
  <c r="F237" s="1"/>
  <c r="K237" s="1"/>
  <c r="H237"/>
  <c r="I237"/>
  <c r="L237" s="1"/>
  <c r="J237"/>
  <c r="A238"/>
  <c r="G238"/>
  <c r="F238" s="1"/>
  <c r="K238" s="1"/>
  <c r="H238"/>
  <c r="I238"/>
  <c r="L238" s="1"/>
  <c r="J238"/>
  <c r="A239"/>
  <c r="G239"/>
  <c r="F239" s="1"/>
  <c r="K239" s="1"/>
  <c r="H239"/>
  <c r="I239"/>
  <c r="L239" s="1"/>
  <c r="J239"/>
  <c r="A240"/>
  <c r="G240"/>
  <c r="F240" s="1"/>
  <c r="K240" s="1"/>
  <c r="H240"/>
  <c r="I240"/>
  <c r="L240" s="1"/>
  <c r="J240"/>
  <c r="A241"/>
  <c r="G241"/>
  <c r="F241" s="1"/>
  <c r="K241" s="1"/>
  <c r="H241"/>
  <c r="I241"/>
  <c r="L241" s="1"/>
  <c r="J241"/>
  <c r="A242"/>
  <c r="G242"/>
  <c r="F242" s="1"/>
  <c r="K242" s="1"/>
  <c r="H242"/>
  <c r="I242"/>
  <c r="L242" s="1"/>
  <c r="J242"/>
  <c r="A243"/>
  <c r="G243"/>
  <c r="F243" s="1"/>
  <c r="K243" s="1"/>
  <c r="H243"/>
  <c r="I243"/>
  <c r="L243" s="1"/>
  <c r="J243"/>
  <c r="A244"/>
  <c r="G244"/>
  <c r="F244" s="1"/>
  <c r="K244" s="1"/>
  <c r="H244"/>
  <c r="I244"/>
  <c r="L244" s="1"/>
  <c r="J244"/>
  <c r="A245"/>
  <c r="G245"/>
  <c r="F245" s="1"/>
  <c r="K245" s="1"/>
  <c r="H245"/>
  <c r="I245"/>
  <c r="L245" s="1"/>
  <c r="J245"/>
  <c r="A246"/>
  <c r="G246"/>
  <c r="F246" s="1"/>
  <c r="K246" s="1"/>
  <c r="H246"/>
  <c r="I246"/>
  <c r="L246" s="1"/>
  <c r="J246"/>
  <c r="A247"/>
  <c r="G247"/>
  <c r="F247" s="1"/>
  <c r="K247" s="1"/>
  <c r="H247"/>
  <c r="I247"/>
  <c r="L247" s="1"/>
  <c r="J247"/>
  <c r="A248"/>
  <c r="G248"/>
  <c r="F248" s="1"/>
  <c r="K248" s="1"/>
  <c r="H248"/>
  <c r="I248"/>
  <c r="L248" s="1"/>
  <c r="J248"/>
  <c r="A249"/>
  <c r="G249"/>
  <c r="F249" s="1"/>
  <c r="K249" s="1"/>
  <c r="H249"/>
  <c r="I249"/>
  <c r="L249" s="1"/>
  <c r="J249"/>
  <c r="A250"/>
  <c r="G250"/>
  <c r="F250" s="1"/>
  <c r="K250" s="1"/>
  <c r="H250"/>
  <c r="I250"/>
  <c r="L250" s="1"/>
  <c r="J250"/>
  <c r="A251"/>
  <c r="G251"/>
  <c r="F251" s="1"/>
  <c r="K251" s="1"/>
  <c r="H251"/>
  <c r="I251"/>
  <c r="L251" s="1"/>
  <c r="J251"/>
  <c r="A252"/>
  <c r="G252"/>
  <c r="F252" s="1"/>
  <c r="K252" s="1"/>
  <c r="H252"/>
  <c r="I252"/>
  <c r="L252" s="1"/>
  <c r="J252"/>
  <c r="A253"/>
  <c r="G253"/>
  <c r="F253" s="1"/>
  <c r="K253" s="1"/>
  <c r="H253"/>
  <c r="I253"/>
  <c r="L253" s="1"/>
  <c r="J253"/>
  <c r="A254"/>
  <c r="G254"/>
  <c r="F254" s="1"/>
  <c r="K254" s="1"/>
  <c r="H254"/>
  <c r="I254"/>
  <c r="L254" s="1"/>
  <c r="J254"/>
  <c r="A255"/>
  <c r="G255"/>
  <c r="F255" s="1"/>
  <c r="K255" s="1"/>
  <c r="H255"/>
  <c r="I255"/>
  <c r="L255" s="1"/>
  <c r="J255"/>
  <c r="A256"/>
  <c r="G256"/>
  <c r="F256" s="1"/>
  <c r="K256" s="1"/>
  <c r="H256"/>
  <c r="I256"/>
  <c r="L256" s="1"/>
  <c r="J256"/>
  <c r="A257"/>
  <c r="G257"/>
  <c r="F257" s="1"/>
  <c r="K257" s="1"/>
  <c r="H257"/>
  <c r="I257"/>
  <c r="L257" s="1"/>
  <c r="J257"/>
  <c r="A258"/>
  <c r="G258"/>
  <c r="F258" s="1"/>
  <c r="K258" s="1"/>
  <c r="H258"/>
  <c r="I258"/>
  <c r="L258" s="1"/>
  <c r="J258"/>
  <c r="A259"/>
  <c r="G259"/>
  <c r="F259" s="1"/>
  <c r="K259" s="1"/>
  <c r="H259"/>
  <c r="I259"/>
  <c r="L259" s="1"/>
  <c r="J259"/>
  <c r="A260"/>
  <c r="G260"/>
  <c r="F260" s="1"/>
  <c r="K260" s="1"/>
  <c r="H260"/>
  <c r="I260"/>
  <c r="L260" s="1"/>
  <c r="J260"/>
  <c r="A261"/>
  <c r="G261"/>
  <c r="F261" s="1"/>
  <c r="K261" s="1"/>
  <c r="H261"/>
  <c r="I261"/>
  <c r="L261" s="1"/>
  <c r="J261"/>
  <c r="A262"/>
  <c r="G262"/>
  <c r="F262" s="1"/>
  <c r="K262" s="1"/>
  <c r="H262"/>
  <c r="I262"/>
  <c r="L262" s="1"/>
  <c r="J262"/>
  <c r="A263"/>
  <c r="G263"/>
  <c r="F263" s="1"/>
  <c r="K263" s="1"/>
  <c r="H263"/>
  <c r="I263"/>
  <c r="L263" s="1"/>
  <c r="J263"/>
  <c r="A264"/>
  <c r="G264"/>
  <c r="F264" s="1"/>
  <c r="K264" s="1"/>
  <c r="H264"/>
  <c r="I264"/>
  <c r="L264" s="1"/>
  <c r="J264"/>
  <c r="A265"/>
  <c r="G265"/>
  <c r="F265" s="1"/>
  <c r="K265" s="1"/>
  <c r="H265"/>
  <c r="I265"/>
  <c r="L265" s="1"/>
  <c r="J265"/>
  <c r="A266"/>
  <c r="G266"/>
  <c r="F266" s="1"/>
  <c r="K266" s="1"/>
  <c r="H266"/>
  <c r="I266"/>
  <c r="L266" s="1"/>
  <c r="J266"/>
  <c r="A267"/>
  <c r="G267"/>
  <c r="F267" s="1"/>
  <c r="K267" s="1"/>
  <c r="H267"/>
  <c r="I267"/>
  <c r="L267" s="1"/>
  <c r="J267"/>
  <c r="A268"/>
  <c r="G268"/>
  <c r="F268" s="1"/>
  <c r="K268" s="1"/>
  <c r="H268"/>
  <c r="I268"/>
  <c r="L268" s="1"/>
  <c r="J268"/>
  <c r="A269"/>
  <c r="G269"/>
  <c r="F269" s="1"/>
  <c r="K269" s="1"/>
  <c r="H269"/>
  <c r="I269"/>
  <c r="L269" s="1"/>
  <c r="J269"/>
  <c r="A270"/>
  <c r="G270"/>
  <c r="F270" s="1"/>
  <c r="K270" s="1"/>
  <c r="H270"/>
  <c r="I270"/>
  <c r="L270" s="1"/>
  <c r="J270"/>
  <c r="A271"/>
  <c r="G271"/>
  <c r="F271" s="1"/>
  <c r="K271" s="1"/>
  <c r="H271"/>
  <c r="I271"/>
  <c r="L271" s="1"/>
  <c r="J271"/>
  <c r="A272"/>
  <c r="G272"/>
  <c r="F272" s="1"/>
  <c r="K272" s="1"/>
  <c r="H272"/>
  <c r="I272"/>
  <c r="L272" s="1"/>
  <c r="J272"/>
  <c r="A273"/>
  <c r="G273"/>
  <c r="F273" s="1"/>
  <c r="K273" s="1"/>
  <c r="H273"/>
  <c r="I273"/>
  <c r="L273" s="1"/>
  <c r="J273"/>
  <c r="A274"/>
  <c r="G274"/>
  <c r="F274" s="1"/>
  <c r="K274" s="1"/>
  <c r="H274"/>
  <c r="I274"/>
  <c r="L274" s="1"/>
  <c r="J274"/>
  <c r="A275"/>
  <c r="G275"/>
  <c r="F275" s="1"/>
  <c r="K275" s="1"/>
  <c r="H275"/>
  <c r="I275"/>
  <c r="L275" s="1"/>
  <c r="J275"/>
  <c r="A276"/>
  <c r="G276"/>
  <c r="F276" s="1"/>
  <c r="K276" s="1"/>
  <c r="H276"/>
  <c r="I276"/>
  <c r="L276" s="1"/>
  <c r="J276"/>
  <c r="A277"/>
  <c r="G277"/>
  <c r="F277" s="1"/>
  <c r="K277" s="1"/>
  <c r="H277"/>
  <c r="I277"/>
  <c r="L277" s="1"/>
  <c r="J277"/>
  <c r="A278"/>
  <c r="G278"/>
  <c r="F278" s="1"/>
  <c r="K278" s="1"/>
  <c r="H278"/>
  <c r="I278"/>
  <c r="L278" s="1"/>
  <c r="J278"/>
  <c r="A279"/>
  <c r="G279"/>
  <c r="F279" s="1"/>
  <c r="K279" s="1"/>
  <c r="H279"/>
  <c r="I279"/>
  <c r="L279" s="1"/>
  <c r="J279"/>
  <c r="A280"/>
  <c r="G280"/>
  <c r="F280" s="1"/>
  <c r="K280" s="1"/>
  <c r="H280"/>
  <c r="I280"/>
  <c r="L280" s="1"/>
  <c r="J280"/>
  <c r="A281"/>
  <c r="G281"/>
  <c r="F281" s="1"/>
  <c r="K281" s="1"/>
  <c r="H281"/>
  <c r="I281"/>
  <c r="L281" s="1"/>
  <c r="J281"/>
  <c r="A282"/>
  <c r="G282"/>
  <c r="F282" s="1"/>
  <c r="K282" s="1"/>
  <c r="H282"/>
  <c r="I282"/>
  <c r="L282" s="1"/>
  <c r="J282"/>
  <c r="A283"/>
  <c r="G283"/>
  <c r="F283" s="1"/>
  <c r="K283" s="1"/>
  <c r="H283"/>
  <c r="I283"/>
  <c r="L283" s="1"/>
  <c r="J283"/>
  <c r="A284"/>
  <c r="G284"/>
  <c r="F284" s="1"/>
  <c r="K284" s="1"/>
  <c r="H284"/>
  <c r="I284"/>
  <c r="L284" s="1"/>
  <c r="J284"/>
  <c r="A285"/>
  <c r="G285"/>
  <c r="F285" s="1"/>
  <c r="K285" s="1"/>
  <c r="H285"/>
  <c r="I285"/>
  <c r="L285" s="1"/>
  <c r="J285"/>
  <c r="A286"/>
  <c r="G286"/>
  <c r="F286" s="1"/>
  <c r="K286" s="1"/>
  <c r="H286"/>
  <c r="I286"/>
  <c r="L286" s="1"/>
  <c r="J286"/>
  <c r="A287"/>
  <c r="G287"/>
  <c r="F287" s="1"/>
  <c r="K287" s="1"/>
  <c r="H287"/>
  <c r="I287"/>
  <c r="L287" s="1"/>
  <c r="J287"/>
  <c r="A288"/>
  <c r="G288"/>
  <c r="F288" s="1"/>
  <c r="K288" s="1"/>
  <c r="H288"/>
  <c r="I288"/>
  <c r="L288" s="1"/>
  <c r="J288"/>
  <c r="A289"/>
  <c r="G289"/>
  <c r="F289" s="1"/>
  <c r="K289" s="1"/>
  <c r="H289"/>
  <c r="I289"/>
  <c r="L289" s="1"/>
  <c r="J289"/>
  <c r="A290"/>
  <c r="G290"/>
  <c r="F290" s="1"/>
  <c r="K290" s="1"/>
  <c r="H290"/>
  <c r="I290"/>
  <c r="L290" s="1"/>
  <c r="J290"/>
  <c r="A291"/>
  <c r="G291"/>
  <c r="F291" s="1"/>
  <c r="K291" s="1"/>
  <c r="H291"/>
  <c r="I291"/>
  <c r="L291" s="1"/>
  <c r="J291"/>
  <c r="A292"/>
  <c r="G292"/>
  <c r="F292" s="1"/>
  <c r="K292" s="1"/>
  <c r="H292"/>
  <c r="I292"/>
  <c r="L292" s="1"/>
  <c r="J292"/>
  <c r="A293"/>
  <c r="G293"/>
  <c r="F293" s="1"/>
  <c r="K293" s="1"/>
  <c r="H293"/>
  <c r="I293"/>
  <c r="L293" s="1"/>
  <c r="J293"/>
  <c r="A294"/>
  <c r="G294"/>
  <c r="F294" s="1"/>
  <c r="K294" s="1"/>
  <c r="H294"/>
  <c r="I294"/>
  <c r="L294" s="1"/>
  <c r="J294"/>
  <c r="A295"/>
  <c r="G295"/>
  <c r="F295" s="1"/>
  <c r="K295" s="1"/>
  <c r="H295"/>
  <c r="I295"/>
  <c r="L295" s="1"/>
  <c r="J295"/>
  <c r="A296"/>
  <c r="G296"/>
  <c r="F296" s="1"/>
  <c r="K296" s="1"/>
  <c r="H296"/>
  <c r="I296"/>
  <c r="L296" s="1"/>
  <c r="J296"/>
  <c r="A297"/>
  <c r="G297"/>
  <c r="F297" s="1"/>
  <c r="K297" s="1"/>
  <c r="H297"/>
  <c r="I297"/>
  <c r="L297" s="1"/>
  <c r="J297"/>
  <c r="A298"/>
  <c r="G298"/>
  <c r="F298" s="1"/>
  <c r="K298" s="1"/>
  <c r="H298"/>
  <c r="I298"/>
  <c r="L298" s="1"/>
  <c r="J298"/>
  <c r="A299"/>
  <c r="G299"/>
  <c r="F299" s="1"/>
  <c r="K299" s="1"/>
  <c r="H299"/>
  <c r="I299"/>
  <c r="L299" s="1"/>
  <c r="J299"/>
  <c r="A300"/>
  <c r="G300"/>
  <c r="F300" s="1"/>
  <c r="K300" s="1"/>
  <c r="H300"/>
  <c r="I300"/>
  <c r="L300" s="1"/>
  <c r="J300"/>
  <c r="A301"/>
  <c r="G301"/>
  <c r="F301" s="1"/>
  <c r="K301" s="1"/>
  <c r="H301"/>
  <c r="I301"/>
  <c r="L301" s="1"/>
  <c r="J301"/>
  <c r="A302"/>
  <c r="G302"/>
  <c r="F302" s="1"/>
  <c r="K302" s="1"/>
  <c r="H302"/>
  <c r="I302"/>
  <c r="L302" s="1"/>
  <c r="J302"/>
  <c r="A303"/>
  <c r="G303"/>
  <c r="F303" s="1"/>
  <c r="K303" s="1"/>
  <c r="H303"/>
  <c r="I303"/>
  <c r="L303" s="1"/>
  <c r="J303"/>
  <c r="A304"/>
  <c r="G304"/>
  <c r="F304" s="1"/>
  <c r="K304" s="1"/>
  <c r="H304"/>
  <c r="I304"/>
  <c r="L304" s="1"/>
  <c r="J304"/>
  <c r="A305"/>
  <c r="G305"/>
  <c r="F305" s="1"/>
  <c r="K305" s="1"/>
  <c r="H305"/>
  <c r="I305"/>
  <c r="L305" s="1"/>
  <c r="J305"/>
  <c r="A306"/>
  <c r="G306"/>
  <c r="F306" s="1"/>
  <c r="K306" s="1"/>
  <c r="H306"/>
  <c r="I306"/>
  <c r="L306" s="1"/>
  <c r="J306"/>
  <c r="A307"/>
  <c r="G307"/>
  <c r="F307" s="1"/>
  <c r="K307" s="1"/>
  <c r="H307"/>
  <c r="I307"/>
  <c r="L307" s="1"/>
  <c r="J307"/>
  <c r="A308"/>
  <c r="G308"/>
  <c r="F308" s="1"/>
  <c r="K308" s="1"/>
  <c r="H308"/>
  <c r="I308"/>
  <c r="L308" s="1"/>
  <c r="J308"/>
  <c r="A309"/>
  <c r="G309"/>
  <c r="F309" s="1"/>
  <c r="K309" s="1"/>
  <c r="H309"/>
  <c r="I309"/>
  <c r="L309" s="1"/>
  <c r="J309"/>
  <c r="A310"/>
  <c r="G310"/>
  <c r="F310" s="1"/>
  <c r="K310" s="1"/>
  <c r="H310"/>
  <c r="I310"/>
  <c r="L310" s="1"/>
  <c r="J310"/>
  <c r="A311"/>
  <c r="G311"/>
  <c r="F311" s="1"/>
  <c r="K311" s="1"/>
  <c r="H311"/>
  <c r="I311"/>
  <c r="L311" s="1"/>
  <c r="J311"/>
  <c r="A312"/>
  <c r="G312"/>
  <c r="F312" s="1"/>
  <c r="K312" s="1"/>
  <c r="H312"/>
  <c r="I312"/>
  <c r="L312" s="1"/>
  <c r="J312"/>
  <c r="A313"/>
  <c r="G313"/>
  <c r="F313" s="1"/>
  <c r="K313" s="1"/>
  <c r="H313"/>
  <c r="I313"/>
  <c r="L313" s="1"/>
  <c r="J313"/>
  <c r="A314"/>
  <c r="G314"/>
  <c r="F314" s="1"/>
  <c r="K314" s="1"/>
  <c r="H314"/>
  <c r="I314"/>
  <c r="L314" s="1"/>
  <c r="J314"/>
  <c r="A315"/>
  <c r="G315"/>
  <c r="F315" s="1"/>
  <c r="K315" s="1"/>
  <c r="H315"/>
  <c r="I315"/>
  <c r="L315" s="1"/>
  <c r="J315"/>
  <c r="A316"/>
  <c r="G316"/>
  <c r="F316" s="1"/>
  <c r="K316" s="1"/>
  <c r="H316"/>
  <c r="I316"/>
  <c r="L316" s="1"/>
  <c r="J316"/>
  <c r="A317"/>
  <c r="G317"/>
  <c r="F317" s="1"/>
  <c r="K317" s="1"/>
  <c r="H317"/>
  <c r="I317"/>
  <c r="L317" s="1"/>
  <c r="J317"/>
  <c r="A318"/>
  <c r="G318"/>
  <c r="F318" s="1"/>
  <c r="K318" s="1"/>
  <c r="H318"/>
  <c r="I318"/>
  <c r="L318" s="1"/>
  <c r="J318"/>
  <c r="A319"/>
  <c r="G319"/>
  <c r="F319" s="1"/>
  <c r="K319" s="1"/>
  <c r="H319"/>
  <c r="I319"/>
  <c r="L319" s="1"/>
  <c r="J319"/>
  <c r="A320"/>
  <c r="G320"/>
  <c r="F320" s="1"/>
  <c r="K320" s="1"/>
  <c r="H320"/>
  <c r="I320"/>
  <c r="L320" s="1"/>
  <c r="J320"/>
  <c r="A321"/>
  <c r="G321"/>
  <c r="F321" s="1"/>
  <c r="K321" s="1"/>
  <c r="H321"/>
  <c r="I321"/>
  <c r="L321" s="1"/>
  <c r="J321"/>
  <c r="A322"/>
  <c r="G322"/>
  <c r="F322" s="1"/>
  <c r="K322" s="1"/>
  <c r="H322"/>
  <c r="I322"/>
  <c r="L322" s="1"/>
  <c r="J322"/>
  <c r="A323"/>
  <c r="G323"/>
  <c r="F323" s="1"/>
  <c r="K323" s="1"/>
  <c r="H323"/>
  <c r="I323"/>
  <c r="L323" s="1"/>
  <c r="J323"/>
  <c r="A324"/>
  <c r="G324"/>
  <c r="F324" s="1"/>
  <c r="K324" s="1"/>
  <c r="H324"/>
  <c r="I324"/>
  <c r="L324" s="1"/>
  <c r="J324"/>
  <c r="A325"/>
  <c r="G325"/>
  <c r="F325" s="1"/>
  <c r="K325" s="1"/>
  <c r="H325"/>
  <c r="I325"/>
  <c r="L325" s="1"/>
  <c r="J325"/>
  <c r="A326"/>
  <c r="G326"/>
  <c r="F326" s="1"/>
  <c r="K326" s="1"/>
  <c r="H326"/>
  <c r="I326"/>
  <c r="L326" s="1"/>
  <c r="J326"/>
  <c r="A327"/>
  <c r="G327"/>
  <c r="F327" s="1"/>
  <c r="K327" s="1"/>
  <c r="H327"/>
  <c r="I327"/>
  <c r="L327" s="1"/>
  <c r="J327"/>
  <c r="A328"/>
  <c r="G328"/>
  <c r="F328" s="1"/>
  <c r="K328" s="1"/>
  <c r="H328"/>
  <c r="I328"/>
  <c r="L328" s="1"/>
  <c r="J328"/>
  <c r="A329"/>
  <c r="G329"/>
  <c r="F329" s="1"/>
  <c r="K329" s="1"/>
  <c r="H329"/>
  <c r="I329"/>
  <c r="L329" s="1"/>
  <c r="J329"/>
  <c r="A330"/>
  <c r="G330"/>
  <c r="F330" s="1"/>
  <c r="K330" s="1"/>
  <c r="H330"/>
  <c r="I330"/>
  <c r="L330" s="1"/>
  <c r="J330"/>
  <c r="A331"/>
  <c r="G331"/>
  <c r="F331" s="1"/>
  <c r="K331" s="1"/>
  <c r="H331"/>
  <c r="I331"/>
  <c r="L331" s="1"/>
  <c r="J331"/>
  <c r="A332"/>
  <c r="G332"/>
  <c r="F332" s="1"/>
  <c r="K332" s="1"/>
  <c r="H332"/>
  <c r="I332"/>
  <c r="L332" s="1"/>
  <c r="J332"/>
  <c r="A333"/>
  <c r="G333"/>
  <c r="F333" s="1"/>
  <c r="K333" s="1"/>
  <c r="H333"/>
  <c r="I333"/>
  <c r="L333" s="1"/>
  <c r="J333"/>
  <c r="A334"/>
  <c r="G334"/>
  <c r="F334" s="1"/>
  <c r="K334" s="1"/>
  <c r="H334"/>
  <c r="I334"/>
  <c r="L334" s="1"/>
  <c r="J334"/>
  <c r="A335"/>
  <c r="G335"/>
  <c r="F335" s="1"/>
  <c r="K335" s="1"/>
  <c r="H335"/>
  <c r="I335"/>
  <c r="L335" s="1"/>
  <c r="J335"/>
  <c r="A336"/>
  <c r="G336"/>
  <c r="F336" s="1"/>
  <c r="K336" s="1"/>
  <c r="H336"/>
  <c r="I336"/>
  <c r="L336" s="1"/>
  <c r="J336"/>
  <c r="A337"/>
  <c r="G337"/>
  <c r="F337" s="1"/>
  <c r="K337" s="1"/>
  <c r="H337"/>
  <c r="I337"/>
  <c r="L337" s="1"/>
  <c r="J337"/>
  <c r="A338"/>
  <c r="G338"/>
  <c r="F338" s="1"/>
  <c r="K338" s="1"/>
  <c r="H338"/>
  <c r="I338"/>
  <c r="L338" s="1"/>
  <c r="J338"/>
  <c r="A339"/>
  <c r="G339"/>
  <c r="F339" s="1"/>
  <c r="K339" s="1"/>
  <c r="H339"/>
  <c r="I339"/>
  <c r="L339" s="1"/>
  <c r="J339"/>
  <c r="A340"/>
  <c r="G340"/>
  <c r="F340" s="1"/>
  <c r="K340" s="1"/>
  <c r="H340"/>
  <c r="I340"/>
  <c r="L340" s="1"/>
  <c r="J340"/>
  <c r="A341"/>
  <c r="G341"/>
  <c r="F341" s="1"/>
  <c r="K341" s="1"/>
  <c r="H341"/>
  <c r="I341"/>
  <c r="L341" s="1"/>
  <c r="J341"/>
  <c r="A342"/>
  <c r="G342"/>
  <c r="F342" s="1"/>
  <c r="K342" s="1"/>
  <c r="H342"/>
  <c r="I342"/>
  <c r="L342" s="1"/>
  <c r="J342"/>
  <c r="A343"/>
  <c r="G343"/>
  <c r="F343" s="1"/>
  <c r="K343" s="1"/>
  <c r="H343"/>
  <c r="I343"/>
  <c r="L343" s="1"/>
  <c r="J343"/>
  <c r="A344"/>
  <c r="G344"/>
  <c r="F344" s="1"/>
  <c r="K344" s="1"/>
  <c r="H344"/>
  <c r="I344"/>
  <c r="L344" s="1"/>
  <c r="J344"/>
  <c r="A345"/>
  <c r="G345"/>
  <c r="F345" s="1"/>
  <c r="K345" s="1"/>
  <c r="H345"/>
  <c r="I345"/>
  <c r="L345" s="1"/>
  <c r="J345"/>
  <c r="A346"/>
  <c r="G346"/>
  <c r="F346" s="1"/>
  <c r="K346" s="1"/>
  <c r="H346"/>
  <c r="I346"/>
  <c r="L346" s="1"/>
  <c r="J346"/>
  <c r="A347"/>
  <c r="G347"/>
  <c r="F347" s="1"/>
  <c r="K347" s="1"/>
  <c r="H347"/>
  <c r="I347"/>
  <c r="L347" s="1"/>
  <c r="J347"/>
  <c r="A348"/>
  <c r="G348"/>
  <c r="F348" s="1"/>
  <c r="K348" s="1"/>
  <c r="H348"/>
  <c r="I348"/>
  <c r="L348" s="1"/>
  <c r="J348"/>
  <c r="A349"/>
  <c r="G349"/>
  <c r="F349" s="1"/>
  <c r="K349" s="1"/>
  <c r="H349"/>
  <c r="I349"/>
  <c r="L349" s="1"/>
  <c r="J349"/>
  <c r="A350"/>
  <c r="G350"/>
  <c r="F350" s="1"/>
  <c r="K350" s="1"/>
  <c r="H350"/>
  <c r="I350"/>
  <c r="L350" s="1"/>
  <c r="J350"/>
  <c r="A351"/>
  <c r="G351"/>
  <c r="F351" s="1"/>
  <c r="K351" s="1"/>
  <c r="H351"/>
  <c r="I351"/>
  <c r="L351" s="1"/>
  <c r="J351"/>
  <c r="A352"/>
  <c r="G352"/>
  <c r="F352" s="1"/>
  <c r="K352" s="1"/>
  <c r="H352"/>
  <c r="I352"/>
  <c r="L352" s="1"/>
  <c r="J352"/>
  <c r="A353"/>
  <c r="G353"/>
  <c r="F353" s="1"/>
  <c r="K353" s="1"/>
  <c r="H353"/>
  <c r="I353"/>
  <c r="L353" s="1"/>
  <c r="J353"/>
  <c r="A354"/>
  <c r="G354"/>
  <c r="F354" s="1"/>
  <c r="K354" s="1"/>
  <c r="H354"/>
  <c r="I354"/>
  <c r="L354" s="1"/>
  <c r="J354"/>
  <c r="A355"/>
  <c r="G355"/>
  <c r="F355" s="1"/>
  <c r="K355" s="1"/>
  <c r="H355"/>
  <c r="I355"/>
  <c r="L355" s="1"/>
  <c r="J355"/>
  <c r="A356"/>
  <c r="G356"/>
  <c r="F356" s="1"/>
  <c r="K356" s="1"/>
  <c r="H356"/>
  <c r="I356"/>
  <c r="L356" s="1"/>
  <c r="J356"/>
  <c r="A357"/>
  <c r="G357"/>
  <c r="F357" s="1"/>
  <c r="K357" s="1"/>
  <c r="H357"/>
  <c r="I357"/>
  <c r="L357" s="1"/>
  <c r="J357"/>
  <c r="A358"/>
  <c r="G358"/>
  <c r="F358" s="1"/>
  <c r="K358" s="1"/>
  <c r="H358"/>
  <c r="I358"/>
  <c r="L358" s="1"/>
  <c r="J358"/>
  <c r="A359"/>
  <c r="G359"/>
  <c r="F359" s="1"/>
  <c r="K359" s="1"/>
  <c r="H359"/>
  <c r="I359"/>
  <c r="L359" s="1"/>
  <c r="J359"/>
  <c r="A360"/>
  <c r="G360"/>
  <c r="F360" s="1"/>
  <c r="K360" s="1"/>
  <c r="H360"/>
  <c r="I360"/>
  <c r="L360" s="1"/>
  <c r="J360"/>
  <c r="A361"/>
  <c r="G361"/>
  <c r="F361" s="1"/>
  <c r="K361" s="1"/>
  <c r="H361"/>
  <c r="I361"/>
  <c r="L361" s="1"/>
  <c r="J361"/>
  <c r="A362"/>
  <c r="G362"/>
  <c r="F362" s="1"/>
  <c r="K362" s="1"/>
  <c r="H362"/>
  <c r="I362"/>
  <c r="L362" s="1"/>
  <c r="J362"/>
  <c r="A363"/>
  <c r="G363"/>
  <c r="F363" s="1"/>
  <c r="K363" s="1"/>
  <c r="H363"/>
  <c r="I363"/>
  <c r="L363" s="1"/>
  <c r="J363"/>
  <c r="A364"/>
  <c r="G364"/>
  <c r="F364" s="1"/>
  <c r="K364" s="1"/>
  <c r="H364"/>
  <c r="I364"/>
  <c r="L364" s="1"/>
  <c r="J364"/>
  <c r="A365"/>
  <c r="G365"/>
  <c r="F365" s="1"/>
  <c r="K365" s="1"/>
  <c r="H365"/>
  <c r="I365"/>
  <c r="L365" s="1"/>
  <c r="J365"/>
  <c r="A366"/>
  <c r="G366"/>
  <c r="F366" s="1"/>
  <c r="K366" s="1"/>
  <c r="H366"/>
  <c r="I366"/>
  <c r="L366" s="1"/>
  <c r="J366"/>
  <c r="A367"/>
  <c r="G367"/>
  <c r="F367" s="1"/>
  <c r="K367" s="1"/>
  <c r="H367"/>
  <c r="I367"/>
  <c r="L367" s="1"/>
  <c r="J367"/>
  <c r="A368"/>
  <c r="G368"/>
  <c r="F368" s="1"/>
  <c r="K368" s="1"/>
  <c r="H368"/>
  <c r="I368"/>
  <c r="L368" s="1"/>
  <c r="J368"/>
  <c r="A369"/>
  <c r="G369"/>
  <c r="F369" s="1"/>
  <c r="K369" s="1"/>
  <c r="H369"/>
  <c r="I369"/>
  <c r="L369" s="1"/>
  <c r="J369"/>
  <c r="A370"/>
  <c r="G370"/>
  <c r="F370" s="1"/>
  <c r="K370" s="1"/>
  <c r="H370"/>
  <c r="I370"/>
  <c r="L370" s="1"/>
  <c r="J370"/>
  <c r="A371"/>
  <c r="G371"/>
  <c r="F371" s="1"/>
  <c r="K371" s="1"/>
  <c r="H371"/>
  <c r="I371"/>
  <c r="L371" s="1"/>
  <c r="J371"/>
  <c r="A372"/>
  <c r="G372"/>
  <c r="F372" s="1"/>
  <c r="K372" s="1"/>
  <c r="H372"/>
  <c r="I372"/>
  <c r="L372" s="1"/>
  <c r="J372"/>
  <c r="A373"/>
  <c r="G373"/>
  <c r="F373" s="1"/>
  <c r="K373" s="1"/>
  <c r="H373"/>
  <c r="I373"/>
  <c r="L373" s="1"/>
  <c r="J373"/>
  <c r="A374"/>
  <c r="G374"/>
  <c r="F374" s="1"/>
  <c r="K374" s="1"/>
  <c r="H374"/>
  <c r="I374"/>
  <c r="L374" s="1"/>
  <c r="J374"/>
  <c r="A375"/>
  <c r="G375"/>
  <c r="F375" s="1"/>
  <c r="K375" s="1"/>
  <c r="H375"/>
  <c r="I375"/>
  <c r="L375" s="1"/>
  <c r="J375"/>
  <c r="A376"/>
  <c r="G376"/>
  <c r="F376" s="1"/>
  <c r="K376" s="1"/>
  <c r="H376"/>
  <c r="I376"/>
  <c r="L376" s="1"/>
  <c r="J376"/>
  <c r="A377"/>
  <c r="G377"/>
  <c r="F377" s="1"/>
  <c r="K377" s="1"/>
  <c r="H377"/>
  <c r="I377"/>
  <c r="L377" s="1"/>
  <c r="J377"/>
  <c r="A378"/>
  <c r="G378"/>
  <c r="F378" s="1"/>
  <c r="K378" s="1"/>
  <c r="H378"/>
  <c r="I378"/>
  <c r="L378" s="1"/>
  <c r="J378"/>
  <c r="A379"/>
  <c r="G379"/>
  <c r="F379" s="1"/>
  <c r="K379" s="1"/>
  <c r="H379"/>
  <c r="I379"/>
  <c r="L379" s="1"/>
  <c r="J379"/>
  <c r="A380"/>
  <c r="G380"/>
  <c r="F380" s="1"/>
  <c r="K380" s="1"/>
  <c r="H380"/>
  <c r="I380"/>
  <c r="L380" s="1"/>
  <c r="J380"/>
  <c r="A381"/>
  <c r="G381"/>
  <c r="F381" s="1"/>
  <c r="K381" s="1"/>
  <c r="H381"/>
  <c r="I381"/>
  <c r="L381" s="1"/>
  <c r="J381"/>
  <c r="A382"/>
  <c r="G382"/>
  <c r="F382" s="1"/>
  <c r="K382" s="1"/>
  <c r="H382"/>
  <c r="I382"/>
  <c r="L382" s="1"/>
  <c r="J382"/>
  <c r="A383"/>
  <c r="G383"/>
  <c r="F383" s="1"/>
  <c r="K383" s="1"/>
  <c r="H383"/>
  <c r="I383"/>
  <c r="L383" s="1"/>
  <c r="J383"/>
  <c r="A384"/>
  <c r="G384"/>
  <c r="F384" s="1"/>
  <c r="K384" s="1"/>
  <c r="H384"/>
  <c r="I384"/>
  <c r="L384" s="1"/>
  <c r="J384"/>
  <c r="A385"/>
  <c r="G385"/>
  <c r="F385" s="1"/>
  <c r="K385" s="1"/>
  <c r="H385"/>
  <c r="I385"/>
  <c r="L385" s="1"/>
  <c r="J385"/>
  <c r="A386"/>
  <c r="G386"/>
  <c r="F386" s="1"/>
  <c r="K386" s="1"/>
  <c r="H386"/>
  <c r="I386"/>
  <c r="L386" s="1"/>
  <c r="J386"/>
  <c r="A387"/>
  <c r="G387"/>
  <c r="F387" s="1"/>
  <c r="K387" s="1"/>
  <c r="H387"/>
  <c r="I387"/>
  <c r="L387" s="1"/>
  <c r="J387"/>
  <c r="A388"/>
  <c r="G388"/>
  <c r="F388" s="1"/>
  <c r="K388" s="1"/>
  <c r="H388"/>
  <c r="I388"/>
  <c r="L388" s="1"/>
  <c r="J388"/>
  <c r="A389"/>
  <c r="G389"/>
  <c r="F389" s="1"/>
  <c r="K389" s="1"/>
  <c r="H389"/>
  <c r="I389"/>
  <c r="L389" s="1"/>
  <c r="J389"/>
  <c r="A390"/>
  <c r="G390"/>
  <c r="F390" s="1"/>
  <c r="K390" s="1"/>
  <c r="H390"/>
  <c r="I390"/>
  <c r="L390" s="1"/>
  <c r="J390"/>
  <c r="A391"/>
  <c r="G391"/>
  <c r="F391" s="1"/>
  <c r="K391" s="1"/>
  <c r="H391"/>
  <c r="I391"/>
  <c r="L391" s="1"/>
  <c r="J391"/>
  <c r="A392"/>
  <c r="G392"/>
  <c r="F392" s="1"/>
  <c r="K392" s="1"/>
  <c r="H392"/>
  <c r="I392"/>
  <c r="L392" s="1"/>
  <c r="J392"/>
  <c r="A393"/>
  <c r="G393"/>
  <c r="F393" s="1"/>
  <c r="K393" s="1"/>
  <c r="H393"/>
  <c r="I393"/>
  <c r="L393" s="1"/>
  <c r="J393"/>
  <c r="A394"/>
  <c r="G394"/>
  <c r="F394" s="1"/>
  <c r="K394" s="1"/>
  <c r="H394"/>
  <c r="I394"/>
  <c r="L394" s="1"/>
  <c r="J394"/>
  <c r="A395"/>
  <c r="G395"/>
  <c r="F395" s="1"/>
  <c r="K395" s="1"/>
  <c r="H395"/>
  <c r="I395"/>
  <c r="L395" s="1"/>
  <c r="J395"/>
  <c r="A396"/>
  <c r="G396"/>
  <c r="F396" s="1"/>
  <c r="K396" s="1"/>
  <c r="H396"/>
  <c r="I396"/>
  <c r="L396" s="1"/>
  <c r="J396"/>
  <c r="A397"/>
  <c r="G397"/>
  <c r="F397" s="1"/>
  <c r="K397" s="1"/>
  <c r="H397"/>
  <c r="I397"/>
  <c r="L397" s="1"/>
  <c r="J397"/>
  <c r="A398"/>
  <c r="G398"/>
  <c r="F398" s="1"/>
  <c r="K398" s="1"/>
  <c r="H398"/>
  <c r="I398"/>
  <c r="L398" s="1"/>
  <c r="J398"/>
  <c r="A399"/>
  <c r="G399"/>
  <c r="F399" s="1"/>
  <c r="K399" s="1"/>
  <c r="H399"/>
  <c r="I399"/>
  <c r="L399" s="1"/>
  <c r="J399"/>
  <c r="A400"/>
  <c r="G400"/>
  <c r="F400" s="1"/>
  <c r="K400" s="1"/>
  <c r="H400"/>
  <c r="I400"/>
  <c r="L400" s="1"/>
  <c r="J400"/>
  <c r="A401"/>
  <c r="G401"/>
  <c r="F401" s="1"/>
  <c r="K401" s="1"/>
  <c r="H401"/>
  <c r="I401"/>
  <c r="L401" s="1"/>
  <c r="J401"/>
  <c r="A402"/>
  <c r="G402"/>
  <c r="F402" s="1"/>
  <c r="K402" s="1"/>
  <c r="H402"/>
  <c r="I402"/>
  <c r="L402" s="1"/>
  <c r="J402"/>
  <c r="A403"/>
  <c r="G403"/>
  <c r="F403" s="1"/>
  <c r="K403" s="1"/>
  <c r="H403"/>
  <c r="I403"/>
  <c r="L403" s="1"/>
  <c r="J403"/>
  <c r="A404"/>
  <c r="G404"/>
  <c r="F404" s="1"/>
  <c r="K404" s="1"/>
  <c r="H404"/>
  <c r="I404"/>
  <c r="L404" s="1"/>
  <c r="J404"/>
  <c r="A405"/>
  <c r="G405"/>
  <c r="F405" s="1"/>
  <c r="K405" s="1"/>
  <c r="H405"/>
  <c r="I405"/>
  <c r="L405" s="1"/>
  <c r="J405"/>
  <c r="A406"/>
  <c r="G406"/>
  <c r="F406" s="1"/>
  <c r="K406" s="1"/>
  <c r="H406"/>
  <c r="I406"/>
  <c r="L406" s="1"/>
  <c r="J406"/>
  <c r="A407"/>
  <c r="G407"/>
  <c r="F407" s="1"/>
  <c r="K407" s="1"/>
  <c r="H407"/>
  <c r="I407"/>
  <c r="L407" s="1"/>
  <c r="J407"/>
  <c r="A408"/>
  <c r="G408"/>
  <c r="F408" s="1"/>
  <c r="K408" s="1"/>
  <c r="H408"/>
  <c r="I408"/>
  <c r="L408" s="1"/>
  <c r="J408"/>
  <c r="A409"/>
  <c r="G409"/>
  <c r="F409" s="1"/>
  <c r="K409" s="1"/>
  <c r="H409"/>
  <c r="I409"/>
  <c r="L409" s="1"/>
  <c r="J409"/>
  <c r="A410"/>
  <c r="G410"/>
  <c r="F410" s="1"/>
  <c r="K410" s="1"/>
  <c r="H410"/>
  <c r="I410"/>
  <c r="L410" s="1"/>
  <c r="J410"/>
  <c r="A411"/>
  <c r="G411"/>
  <c r="F411" s="1"/>
  <c r="K411" s="1"/>
  <c r="H411"/>
  <c r="I411"/>
  <c r="L411" s="1"/>
  <c r="J411"/>
  <c r="A412"/>
  <c r="G412"/>
  <c r="F412" s="1"/>
  <c r="K412" s="1"/>
  <c r="H412"/>
  <c r="I412"/>
  <c r="L412" s="1"/>
  <c r="J412"/>
  <c r="A413"/>
  <c r="G413"/>
  <c r="F413" s="1"/>
  <c r="K413" s="1"/>
  <c r="H413"/>
  <c r="I413"/>
  <c r="L413" s="1"/>
  <c r="J413"/>
  <c r="A414"/>
  <c r="G414"/>
  <c r="F414" s="1"/>
  <c r="K414" s="1"/>
  <c r="H414"/>
  <c r="I414"/>
  <c r="L414" s="1"/>
  <c r="J414"/>
  <c r="A415"/>
  <c r="G415"/>
  <c r="F415" s="1"/>
  <c r="K415" s="1"/>
  <c r="H415"/>
  <c r="I415"/>
  <c r="L415" s="1"/>
  <c r="J415"/>
  <c r="A416"/>
  <c r="G416"/>
  <c r="F416" s="1"/>
  <c r="K416" s="1"/>
  <c r="H416"/>
  <c r="I416"/>
  <c r="L416" s="1"/>
  <c r="J416"/>
  <c r="A417"/>
  <c r="G417"/>
  <c r="F417" s="1"/>
  <c r="K417" s="1"/>
  <c r="H417"/>
  <c r="I417"/>
  <c r="L417" s="1"/>
  <c r="J417"/>
  <c r="A418"/>
  <c r="G418"/>
  <c r="F418" s="1"/>
  <c r="K418" s="1"/>
  <c r="H418"/>
  <c r="I418"/>
  <c r="L418" s="1"/>
  <c r="J418"/>
  <c r="A419"/>
  <c r="G419"/>
  <c r="F419" s="1"/>
  <c r="K419" s="1"/>
  <c r="H419"/>
  <c r="I419"/>
  <c r="L419" s="1"/>
  <c r="J419"/>
  <c r="A420"/>
  <c r="G420"/>
  <c r="F420" s="1"/>
  <c r="K420" s="1"/>
  <c r="H420"/>
  <c r="I420"/>
  <c r="L420" s="1"/>
  <c r="J420"/>
  <c r="A421"/>
  <c r="G421"/>
  <c r="F421" s="1"/>
  <c r="K421" s="1"/>
  <c r="H421"/>
  <c r="I421"/>
  <c r="L421" s="1"/>
  <c r="J421"/>
  <c r="A422"/>
  <c r="G422"/>
  <c r="F422" s="1"/>
  <c r="K422" s="1"/>
  <c r="H422"/>
  <c r="I422"/>
  <c r="L422" s="1"/>
  <c r="J422"/>
  <c r="A423"/>
  <c r="G423"/>
  <c r="F423" s="1"/>
  <c r="K423" s="1"/>
  <c r="H423"/>
  <c r="I423"/>
  <c r="L423" s="1"/>
  <c r="J423"/>
  <c r="A424"/>
  <c r="G424"/>
  <c r="F424" s="1"/>
  <c r="K424" s="1"/>
  <c r="H424"/>
  <c r="I424"/>
  <c r="L424" s="1"/>
  <c r="J424"/>
  <c r="A425"/>
  <c r="G425"/>
  <c r="F425" s="1"/>
  <c r="K425" s="1"/>
  <c r="H425"/>
  <c r="I425"/>
  <c r="L425" s="1"/>
  <c r="J425"/>
  <c r="A426"/>
  <c r="G426"/>
  <c r="F426" s="1"/>
  <c r="K426" s="1"/>
  <c r="H426"/>
  <c r="I426"/>
  <c r="L426" s="1"/>
  <c r="J426"/>
  <c r="A427"/>
  <c r="G427"/>
  <c r="F427" s="1"/>
  <c r="K427" s="1"/>
  <c r="H427"/>
  <c r="I427"/>
  <c r="L427" s="1"/>
  <c r="J427"/>
  <c r="A428"/>
  <c r="G428"/>
  <c r="F428" s="1"/>
  <c r="K428" s="1"/>
  <c r="H428"/>
  <c r="I428"/>
  <c r="L428" s="1"/>
  <c r="J428"/>
  <c r="A429"/>
  <c r="G429"/>
  <c r="F429" s="1"/>
  <c r="K429" s="1"/>
  <c r="H429"/>
  <c r="I429"/>
  <c r="L429" s="1"/>
  <c r="J429"/>
  <c r="A430"/>
  <c r="G430"/>
  <c r="F430" s="1"/>
  <c r="K430" s="1"/>
  <c r="H430"/>
  <c r="I430"/>
  <c r="L430" s="1"/>
  <c r="J430"/>
  <c r="A431"/>
  <c r="G431"/>
  <c r="F431" s="1"/>
  <c r="K431" s="1"/>
  <c r="H431"/>
  <c r="I431"/>
  <c r="L431" s="1"/>
  <c r="J431"/>
  <c r="A432"/>
  <c r="G432"/>
  <c r="F432" s="1"/>
  <c r="K432" s="1"/>
  <c r="H432"/>
  <c r="I432"/>
  <c r="L432" s="1"/>
  <c r="J432"/>
  <c r="A433"/>
  <c r="G433"/>
  <c r="F433" s="1"/>
  <c r="K433" s="1"/>
  <c r="H433"/>
  <c r="I433"/>
  <c r="L433" s="1"/>
  <c r="J433"/>
  <c r="A434"/>
  <c r="G434"/>
  <c r="F434" s="1"/>
  <c r="K434" s="1"/>
  <c r="H434"/>
  <c r="I434"/>
  <c r="L434" s="1"/>
  <c r="J434"/>
  <c r="A435"/>
  <c r="G435"/>
  <c r="F435" s="1"/>
  <c r="K435" s="1"/>
  <c r="H435"/>
  <c r="I435"/>
  <c r="L435" s="1"/>
  <c r="J435"/>
  <c r="A436"/>
  <c r="G436"/>
  <c r="F436" s="1"/>
  <c r="K436" s="1"/>
  <c r="H436"/>
  <c r="I436"/>
  <c r="L436" s="1"/>
  <c r="J436"/>
  <c r="A437"/>
  <c r="G437"/>
  <c r="F437" s="1"/>
  <c r="K437" s="1"/>
  <c r="H437"/>
  <c r="I437"/>
  <c r="L437" s="1"/>
  <c r="J437"/>
  <c r="A438"/>
  <c r="G438"/>
  <c r="F438" s="1"/>
  <c r="K438" s="1"/>
  <c r="H438"/>
  <c r="I438"/>
  <c r="L438" s="1"/>
  <c r="J438"/>
  <c r="A439"/>
  <c r="G439"/>
  <c r="F439" s="1"/>
  <c r="K439" s="1"/>
  <c r="H439"/>
  <c r="I439"/>
  <c r="L439" s="1"/>
  <c r="J439"/>
  <c r="A440"/>
  <c r="G440"/>
  <c r="F440" s="1"/>
  <c r="K440" s="1"/>
  <c r="H440"/>
  <c r="I440"/>
  <c r="L440" s="1"/>
  <c r="J440"/>
  <c r="A441"/>
  <c r="G441"/>
  <c r="F441" s="1"/>
  <c r="K441" s="1"/>
  <c r="H441"/>
  <c r="I441"/>
  <c r="L441" s="1"/>
  <c r="J441"/>
  <c r="A442"/>
  <c r="G442"/>
  <c r="F442" s="1"/>
  <c r="K442" s="1"/>
  <c r="H442"/>
  <c r="I442"/>
  <c r="L442" s="1"/>
  <c r="J442"/>
  <c r="A443"/>
  <c r="G443"/>
  <c r="F443" s="1"/>
  <c r="K443" s="1"/>
  <c r="H443"/>
  <c r="I443"/>
  <c r="L443" s="1"/>
  <c r="J443"/>
  <c r="A444"/>
  <c r="G444"/>
  <c r="F444" s="1"/>
  <c r="K444" s="1"/>
  <c r="H444"/>
  <c r="I444"/>
  <c r="L444" s="1"/>
  <c r="J444"/>
  <c r="A445"/>
  <c r="G445"/>
  <c r="F445" s="1"/>
  <c r="K445" s="1"/>
  <c r="H445"/>
  <c r="I445"/>
  <c r="L445" s="1"/>
  <c r="J445"/>
  <c r="A446"/>
  <c r="G446"/>
  <c r="F446" s="1"/>
  <c r="K446" s="1"/>
  <c r="H446"/>
  <c r="I446"/>
  <c r="L446" s="1"/>
  <c r="J446"/>
  <c r="A447"/>
  <c r="G447"/>
  <c r="F447" s="1"/>
  <c r="K447" s="1"/>
  <c r="H447"/>
  <c r="I447"/>
  <c r="L447" s="1"/>
  <c r="J447"/>
  <c r="A448"/>
  <c r="G448"/>
  <c r="F448" s="1"/>
  <c r="K448" s="1"/>
  <c r="H448"/>
  <c r="I448"/>
  <c r="L448" s="1"/>
  <c r="J448"/>
  <c r="A449"/>
  <c r="G449"/>
  <c r="F449" s="1"/>
  <c r="K449" s="1"/>
  <c r="H449"/>
  <c r="I449"/>
  <c r="L449" s="1"/>
  <c r="J449"/>
  <c r="A450"/>
  <c r="G450"/>
  <c r="F450" s="1"/>
  <c r="K450" s="1"/>
  <c r="H450"/>
  <c r="I450"/>
  <c r="L450" s="1"/>
  <c r="J450"/>
  <c r="A451"/>
  <c r="G451"/>
  <c r="F451" s="1"/>
  <c r="K451" s="1"/>
  <c r="H451"/>
  <c r="I451"/>
  <c r="L451" s="1"/>
  <c r="J451"/>
  <c r="A452"/>
  <c r="G452"/>
  <c r="F452" s="1"/>
  <c r="K452" s="1"/>
  <c r="H452"/>
  <c r="I452"/>
  <c r="L452" s="1"/>
  <c r="J452"/>
  <c r="A453"/>
  <c r="G453"/>
  <c r="F453" s="1"/>
  <c r="K453" s="1"/>
  <c r="H453"/>
  <c r="I453"/>
  <c r="L453" s="1"/>
  <c r="J453"/>
  <c r="A454"/>
  <c r="G454"/>
  <c r="F454" s="1"/>
  <c r="K454" s="1"/>
  <c r="H454"/>
  <c r="I454"/>
  <c r="L454" s="1"/>
  <c r="J454"/>
  <c r="A455"/>
  <c r="G455"/>
  <c r="F455" s="1"/>
  <c r="K455" s="1"/>
  <c r="H455"/>
  <c r="I455"/>
  <c r="L455" s="1"/>
  <c r="J455"/>
  <c r="A456"/>
  <c r="G456"/>
  <c r="F456" s="1"/>
  <c r="K456" s="1"/>
  <c r="H456"/>
  <c r="I456"/>
  <c r="L456" s="1"/>
  <c r="J456"/>
  <c r="A457"/>
  <c r="G457"/>
  <c r="F457" s="1"/>
  <c r="K457" s="1"/>
  <c r="H457"/>
  <c r="I457"/>
  <c r="L457" s="1"/>
  <c r="J457"/>
  <c r="A458"/>
  <c r="G458"/>
  <c r="F458" s="1"/>
  <c r="K458" s="1"/>
  <c r="H458"/>
  <c r="I458"/>
  <c r="L458" s="1"/>
  <c r="J458"/>
  <c r="A459"/>
  <c r="G459"/>
  <c r="F459" s="1"/>
  <c r="K459" s="1"/>
  <c r="H459"/>
  <c r="I459"/>
  <c r="L459" s="1"/>
  <c r="J459"/>
  <c r="A460"/>
  <c r="G460"/>
  <c r="F460" s="1"/>
  <c r="K460" s="1"/>
  <c r="H460"/>
  <c r="I460"/>
  <c r="L460" s="1"/>
  <c r="J460"/>
  <c r="A461"/>
  <c r="G461"/>
  <c r="F461" s="1"/>
  <c r="K461" s="1"/>
  <c r="H461"/>
  <c r="I461"/>
  <c r="L461" s="1"/>
  <c r="J461"/>
  <c r="A462"/>
  <c r="G462"/>
  <c r="F462" s="1"/>
  <c r="K462" s="1"/>
  <c r="H462"/>
  <c r="I462"/>
  <c r="L462" s="1"/>
  <c r="J462"/>
  <c r="A463"/>
  <c r="G463"/>
  <c r="F463" s="1"/>
  <c r="K463" s="1"/>
  <c r="H463"/>
  <c r="I463"/>
  <c r="L463" s="1"/>
  <c r="J463"/>
  <c r="A464"/>
  <c r="G464"/>
  <c r="F464" s="1"/>
  <c r="K464" s="1"/>
  <c r="H464"/>
  <c r="I464"/>
  <c r="L464" s="1"/>
  <c r="J464"/>
  <c r="A465"/>
  <c r="G465"/>
  <c r="F465" s="1"/>
  <c r="K465" s="1"/>
  <c r="H465"/>
  <c r="I465"/>
  <c r="L465" s="1"/>
  <c r="J465"/>
  <c r="A466"/>
  <c r="G466"/>
  <c r="F466" s="1"/>
  <c r="K466" s="1"/>
  <c r="H466"/>
  <c r="I466"/>
  <c r="L466" s="1"/>
  <c r="J466"/>
  <c r="A467"/>
  <c r="G467"/>
  <c r="F467" s="1"/>
  <c r="K467" s="1"/>
  <c r="H467"/>
  <c r="I467"/>
  <c r="L467" s="1"/>
  <c r="J467"/>
  <c r="A468"/>
  <c r="G468"/>
  <c r="F468" s="1"/>
  <c r="K468" s="1"/>
  <c r="H468"/>
  <c r="I468"/>
  <c r="L468" s="1"/>
  <c r="J468"/>
  <c r="A469"/>
  <c r="G469"/>
  <c r="F469" s="1"/>
  <c r="K469" s="1"/>
  <c r="H469"/>
  <c r="I469"/>
  <c r="L469" s="1"/>
  <c r="J469"/>
  <c r="A470"/>
  <c r="G470"/>
  <c r="F470" s="1"/>
  <c r="K470" s="1"/>
  <c r="H470"/>
  <c r="I470"/>
  <c r="L470" s="1"/>
  <c r="J470"/>
  <c r="A471"/>
  <c r="G471"/>
  <c r="F471" s="1"/>
  <c r="K471" s="1"/>
  <c r="H471"/>
  <c r="I471"/>
  <c r="L471" s="1"/>
  <c r="J471"/>
  <c r="A472"/>
  <c r="G472"/>
  <c r="F472" s="1"/>
  <c r="K472" s="1"/>
  <c r="H472"/>
  <c r="I472"/>
  <c r="L472" s="1"/>
  <c r="J472"/>
  <c r="A473"/>
  <c r="G473"/>
  <c r="F473" s="1"/>
  <c r="K473" s="1"/>
  <c r="H473"/>
  <c r="I473"/>
  <c r="L473" s="1"/>
  <c r="J473"/>
  <c r="A474"/>
  <c r="G474"/>
  <c r="F474" s="1"/>
  <c r="K474" s="1"/>
  <c r="H474"/>
  <c r="I474"/>
  <c r="L474" s="1"/>
  <c r="J474"/>
  <c r="A475"/>
  <c r="G475"/>
  <c r="F475" s="1"/>
  <c r="K475" s="1"/>
  <c r="H475"/>
  <c r="I475"/>
  <c r="L475" s="1"/>
  <c r="J475"/>
  <c r="A476"/>
  <c r="G476"/>
  <c r="F476" s="1"/>
  <c r="K476" s="1"/>
  <c r="H476"/>
  <c r="I476"/>
  <c r="L476" s="1"/>
  <c r="J476"/>
  <c r="A477"/>
  <c r="G477"/>
  <c r="F477" s="1"/>
  <c r="K477" s="1"/>
  <c r="H477"/>
  <c r="I477"/>
  <c r="L477" s="1"/>
  <c r="J477"/>
  <c r="A478"/>
  <c r="G478"/>
  <c r="F478" s="1"/>
  <c r="K478" s="1"/>
  <c r="H478"/>
  <c r="I478"/>
  <c r="L478" s="1"/>
  <c r="J478"/>
  <c r="A479"/>
  <c r="G479"/>
  <c r="F479" s="1"/>
  <c r="K479" s="1"/>
  <c r="H479"/>
  <c r="I479"/>
  <c r="L479" s="1"/>
  <c r="J479"/>
  <c r="A480"/>
  <c r="G480"/>
  <c r="F480" s="1"/>
  <c r="K480" s="1"/>
  <c r="H480"/>
  <c r="I480"/>
  <c r="L480" s="1"/>
  <c r="J480"/>
  <c r="A481"/>
  <c r="G481"/>
  <c r="F481" s="1"/>
  <c r="K481" s="1"/>
  <c r="H481"/>
  <c r="I481"/>
  <c r="L481" s="1"/>
  <c r="J481"/>
  <c r="A482"/>
  <c r="G482"/>
  <c r="F482" s="1"/>
  <c r="K482" s="1"/>
  <c r="H482"/>
  <c r="I482"/>
  <c r="L482" s="1"/>
  <c r="J482"/>
  <c r="A483"/>
  <c r="G483"/>
  <c r="F483" s="1"/>
  <c r="K483" s="1"/>
  <c r="H483"/>
  <c r="I483"/>
  <c r="L483" s="1"/>
  <c r="J483"/>
  <c r="A484"/>
  <c r="G484"/>
  <c r="F484" s="1"/>
  <c r="K484" s="1"/>
  <c r="H484"/>
  <c r="I484"/>
  <c r="L484" s="1"/>
  <c r="J484"/>
  <c r="A485"/>
  <c r="G485"/>
  <c r="F485" s="1"/>
  <c r="K485" s="1"/>
  <c r="H485"/>
  <c r="I485"/>
  <c r="L485" s="1"/>
  <c r="J485"/>
  <c r="A486"/>
  <c r="G486"/>
  <c r="F486" s="1"/>
  <c r="K486" s="1"/>
  <c r="H486"/>
  <c r="I486"/>
  <c r="L486" s="1"/>
  <c r="J486"/>
  <c r="A487"/>
  <c r="G487"/>
  <c r="F487" s="1"/>
  <c r="K487" s="1"/>
  <c r="H487"/>
  <c r="I487"/>
  <c r="L487" s="1"/>
  <c r="J487"/>
  <c r="A488"/>
  <c r="G488"/>
  <c r="F488" s="1"/>
  <c r="K488" s="1"/>
  <c r="H488"/>
  <c r="I488"/>
  <c r="L488" s="1"/>
  <c r="J488"/>
  <c r="A489"/>
  <c r="G489"/>
  <c r="F489" s="1"/>
  <c r="K489" s="1"/>
  <c r="H489"/>
  <c r="I489"/>
  <c r="L489" s="1"/>
  <c r="J489"/>
  <c r="A490"/>
  <c r="G490"/>
  <c r="F490" s="1"/>
  <c r="K490" s="1"/>
  <c r="H490"/>
  <c r="I490"/>
  <c r="L490" s="1"/>
  <c r="J490"/>
  <c r="A491"/>
  <c r="G491"/>
  <c r="F491" s="1"/>
  <c r="K491" s="1"/>
  <c r="H491"/>
  <c r="I491"/>
  <c r="L491" s="1"/>
  <c r="J491"/>
  <c r="A492"/>
  <c r="G492"/>
  <c r="F492" s="1"/>
  <c r="K492" s="1"/>
  <c r="H492"/>
  <c r="I492"/>
  <c r="L492" s="1"/>
  <c r="J492"/>
  <c r="A493"/>
  <c r="G493"/>
  <c r="F493" s="1"/>
  <c r="K493" s="1"/>
  <c r="H493"/>
  <c r="I493"/>
  <c r="L493" s="1"/>
  <c r="J493"/>
  <c r="A494"/>
  <c r="G494"/>
  <c r="F494" s="1"/>
  <c r="K494" s="1"/>
  <c r="H494"/>
  <c r="I494"/>
  <c r="L494" s="1"/>
  <c r="J494"/>
  <c r="A495"/>
  <c r="G495"/>
  <c r="F495" s="1"/>
  <c r="K495" s="1"/>
  <c r="H495"/>
  <c r="I495"/>
  <c r="L495" s="1"/>
  <c r="J495"/>
  <c r="A496"/>
  <c r="G496"/>
  <c r="F496" s="1"/>
  <c r="K496" s="1"/>
  <c r="H496"/>
  <c r="I496"/>
  <c r="L496" s="1"/>
  <c r="J496"/>
  <c r="A497"/>
  <c r="G497"/>
  <c r="F497" s="1"/>
  <c r="K497" s="1"/>
  <c r="H497"/>
  <c r="I497"/>
  <c r="L497" s="1"/>
  <c r="J497"/>
  <c r="A498"/>
  <c r="G498"/>
  <c r="F498" s="1"/>
  <c r="K498" s="1"/>
  <c r="H498"/>
  <c r="I498"/>
  <c r="L498" s="1"/>
  <c r="J498"/>
  <c r="A499"/>
  <c r="G499"/>
  <c r="F499" s="1"/>
  <c r="K499" s="1"/>
  <c r="H499"/>
  <c r="I499"/>
  <c r="L499" s="1"/>
  <c r="J499"/>
  <c r="A500"/>
  <c r="G500"/>
  <c r="F500" s="1"/>
  <c r="K500" s="1"/>
  <c r="H500"/>
  <c r="I500"/>
  <c r="L500" s="1"/>
  <c r="J500"/>
  <c r="A501"/>
  <c r="G501"/>
  <c r="F501" s="1"/>
  <c r="K501" s="1"/>
  <c r="H501"/>
  <c r="I501"/>
  <c r="L501" s="1"/>
  <c r="J501"/>
  <c r="A502"/>
  <c r="G502"/>
  <c r="F502" s="1"/>
  <c r="K502" s="1"/>
  <c r="H502"/>
  <c r="I502"/>
  <c r="L502" s="1"/>
  <c r="J502"/>
  <c r="A503"/>
  <c r="G503"/>
  <c r="F503" s="1"/>
  <c r="K503" s="1"/>
  <c r="H503"/>
  <c r="I503"/>
  <c r="L503" s="1"/>
  <c r="J503"/>
  <c r="A504"/>
  <c r="G504"/>
  <c r="F504" s="1"/>
  <c r="K504" s="1"/>
  <c r="H504"/>
  <c r="I504"/>
  <c r="L504" s="1"/>
  <c r="J504"/>
  <c r="A505"/>
  <c r="G505"/>
  <c r="F505" s="1"/>
  <c r="K505" s="1"/>
  <c r="H505"/>
  <c r="I505"/>
  <c r="L505" s="1"/>
  <c r="J505"/>
  <c r="A506"/>
  <c r="G506"/>
  <c r="F506" s="1"/>
  <c r="K506" s="1"/>
  <c r="H506"/>
  <c r="I506"/>
  <c r="L506" s="1"/>
  <c r="J506"/>
  <c r="A507"/>
  <c r="G507"/>
  <c r="F507" s="1"/>
  <c r="K507" s="1"/>
  <c r="H507"/>
  <c r="I507"/>
  <c r="L507" s="1"/>
  <c r="J507"/>
  <c r="A508"/>
  <c r="G508"/>
  <c r="F508" s="1"/>
  <c r="K508" s="1"/>
  <c r="H508"/>
  <c r="I508"/>
  <c r="L508" s="1"/>
  <c r="J508"/>
  <c r="A509"/>
  <c r="G509"/>
  <c r="F509" s="1"/>
  <c r="K509" s="1"/>
  <c r="H509"/>
  <c r="I509"/>
  <c r="L509" s="1"/>
  <c r="J509"/>
  <c r="A510"/>
  <c r="G510"/>
  <c r="F510" s="1"/>
  <c r="K510" s="1"/>
  <c r="H510"/>
  <c r="I510"/>
  <c r="L510" s="1"/>
  <c r="J510"/>
  <c r="A511"/>
  <c r="G511"/>
  <c r="F511" s="1"/>
  <c r="K511" s="1"/>
  <c r="H511"/>
  <c r="I511"/>
  <c r="L511" s="1"/>
  <c r="J511"/>
  <c r="A512"/>
  <c r="G512"/>
  <c r="F512" s="1"/>
  <c r="K512" s="1"/>
  <c r="H512"/>
  <c r="I512"/>
  <c r="L512" s="1"/>
  <c r="J512"/>
  <c r="A513"/>
  <c r="G513"/>
  <c r="F513" s="1"/>
  <c r="K513" s="1"/>
  <c r="H513"/>
  <c r="I513"/>
  <c r="L513" s="1"/>
  <c r="J513"/>
  <c r="A514"/>
  <c r="G514"/>
  <c r="F514" s="1"/>
  <c r="K514" s="1"/>
  <c r="H514"/>
  <c r="I514"/>
  <c r="L514" s="1"/>
  <c r="J514"/>
  <c r="A515"/>
  <c r="G515"/>
  <c r="F515" s="1"/>
  <c r="K515" s="1"/>
  <c r="H515"/>
  <c r="I515"/>
  <c r="L515" s="1"/>
  <c r="J515"/>
  <c r="A516"/>
  <c r="G516"/>
  <c r="F516" s="1"/>
  <c r="K516" s="1"/>
  <c r="H516"/>
  <c r="I516"/>
  <c r="L516" s="1"/>
  <c r="J516"/>
  <c r="A517"/>
  <c r="G517"/>
  <c r="F517" s="1"/>
  <c r="K517" s="1"/>
  <c r="H517"/>
  <c r="I517"/>
  <c r="L517" s="1"/>
  <c r="J517"/>
  <c r="A518"/>
  <c r="G518"/>
  <c r="F518" s="1"/>
  <c r="K518" s="1"/>
  <c r="H518"/>
  <c r="I518"/>
  <c r="L518" s="1"/>
  <c r="J518"/>
  <c r="A519"/>
  <c r="G519"/>
  <c r="F519" s="1"/>
  <c r="K519" s="1"/>
  <c r="H519"/>
  <c r="I519"/>
  <c r="L519" s="1"/>
  <c r="J519"/>
  <c r="A520"/>
  <c r="G520"/>
  <c r="F520" s="1"/>
  <c r="K520" s="1"/>
  <c r="H520"/>
  <c r="I520"/>
  <c r="L520" s="1"/>
  <c r="J520"/>
  <c r="A521"/>
  <c r="G521"/>
  <c r="F521" s="1"/>
  <c r="K521" s="1"/>
  <c r="H521"/>
  <c r="I521"/>
  <c r="L521" s="1"/>
  <c r="J521"/>
  <c r="A522"/>
  <c r="G522"/>
  <c r="F522" s="1"/>
  <c r="K522" s="1"/>
  <c r="H522"/>
  <c r="I522"/>
  <c r="L522" s="1"/>
  <c r="J522"/>
  <c r="A523"/>
  <c r="G523"/>
  <c r="F523" s="1"/>
  <c r="K523" s="1"/>
  <c r="H523"/>
  <c r="I523"/>
  <c r="L523" s="1"/>
  <c r="J523"/>
  <c r="A524"/>
  <c r="G524"/>
  <c r="F524" s="1"/>
  <c r="K524" s="1"/>
  <c r="H524"/>
  <c r="I524"/>
  <c r="L524" s="1"/>
  <c r="J524"/>
  <c r="A525"/>
  <c r="G525"/>
  <c r="F525" s="1"/>
  <c r="K525" s="1"/>
  <c r="H525"/>
  <c r="I525"/>
  <c r="L525" s="1"/>
  <c r="J525"/>
  <c r="A526"/>
  <c r="G526"/>
  <c r="F526" s="1"/>
  <c r="K526" s="1"/>
  <c r="H526"/>
  <c r="I526"/>
  <c r="L526" s="1"/>
  <c r="J526"/>
  <c r="A527"/>
  <c r="G527"/>
  <c r="F527" s="1"/>
  <c r="K527" s="1"/>
  <c r="H527"/>
  <c r="I527"/>
  <c r="L527" s="1"/>
  <c r="J527"/>
  <c r="A528"/>
  <c r="G528"/>
  <c r="F528" s="1"/>
  <c r="K528" s="1"/>
  <c r="H528"/>
  <c r="I528"/>
  <c r="L528" s="1"/>
  <c r="J528"/>
  <c r="A529"/>
  <c r="G529"/>
  <c r="F529" s="1"/>
  <c r="K529" s="1"/>
  <c r="H529"/>
  <c r="I529"/>
  <c r="L529" s="1"/>
  <c r="J529"/>
  <c r="A530"/>
  <c r="G530"/>
  <c r="F530" s="1"/>
  <c r="K530" s="1"/>
  <c r="H530"/>
  <c r="I530"/>
  <c r="L530" s="1"/>
  <c r="J530"/>
  <c r="A531"/>
  <c r="G531"/>
  <c r="F531" s="1"/>
  <c r="K531" s="1"/>
  <c r="H531"/>
  <c r="I531"/>
  <c r="L531" s="1"/>
  <c r="J531"/>
  <c r="A532"/>
  <c r="G532"/>
  <c r="F532" s="1"/>
  <c r="K532" s="1"/>
  <c r="H532"/>
  <c r="I532"/>
  <c r="L532" s="1"/>
  <c r="J532"/>
  <c r="A533"/>
  <c r="G533"/>
  <c r="F533" s="1"/>
  <c r="K533" s="1"/>
  <c r="H533"/>
  <c r="I533"/>
  <c r="L533" s="1"/>
  <c r="J533"/>
  <c r="A534"/>
  <c r="G534"/>
  <c r="F534" s="1"/>
  <c r="K534" s="1"/>
  <c r="H534"/>
  <c r="I534"/>
  <c r="L534" s="1"/>
  <c r="J534"/>
  <c r="A535"/>
  <c r="G535"/>
  <c r="F535" s="1"/>
  <c r="K535" s="1"/>
  <c r="H535"/>
  <c r="I535"/>
  <c r="L535" s="1"/>
  <c r="J535"/>
  <c r="A536"/>
  <c r="G536"/>
  <c r="F536" s="1"/>
  <c r="K536" s="1"/>
  <c r="H536"/>
  <c r="I536"/>
  <c r="L536" s="1"/>
  <c r="J536"/>
  <c r="A537"/>
  <c r="G537"/>
  <c r="F537" s="1"/>
  <c r="K537" s="1"/>
  <c r="H537"/>
  <c r="I537"/>
  <c r="L537" s="1"/>
  <c r="J537"/>
  <c r="A538"/>
  <c r="G538"/>
  <c r="F538" s="1"/>
  <c r="K538" s="1"/>
  <c r="H538"/>
  <c r="I538"/>
  <c r="L538" s="1"/>
  <c r="J538"/>
  <c r="A539"/>
  <c r="G539"/>
  <c r="F539" s="1"/>
  <c r="K539" s="1"/>
  <c r="H539"/>
  <c r="I539"/>
  <c r="L539" s="1"/>
  <c r="J539"/>
  <c r="A540"/>
  <c r="G540"/>
  <c r="F540" s="1"/>
  <c r="K540" s="1"/>
  <c r="H540"/>
  <c r="I540"/>
  <c r="L540" s="1"/>
  <c r="J540"/>
  <c r="A541"/>
  <c r="G541"/>
  <c r="F541" s="1"/>
  <c r="K541" s="1"/>
  <c r="H541"/>
  <c r="I541"/>
  <c r="L541" s="1"/>
  <c r="J541"/>
  <c r="A542"/>
  <c r="G542"/>
  <c r="F542" s="1"/>
  <c r="K542" s="1"/>
  <c r="H542"/>
  <c r="I542"/>
  <c r="L542" s="1"/>
  <c r="J542"/>
  <c r="A543"/>
  <c r="G543"/>
  <c r="F543" s="1"/>
  <c r="K543" s="1"/>
  <c r="H543"/>
  <c r="I543"/>
  <c r="L543" s="1"/>
  <c r="J543"/>
  <c r="A544"/>
  <c r="G544"/>
  <c r="F544" s="1"/>
  <c r="K544" s="1"/>
  <c r="H544"/>
  <c r="I544"/>
  <c r="L544" s="1"/>
  <c r="J544"/>
  <c r="A545"/>
  <c r="G545"/>
  <c r="F545" s="1"/>
  <c r="K545" s="1"/>
  <c r="H545"/>
  <c r="I545"/>
  <c r="L545" s="1"/>
  <c r="J545"/>
  <c r="A546"/>
  <c r="G546"/>
  <c r="F546" s="1"/>
  <c r="K546" s="1"/>
  <c r="H546"/>
  <c r="I546"/>
  <c r="L546" s="1"/>
  <c r="J546"/>
  <c r="A547"/>
  <c r="G547"/>
  <c r="F547" s="1"/>
  <c r="K547" s="1"/>
  <c r="H547"/>
  <c r="I547"/>
  <c r="L547" s="1"/>
  <c r="J547"/>
  <c r="A548"/>
  <c r="G548"/>
  <c r="F548" s="1"/>
  <c r="K548" s="1"/>
  <c r="H548"/>
  <c r="I548"/>
  <c r="L548" s="1"/>
  <c r="J548"/>
  <c r="A549"/>
  <c r="G549"/>
  <c r="F549" s="1"/>
  <c r="K549" s="1"/>
  <c r="H549"/>
  <c r="I549"/>
  <c r="L549" s="1"/>
  <c r="J549"/>
  <c r="A550"/>
  <c r="G550"/>
  <c r="F550" s="1"/>
  <c r="K550" s="1"/>
  <c r="H550"/>
  <c r="I550"/>
  <c r="L550" s="1"/>
  <c r="J550"/>
  <c r="A551"/>
  <c r="G551"/>
  <c r="F551" s="1"/>
  <c r="K551" s="1"/>
  <c r="H551"/>
  <c r="I551"/>
  <c r="L551" s="1"/>
  <c r="J551"/>
  <c r="A552"/>
  <c r="G552"/>
  <c r="F552" s="1"/>
  <c r="K552" s="1"/>
  <c r="H552"/>
  <c r="I552"/>
  <c r="L552" s="1"/>
  <c r="J552"/>
  <c r="A553"/>
  <c r="G553"/>
  <c r="F553" s="1"/>
  <c r="K553" s="1"/>
  <c r="H553"/>
  <c r="I553"/>
  <c r="L553" s="1"/>
  <c r="J553"/>
  <c r="A554"/>
  <c r="G554"/>
  <c r="F554" s="1"/>
  <c r="K554" s="1"/>
  <c r="H554"/>
  <c r="I554"/>
  <c r="L554" s="1"/>
  <c r="J554"/>
  <c r="A555"/>
  <c r="G555"/>
  <c r="F555" s="1"/>
  <c r="K555" s="1"/>
  <c r="H555"/>
  <c r="I555"/>
  <c r="L555" s="1"/>
  <c r="J555"/>
  <c r="A556"/>
  <c r="G556"/>
  <c r="F556" s="1"/>
  <c r="K556" s="1"/>
  <c r="H556"/>
  <c r="I556"/>
  <c r="L556" s="1"/>
  <c r="J556"/>
  <c r="A557"/>
  <c r="G557"/>
  <c r="F557" s="1"/>
  <c r="K557" s="1"/>
  <c r="H557"/>
  <c r="I557"/>
  <c r="L557" s="1"/>
  <c r="J557"/>
  <c r="A558"/>
  <c r="G558"/>
  <c r="F558" s="1"/>
  <c r="K558" s="1"/>
  <c r="H558"/>
  <c r="I558"/>
  <c r="L558" s="1"/>
  <c r="J558"/>
  <c r="A559"/>
  <c r="G559"/>
  <c r="F559" s="1"/>
  <c r="K559" s="1"/>
  <c r="H559"/>
  <c r="I559"/>
  <c r="L559" s="1"/>
  <c r="J559"/>
  <c r="A560"/>
  <c r="G560"/>
  <c r="F560" s="1"/>
  <c r="K560" s="1"/>
  <c r="H560"/>
  <c r="I560"/>
  <c r="L560" s="1"/>
  <c r="J560"/>
  <c r="A561"/>
  <c r="G561"/>
  <c r="F561" s="1"/>
  <c r="K561" s="1"/>
  <c r="H561"/>
  <c r="I561"/>
  <c r="L561" s="1"/>
  <c r="J561"/>
  <c r="A562"/>
  <c r="G562"/>
  <c r="F562" s="1"/>
  <c r="K562" s="1"/>
  <c r="H562"/>
  <c r="I562"/>
  <c r="L562" s="1"/>
  <c r="J562"/>
  <c r="A563"/>
  <c r="G563"/>
  <c r="F563" s="1"/>
  <c r="K563" s="1"/>
  <c r="H563"/>
  <c r="I563"/>
  <c r="L563" s="1"/>
  <c r="J563"/>
  <c r="A564"/>
  <c r="G564"/>
  <c r="F564" s="1"/>
  <c r="K564" s="1"/>
  <c r="H564"/>
  <c r="I564"/>
  <c r="L564" s="1"/>
  <c r="J564"/>
  <c r="A565"/>
  <c r="G565"/>
  <c r="F565" s="1"/>
  <c r="K565" s="1"/>
  <c r="H565"/>
  <c r="I565"/>
  <c r="L565" s="1"/>
  <c r="J565"/>
  <c r="A566"/>
  <c r="G566"/>
  <c r="F566" s="1"/>
  <c r="K566" s="1"/>
  <c r="H566"/>
  <c r="I566"/>
  <c r="L566" s="1"/>
  <c r="J566"/>
  <c r="A567"/>
  <c r="G567"/>
  <c r="F567" s="1"/>
  <c r="K567" s="1"/>
  <c r="H567"/>
  <c r="I567"/>
  <c r="L567" s="1"/>
  <c r="J567"/>
  <c r="A568"/>
  <c r="G568"/>
  <c r="F568" s="1"/>
  <c r="K568" s="1"/>
  <c r="H568"/>
  <c r="I568"/>
  <c r="L568" s="1"/>
  <c r="J568"/>
  <c r="A569"/>
  <c r="G569"/>
  <c r="F569" s="1"/>
  <c r="K569" s="1"/>
  <c r="H569"/>
  <c r="I569"/>
  <c r="L569" s="1"/>
  <c r="J569"/>
  <c r="A570"/>
  <c r="G570"/>
  <c r="F570" s="1"/>
  <c r="K570" s="1"/>
  <c r="H570"/>
  <c r="I570"/>
  <c r="L570" s="1"/>
  <c r="J570"/>
  <c r="A571"/>
  <c r="G571"/>
  <c r="F571" s="1"/>
  <c r="K571" s="1"/>
  <c r="H571"/>
  <c r="I571"/>
  <c r="L571" s="1"/>
  <c r="J571"/>
  <c r="A572"/>
  <c r="G572"/>
  <c r="F572" s="1"/>
  <c r="K572" s="1"/>
  <c r="H572"/>
  <c r="I572"/>
  <c r="L572" s="1"/>
  <c r="J572"/>
  <c r="A573"/>
  <c r="G573"/>
  <c r="F573" s="1"/>
  <c r="K573" s="1"/>
  <c r="H573"/>
  <c r="I573"/>
  <c r="L573" s="1"/>
  <c r="J573"/>
  <c r="A574"/>
  <c r="G574"/>
  <c r="F574" s="1"/>
  <c r="K574" s="1"/>
  <c r="H574"/>
  <c r="I574"/>
  <c r="L574" s="1"/>
  <c r="J574"/>
  <c r="A575"/>
  <c r="G575"/>
  <c r="F575" s="1"/>
  <c r="K575" s="1"/>
  <c r="H575"/>
  <c r="I575"/>
  <c r="L575" s="1"/>
  <c r="J575"/>
  <c r="A576"/>
  <c r="G576"/>
  <c r="F576" s="1"/>
  <c r="K576" s="1"/>
  <c r="H576"/>
  <c r="I576"/>
  <c r="L576" s="1"/>
  <c r="J576"/>
  <c r="A577"/>
  <c r="G577"/>
  <c r="F577" s="1"/>
  <c r="K577" s="1"/>
  <c r="H577"/>
  <c r="I577"/>
  <c r="L577" s="1"/>
  <c r="J577"/>
  <c r="A578"/>
  <c r="G578"/>
  <c r="F578" s="1"/>
  <c r="K578" s="1"/>
  <c r="H578"/>
  <c r="I578"/>
  <c r="L578" s="1"/>
  <c r="J578"/>
  <c r="A579"/>
  <c r="G579"/>
  <c r="F579" s="1"/>
  <c r="K579" s="1"/>
  <c r="H579"/>
  <c r="I579"/>
  <c r="L579" s="1"/>
  <c r="J579"/>
  <c r="A580"/>
  <c r="G580"/>
  <c r="F580" s="1"/>
  <c r="K580" s="1"/>
  <c r="H580"/>
  <c r="I580"/>
  <c r="L580" s="1"/>
  <c r="J580"/>
  <c r="A581"/>
  <c r="G581"/>
  <c r="F581" s="1"/>
  <c r="K581" s="1"/>
  <c r="H581"/>
  <c r="I581"/>
  <c r="L581" s="1"/>
  <c r="J581"/>
  <c r="A582"/>
  <c r="G582"/>
  <c r="F582" s="1"/>
  <c r="K582" s="1"/>
  <c r="H582"/>
  <c r="I582"/>
  <c r="L582" s="1"/>
  <c r="J582"/>
  <c r="A583"/>
  <c r="G583"/>
  <c r="F583" s="1"/>
  <c r="K583" s="1"/>
  <c r="H583"/>
  <c r="I583"/>
  <c r="L583" s="1"/>
  <c r="J583"/>
  <c r="A584"/>
  <c r="G584"/>
  <c r="F584" s="1"/>
  <c r="K584" s="1"/>
  <c r="H584"/>
  <c r="I584"/>
  <c r="L584" s="1"/>
  <c r="J584"/>
  <c r="A585"/>
  <c r="G585"/>
  <c r="F585" s="1"/>
  <c r="K585" s="1"/>
  <c r="H585"/>
  <c r="I585"/>
  <c r="L585" s="1"/>
  <c r="J585"/>
  <c r="A586"/>
  <c r="G586"/>
  <c r="F586" s="1"/>
  <c r="K586" s="1"/>
  <c r="H586"/>
  <c r="I586"/>
  <c r="L586" s="1"/>
  <c r="J586"/>
  <c r="A587"/>
  <c r="G587"/>
  <c r="F587" s="1"/>
  <c r="K587" s="1"/>
  <c r="H587"/>
  <c r="I587"/>
  <c r="L587" s="1"/>
  <c r="J587"/>
  <c r="A588"/>
  <c r="G588"/>
  <c r="F588" s="1"/>
  <c r="K588" s="1"/>
  <c r="H588"/>
  <c r="I588"/>
  <c r="L588" s="1"/>
  <c r="J588"/>
  <c r="A589"/>
  <c r="G589"/>
  <c r="F589" s="1"/>
  <c r="K589" s="1"/>
  <c r="H589"/>
  <c r="I589"/>
  <c r="L589" s="1"/>
  <c r="J589"/>
  <c r="A590"/>
  <c r="G590"/>
  <c r="F590" s="1"/>
  <c r="K590" s="1"/>
  <c r="H590"/>
  <c r="I590"/>
  <c r="L590" s="1"/>
  <c r="J590"/>
  <c r="A591"/>
  <c r="G591"/>
  <c r="F591" s="1"/>
  <c r="K591" s="1"/>
  <c r="H591"/>
  <c r="I591"/>
  <c r="L591" s="1"/>
  <c r="J591"/>
  <c r="A592"/>
  <c r="G592"/>
  <c r="F592" s="1"/>
  <c r="K592" s="1"/>
  <c r="H592"/>
  <c r="I592"/>
  <c r="L592" s="1"/>
  <c r="J592"/>
  <c r="A593"/>
  <c r="G593"/>
  <c r="F593" s="1"/>
  <c r="K593" s="1"/>
  <c r="H593"/>
  <c r="I593"/>
  <c r="L593" s="1"/>
  <c r="J593"/>
  <c r="A594"/>
  <c r="G594"/>
  <c r="F594" s="1"/>
  <c r="K594" s="1"/>
  <c r="H594"/>
  <c r="I594"/>
  <c r="L594" s="1"/>
  <c r="J594"/>
  <c r="A595"/>
  <c r="G595"/>
  <c r="F595" s="1"/>
  <c r="K595" s="1"/>
  <c r="H595"/>
  <c r="I595"/>
  <c r="L595" s="1"/>
  <c r="J595"/>
  <c r="A596"/>
  <c r="G596"/>
  <c r="F596" s="1"/>
  <c r="K596" s="1"/>
  <c r="H596"/>
  <c r="I596"/>
  <c r="L596" s="1"/>
  <c r="J596"/>
  <c r="A597"/>
  <c r="G597"/>
  <c r="F597" s="1"/>
  <c r="K597" s="1"/>
  <c r="H597"/>
  <c r="I597"/>
  <c r="L597" s="1"/>
  <c r="J597"/>
  <c r="A598"/>
  <c r="G598"/>
  <c r="F598" s="1"/>
  <c r="K598" s="1"/>
  <c r="H598"/>
  <c r="I598"/>
  <c r="L598" s="1"/>
  <c r="J598"/>
  <c r="A599"/>
  <c r="G599"/>
  <c r="F599" s="1"/>
  <c r="K599" s="1"/>
  <c r="H599"/>
  <c r="I599"/>
  <c r="L599" s="1"/>
  <c r="J599"/>
  <c r="A600"/>
  <c r="G600"/>
  <c r="F600" s="1"/>
  <c r="K600" s="1"/>
  <c r="H600"/>
  <c r="I600"/>
  <c r="L600" s="1"/>
  <c r="J600"/>
  <c r="A601"/>
  <c r="G601"/>
  <c r="F601" s="1"/>
  <c r="K601" s="1"/>
  <c r="H601"/>
  <c r="I601"/>
  <c r="L601" s="1"/>
  <c r="J601"/>
  <c r="A602"/>
  <c r="G602"/>
  <c r="F602" s="1"/>
  <c r="K602" s="1"/>
  <c r="H602"/>
  <c r="I602"/>
  <c r="L602" s="1"/>
  <c r="J602"/>
  <c r="A603"/>
  <c r="G603"/>
  <c r="F603" s="1"/>
  <c r="K603" s="1"/>
  <c r="H603"/>
  <c r="I603"/>
  <c r="L603" s="1"/>
  <c r="J603"/>
  <c r="A604"/>
  <c r="G604"/>
  <c r="F604" s="1"/>
  <c r="K604" s="1"/>
  <c r="H604"/>
  <c r="I604"/>
  <c r="L604" s="1"/>
  <c r="J604"/>
  <c r="A605"/>
  <c r="G605"/>
  <c r="F605" s="1"/>
  <c r="K605" s="1"/>
  <c r="H605"/>
  <c r="I605"/>
  <c r="L605" s="1"/>
  <c r="J605"/>
  <c r="A606"/>
  <c r="G606"/>
  <c r="F606" s="1"/>
  <c r="K606" s="1"/>
  <c r="H606"/>
  <c r="I606"/>
  <c r="L606" s="1"/>
  <c r="J606"/>
  <c r="A607"/>
  <c r="G607"/>
  <c r="F607" s="1"/>
  <c r="K607" s="1"/>
  <c r="H607"/>
  <c r="I607"/>
  <c r="L607" s="1"/>
  <c r="J607"/>
  <c r="A608"/>
  <c r="G608"/>
  <c r="F608" s="1"/>
  <c r="K608" s="1"/>
  <c r="H608"/>
  <c r="I608"/>
  <c r="L608" s="1"/>
  <c r="J608"/>
  <c r="A609"/>
  <c r="G609"/>
  <c r="F609" s="1"/>
  <c r="K609" s="1"/>
  <c r="H609"/>
  <c r="I609"/>
  <c r="L609" s="1"/>
  <c r="J609"/>
  <c r="A610"/>
  <c r="G610"/>
  <c r="F610" s="1"/>
  <c r="K610" s="1"/>
  <c r="H610"/>
  <c r="I610"/>
  <c r="L610" s="1"/>
  <c r="J610"/>
  <c r="A611"/>
  <c r="G611"/>
  <c r="F611" s="1"/>
  <c r="K611" s="1"/>
  <c r="H611"/>
  <c r="I611"/>
  <c r="L611" s="1"/>
  <c r="J611"/>
  <c r="A612"/>
  <c r="G612"/>
  <c r="F612" s="1"/>
  <c r="K612" s="1"/>
  <c r="H612"/>
  <c r="I612"/>
  <c r="L612" s="1"/>
  <c r="J612"/>
  <c r="A613"/>
  <c r="G613"/>
  <c r="F613" s="1"/>
  <c r="K613" s="1"/>
  <c r="H613"/>
  <c r="I613"/>
  <c r="L613" s="1"/>
  <c r="J613"/>
  <c r="A614"/>
  <c r="G614"/>
  <c r="F614" s="1"/>
  <c r="K614" s="1"/>
  <c r="H614"/>
  <c r="I614"/>
  <c r="L614" s="1"/>
  <c r="J614"/>
  <c r="A615"/>
  <c r="G615"/>
  <c r="F615" s="1"/>
  <c r="K615" s="1"/>
  <c r="H615"/>
  <c r="I615"/>
  <c r="L615" s="1"/>
  <c r="J615"/>
  <c r="A616"/>
  <c r="G616"/>
  <c r="F616" s="1"/>
  <c r="K616" s="1"/>
  <c r="H616"/>
  <c r="I616"/>
  <c r="L616" s="1"/>
  <c r="J616"/>
  <c r="A617"/>
  <c r="G617"/>
  <c r="F617" s="1"/>
  <c r="K617" s="1"/>
  <c r="H617"/>
  <c r="I617"/>
  <c r="L617" s="1"/>
  <c r="J617"/>
  <c r="A618"/>
  <c r="G618"/>
  <c r="F618" s="1"/>
  <c r="K618" s="1"/>
  <c r="H618"/>
  <c r="I618"/>
  <c r="L618" s="1"/>
  <c r="J618"/>
  <c r="A619"/>
  <c r="G619"/>
  <c r="F619" s="1"/>
  <c r="K619" s="1"/>
  <c r="H619"/>
  <c r="I619"/>
  <c r="L619" s="1"/>
  <c r="J619"/>
  <c r="A620"/>
  <c r="G620"/>
  <c r="F620" s="1"/>
  <c r="K620" s="1"/>
  <c r="H620"/>
  <c r="I620"/>
  <c r="L620" s="1"/>
  <c r="J620"/>
  <c r="A621"/>
  <c r="G621"/>
  <c r="F621" s="1"/>
  <c r="K621" s="1"/>
  <c r="H621"/>
  <c r="I621"/>
  <c r="L621" s="1"/>
  <c r="J621"/>
  <c r="A622"/>
  <c r="G622"/>
  <c r="F622" s="1"/>
  <c r="K622" s="1"/>
  <c r="H622"/>
  <c r="I622"/>
  <c r="L622" s="1"/>
  <c r="J622"/>
  <c r="A623"/>
  <c r="G623"/>
  <c r="F623" s="1"/>
  <c r="K623" s="1"/>
  <c r="H623"/>
  <c r="I623"/>
  <c r="L623" s="1"/>
  <c r="J623"/>
  <c r="A624"/>
  <c r="G624"/>
  <c r="F624" s="1"/>
  <c r="K624" s="1"/>
  <c r="H624"/>
  <c r="I624"/>
  <c r="L624" s="1"/>
  <c r="J624"/>
  <c r="A625"/>
  <c r="G625"/>
  <c r="F625" s="1"/>
  <c r="K625" s="1"/>
  <c r="H625"/>
  <c r="I625"/>
  <c r="L625" s="1"/>
  <c r="J625"/>
  <c r="A626"/>
  <c r="G626"/>
  <c r="F626" s="1"/>
  <c r="K626" s="1"/>
  <c r="H626"/>
  <c r="I626"/>
  <c r="L626" s="1"/>
  <c r="J626"/>
  <c r="A627"/>
  <c r="G627"/>
  <c r="F627" s="1"/>
  <c r="K627" s="1"/>
  <c r="H627"/>
  <c r="I627"/>
  <c r="L627" s="1"/>
  <c r="J627"/>
  <c r="A628"/>
  <c r="G628"/>
  <c r="F628" s="1"/>
  <c r="K628" s="1"/>
  <c r="H628"/>
  <c r="I628"/>
  <c r="L628" s="1"/>
  <c r="J628"/>
  <c r="A629"/>
  <c r="G629"/>
  <c r="F629" s="1"/>
  <c r="K629" s="1"/>
  <c r="H629"/>
  <c r="I629"/>
  <c r="L629" s="1"/>
  <c r="J629"/>
  <c r="A630"/>
  <c r="G630"/>
  <c r="F630" s="1"/>
  <c r="K630" s="1"/>
  <c r="H630"/>
  <c r="I630"/>
  <c r="L630" s="1"/>
  <c r="J630"/>
  <c r="A631"/>
  <c r="G631"/>
  <c r="F631" s="1"/>
  <c r="K631" s="1"/>
  <c r="H631"/>
  <c r="I631"/>
  <c r="L631" s="1"/>
  <c r="J631"/>
  <c r="A632"/>
  <c r="G632"/>
  <c r="F632" s="1"/>
  <c r="K632" s="1"/>
  <c r="H632"/>
  <c r="I632"/>
  <c r="L632" s="1"/>
  <c r="J632"/>
  <c r="A633"/>
  <c r="G633"/>
  <c r="F633" s="1"/>
  <c r="K633" s="1"/>
  <c r="H633"/>
  <c r="I633"/>
  <c r="L633" s="1"/>
  <c r="J633"/>
  <c r="A634"/>
  <c r="G634"/>
  <c r="F634" s="1"/>
  <c r="K634" s="1"/>
  <c r="H634"/>
  <c r="I634"/>
  <c r="L634" s="1"/>
  <c r="J634"/>
  <c r="A635"/>
  <c r="G635"/>
  <c r="F635" s="1"/>
  <c r="K635" s="1"/>
  <c r="H635"/>
  <c r="I635"/>
  <c r="L635" s="1"/>
  <c r="J635"/>
  <c r="A636"/>
  <c r="G636"/>
  <c r="F636" s="1"/>
  <c r="K636" s="1"/>
  <c r="H636"/>
  <c r="I636"/>
  <c r="L636" s="1"/>
  <c r="J636"/>
  <c r="A637"/>
  <c r="G637"/>
  <c r="F637" s="1"/>
  <c r="K637" s="1"/>
  <c r="H637"/>
  <c r="I637"/>
  <c r="L637" s="1"/>
  <c r="J637"/>
  <c r="A638"/>
  <c r="G638"/>
  <c r="F638" s="1"/>
  <c r="K638" s="1"/>
  <c r="H638"/>
  <c r="I638"/>
  <c r="L638" s="1"/>
  <c r="J638"/>
  <c r="A639"/>
  <c r="G639"/>
  <c r="F639" s="1"/>
  <c r="K639" s="1"/>
  <c r="H639"/>
  <c r="I639"/>
  <c r="L639" s="1"/>
  <c r="J639"/>
  <c r="A640"/>
  <c r="G640"/>
  <c r="F640" s="1"/>
  <c r="K640" s="1"/>
  <c r="H640"/>
  <c r="I640"/>
  <c r="L640" s="1"/>
  <c r="J640"/>
  <c r="A641"/>
  <c r="G641"/>
  <c r="F641" s="1"/>
  <c r="K641" s="1"/>
  <c r="H641"/>
  <c r="I641"/>
  <c r="L641" s="1"/>
  <c r="J641"/>
  <c r="A642"/>
  <c r="G642"/>
  <c r="F642" s="1"/>
  <c r="K642" s="1"/>
  <c r="H642"/>
  <c r="I642"/>
  <c r="L642" s="1"/>
  <c r="J642"/>
  <c r="A643"/>
  <c r="G643"/>
  <c r="F643" s="1"/>
  <c r="K643" s="1"/>
  <c r="H643"/>
  <c r="I643"/>
  <c r="L643" s="1"/>
  <c r="J643"/>
  <c r="A644"/>
  <c r="G644"/>
  <c r="F644" s="1"/>
  <c r="K644" s="1"/>
  <c r="H644"/>
  <c r="I644"/>
  <c r="L644" s="1"/>
  <c r="J644"/>
  <c r="A645"/>
  <c r="G645"/>
  <c r="F645" s="1"/>
  <c r="K645" s="1"/>
  <c r="H645"/>
  <c r="I645"/>
  <c r="L645" s="1"/>
  <c r="J645"/>
  <c r="A646"/>
  <c r="G646"/>
  <c r="F646" s="1"/>
  <c r="K646" s="1"/>
  <c r="H646"/>
  <c r="I646"/>
  <c r="L646" s="1"/>
  <c r="J646"/>
  <c r="A647"/>
  <c r="G647"/>
  <c r="F647" s="1"/>
  <c r="K647" s="1"/>
  <c r="H647"/>
  <c r="I647"/>
  <c r="L647" s="1"/>
  <c r="J647"/>
  <c r="A648"/>
  <c r="G648"/>
  <c r="F648" s="1"/>
  <c r="K648" s="1"/>
  <c r="H648"/>
  <c r="I648"/>
  <c r="L648" s="1"/>
  <c r="J648"/>
  <c r="A649"/>
  <c r="G649"/>
  <c r="F649" s="1"/>
  <c r="K649" s="1"/>
  <c r="H649"/>
  <c r="I649"/>
  <c r="L649" s="1"/>
  <c r="J649"/>
  <c r="A650"/>
  <c r="G650"/>
  <c r="F650" s="1"/>
  <c r="K650" s="1"/>
  <c r="H650"/>
  <c r="I650"/>
  <c r="L650" s="1"/>
  <c r="J650"/>
  <c r="A651"/>
  <c r="G651"/>
  <c r="F651" s="1"/>
  <c r="K651" s="1"/>
  <c r="H651"/>
  <c r="I651"/>
  <c r="L651" s="1"/>
  <c r="J651"/>
  <c r="A652"/>
  <c r="G652"/>
  <c r="F652" s="1"/>
  <c r="K652" s="1"/>
  <c r="H652"/>
  <c r="I652"/>
  <c r="L652" s="1"/>
  <c r="J652"/>
  <c r="A653"/>
  <c r="G653"/>
  <c r="F653" s="1"/>
  <c r="K653" s="1"/>
  <c r="H653"/>
  <c r="I653"/>
  <c r="L653" s="1"/>
  <c r="J653"/>
  <c r="A654"/>
  <c r="G654"/>
  <c r="F654" s="1"/>
  <c r="K654" s="1"/>
  <c r="H654"/>
  <c r="I654"/>
  <c r="L654" s="1"/>
  <c r="J654"/>
  <c r="A655"/>
  <c r="G655"/>
  <c r="F655" s="1"/>
  <c r="K655" s="1"/>
  <c r="H655"/>
  <c r="I655"/>
  <c r="L655" s="1"/>
  <c r="J655"/>
  <c r="A656"/>
  <c r="G656"/>
  <c r="F656" s="1"/>
  <c r="K656" s="1"/>
  <c r="H656"/>
  <c r="I656"/>
  <c r="L656" s="1"/>
  <c r="J656"/>
  <c r="A657"/>
  <c r="G657"/>
  <c r="F657" s="1"/>
  <c r="K657" s="1"/>
  <c r="H657"/>
  <c r="I657"/>
  <c r="L657" s="1"/>
  <c r="J657"/>
  <c r="A658"/>
  <c r="G658"/>
  <c r="F658" s="1"/>
  <c r="K658" s="1"/>
  <c r="H658"/>
  <c r="I658"/>
  <c r="L658" s="1"/>
  <c r="J658"/>
  <c r="A659"/>
  <c r="G659"/>
  <c r="F659" s="1"/>
  <c r="K659" s="1"/>
  <c r="H659"/>
  <c r="I659"/>
  <c r="L659" s="1"/>
  <c r="J659"/>
  <c r="A660"/>
  <c r="G660"/>
  <c r="F660" s="1"/>
  <c r="K660" s="1"/>
  <c r="H660"/>
  <c r="I660"/>
  <c r="L660" s="1"/>
  <c r="J660"/>
  <c r="A661"/>
  <c r="G661"/>
  <c r="F661" s="1"/>
  <c r="K661" s="1"/>
  <c r="H661"/>
  <c r="I661"/>
  <c r="L661" s="1"/>
  <c r="J661"/>
  <c r="A662"/>
  <c r="G662"/>
  <c r="F662" s="1"/>
  <c r="K662" s="1"/>
  <c r="H662"/>
  <c r="I662"/>
  <c r="L662" s="1"/>
  <c r="J662"/>
  <c r="A663"/>
  <c r="G663"/>
  <c r="F663" s="1"/>
  <c r="K663" s="1"/>
  <c r="H663"/>
  <c r="I663"/>
  <c r="L663" s="1"/>
  <c r="J663"/>
  <c r="A664"/>
  <c r="G664"/>
  <c r="F664" s="1"/>
  <c r="K664" s="1"/>
  <c r="H664"/>
  <c r="I664"/>
  <c r="L664" s="1"/>
  <c r="J664"/>
  <c r="A665"/>
  <c r="G665"/>
  <c r="F665" s="1"/>
  <c r="K665" s="1"/>
  <c r="H665"/>
  <c r="I665"/>
  <c r="L665" s="1"/>
  <c r="J665"/>
  <c r="A666"/>
  <c r="G666"/>
  <c r="F666" s="1"/>
  <c r="K666" s="1"/>
  <c r="H666"/>
  <c r="I666"/>
  <c r="L666" s="1"/>
  <c r="J666"/>
  <c r="A667"/>
  <c r="G667"/>
  <c r="F667" s="1"/>
  <c r="K667" s="1"/>
  <c r="H667"/>
  <c r="I667"/>
  <c r="L667" s="1"/>
  <c r="J667"/>
  <c r="A668"/>
  <c r="G668"/>
  <c r="F668" s="1"/>
  <c r="K668" s="1"/>
  <c r="H668"/>
  <c r="I668"/>
  <c r="L668" s="1"/>
  <c r="J668"/>
  <c r="A669"/>
  <c r="G669"/>
  <c r="F669" s="1"/>
  <c r="K669" s="1"/>
  <c r="H669"/>
  <c r="I669"/>
  <c r="L669" s="1"/>
  <c r="J669"/>
  <c r="A670"/>
  <c r="G670"/>
  <c r="F670" s="1"/>
  <c r="K670" s="1"/>
  <c r="H670"/>
  <c r="I670"/>
  <c r="L670" s="1"/>
  <c r="J670"/>
  <c r="A671"/>
  <c r="G671"/>
  <c r="F671" s="1"/>
  <c r="K671" s="1"/>
  <c r="H671"/>
  <c r="I671"/>
  <c r="L671" s="1"/>
  <c r="J671"/>
  <c r="A672"/>
  <c r="G672"/>
  <c r="F672" s="1"/>
  <c r="K672" s="1"/>
  <c r="H672"/>
  <c r="I672"/>
  <c r="L672" s="1"/>
  <c r="J672"/>
  <c r="A673"/>
  <c r="G673"/>
  <c r="F673" s="1"/>
  <c r="K673" s="1"/>
  <c r="H673"/>
  <c r="I673"/>
  <c r="L673" s="1"/>
  <c r="J673"/>
  <c r="A674"/>
  <c r="G674"/>
  <c r="F674" s="1"/>
  <c r="K674" s="1"/>
  <c r="H674"/>
  <c r="I674"/>
  <c r="L674" s="1"/>
  <c r="J674"/>
  <c r="A675"/>
  <c r="G675"/>
  <c r="F675" s="1"/>
  <c r="K675" s="1"/>
  <c r="H675"/>
  <c r="I675"/>
  <c r="L675" s="1"/>
  <c r="J675"/>
  <c r="A676"/>
  <c r="G676"/>
  <c r="F676" s="1"/>
  <c r="K676" s="1"/>
  <c r="H676"/>
  <c r="I676"/>
  <c r="L676" s="1"/>
  <c r="J676"/>
  <c r="A677"/>
  <c r="G677"/>
  <c r="F677" s="1"/>
  <c r="K677" s="1"/>
  <c r="H677"/>
  <c r="I677"/>
  <c r="L677" s="1"/>
  <c r="J677"/>
  <c r="A678"/>
  <c r="G678"/>
  <c r="F678" s="1"/>
  <c r="K678" s="1"/>
  <c r="H678"/>
  <c r="I678"/>
  <c r="L678" s="1"/>
  <c r="J678"/>
  <c r="A679"/>
  <c r="G679"/>
  <c r="F679" s="1"/>
  <c r="K679" s="1"/>
  <c r="H679"/>
  <c r="I679"/>
  <c r="L679" s="1"/>
  <c r="J679"/>
  <c r="A680"/>
  <c r="G680"/>
  <c r="F680" s="1"/>
  <c r="K680" s="1"/>
  <c r="H680"/>
  <c r="I680"/>
  <c r="L680" s="1"/>
  <c r="J680"/>
  <c r="A681"/>
  <c r="G681"/>
  <c r="F681" s="1"/>
  <c r="K681" s="1"/>
  <c r="H681"/>
  <c r="I681"/>
  <c r="L681" s="1"/>
  <c r="J681"/>
  <c r="A682"/>
  <c r="G682"/>
  <c r="F682" s="1"/>
  <c r="K682" s="1"/>
  <c r="H682"/>
  <c r="I682"/>
  <c r="L682" s="1"/>
  <c r="J682"/>
  <c r="A683"/>
  <c r="G683"/>
  <c r="F683" s="1"/>
  <c r="K683" s="1"/>
  <c r="H683"/>
  <c r="I683"/>
  <c r="L683" s="1"/>
  <c r="J683"/>
  <c r="A684"/>
  <c r="G684"/>
  <c r="F684" s="1"/>
  <c r="K684" s="1"/>
  <c r="H684"/>
  <c r="I684"/>
  <c r="L684" s="1"/>
  <c r="J684"/>
  <c r="A685"/>
  <c r="G685"/>
  <c r="F685" s="1"/>
  <c r="K685" s="1"/>
  <c r="H685"/>
  <c r="I685"/>
  <c r="L685" s="1"/>
  <c r="J685"/>
  <c r="A686"/>
  <c r="G686"/>
  <c r="F686" s="1"/>
  <c r="K686" s="1"/>
  <c r="H686"/>
  <c r="I686"/>
  <c r="L686" s="1"/>
  <c r="J686"/>
  <c r="A687"/>
  <c r="G687"/>
  <c r="F687" s="1"/>
  <c r="K687" s="1"/>
  <c r="H687"/>
  <c r="I687"/>
  <c r="L687" s="1"/>
  <c r="J687"/>
  <c r="A688"/>
  <c r="G688"/>
  <c r="F688" s="1"/>
  <c r="K688" s="1"/>
  <c r="H688"/>
  <c r="I688"/>
  <c r="L688" s="1"/>
  <c r="J688"/>
  <c r="A689"/>
  <c r="G689"/>
  <c r="F689" s="1"/>
  <c r="K689" s="1"/>
  <c r="H689"/>
  <c r="I689"/>
  <c r="L689" s="1"/>
  <c r="J689"/>
  <c r="A690"/>
  <c r="G690"/>
  <c r="F690" s="1"/>
  <c r="K690" s="1"/>
  <c r="H690"/>
  <c r="I690"/>
  <c r="L690" s="1"/>
  <c r="J690"/>
  <c r="A691"/>
  <c r="G691"/>
  <c r="F691" s="1"/>
  <c r="K691" s="1"/>
  <c r="H691"/>
  <c r="I691"/>
  <c r="L691" s="1"/>
  <c r="J691"/>
  <c r="A692"/>
  <c r="G692"/>
  <c r="F692" s="1"/>
  <c r="K692" s="1"/>
  <c r="H692"/>
  <c r="I692"/>
  <c r="L692" s="1"/>
  <c r="J692"/>
  <c r="A693"/>
  <c r="G693"/>
  <c r="F693" s="1"/>
  <c r="K693" s="1"/>
  <c r="H693"/>
  <c r="I693"/>
  <c r="L693" s="1"/>
  <c r="J693"/>
  <c r="A694"/>
  <c r="G694"/>
  <c r="F694" s="1"/>
  <c r="K694" s="1"/>
  <c r="H694"/>
  <c r="I694"/>
  <c r="L694" s="1"/>
  <c r="J694"/>
  <c r="A695"/>
  <c r="G695"/>
  <c r="F695" s="1"/>
  <c r="K695" s="1"/>
  <c r="H695"/>
  <c r="I695"/>
  <c r="L695" s="1"/>
  <c r="J695"/>
  <c r="A696"/>
  <c r="G696"/>
  <c r="F696" s="1"/>
  <c r="K696" s="1"/>
  <c r="H696"/>
  <c r="I696"/>
  <c r="L696" s="1"/>
  <c r="J696"/>
  <c r="A697"/>
  <c r="G697"/>
  <c r="F697" s="1"/>
  <c r="K697" s="1"/>
  <c r="H697"/>
  <c r="I697"/>
  <c r="L697" s="1"/>
  <c r="J697"/>
  <c r="A698"/>
  <c r="G698"/>
  <c r="F698" s="1"/>
  <c r="K698" s="1"/>
  <c r="H698"/>
  <c r="I698"/>
  <c r="L698" s="1"/>
  <c r="J698"/>
  <c r="A699"/>
  <c r="G699"/>
  <c r="F699" s="1"/>
  <c r="K699" s="1"/>
  <c r="H699"/>
  <c r="I699"/>
  <c r="L699" s="1"/>
  <c r="J699"/>
  <c r="A700"/>
  <c r="G700"/>
  <c r="F700" s="1"/>
  <c r="K700" s="1"/>
  <c r="H700"/>
  <c r="I700"/>
  <c r="L700" s="1"/>
  <c r="J700"/>
  <c r="A701"/>
  <c r="G701"/>
  <c r="F701" s="1"/>
  <c r="K701" s="1"/>
  <c r="H701"/>
  <c r="I701"/>
  <c r="L701" s="1"/>
  <c r="J701"/>
  <c r="A702"/>
  <c r="G702"/>
  <c r="F702" s="1"/>
  <c r="K702" s="1"/>
  <c r="H702"/>
  <c r="I702"/>
  <c r="L702" s="1"/>
  <c r="J702"/>
  <c r="A703"/>
  <c r="G703"/>
  <c r="F703" s="1"/>
  <c r="K703" s="1"/>
  <c r="H703"/>
  <c r="I703"/>
  <c r="L703" s="1"/>
  <c r="J703"/>
  <c r="A704"/>
  <c r="G704"/>
  <c r="F704" s="1"/>
  <c r="K704" s="1"/>
  <c r="H704"/>
  <c r="I704"/>
  <c r="L704" s="1"/>
  <c r="J704"/>
  <c r="A705"/>
  <c r="G705"/>
  <c r="F705" s="1"/>
  <c r="K705" s="1"/>
  <c r="H705"/>
  <c r="I705"/>
  <c r="L705" s="1"/>
  <c r="J705"/>
  <c r="A706"/>
  <c r="G706"/>
  <c r="F706" s="1"/>
  <c r="K706" s="1"/>
  <c r="H706"/>
  <c r="I706"/>
  <c r="L706" s="1"/>
  <c r="J706"/>
  <c r="A707"/>
  <c r="G707"/>
  <c r="F707" s="1"/>
  <c r="K707" s="1"/>
  <c r="H707"/>
  <c r="I707"/>
  <c r="L707" s="1"/>
  <c r="J707"/>
  <c r="A708"/>
  <c r="G708"/>
  <c r="F708" s="1"/>
  <c r="K708" s="1"/>
  <c r="H708"/>
  <c r="I708"/>
  <c r="L708" s="1"/>
  <c r="J708"/>
  <c r="A709"/>
  <c r="G709"/>
  <c r="F709" s="1"/>
  <c r="K709" s="1"/>
  <c r="H709"/>
  <c r="I709"/>
  <c r="L709" s="1"/>
  <c r="J709"/>
  <c r="A710"/>
  <c r="G710"/>
  <c r="F710" s="1"/>
  <c r="K710" s="1"/>
  <c r="H710"/>
  <c r="I710"/>
  <c r="L710" s="1"/>
  <c r="J710"/>
  <c r="A711"/>
  <c r="G711"/>
  <c r="F711" s="1"/>
  <c r="K711" s="1"/>
  <c r="H711"/>
  <c r="I711"/>
  <c r="L711" s="1"/>
  <c r="J711"/>
  <c r="A712"/>
  <c r="G712"/>
  <c r="F712" s="1"/>
  <c r="K712" s="1"/>
  <c r="H712"/>
  <c r="I712"/>
  <c r="L712" s="1"/>
  <c r="J712"/>
  <c r="A713"/>
  <c r="G713"/>
  <c r="F713" s="1"/>
  <c r="K713" s="1"/>
  <c r="H713"/>
  <c r="I713"/>
  <c r="L713" s="1"/>
  <c r="J713"/>
  <c r="A714"/>
  <c r="G714"/>
  <c r="F714" s="1"/>
  <c r="K714" s="1"/>
  <c r="H714"/>
  <c r="I714"/>
  <c r="L714" s="1"/>
  <c r="J714"/>
  <c r="A715"/>
  <c r="G715"/>
  <c r="F715" s="1"/>
  <c r="K715" s="1"/>
  <c r="H715"/>
  <c r="I715"/>
  <c r="L715" s="1"/>
  <c r="J715"/>
  <c r="A716"/>
  <c r="G716"/>
  <c r="F716" s="1"/>
  <c r="K716" s="1"/>
  <c r="H716"/>
  <c r="I716"/>
  <c r="L716" s="1"/>
  <c r="J716"/>
  <c r="A717"/>
  <c r="G717"/>
  <c r="F717" s="1"/>
  <c r="K717" s="1"/>
  <c r="H717"/>
  <c r="I717"/>
  <c r="L717" s="1"/>
  <c r="J717"/>
  <c r="A718"/>
  <c r="G718"/>
  <c r="F718" s="1"/>
  <c r="K718" s="1"/>
  <c r="H718"/>
  <c r="I718"/>
  <c r="L718" s="1"/>
  <c r="J718"/>
  <c r="A719"/>
  <c r="G719"/>
  <c r="F719" s="1"/>
  <c r="K719" s="1"/>
  <c r="H719"/>
  <c r="I719"/>
  <c r="L719" s="1"/>
  <c r="J719"/>
  <c r="A720"/>
  <c r="G720"/>
  <c r="F720" s="1"/>
  <c r="K720" s="1"/>
  <c r="H720"/>
  <c r="I720"/>
  <c r="L720" s="1"/>
  <c r="J720"/>
  <c r="A721"/>
  <c r="G721"/>
  <c r="F721" s="1"/>
  <c r="K721" s="1"/>
  <c r="H721"/>
  <c r="I721"/>
  <c r="L721" s="1"/>
  <c r="J721"/>
  <c r="A722"/>
  <c r="G722"/>
  <c r="F722" s="1"/>
  <c r="K722" s="1"/>
  <c r="H722"/>
  <c r="I722"/>
  <c r="L722" s="1"/>
  <c r="J722"/>
  <c r="A723"/>
  <c r="G723"/>
  <c r="F723" s="1"/>
  <c r="K723" s="1"/>
  <c r="H723"/>
  <c r="I723"/>
  <c r="L723" s="1"/>
  <c r="J723"/>
  <c r="A724"/>
  <c r="G724"/>
  <c r="F724" s="1"/>
  <c r="K724" s="1"/>
  <c r="H724"/>
  <c r="I724"/>
  <c r="L724" s="1"/>
  <c r="J724"/>
  <c r="A725"/>
  <c r="G725"/>
  <c r="F725" s="1"/>
  <c r="K725" s="1"/>
  <c r="H725"/>
  <c r="I725"/>
  <c r="L725" s="1"/>
  <c r="J725"/>
  <c r="A726"/>
  <c r="G726"/>
  <c r="F726" s="1"/>
  <c r="K726" s="1"/>
  <c r="H726"/>
  <c r="I726"/>
  <c r="L726" s="1"/>
  <c r="J726"/>
  <c r="A727"/>
  <c r="G727"/>
  <c r="F727" s="1"/>
  <c r="K727" s="1"/>
  <c r="H727"/>
  <c r="I727"/>
  <c r="L727" s="1"/>
  <c r="J727"/>
  <c r="A728"/>
  <c r="G728"/>
  <c r="F728" s="1"/>
  <c r="K728" s="1"/>
  <c r="H728"/>
  <c r="I728"/>
  <c r="L728" s="1"/>
  <c r="J728"/>
  <c r="A729"/>
  <c r="G729"/>
  <c r="F729" s="1"/>
  <c r="K729" s="1"/>
  <c r="H729"/>
  <c r="I729"/>
  <c r="L729" s="1"/>
  <c r="J729"/>
  <c r="A730"/>
  <c r="G730"/>
  <c r="F730" s="1"/>
  <c r="K730" s="1"/>
  <c r="H730"/>
  <c r="I730"/>
  <c r="L730" s="1"/>
  <c r="J730"/>
  <c r="A731"/>
  <c r="G731"/>
  <c r="F731" s="1"/>
  <c r="K731" s="1"/>
  <c r="H731"/>
  <c r="I731"/>
  <c r="L731" s="1"/>
  <c r="J731"/>
  <c r="A732"/>
  <c r="G732"/>
  <c r="F732" s="1"/>
  <c r="K732" s="1"/>
  <c r="H732"/>
  <c r="I732"/>
  <c r="L732" s="1"/>
  <c r="J732"/>
  <c r="A733"/>
  <c r="G733"/>
  <c r="F733" s="1"/>
  <c r="K733" s="1"/>
  <c r="H733"/>
  <c r="I733"/>
  <c r="L733" s="1"/>
  <c r="J733"/>
  <c r="A734"/>
  <c r="G734"/>
  <c r="F734" s="1"/>
  <c r="K734" s="1"/>
  <c r="H734"/>
  <c r="I734"/>
  <c r="L734" s="1"/>
  <c r="J734"/>
  <c r="A735"/>
  <c r="G735"/>
  <c r="F735" s="1"/>
  <c r="K735" s="1"/>
  <c r="H735"/>
  <c r="I735"/>
  <c r="L735" s="1"/>
  <c r="J735"/>
  <c r="A736"/>
  <c r="G736"/>
  <c r="F736" s="1"/>
  <c r="K736" s="1"/>
  <c r="H736"/>
  <c r="I736"/>
  <c r="L736" s="1"/>
  <c r="J736"/>
  <c r="A737"/>
  <c r="G737"/>
  <c r="F737" s="1"/>
  <c r="K737" s="1"/>
  <c r="H737"/>
  <c r="I737"/>
  <c r="L737" s="1"/>
  <c r="J737"/>
  <c r="A738"/>
  <c r="G738"/>
  <c r="F738" s="1"/>
  <c r="K738" s="1"/>
  <c r="H738"/>
  <c r="I738"/>
  <c r="L738" s="1"/>
  <c r="J738"/>
  <c r="A739"/>
  <c r="G739"/>
  <c r="F739" s="1"/>
  <c r="K739" s="1"/>
  <c r="H739"/>
  <c r="I739"/>
  <c r="L739" s="1"/>
  <c r="J739"/>
  <c r="A740"/>
  <c r="G740"/>
  <c r="F740" s="1"/>
  <c r="K740" s="1"/>
  <c r="H740"/>
  <c r="I740"/>
  <c r="L740" s="1"/>
  <c r="J740"/>
  <c r="A741"/>
  <c r="G741"/>
  <c r="F741" s="1"/>
  <c r="K741" s="1"/>
  <c r="H741"/>
  <c r="I741"/>
  <c r="L741" s="1"/>
  <c r="J741"/>
  <c r="A742"/>
  <c r="G742"/>
  <c r="F742" s="1"/>
  <c r="K742" s="1"/>
  <c r="H742"/>
  <c r="I742"/>
  <c r="L742" s="1"/>
  <c r="J742"/>
  <c r="A743"/>
  <c r="G743"/>
  <c r="F743" s="1"/>
  <c r="K743" s="1"/>
  <c r="H743"/>
  <c r="I743"/>
  <c r="L743" s="1"/>
  <c r="J743"/>
  <c r="A744"/>
  <c r="G744"/>
  <c r="F744" s="1"/>
  <c r="K744" s="1"/>
  <c r="H744"/>
  <c r="I744"/>
  <c r="L744" s="1"/>
  <c r="J744"/>
  <c r="A745"/>
  <c r="G745"/>
  <c r="F745" s="1"/>
  <c r="K745" s="1"/>
  <c r="H745"/>
  <c r="I745"/>
  <c r="L745" s="1"/>
  <c r="J745"/>
  <c r="A746"/>
  <c r="G746"/>
  <c r="F746" s="1"/>
  <c r="K746" s="1"/>
  <c r="H746"/>
  <c r="I746"/>
  <c r="L746" s="1"/>
  <c r="J746"/>
  <c r="A747"/>
  <c r="G747"/>
  <c r="F747" s="1"/>
  <c r="K747" s="1"/>
  <c r="H747"/>
  <c r="I747"/>
  <c r="L747" s="1"/>
  <c r="J747"/>
  <c r="A748"/>
  <c r="G748"/>
  <c r="F748" s="1"/>
  <c r="K748" s="1"/>
  <c r="H748"/>
  <c r="I748"/>
  <c r="L748" s="1"/>
  <c r="J748"/>
  <c r="A749"/>
  <c r="G749"/>
  <c r="F749" s="1"/>
  <c r="K749" s="1"/>
  <c r="H749"/>
  <c r="I749"/>
  <c r="L749" s="1"/>
  <c r="J749"/>
  <c r="A750"/>
  <c r="G750"/>
  <c r="F750" s="1"/>
  <c r="K750" s="1"/>
  <c r="H750"/>
  <c r="I750"/>
  <c r="L750" s="1"/>
  <c r="J750"/>
  <c r="A751"/>
  <c r="G751"/>
  <c r="F751" s="1"/>
  <c r="K751" s="1"/>
  <c r="H751"/>
  <c r="I751"/>
  <c r="L751" s="1"/>
  <c r="J751"/>
  <c r="A752"/>
  <c r="G752"/>
  <c r="F752" s="1"/>
  <c r="K752" s="1"/>
  <c r="H752"/>
  <c r="I752"/>
  <c r="L752" s="1"/>
  <c r="J752"/>
  <c r="A753"/>
  <c r="G753"/>
  <c r="F753" s="1"/>
  <c r="K753" s="1"/>
  <c r="H753"/>
  <c r="I753"/>
  <c r="L753" s="1"/>
  <c r="J753"/>
  <c r="A754"/>
  <c r="G754"/>
  <c r="F754" s="1"/>
  <c r="K754" s="1"/>
  <c r="H754"/>
  <c r="I754"/>
  <c r="L754" s="1"/>
  <c r="J754"/>
  <c r="A755"/>
  <c r="G755"/>
  <c r="F755" s="1"/>
  <c r="K755" s="1"/>
  <c r="H755"/>
  <c r="I755"/>
  <c r="L755" s="1"/>
  <c r="J755"/>
  <c r="A756"/>
  <c r="G756"/>
  <c r="F756" s="1"/>
  <c r="K756" s="1"/>
  <c r="H756"/>
  <c r="I756"/>
  <c r="L756" s="1"/>
  <c r="J756"/>
  <c r="A757"/>
  <c r="G757"/>
  <c r="F757" s="1"/>
  <c r="K757" s="1"/>
  <c r="H757"/>
  <c r="I757"/>
  <c r="L757" s="1"/>
  <c r="J757"/>
  <c r="A758"/>
  <c r="G758"/>
  <c r="F758" s="1"/>
  <c r="K758" s="1"/>
  <c r="H758"/>
  <c r="I758"/>
  <c r="L758" s="1"/>
  <c r="J758"/>
  <c r="A759"/>
  <c r="G759"/>
  <c r="F759" s="1"/>
  <c r="K759" s="1"/>
  <c r="H759"/>
  <c r="I759"/>
  <c r="L759" s="1"/>
  <c r="J759"/>
  <c r="A760"/>
  <c r="G760"/>
  <c r="F760" s="1"/>
  <c r="K760" s="1"/>
  <c r="H760"/>
  <c r="I760"/>
  <c r="L760" s="1"/>
  <c r="J760"/>
  <c r="A761"/>
  <c r="G761"/>
  <c r="F761" s="1"/>
  <c r="K761" s="1"/>
  <c r="H761"/>
  <c r="I761"/>
  <c r="L761" s="1"/>
  <c r="J761"/>
  <c r="A762"/>
  <c r="G762"/>
  <c r="F762" s="1"/>
  <c r="K762" s="1"/>
  <c r="H762"/>
  <c r="I762"/>
  <c r="L762" s="1"/>
  <c r="J762"/>
  <c r="A763"/>
  <c r="G763"/>
  <c r="F763" s="1"/>
  <c r="K763" s="1"/>
  <c r="H763"/>
  <c r="I763"/>
  <c r="L763" s="1"/>
  <c r="J763"/>
  <c r="A764"/>
  <c r="G764"/>
  <c r="F764" s="1"/>
  <c r="K764" s="1"/>
  <c r="H764"/>
  <c r="I764"/>
  <c r="L764" s="1"/>
  <c r="J764"/>
  <c r="A765"/>
  <c r="G765"/>
  <c r="F765" s="1"/>
  <c r="K765" s="1"/>
  <c r="H765"/>
  <c r="I765"/>
  <c r="L765" s="1"/>
  <c r="J765"/>
  <c r="A766"/>
  <c r="G766"/>
  <c r="F766" s="1"/>
  <c r="K766" s="1"/>
  <c r="H766"/>
  <c r="I766"/>
  <c r="L766" s="1"/>
  <c r="J766"/>
  <c r="A767"/>
  <c r="G767"/>
  <c r="F767" s="1"/>
  <c r="K767" s="1"/>
  <c r="H767"/>
  <c r="I767"/>
  <c r="L767" s="1"/>
  <c r="J767"/>
  <c r="A768"/>
  <c r="G768"/>
  <c r="F768" s="1"/>
  <c r="K768" s="1"/>
  <c r="H768"/>
  <c r="I768"/>
  <c r="L768" s="1"/>
  <c r="J768"/>
  <c r="A769"/>
  <c r="G769"/>
  <c r="F769" s="1"/>
  <c r="K769" s="1"/>
  <c r="H769"/>
  <c r="I769"/>
  <c r="L769" s="1"/>
  <c r="J769"/>
  <c r="A770"/>
  <c r="G770"/>
  <c r="F770" s="1"/>
  <c r="K770" s="1"/>
  <c r="H770"/>
  <c r="I770"/>
  <c r="L770" s="1"/>
  <c r="J770"/>
  <c r="A771"/>
  <c r="G771"/>
  <c r="F771" s="1"/>
  <c r="K771" s="1"/>
  <c r="H771"/>
  <c r="I771"/>
  <c r="L771" s="1"/>
  <c r="J771"/>
  <c r="A772"/>
  <c r="G772"/>
  <c r="F772" s="1"/>
  <c r="K772" s="1"/>
  <c r="H772"/>
  <c r="I772"/>
  <c r="L772" s="1"/>
  <c r="J772"/>
  <c r="A773"/>
  <c r="G773"/>
  <c r="F773" s="1"/>
  <c r="K773" s="1"/>
  <c r="H773"/>
  <c r="I773"/>
  <c r="L773" s="1"/>
  <c r="J773"/>
  <c r="A774"/>
  <c r="G774"/>
  <c r="F774" s="1"/>
  <c r="K774" s="1"/>
  <c r="H774"/>
  <c r="I774"/>
  <c r="L774" s="1"/>
  <c r="J774"/>
  <c r="A775"/>
  <c r="G775"/>
  <c r="F775" s="1"/>
  <c r="K775" s="1"/>
  <c r="H775"/>
  <c r="I775"/>
  <c r="L775" s="1"/>
  <c r="J775"/>
  <c r="A776"/>
  <c r="G776"/>
  <c r="F776" s="1"/>
  <c r="K776" s="1"/>
  <c r="H776"/>
  <c r="I776"/>
  <c r="L776" s="1"/>
  <c r="J776"/>
  <c r="A777"/>
  <c r="G777"/>
  <c r="F777" s="1"/>
  <c r="K777" s="1"/>
  <c r="H777"/>
  <c r="I777"/>
  <c r="L777" s="1"/>
  <c r="J777"/>
  <c r="A778"/>
  <c r="G778"/>
  <c r="F778" s="1"/>
  <c r="K778" s="1"/>
  <c r="H778"/>
  <c r="I778"/>
  <c r="L778" s="1"/>
  <c r="J778"/>
  <c r="A779"/>
  <c r="G779"/>
  <c r="F779" s="1"/>
  <c r="K779" s="1"/>
  <c r="H779"/>
  <c r="I779"/>
  <c r="L779" s="1"/>
  <c r="J779"/>
  <c r="A780"/>
  <c r="G780"/>
  <c r="F780" s="1"/>
  <c r="K780" s="1"/>
  <c r="H780"/>
  <c r="I780"/>
  <c r="L780" s="1"/>
  <c r="J780"/>
  <c r="A781"/>
  <c r="G781"/>
  <c r="F781" s="1"/>
  <c r="K781" s="1"/>
  <c r="H781"/>
  <c r="I781"/>
  <c r="L781" s="1"/>
  <c r="J781"/>
  <c r="A782"/>
  <c r="G782"/>
  <c r="F782" s="1"/>
  <c r="K782" s="1"/>
  <c r="H782"/>
  <c r="I782"/>
  <c r="L782" s="1"/>
  <c r="J782"/>
  <c r="A783"/>
  <c r="G783"/>
  <c r="F783" s="1"/>
  <c r="K783" s="1"/>
  <c r="H783"/>
  <c r="I783"/>
  <c r="L783" s="1"/>
  <c r="J783"/>
  <c r="A784"/>
  <c r="G784"/>
  <c r="F784" s="1"/>
  <c r="K784" s="1"/>
  <c r="H784"/>
  <c r="I784"/>
  <c r="L784" s="1"/>
  <c r="J784"/>
  <c r="A785"/>
  <c r="G785"/>
  <c r="F785" s="1"/>
  <c r="K785" s="1"/>
  <c r="H785"/>
  <c r="I785"/>
  <c r="L785" s="1"/>
  <c r="J785"/>
  <c r="A786"/>
  <c r="G786"/>
  <c r="F786" s="1"/>
  <c r="K786" s="1"/>
  <c r="H786"/>
  <c r="I786"/>
  <c r="L786" s="1"/>
  <c r="J786"/>
  <c r="A787"/>
  <c r="G787"/>
  <c r="F787" s="1"/>
  <c r="K787" s="1"/>
  <c r="H787"/>
  <c r="I787"/>
  <c r="L787" s="1"/>
  <c r="J787"/>
  <c r="A788"/>
  <c r="G788"/>
  <c r="F788" s="1"/>
  <c r="K788" s="1"/>
  <c r="H788"/>
  <c r="I788"/>
  <c r="L788" s="1"/>
  <c r="J788"/>
  <c r="A789"/>
  <c r="G789"/>
  <c r="F789" s="1"/>
  <c r="K789" s="1"/>
  <c r="H789"/>
  <c r="I789"/>
  <c r="L789" s="1"/>
  <c r="J789"/>
  <c r="A790"/>
  <c r="G790"/>
  <c r="F790" s="1"/>
  <c r="K790" s="1"/>
  <c r="H790"/>
  <c r="I790"/>
  <c r="L790" s="1"/>
  <c r="J790"/>
  <c r="A791"/>
  <c r="G791"/>
  <c r="F791" s="1"/>
  <c r="K791" s="1"/>
  <c r="H791"/>
  <c r="I791"/>
  <c r="L791" s="1"/>
  <c r="J791"/>
  <c r="A792"/>
  <c r="G792"/>
  <c r="F792" s="1"/>
  <c r="K792" s="1"/>
  <c r="H792"/>
  <c r="I792"/>
  <c r="L792" s="1"/>
  <c r="J792"/>
  <c r="A793"/>
  <c r="G793"/>
  <c r="F793" s="1"/>
  <c r="K793" s="1"/>
  <c r="H793"/>
  <c r="I793"/>
  <c r="L793" s="1"/>
  <c r="J793"/>
  <c r="A794"/>
  <c r="G794"/>
  <c r="F794" s="1"/>
  <c r="K794" s="1"/>
  <c r="H794"/>
  <c r="I794"/>
  <c r="L794" s="1"/>
  <c r="J794"/>
  <c r="A795"/>
  <c r="G795"/>
  <c r="F795" s="1"/>
  <c r="K795" s="1"/>
  <c r="H795"/>
  <c r="I795"/>
  <c r="L795" s="1"/>
  <c r="J795"/>
  <c r="A796"/>
  <c r="G796"/>
  <c r="F796" s="1"/>
  <c r="K796" s="1"/>
  <c r="H796"/>
  <c r="I796"/>
  <c r="L796" s="1"/>
  <c r="J796"/>
  <c r="A797"/>
  <c r="G797"/>
  <c r="F797" s="1"/>
  <c r="K797" s="1"/>
  <c r="H797"/>
  <c r="I797"/>
  <c r="L797" s="1"/>
  <c r="J797"/>
  <c r="A798"/>
  <c r="G798"/>
  <c r="F798" s="1"/>
  <c r="K798" s="1"/>
  <c r="H798"/>
  <c r="I798"/>
  <c r="L798" s="1"/>
  <c r="J798"/>
  <c r="A799"/>
  <c r="G799"/>
  <c r="F799" s="1"/>
  <c r="K799" s="1"/>
  <c r="H799"/>
  <c r="I799"/>
  <c r="L799" s="1"/>
  <c r="J799"/>
  <c r="A800"/>
  <c r="G800"/>
  <c r="F800" s="1"/>
  <c r="K800" s="1"/>
  <c r="H800"/>
  <c r="I800"/>
  <c r="L800" s="1"/>
  <c r="J800"/>
  <c r="A801"/>
  <c r="G801"/>
  <c r="F801" s="1"/>
  <c r="K801" s="1"/>
  <c r="H801"/>
  <c r="I801"/>
  <c r="L801" s="1"/>
  <c r="J801"/>
  <c r="A802"/>
  <c r="G802"/>
  <c r="F802" s="1"/>
  <c r="K802" s="1"/>
  <c r="H802"/>
  <c r="I802"/>
  <c r="L802" s="1"/>
  <c r="J802"/>
  <c r="A803"/>
  <c r="G803"/>
  <c r="F803" s="1"/>
  <c r="K803" s="1"/>
  <c r="H803"/>
  <c r="I803"/>
  <c r="L803" s="1"/>
  <c r="J803"/>
  <c r="A804"/>
  <c r="G804"/>
  <c r="F804" s="1"/>
  <c r="K804" s="1"/>
  <c r="H804"/>
  <c r="I804"/>
  <c r="L804" s="1"/>
  <c r="J804"/>
  <c r="A805"/>
  <c r="G805"/>
  <c r="F805" s="1"/>
  <c r="K805" s="1"/>
  <c r="H805"/>
  <c r="I805"/>
  <c r="L805" s="1"/>
  <c r="J805"/>
  <c r="A806"/>
  <c r="G806"/>
  <c r="F806" s="1"/>
  <c r="K806" s="1"/>
  <c r="H806"/>
  <c r="I806"/>
  <c r="L806" s="1"/>
  <c r="J806"/>
  <c r="A807"/>
  <c r="G807"/>
  <c r="F807" s="1"/>
  <c r="K807" s="1"/>
  <c r="H807"/>
  <c r="I807"/>
  <c r="L807" s="1"/>
  <c r="J807"/>
  <c r="A808"/>
  <c r="G808"/>
  <c r="F808" s="1"/>
  <c r="K808" s="1"/>
  <c r="H808"/>
  <c r="I808"/>
  <c r="L808" s="1"/>
  <c r="J808"/>
  <c r="A809"/>
  <c r="G809"/>
  <c r="F809" s="1"/>
  <c r="K809" s="1"/>
  <c r="H809"/>
  <c r="I809"/>
  <c r="L809" s="1"/>
  <c r="J809"/>
  <c r="A810"/>
  <c r="G810"/>
  <c r="F810" s="1"/>
  <c r="K810" s="1"/>
  <c r="H810"/>
  <c r="I810"/>
  <c r="L810" s="1"/>
  <c r="J810"/>
  <c r="A811"/>
  <c r="G811"/>
  <c r="F811" s="1"/>
  <c r="K811" s="1"/>
  <c r="H811"/>
  <c r="I811"/>
  <c r="L811" s="1"/>
  <c r="J811"/>
  <c r="A812"/>
  <c r="G812"/>
  <c r="F812" s="1"/>
  <c r="K812" s="1"/>
  <c r="H812"/>
  <c r="I812"/>
  <c r="L812" s="1"/>
  <c r="J812"/>
  <c r="A813"/>
  <c r="G813"/>
  <c r="F813" s="1"/>
  <c r="K813" s="1"/>
  <c r="H813"/>
  <c r="I813"/>
  <c r="L813" s="1"/>
  <c r="J813"/>
  <c r="A814"/>
  <c r="G814"/>
  <c r="F814" s="1"/>
  <c r="K814" s="1"/>
  <c r="H814"/>
  <c r="I814"/>
  <c r="L814" s="1"/>
  <c r="J814"/>
  <c r="A815"/>
  <c r="G815"/>
  <c r="F815" s="1"/>
  <c r="K815" s="1"/>
  <c r="H815"/>
  <c r="I815"/>
  <c r="L815" s="1"/>
  <c r="J815"/>
  <c r="A816"/>
  <c r="G816"/>
  <c r="F816" s="1"/>
  <c r="K816" s="1"/>
  <c r="H816"/>
  <c r="I816"/>
  <c r="L816" s="1"/>
  <c r="J816"/>
  <c r="A817"/>
  <c r="G817"/>
  <c r="F817" s="1"/>
  <c r="K817" s="1"/>
  <c r="H817"/>
  <c r="I817"/>
  <c r="L817" s="1"/>
  <c r="J817"/>
  <c r="A818"/>
  <c r="G818"/>
  <c r="F818" s="1"/>
  <c r="K818" s="1"/>
  <c r="H818"/>
  <c r="I818"/>
  <c r="L818" s="1"/>
  <c r="J818"/>
  <c r="A819"/>
  <c r="G819"/>
  <c r="F819" s="1"/>
  <c r="K819" s="1"/>
  <c r="H819"/>
  <c r="I819"/>
  <c r="L819" s="1"/>
  <c r="J819"/>
  <c r="A820"/>
  <c r="G820"/>
  <c r="F820" s="1"/>
  <c r="K820" s="1"/>
  <c r="H820"/>
  <c r="I820"/>
  <c r="L820" s="1"/>
  <c r="J820"/>
  <c r="A821"/>
  <c r="G821"/>
  <c r="F821" s="1"/>
  <c r="K821" s="1"/>
  <c r="H821"/>
  <c r="I821"/>
  <c r="L821" s="1"/>
  <c r="J821"/>
  <c r="A822"/>
  <c r="G822"/>
  <c r="F822" s="1"/>
  <c r="K822" s="1"/>
  <c r="H822"/>
  <c r="I822"/>
  <c r="L822" s="1"/>
  <c r="J822"/>
  <c r="A823"/>
  <c r="G823"/>
  <c r="F823" s="1"/>
  <c r="K823" s="1"/>
  <c r="H823"/>
  <c r="I823"/>
  <c r="L823" s="1"/>
  <c r="J823"/>
  <c r="A824"/>
  <c r="G824"/>
  <c r="F824" s="1"/>
  <c r="K824" s="1"/>
  <c r="H824"/>
  <c r="I824"/>
  <c r="L824" s="1"/>
  <c r="J824"/>
  <c r="A825"/>
  <c r="G825"/>
  <c r="F825" s="1"/>
  <c r="K825" s="1"/>
  <c r="H825"/>
  <c r="I825"/>
  <c r="L825" s="1"/>
  <c r="J825"/>
  <c r="A826"/>
  <c r="G826"/>
  <c r="F826" s="1"/>
  <c r="K826" s="1"/>
  <c r="H826"/>
  <c r="I826"/>
  <c r="L826" s="1"/>
  <c r="J826"/>
  <c r="A827"/>
  <c r="G827"/>
  <c r="F827" s="1"/>
  <c r="K827" s="1"/>
  <c r="H827"/>
  <c r="I827"/>
  <c r="L827" s="1"/>
  <c r="J827"/>
  <c r="A828"/>
  <c r="G828"/>
  <c r="F828" s="1"/>
  <c r="K828" s="1"/>
  <c r="H828"/>
  <c r="I828"/>
  <c r="L828" s="1"/>
  <c r="J828"/>
  <c r="A829"/>
  <c r="G829"/>
  <c r="F829" s="1"/>
  <c r="K829" s="1"/>
  <c r="H829"/>
  <c r="I829"/>
  <c r="L829" s="1"/>
  <c r="J829"/>
  <c r="A830"/>
  <c r="G830"/>
  <c r="F830" s="1"/>
  <c r="K830" s="1"/>
  <c r="H830"/>
  <c r="I830"/>
  <c r="L830" s="1"/>
  <c r="J830"/>
  <c r="A831"/>
  <c r="G831"/>
  <c r="F831" s="1"/>
  <c r="K831" s="1"/>
  <c r="H831"/>
  <c r="I831"/>
  <c r="L831" s="1"/>
  <c r="J831"/>
  <c r="A832"/>
  <c r="G832"/>
  <c r="F832" s="1"/>
  <c r="K832" s="1"/>
  <c r="H832"/>
  <c r="I832"/>
  <c r="L832" s="1"/>
  <c r="J832"/>
  <c r="A833"/>
  <c r="G833"/>
  <c r="F833" s="1"/>
  <c r="K833" s="1"/>
  <c r="H833"/>
  <c r="I833"/>
  <c r="L833" s="1"/>
  <c r="J833"/>
  <c r="A834"/>
  <c r="G834"/>
  <c r="F834" s="1"/>
  <c r="K834" s="1"/>
  <c r="H834"/>
  <c r="I834"/>
  <c r="L834" s="1"/>
  <c r="J834"/>
  <c r="A835"/>
  <c r="G835"/>
  <c r="F835" s="1"/>
  <c r="K835" s="1"/>
  <c r="H835"/>
  <c r="I835"/>
  <c r="L835" s="1"/>
  <c r="J835"/>
  <c r="A836"/>
  <c r="G836"/>
  <c r="F836" s="1"/>
  <c r="K836" s="1"/>
  <c r="H836"/>
  <c r="I836"/>
  <c r="L836" s="1"/>
  <c r="J836"/>
  <c r="A837"/>
  <c r="G837"/>
  <c r="F837" s="1"/>
  <c r="K837" s="1"/>
  <c r="H837"/>
  <c r="I837"/>
  <c r="L837" s="1"/>
  <c r="J837"/>
  <c r="A838"/>
  <c r="G838"/>
  <c r="F838" s="1"/>
  <c r="K838" s="1"/>
  <c r="H838"/>
  <c r="I838"/>
  <c r="L838" s="1"/>
  <c r="J838"/>
  <c r="A839"/>
  <c r="G839"/>
  <c r="F839" s="1"/>
  <c r="K839" s="1"/>
  <c r="H839"/>
  <c r="I839"/>
  <c r="L839" s="1"/>
  <c r="J839"/>
  <c r="A840"/>
  <c r="G840"/>
  <c r="F840" s="1"/>
  <c r="K840" s="1"/>
  <c r="H840"/>
  <c r="I840"/>
  <c r="L840" s="1"/>
  <c r="J840"/>
  <c r="A841"/>
  <c r="G841"/>
  <c r="F841" s="1"/>
  <c r="K841" s="1"/>
  <c r="H841"/>
  <c r="I841"/>
  <c r="L841" s="1"/>
  <c r="J841"/>
  <c r="A842"/>
  <c r="G842"/>
  <c r="F842" s="1"/>
  <c r="K842" s="1"/>
  <c r="H842"/>
  <c r="I842"/>
  <c r="L842" s="1"/>
  <c r="J842"/>
  <c r="A843"/>
  <c r="G843"/>
  <c r="F843" s="1"/>
  <c r="K843" s="1"/>
  <c r="H843"/>
  <c r="I843"/>
  <c r="L843" s="1"/>
  <c r="J843"/>
  <c r="A844"/>
  <c r="G844"/>
  <c r="F844" s="1"/>
  <c r="K844" s="1"/>
  <c r="H844"/>
  <c r="I844"/>
  <c r="L844" s="1"/>
  <c r="J844"/>
  <c r="A845"/>
  <c r="G845"/>
  <c r="F845" s="1"/>
  <c r="K845" s="1"/>
  <c r="H845"/>
  <c r="I845"/>
  <c r="L845" s="1"/>
  <c r="J845"/>
  <c r="A846"/>
  <c r="G846"/>
  <c r="F846" s="1"/>
  <c r="K846" s="1"/>
  <c r="H846"/>
  <c r="I846"/>
  <c r="L846" s="1"/>
  <c r="J846"/>
  <c r="A847"/>
  <c r="G847"/>
  <c r="F847" s="1"/>
  <c r="K847" s="1"/>
  <c r="H847"/>
  <c r="I847"/>
  <c r="L847" s="1"/>
  <c r="J847"/>
  <c r="A848"/>
  <c r="G848"/>
  <c r="F848" s="1"/>
  <c r="K848" s="1"/>
  <c r="H848"/>
  <c r="I848"/>
  <c r="L848" s="1"/>
  <c r="J848"/>
  <c r="A849"/>
  <c r="G849"/>
  <c r="F849" s="1"/>
  <c r="K849" s="1"/>
  <c r="H849"/>
  <c r="I849"/>
  <c r="L849" s="1"/>
  <c r="J849"/>
  <c r="A850"/>
  <c r="G850"/>
  <c r="F850" s="1"/>
  <c r="K850" s="1"/>
  <c r="H850"/>
  <c r="I850"/>
  <c r="L850" s="1"/>
  <c r="J850"/>
  <c r="A851"/>
  <c r="G851"/>
  <c r="F851" s="1"/>
  <c r="K851" s="1"/>
  <c r="H851"/>
  <c r="I851"/>
  <c r="L851" s="1"/>
  <c r="J851"/>
  <c r="A852"/>
  <c r="G852"/>
  <c r="F852" s="1"/>
  <c r="K852" s="1"/>
  <c r="H852"/>
  <c r="I852"/>
  <c r="L852" s="1"/>
  <c r="J852"/>
  <c r="A853"/>
  <c r="G853"/>
  <c r="F853" s="1"/>
  <c r="K853" s="1"/>
  <c r="H853"/>
  <c r="I853"/>
  <c r="L853" s="1"/>
  <c r="J853"/>
  <c r="A854"/>
  <c r="G854"/>
  <c r="F854" s="1"/>
  <c r="K854" s="1"/>
  <c r="H854"/>
  <c r="I854"/>
  <c r="L854" s="1"/>
  <c r="J854"/>
  <c r="A855"/>
  <c r="G855"/>
  <c r="F855" s="1"/>
  <c r="K855" s="1"/>
  <c r="H855"/>
  <c r="I855"/>
  <c r="L855" s="1"/>
  <c r="J855"/>
  <c r="A856"/>
  <c r="G856"/>
  <c r="F856" s="1"/>
  <c r="K856" s="1"/>
  <c r="H856"/>
  <c r="I856"/>
  <c r="L856" s="1"/>
  <c r="J856"/>
  <c r="A857"/>
  <c r="G857"/>
  <c r="F857" s="1"/>
  <c r="K857" s="1"/>
  <c r="H857"/>
  <c r="I857"/>
  <c r="L857" s="1"/>
  <c r="J857"/>
  <c r="A858"/>
  <c r="G858"/>
  <c r="F858" s="1"/>
  <c r="K858" s="1"/>
  <c r="H858"/>
  <c r="I858"/>
  <c r="L858" s="1"/>
  <c r="J858"/>
  <c r="A859"/>
  <c r="G859"/>
  <c r="F859" s="1"/>
  <c r="K859" s="1"/>
  <c r="H859"/>
  <c r="I859"/>
  <c r="L859" s="1"/>
  <c r="J859"/>
  <c r="A860"/>
  <c r="G860"/>
  <c r="F860" s="1"/>
  <c r="K860" s="1"/>
  <c r="H860"/>
  <c r="I860"/>
  <c r="L860" s="1"/>
  <c r="J860"/>
  <c r="A861"/>
  <c r="G861"/>
  <c r="F861" s="1"/>
  <c r="K861" s="1"/>
  <c r="H861"/>
  <c r="I861"/>
  <c r="L861" s="1"/>
  <c r="J861"/>
  <c r="A862"/>
  <c r="G862"/>
  <c r="F862" s="1"/>
  <c r="K862" s="1"/>
  <c r="H862"/>
  <c r="I862"/>
  <c r="L862" s="1"/>
  <c r="J862"/>
  <c r="A863"/>
  <c r="G863"/>
  <c r="F863" s="1"/>
  <c r="K863" s="1"/>
  <c r="H863"/>
  <c r="I863"/>
  <c r="L863" s="1"/>
  <c r="J863"/>
  <c r="A864"/>
  <c r="G864"/>
  <c r="F864" s="1"/>
  <c r="K864" s="1"/>
  <c r="H864"/>
  <c r="I864"/>
  <c r="L864" s="1"/>
  <c r="J864"/>
  <c r="A865"/>
  <c r="G865"/>
  <c r="F865" s="1"/>
  <c r="K865" s="1"/>
  <c r="H865"/>
  <c r="I865"/>
  <c r="L865" s="1"/>
  <c r="J865"/>
  <c r="A866"/>
  <c r="G866"/>
  <c r="F866" s="1"/>
  <c r="K866" s="1"/>
  <c r="H866"/>
  <c r="I866"/>
  <c r="L866" s="1"/>
  <c r="J866"/>
  <c r="A867"/>
  <c r="G867"/>
  <c r="F867" s="1"/>
  <c r="K867" s="1"/>
  <c r="H867"/>
  <c r="I867"/>
  <c r="L867" s="1"/>
  <c r="J867"/>
  <c r="A868"/>
  <c r="G868"/>
  <c r="F868" s="1"/>
  <c r="K868" s="1"/>
  <c r="H868"/>
  <c r="I868"/>
  <c r="L868" s="1"/>
  <c r="J868"/>
  <c r="A869"/>
  <c r="G869"/>
  <c r="F869" s="1"/>
  <c r="K869" s="1"/>
  <c r="H869"/>
  <c r="I869"/>
  <c r="L869" s="1"/>
  <c r="J869"/>
  <c r="A870"/>
  <c r="G870"/>
  <c r="F870" s="1"/>
  <c r="K870" s="1"/>
  <c r="H870"/>
  <c r="I870"/>
  <c r="L870" s="1"/>
  <c r="J870"/>
  <c r="A871"/>
  <c r="G871"/>
  <c r="F871" s="1"/>
  <c r="K871" s="1"/>
  <c r="H871"/>
  <c r="I871"/>
  <c r="L871" s="1"/>
  <c r="J871"/>
  <c r="A872"/>
  <c r="G872"/>
  <c r="F872" s="1"/>
  <c r="K872" s="1"/>
  <c r="H872"/>
  <c r="I872"/>
  <c r="L872" s="1"/>
  <c r="J872"/>
  <c r="A873"/>
  <c r="G873"/>
  <c r="F873" s="1"/>
  <c r="K873" s="1"/>
  <c r="H873"/>
  <c r="I873"/>
  <c r="L873" s="1"/>
  <c r="J873"/>
  <c r="A874"/>
  <c r="G874"/>
  <c r="F874" s="1"/>
  <c r="K874" s="1"/>
  <c r="H874"/>
  <c r="I874"/>
  <c r="L874" s="1"/>
  <c r="J874"/>
  <c r="A875"/>
  <c r="G875"/>
  <c r="F875" s="1"/>
  <c r="K875" s="1"/>
  <c r="H875"/>
  <c r="I875"/>
  <c r="L875" s="1"/>
  <c r="J875"/>
  <c r="A876"/>
  <c r="G876"/>
  <c r="F876" s="1"/>
  <c r="K876" s="1"/>
  <c r="H876"/>
  <c r="I876"/>
  <c r="L876" s="1"/>
  <c r="J876"/>
  <c r="A877"/>
  <c r="G877"/>
  <c r="F877" s="1"/>
  <c r="K877" s="1"/>
  <c r="H877"/>
  <c r="I877"/>
  <c r="L877" s="1"/>
  <c r="J877"/>
  <c r="A878"/>
  <c r="G878"/>
  <c r="F878" s="1"/>
  <c r="K878" s="1"/>
  <c r="H878"/>
  <c r="I878"/>
  <c r="L878" s="1"/>
  <c r="J878"/>
  <c r="A879"/>
  <c r="G879"/>
  <c r="F879" s="1"/>
  <c r="K879" s="1"/>
  <c r="H879"/>
  <c r="I879"/>
  <c r="L879" s="1"/>
  <c r="J879"/>
  <c r="A880"/>
  <c r="G880"/>
  <c r="F880" s="1"/>
  <c r="K880" s="1"/>
  <c r="H880"/>
  <c r="I880"/>
  <c r="L880" s="1"/>
  <c r="J880"/>
  <c r="A881"/>
  <c r="G881"/>
  <c r="F881" s="1"/>
  <c r="K881" s="1"/>
  <c r="H881"/>
  <c r="I881"/>
  <c r="L881" s="1"/>
  <c r="J881"/>
  <c r="A882"/>
  <c r="G882"/>
  <c r="F882" s="1"/>
  <c r="K882" s="1"/>
  <c r="H882"/>
  <c r="I882"/>
  <c r="L882" s="1"/>
  <c r="J882"/>
  <c r="A883"/>
  <c r="G883"/>
  <c r="F883" s="1"/>
  <c r="K883" s="1"/>
  <c r="H883"/>
  <c r="I883"/>
  <c r="L883" s="1"/>
  <c r="J883"/>
  <c r="A884"/>
  <c r="G884"/>
  <c r="F884" s="1"/>
  <c r="K884" s="1"/>
  <c r="H884"/>
  <c r="I884"/>
  <c r="L884" s="1"/>
  <c r="J884"/>
  <c r="A885"/>
  <c r="G885"/>
  <c r="F885" s="1"/>
  <c r="K885" s="1"/>
  <c r="H885"/>
  <c r="I885"/>
  <c r="L885" s="1"/>
  <c r="J885"/>
  <c r="A886"/>
  <c r="G886"/>
  <c r="F886" s="1"/>
  <c r="K886" s="1"/>
  <c r="H886"/>
  <c r="I886"/>
  <c r="L886" s="1"/>
  <c r="J886"/>
  <c r="A887"/>
  <c r="G887"/>
  <c r="F887" s="1"/>
  <c r="K887" s="1"/>
  <c r="H887"/>
  <c r="I887"/>
  <c r="L887" s="1"/>
  <c r="J887"/>
  <c r="A888"/>
  <c r="G888"/>
  <c r="F888" s="1"/>
  <c r="K888" s="1"/>
  <c r="H888"/>
  <c r="I888"/>
  <c r="L888" s="1"/>
  <c r="J888"/>
  <c r="A889"/>
  <c r="G889"/>
  <c r="F889" s="1"/>
  <c r="K889" s="1"/>
  <c r="H889"/>
  <c r="I889"/>
  <c r="L889" s="1"/>
  <c r="J889"/>
  <c r="A890"/>
  <c r="G890"/>
  <c r="F890" s="1"/>
  <c r="K890" s="1"/>
  <c r="H890"/>
  <c r="I890"/>
  <c r="L890" s="1"/>
  <c r="J890"/>
  <c r="A891"/>
  <c r="G891"/>
  <c r="F891" s="1"/>
  <c r="K891" s="1"/>
  <c r="H891"/>
  <c r="I891"/>
  <c r="L891" s="1"/>
  <c r="J891"/>
  <c r="A892"/>
  <c r="G892"/>
  <c r="F892" s="1"/>
  <c r="K892" s="1"/>
  <c r="H892"/>
  <c r="I892"/>
  <c r="L892" s="1"/>
  <c r="J892"/>
  <c r="A893"/>
  <c r="G893"/>
  <c r="F893" s="1"/>
  <c r="K893" s="1"/>
  <c r="H893"/>
  <c r="I893"/>
  <c r="L893" s="1"/>
  <c r="J893"/>
  <c r="A894"/>
  <c r="G894"/>
  <c r="F894" s="1"/>
  <c r="K894" s="1"/>
  <c r="H894"/>
  <c r="I894"/>
  <c r="L894" s="1"/>
  <c r="J894"/>
  <c r="A895"/>
  <c r="G895"/>
  <c r="F895" s="1"/>
  <c r="K895" s="1"/>
  <c r="H895"/>
  <c r="I895"/>
  <c r="L895" s="1"/>
  <c r="J895"/>
  <c r="A896"/>
  <c r="G896"/>
  <c r="F896" s="1"/>
  <c r="K896" s="1"/>
  <c r="H896"/>
  <c r="I896"/>
  <c r="L896" s="1"/>
  <c r="J896"/>
  <c r="A897"/>
  <c r="G897"/>
  <c r="F897" s="1"/>
  <c r="K897" s="1"/>
  <c r="H897"/>
  <c r="I897"/>
  <c r="L897" s="1"/>
  <c r="J897"/>
  <c r="A898"/>
  <c r="G898"/>
  <c r="F898" s="1"/>
  <c r="K898" s="1"/>
  <c r="H898"/>
  <c r="I898"/>
  <c r="L898" s="1"/>
  <c r="J898"/>
  <c r="A899"/>
  <c r="G899"/>
  <c r="F899" s="1"/>
  <c r="K899" s="1"/>
  <c r="H899"/>
  <c r="I899"/>
  <c r="L899" s="1"/>
  <c r="J899"/>
  <c r="A900"/>
  <c r="G900"/>
  <c r="F900" s="1"/>
  <c r="K900" s="1"/>
  <c r="H900"/>
  <c r="I900"/>
  <c r="L900" s="1"/>
  <c r="J900"/>
  <c r="A901"/>
  <c r="G901"/>
  <c r="F901" s="1"/>
  <c r="K901" s="1"/>
  <c r="H901"/>
  <c r="I901"/>
  <c r="L901" s="1"/>
  <c r="J901"/>
  <c r="A902"/>
  <c r="G902"/>
  <c r="F902" s="1"/>
  <c r="K902" s="1"/>
  <c r="H902"/>
  <c r="I902"/>
  <c r="L902" s="1"/>
  <c r="J902"/>
  <c r="A903"/>
  <c r="G903"/>
  <c r="F903" s="1"/>
  <c r="K903" s="1"/>
  <c r="H903"/>
  <c r="I903"/>
  <c r="L903" s="1"/>
  <c r="J903"/>
  <c r="A904"/>
  <c r="G904"/>
  <c r="F904" s="1"/>
  <c r="K904" s="1"/>
  <c r="H904"/>
  <c r="I904"/>
  <c r="L904" s="1"/>
  <c r="J904"/>
  <c r="A905"/>
  <c r="G905"/>
  <c r="F905" s="1"/>
  <c r="K905" s="1"/>
  <c r="H905"/>
  <c r="I905"/>
  <c r="L905" s="1"/>
  <c r="J905"/>
  <c r="A906"/>
  <c r="G906"/>
  <c r="F906" s="1"/>
  <c r="K906" s="1"/>
  <c r="H906"/>
  <c r="I906"/>
  <c r="L906" s="1"/>
  <c r="J906"/>
  <c r="A907"/>
  <c r="G907"/>
  <c r="F907" s="1"/>
  <c r="K907" s="1"/>
  <c r="H907"/>
  <c r="I907"/>
  <c r="L907" s="1"/>
  <c r="J907"/>
  <c r="A908"/>
  <c r="G908"/>
  <c r="F908" s="1"/>
  <c r="K908" s="1"/>
  <c r="H908"/>
  <c r="I908"/>
  <c r="L908" s="1"/>
  <c r="J908"/>
  <c r="A909"/>
  <c r="G909"/>
  <c r="F909" s="1"/>
  <c r="K909" s="1"/>
  <c r="H909"/>
  <c r="I909"/>
  <c r="L909" s="1"/>
  <c r="J909"/>
  <c r="A910"/>
  <c r="G910"/>
  <c r="F910" s="1"/>
  <c r="K910" s="1"/>
  <c r="H910"/>
  <c r="I910"/>
  <c r="L910" s="1"/>
  <c r="J910"/>
  <c r="A911"/>
  <c r="G911"/>
  <c r="F911" s="1"/>
  <c r="K911" s="1"/>
  <c r="H911"/>
  <c r="I911"/>
  <c r="L911" s="1"/>
  <c r="J911"/>
  <c r="A912"/>
  <c r="G912"/>
  <c r="F912" s="1"/>
  <c r="K912" s="1"/>
  <c r="H912"/>
  <c r="I912"/>
  <c r="L912" s="1"/>
  <c r="J912"/>
  <c r="A913"/>
  <c r="G913"/>
  <c r="F913" s="1"/>
  <c r="K913" s="1"/>
  <c r="H913"/>
  <c r="I913"/>
  <c r="L913" s="1"/>
  <c r="J913"/>
  <c r="A914"/>
  <c r="G914"/>
  <c r="F914" s="1"/>
  <c r="K914" s="1"/>
  <c r="H914"/>
  <c r="I914"/>
  <c r="L914" s="1"/>
  <c r="J914"/>
  <c r="A915"/>
  <c r="G915"/>
  <c r="F915" s="1"/>
  <c r="K915" s="1"/>
  <c r="H915"/>
  <c r="I915"/>
  <c r="L915" s="1"/>
  <c r="J915"/>
  <c r="A916"/>
  <c r="G916"/>
  <c r="F916" s="1"/>
  <c r="K916" s="1"/>
  <c r="H916"/>
  <c r="I916"/>
  <c r="L916" s="1"/>
  <c r="J916"/>
  <c r="A917"/>
  <c r="G917"/>
  <c r="F917" s="1"/>
  <c r="K917" s="1"/>
  <c r="H917"/>
  <c r="I917"/>
  <c r="L917" s="1"/>
  <c r="J917"/>
  <c r="A918"/>
  <c r="G918"/>
  <c r="F918" s="1"/>
  <c r="K918" s="1"/>
  <c r="H918"/>
  <c r="I918"/>
  <c r="L918" s="1"/>
  <c r="J918"/>
  <c r="A919"/>
  <c r="G919"/>
  <c r="F919" s="1"/>
  <c r="K919" s="1"/>
  <c r="H919"/>
  <c r="I919"/>
  <c r="L919" s="1"/>
  <c r="J919"/>
  <c r="A920"/>
  <c r="G920"/>
  <c r="F920" s="1"/>
  <c r="K920" s="1"/>
  <c r="H920"/>
  <c r="I920"/>
  <c r="L920" s="1"/>
  <c r="J920"/>
  <c r="A921"/>
  <c r="G921"/>
  <c r="F921" s="1"/>
  <c r="K921" s="1"/>
  <c r="H921"/>
  <c r="I921"/>
  <c r="L921" s="1"/>
  <c r="J921"/>
  <c r="A922"/>
  <c r="G922"/>
  <c r="F922" s="1"/>
  <c r="K922" s="1"/>
  <c r="H922"/>
  <c r="I922"/>
  <c r="L922" s="1"/>
  <c r="J922"/>
  <c r="A923"/>
  <c r="G923"/>
  <c r="F923" s="1"/>
  <c r="K923" s="1"/>
  <c r="H923"/>
  <c r="I923"/>
  <c r="L923" s="1"/>
  <c r="J923"/>
  <c r="A924"/>
  <c r="G924"/>
  <c r="F924" s="1"/>
  <c r="K924" s="1"/>
  <c r="H924"/>
  <c r="I924"/>
  <c r="L924" s="1"/>
  <c r="J924"/>
  <c r="A925"/>
  <c r="G925"/>
  <c r="F925" s="1"/>
  <c r="K925" s="1"/>
  <c r="H925"/>
  <c r="I925"/>
  <c r="L925" s="1"/>
  <c r="J925"/>
  <c r="A926"/>
  <c r="G926"/>
  <c r="F926" s="1"/>
  <c r="K926" s="1"/>
  <c r="H926"/>
  <c r="I926"/>
  <c r="L926" s="1"/>
  <c r="J926"/>
  <c r="A927"/>
  <c r="G927"/>
  <c r="F927" s="1"/>
  <c r="K927" s="1"/>
  <c r="H927"/>
  <c r="I927"/>
  <c r="L927" s="1"/>
  <c r="J927"/>
  <c r="A928"/>
  <c r="G928"/>
  <c r="F928" s="1"/>
  <c r="K928" s="1"/>
  <c r="H928"/>
  <c r="I928"/>
  <c r="L928" s="1"/>
  <c r="J928"/>
  <c r="A929"/>
  <c r="G929"/>
  <c r="F929" s="1"/>
  <c r="K929" s="1"/>
  <c r="H929"/>
  <c r="I929"/>
  <c r="L929" s="1"/>
  <c r="J929"/>
  <c r="A930"/>
  <c r="G930"/>
  <c r="F930" s="1"/>
  <c r="K930" s="1"/>
  <c r="H930"/>
  <c r="I930"/>
  <c r="L930" s="1"/>
  <c r="J930"/>
  <c r="A931"/>
  <c r="G931"/>
  <c r="F931" s="1"/>
  <c r="K931" s="1"/>
  <c r="H931"/>
  <c r="I931"/>
  <c r="L931" s="1"/>
  <c r="J931"/>
  <c r="A932"/>
  <c r="G932"/>
  <c r="F932" s="1"/>
  <c r="K932" s="1"/>
  <c r="H932"/>
  <c r="I932"/>
  <c r="L932" s="1"/>
  <c r="J932"/>
  <c r="A933"/>
  <c r="G933"/>
  <c r="F933" s="1"/>
  <c r="K933" s="1"/>
  <c r="H933"/>
  <c r="I933"/>
  <c r="L933" s="1"/>
  <c r="J933"/>
  <c r="A934"/>
  <c r="G934"/>
  <c r="F934" s="1"/>
  <c r="K934" s="1"/>
  <c r="H934"/>
  <c r="I934"/>
  <c r="L934" s="1"/>
  <c r="J934"/>
  <c r="A935"/>
  <c r="G935"/>
  <c r="F935" s="1"/>
  <c r="K935" s="1"/>
  <c r="H935"/>
  <c r="I935"/>
  <c r="L935" s="1"/>
  <c r="J935"/>
  <c r="A936"/>
  <c r="G936"/>
  <c r="F936" s="1"/>
  <c r="K936" s="1"/>
  <c r="H936"/>
  <c r="I936"/>
  <c r="L936" s="1"/>
  <c r="J936"/>
  <c r="A937"/>
  <c r="G937"/>
  <c r="F937" s="1"/>
  <c r="K937" s="1"/>
  <c r="H937"/>
  <c r="I937"/>
  <c r="L937" s="1"/>
  <c r="J937"/>
  <c r="A938"/>
  <c r="G938"/>
  <c r="F938" s="1"/>
  <c r="K938" s="1"/>
  <c r="H938"/>
  <c r="I938"/>
  <c r="L938" s="1"/>
  <c r="J938"/>
  <c r="A939"/>
  <c r="G939"/>
  <c r="F939" s="1"/>
  <c r="K939" s="1"/>
  <c r="H939"/>
  <c r="I939"/>
  <c r="L939" s="1"/>
  <c r="J939"/>
  <c r="A940"/>
  <c r="G940"/>
  <c r="F940" s="1"/>
  <c r="K940" s="1"/>
  <c r="H940"/>
  <c r="I940"/>
  <c r="L940" s="1"/>
  <c r="J940"/>
  <c r="A941"/>
  <c r="G941"/>
  <c r="F941" s="1"/>
  <c r="K941" s="1"/>
  <c r="H941"/>
  <c r="I941"/>
  <c r="L941" s="1"/>
  <c r="J941"/>
  <c r="A942"/>
  <c r="G942"/>
  <c r="F942" s="1"/>
  <c r="K942" s="1"/>
  <c r="H942"/>
  <c r="I942"/>
  <c r="L942" s="1"/>
  <c r="J942"/>
  <c r="A943"/>
  <c r="G943"/>
  <c r="F943" s="1"/>
  <c r="K943" s="1"/>
  <c r="H943"/>
  <c r="I943"/>
  <c r="L943" s="1"/>
  <c r="J943"/>
  <c r="A944"/>
  <c r="G944"/>
  <c r="F944" s="1"/>
  <c r="K944" s="1"/>
  <c r="H944"/>
  <c r="I944"/>
  <c r="L944" s="1"/>
  <c r="J944"/>
  <c r="A945"/>
  <c r="G945"/>
  <c r="F945" s="1"/>
  <c r="K945" s="1"/>
  <c r="H945"/>
  <c r="I945"/>
  <c r="L945" s="1"/>
  <c r="J945"/>
  <c r="A946"/>
  <c r="G946"/>
  <c r="F946" s="1"/>
  <c r="K946" s="1"/>
  <c r="H946"/>
  <c r="I946"/>
  <c r="L946" s="1"/>
  <c r="J946"/>
  <c r="A947"/>
  <c r="G947"/>
  <c r="F947" s="1"/>
  <c r="K947" s="1"/>
  <c r="H947"/>
  <c r="I947"/>
  <c r="L947" s="1"/>
  <c r="J947"/>
  <c r="A948"/>
  <c r="G948"/>
  <c r="F948" s="1"/>
  <c r="K948" s="1"/>
  <c r="H948"/>
  <c r="I948"/>
  <c r="L948" s="1"/>
  <c r="J948"/>
  <c r="A949"/>
  <c r="G949"/>
  <c r="F949" s="1"/>
  <c r="K949" s="1"/>
  <c r="H949"/>
  <c r="I949"/>
  <c r="L949" s="1"/>
  <c r="J949"/>
  <c r="A950"/>
  <c r="G950"/>
  <c r="F950" s="1"/>
  <c r="K950" s="1"/>
  <c r="H950"/>
  <c r="I950"/>
  <c r="L950" s="1"/>
  <c r="J950"/>
  <c r="A951"/>
  <c r="G951"/>
  <c r="F951" s="1"/>
  <c r="K951" s="1"/>
  <c r="H951"/>
  <c r="I951"/>
  <c r="L951" s="1"/>
  <c r="J951"/>
  <c r="A952"/>
  <c r="G952"/>
  <c r="F952" s="1"/>
  <c r="K952" s="1"/>
  <c r="H952"/>
  <c r="I952"/>
  <c r="L952" s="1"/>
  <c r="J952"/>
  <c r="A953"/>
  <c r="G953"/>
  <c r="F953" s="1"/>
  <c r="K953" s="1"/>
  <c r="H953"/>
  <c r="I953"/>
  <c r="L953" s="1"/>
  <c r="J953"/>
  <c r="A954"/>
  <c r="G954"/>
  <c r="F954" s="1"/>
  <c r="K954" s="1"/>
  <c r="H954"/>
  <c r="I954"/>
  <c r="L954" s="1"/>
  <c r="J954"/>
  <c r="A955"/>
  <c r="G955"/>
  <c r="F955" s="1"/>
  <c r="K955" s="1"/>
  <c r="H955"/>
  <c r="I955"/>
  <c r="L955" s="1"/>
  <c r="J955"/>
  <c r="A956"/>
  <c r="G956"/>
  <c r="F956" s="1"/>
  <c r="K956" s="1"/>
  <c r="H956"/>
  <c r="I956"/>
  <c r="L956" s="1"/>
  <c r="J956"/>
  <c r="A957"/>
  <c r="G957"/>
  <c r="F957" s="1"/>
  <c r="K957" s="1"/>
  <c r="H957"/>
  <c r="I957"/>
  <c r="L957" s="1"/>
  <c r="J957"/>
  <c r="A958"/>
  <c r="G958"/>
  <c r="F958" s="1"/>
  <c r="K958" s="1"/>
  <c r="H958"/>
  <c r="I958"/>
  <c r="L958" s="1"/>
  <c r="J958"/>
  <c r="A959"/>
  <c r="G959"/>
  <c r="F959" s="1"/>
  <c r="K959" s="1"/>
  <c r="H959"/>
  <c r="I959"/>
  <c r="L959" s="1"/>
  <c r="J959"/>
  <c r="A960"/>
  <c r="G960"/>
  <c r="F960" s="1"/>
  <c r="K960" s="1"/>
  <c r="H960"/>
  <c r="I960"/>
  <c r="L960" s="1"/>
  <c r="J960"/>
  <c r="A961"/>
  <c r="G961"/>
  <c r="F961" s="1"/>
  <c r="K961" s="1"/>
  <c r="H961"/>
  <c r="I961"/>
  <c r="L961" s="1"/>
  <c r="J961"/>
  <c r="A962"/>
  <c r="G962"/>
  <c r="F962" s="1"/>
  <c r="K962" s="1"/>
  <c r="H962"/>
  <c r="I962"/>
  <c r="L962" s="1"/>
  <c r="J962"/>
  <c r="A963"/>
  <c r="G963"/>
  <c r="F963" s="1"/>
  <c r="K963" s="1"/>
  <c r="H963"/>
  <c r="I963"/>
  <c r="L963" s="1"/>
  <c r="J963"/>
  <c r="A964"/>
  <c r="G964"/>
  <c r="F964" s="1"/>
  <c r="K964" s="1"/>
  <c r="H964"/>
  <c r="I964"/>
  <c r="L964" s="1"/>
  <c r="J964"/>
  <c r="A965"/>
  <c r="G965"/>
  <c r="F965" s="1"/>
  <c r="K965" s="1"/>
  <c r="H965"/>
  <c r="I965"/>
  <c r="L965" s="1"/>
  <c r="J965"/>
  <c r="A966"/>
  <c r="G966"/>
  <c r="F966" s="1"/>
  <c r="K966" s="1"/>
  <c r="H966"/>
  <c r="I966"/>
  <c r="L966" s="1"/>
  <c r="J966"/>
  <c r="A967"/>
  <c r="G967"/>
  <c r="F967" s="1"/>
  <c r="K967" s="1"/>
  <c r="H967"/>
  <c r="I967"/>
  <c r="L967" s="1"/>
  <c r="J967"/>
  <c r="A968"/>
  <c r="G968"/>
  <c r="F968" s="1"/>
  <c r="K968" s="1"/>
  <c r="H968"/>
  <c r="I968"/>
  <c r="L968" s="1"/>
  <c r="J968"/>
  <c r="A969"/>
  <c r="G969"/>
  <c r="F969" s="1"/>
  <c r="K969" s="1"/>
  <c r="H969"/>
  <c r="I969"/>
  <c r="L969" s="1"/>
  <c r="J969"/>
  <c r="A970"/>
  <c r="G970"/>
  <c r="F970" s="1"/>
  <c r="K970" s="1"/>
  <c r="H970"/>
  <c r="I970"/>
  <c r="L970" s="1"/>
  <c r="J970"/>
  <c r="A971"/>
  <c r="G971"/>
  <c r="F971" s="1"/>
  <c r="K971" s="1"/>
  <c r="H971"/>
  <c r="I971"/>
  <c r="L971" s="1"/>
  <c r="J971"/>
  <c r="A972"/>
  <c r="G972"/>
  <c r="F972" s="1"/>
  <c r="K972" s="1"/>
  <c r="H972"/>
  <c r="I972"/>
  <c r="L972" s="1"/>
  <c r="J972"/>
  <c r="A973"/>
  <c r="G973"/>
  <c r="F973" s="1"/>
  <c r="K973" s="1"/>
  <c r="H973"/>
  <c r="I973"/>
  <c r="L973" s="1"/>
  <c r="J973"/>
  <c r="A974"/>
  <c r="G974"/>
  <c r="F974" s="1"/>
  <c r="K974" s="1"/>
  <c r="H974"/>
  <c r="I974"/>
  <c r="L974" s="1"/>
  <c r="J974"/>
  <c r="A975"/>
  <c r="G975"/>
  <c r="F975" s="1"/>
  <c r="K975" s="1"/>
  <c r="H975"/>
  <c r="I975"/>
  <c r="L975" s="1"/>
  <c r="J975"/>
  <c r="A976"/>
  <c r="G976"/>
  <c r="F976" s="1"/>
  <c r="K976" s="1"/>
  <c r="H976"/>
  <c r="I976"/>
  <c r="L976" s="1"/>
  <c r="J976"/>
  <c r="A977"/>
  <c r="G977"/>
  <c r="F977" s="1"/>
  <c r="K977" s="1"/>
  <c r="H977"/>
  <c r="I977"/>
  <c r="L977" s="1"/>
  <c r="J977"/>
  <c r="A978"/>
  <c r="G978"/>
  <c r="F978" s="1"/>
  <c r="K978" s="1"/>
  <c r="H978"/>
  <c r="I978"/>
  <c r="L978" s="1"/>
  <c r="J978"/>
  <c r="A979"/>
  <c r="G979"/>
  <c r="F979" s="1"/>
  <c r="K979" s="1"/>
  <c r="H979"/>
  <c r="I979"/>
  <c r="L979" s="1"/>
  <c r="J979"/>
  <c r="A980"/>
  <c r="G980"/>
  <c r="F980" s="1"/>
  <c r="K980" s="1"/>
  <c r="H980"/>
  <c r="I980"/>
  <c r="L980" s="1"/>
  <c r="J980"/>
  <c r="A981"/>
  <c r="G981"/>
  <c r="F981" s="1"/>
  <c r="K981" s="1"/>
  <c r="H981"/>
  <c r="I981"/>
  <c r="L981" s="1"/>
  <c r="J981"/>
  <c r="A982"/>
  <c r="G982"/>
  <c r="F982" s="1"/>
  <c r="K982" s="1"/>
  <c r="H982"/>
  <c r="I982"/>
  <c r="L982" s="1"/>
  <c r="J982"/>
  <c r="A983"/>
  <c r="G983"/>
  <c r="F983" s="1"/>
  <c r="K983" s="1"/>
  <c r="H983"/>
  <c r="I983"/>
  <c r="L983" s="1"/>
  <c r="J983"/>
  <c r="A984"/>
  <c r="G984"/>
  <c r="F984" s="1"/>
  <c r="K984" s="1"/>
  <c r="H984"/>
  <c r="I984"/>
  <c r="L984" s="1"/>
  <c r="J984"/>
  <c r="A985"/>
  <c r="G985"/>
  <c r="F985" s="1"/>
  <c r="K985" s="1"/>
  <c r="H985"/>
  <c r="I985"/>
  <c r="L985" s="1"/>
  <c r="J985"/>
  <c r="A986"/>
  <c r="G986"/>
  <c r="F986" s="1"/>
  <c r="K986" s="1"/>
  <c r="H986"/>
  <c r="I986"/>
  <c r="L986" s="1"/>
  <c r="J986"/>
  <c r="A987"/>
  <c r="G987"/>
  <c r="F987" s="1"/>
  <c r="K987" s="1"/>
  <c r="H987"/>
  <c r="I987"/>
  <c r="L987" s="1"/>
  <c r="J987"/>
  <c r="A988"/>
  <c r="G988"/>
  <c r="F988" s="1"/>
  <c r="K988" s="1"/>
  <c r="H988"/>
  <c r="I988"/>
  <c r="L988" s="1"/>
  <c r="J988"/>
  <c r="A989"/>
  <c r="G989"/>
  <c r="F989" s="1"/>
  <c r="K989" s="1"/>
  <c r="H989"/>
  <c r="I989"/>
  <c r="L989" s="1"/>
  <c r="J989"/>
  <c r="A990"/>
  <c r="G990"/>
  <c r="F990" s="1"/>
  <c r="K990" s="1"/>
  <c r="H990"/>
  <c r="I990"/>
  <c r="L990" s="1"/>
  <c r="J990"/>
  <c r="A991"/>
  <c r="G991"/>
  <c r="F991" s="1"/>
  <c r="K991" s="1"/>
  <c r="H991"/>
  <c r="I991"/>
  <c r="L991" s="1"/>
  <c r="J991"/>
  <c r="A992"/>
  <c r="G992"/>
  <c r="F992" s="1"/>
  <c r="K992" s="1"/>
  <c r="H992"/>
  <c r="I992"/>
  <c r="L992" s="1"/>
  <c r="J992"/>
  <c r="A993"/>
  <c r="G993"/>
  <c r="F993" s="1"/>
  <c r="K993" s="1"/>
  <c r="H993"/>
  <c r="I993"/>
  <c r="L993" s="1"/>
  <c r="J993"/>
  <c r="A994"/>
  <c r="G994"/>
  <c r="F994" s="1"/>
  <c r="K994" s="1"/>
  <c r="H994"/>
  <c r="I994"/>
  <c r="L994" s="1"/>
  <c r="J994"/>
  <c r="A995"/>
  <c r="G995"/>
  <c r="F995" s="1"/>
  <c r="K995" s="1"/>
  <c r="H995"/>
  <c r="I995"/>
  <c r="L995" s="1"/>
  <c r="J995"/>
  <c r="A996"/>
  <c r="G996"/>
  <c r="F996" s="1"/>
  <c r="K996" s="1"/>
  <c r="H996"/>
  <c r="I996"/>
  <c r="L996" s="1"/>
  <c r="J996"/>
  <c r="A997"/>
  <c r="G997"/>
  <c r="F997" s="1"/>
  <c r="K997" s="1"/>
  <c r="H997"/>
  <c r="I997"/>
  <c r="L997" s="1"/>
  <c r="J997"/>
  <c r="A998"/>
  <c r="G998"/>
  <c r="F998" s="1"/>
  <c r="K998" s="1"/>
  <c r="H998"/>
  <c r="I998"/>
  <c r="L998" s="1"/>
  <c r="J998"/>
  <c r="A999"/>
  <c r="G999"/>
  <c r="F999" s="1"/>
  <c r="K999" s="1"/>
  <c r="H999"/>
  <c r="I999"/>
  <c r="L999" s="1"/>
  <c r="J999"/>
  <c r="A1000"/>
  <c r="G1000"/>
  <c r="F1000" s="1"/>
  <c r="K1000" s="1"/>
  <c r="H1000"/>
  <c r="I1000"/>
  <c r="L1000" s="1"/>
  <c r="J1000"/>
  <c r="Z12" i="1"/>
  <c r="AA12"/>
  <c r="V13"/>
  <c r="W13"/>
  <c r="Z13"/>
  <c r="AA13"/>
  <c r="Z14"/>
  <c r="AA14"/>
  <c r="V15"/>
  <c r="Z15"/>
  <c r="AA15"/>
  <c r="Z16"/>
  <c r="AA16"/>
  <c r="Z17"/>
  <c r="AA17"/>
  <c r="Z18"/>
  <c r="AA18"/>
  <c r="Z19"/>
  <c r="AA19"/>
  <c r="Z20"/>
  <c r="AA20"/>
  <c r="V21"/>
  <c r="W21"/>
  <c r="Z21"/>
  <c r="AA21"/>
  <c r="Z22"/>
  <c r="AA22"/>
  <c r="Z23"/>
  <c r="AA23"/>
  <c r="Z24"/>
  <c r="AA24"/>
  <c r="Z25"/>
  <c r="AA25"/>
  <c r="Z26"/>
  <c r="AA26"/>
  <c r="Z27"/>
  <c r="AA27"/>
  <c r="Z28"/>
  <c r="AA28"/>
  <c r="W29"/>
  <c r="Z29"/>
  <c r="AA29"/>
  <c r="Z30"/>
  <c r="AA30"/>
  <c r="Z31"/>
  <c r="AA31"/>
  <c r="Z32"/>
  <c r="AA32"/>
  <c r="Z33"/>
  <c r="AA33"/>
  <c r="Z34"/>
  <c r="AA34"/>
  <c r="Z35"/>
  <c r="AA35"/>
  <c r="Z36"/>
  <c r="AA36"/>
  <c r="P37"/>
  <c r="Q37" s="1"/>
  <c r="R37"/>
  <c r="V37"/>
  <c r="W37"/>
  <c r="Z37"/>
  <c r="AA37"/>
  <c r="P38"/>
  <c r="S38" s="1"/>
  <c r="Z38"/>
  <c r="AA38"/>
  <c r="Z39"/>
  <c r="AA39"/>
  <c r="Z40"/>
  <c r="AA40"/>
  <c r="P41"/>
  <c r="Z41"/>
  <c r="AA41"/>
  <c r="Z42"/>
  <c r="AA42"/>
  <c r="Z43"/>
  <c r="AA43"/>
  <c r="W44"/>
  <c r="Z44"/>
  <c r="AA44"/>
  <c r="P45"/>
  <c r="Q45" s="1"/>
  <c r="R45"/>
  <c r="V45"/>
  <c r="W45"/>
  <c r="Z45"/>
  <c r="AA45"/>
  <c r="V46"/>
  <c r="Z46"/>
  <c r="AA46"/>
  <c r="Z47"/>
  <c r="AA47"/>
  <c r="Z48"/>
  <c r="AA48"/>
  <c r="Z49"/>
  <c r="AA49"/>
  <c r="P50"/>
  <c r="Q50" s="1"/>
  <c r="V50"/>
  <c r="Z50"/>
  <c r="AA50"/>
  <c r="Z51"/>
  <c r="AA51"/>
  <c r="Z52"/>
  <c r="AA52"/>
  <c r="P53"/>
  <c r="Q53" s="1"/>
  <c r="R53"/>
  <c r="V53"/>
  <c r="W53"/>
  <c r="Z53"/>
  <c r="AA53"/>
  <c r="Z54"/>
  <c r="AA54"/>
  <c r="Z55"/>
  <c r="AA55"/>
  <c r="Z56"/>
  <c r="AA56"/>
  <c r="Z57"/>
  <c r="AA57"/>
  <c r="Z58"/>
  <c r="AA58"/>
  <c r="V59"/>
  <c r="Z59"/>
  <c r="AA59"/>
  <c r="R60"/>
  <c r="Z60"/>
  <c r="AA60"/>
  <c r="P61"/>
  <c r="Q61" s="1"/>
  <c r="R61"/>
  <c r="V61"/>
  <c r="W61"/>
  <c r="Z61"/>
  <c r="AA61"/>
  <c r="W62"/>
  <c r="Z62"/>
  <c r="AA62"/>
  <c r="Z63"/>
  <c r="AA63"/>
  <c r="Z64"/>
  <c r="AA64"/>
  <c r="Z65"/>
  <c r="AA65"/>
  <c r="Z66"/>
  <c r="AA66"/>
  <c r="Z67"/>
  <c r="AA67"/>
  <c r="Z68"/>
  <c r="AA68"/>
  <c r="P69"/>
  <c r="R69"/>
  <c r="V69"/>
  <c r="W69"/>
  <c r="Z69"/>
  <c r="AA69"/>
  <c r="P70"/>
  <c r="V70"/>
  <c r="Z70"/>
  <c r="AA70"/>
  <c r="Z71"/>
  <c r="AA71"/>
  <c r="Z72"/>
  <c r="AA72"/>
  <c r="Z73"/>
  <c r="AA73"/>
  <c r="W74"/>
  <c r="Z74"/>
  <c r="AA74"/>
  <c r="Z75"/>
  <c r="AA75"/>
  <c r="P76"/>
  <c r="S76" s="1"/>
  <c r="Z76"/>
  <c r="AA76"/>
  <c r="P77"/>
  <c r="S77" s="1"/>
  <c r="R77"/>
  <c r="V77"/>
  <c r="W77"/>
  <c r="Z77"/>
  <c r="AA77"/>
  <c r="Z78"/>
  <c r="AA78"/>
  <c r="Z79"/>
  <c r="AA79"/>
  <c r="Z80"/>
  <c r="AA80"/>
  <c r="Z81"/>
  <c r="AA81"/>
  <c r="P82"/>
  <c r="Z82"/>
  <c r="AA82"/>
  <c r="Z83"/>
  <c r="AA83"/>
  <c r="Z84"/>
  <c r="AA84"/>
  <c r="P85"/>
  <c r="R85"/>
  <c r="V85"/>
  <c r="W85"/>
  <c r="Z85"/>
  <c r="AA85"/>
  <c r="Z86"/>
  <c r="AA86"/>
  <c r="Z87"/>
  <c r="AA87"/>
  <c r="Z88"/>
  <c r="AA88"/>
  <c r="Z89"/>
  <c r="AA89"/>
  <c r="Z90"/>
  <c r="AA90"/>
  <c r="P91"/>
  <c r="Z91"/>
  <c r="AA91"/>
  <c r="Z92"/>
  <c r="AA92"/>
  <c r="P93"/>
  <c r="S93" s="1"/>
  <c r="R93"/>
  <c r="V93"/>
  <c r="W93"/>
  <c r="Z93"/>
  <c r="AA93"/>
  <c r="W94"/>
  <c r="Z94"/>
  <c r="AA94"/>
  <c r="W95"/>
  <c r="Z95"/>
  <c r="AA95"/>
  <c r="Z96"/>
  <c r="AA96"/>
  <c r="Z97"/>
  <c r="AA97"/>
  <c r="Z98"/>
  <c r="AA98"/>
  <c r="Z99"/>
  <c r="AA99"/>
  <c r="Z100"/>
  <c r="AA100"/>
  <c r="P101"/>
  <c r="Q101" s="1"/>
  <c r="R101"/>
  <c r="V101"/>
  <c r="W101"/>
  <c r="Z101"/>
  <c r="AA101"/>
  <c r="Z102"/>
  <c r="AA102"/>
  <c r="Z103"/>
  <c r="AA103"/>
  <c r="Z104"/>
  <c r="AA104"/>
  <c r="Z105"/>
  <c r="AA105"/>
  <c r="W106"/>
  <c r="Z106"/>
  <c r="AA106"/>
  <c r="Z107"/>
  <c r="AA107"/>
  <c r="Z108"/>
  <c r="AA108"/>
  <c r="P109"/>
  <c r="R109"/>
  <c r="V109"/>
  <c r="W109"/>
  <c r="Z109"/>
  <c r="AA109"/>
  <c r="W110"/>
  <c r="Z110"/>
  <c r="AA110"/>
  <c r="R111"/>
  <c r="Z111"/>
  <c r="AA111"/>
  <c r="Z112"/>
  <c r="AA112"/>
  <c r="Z113"/>
  <c r="AA113"/>
  <c r="Z114"/>
  <c r="AA114"/>
  <c r="Z115"/>
  <c r="AA115"/>
  <c r="V116"/>
  <c r="Z116"/>
  <c r="AA116"/>
  <c r="P117"/>
  <c r="Q117" s="1"/>
  <c r="R117"/>
  <c r="V117"/>
  <c r="W117"/>
  <c r="Z117"/>
  <c r="AA117"/>
  <c r="Z118"/>
  <c r="AA118"/>
  <c r="P119"/>
  <c r="S119" s="1"/>
  <c r="Z119"/>
  <c r="AA119"/>
  <c r="Z120"/>
  <c r="AA120"/>
  <c r="Z121"/>
  <c r="AA121"/>
  <c r="Z122"/>
  <c r="AA122"/>
  <c r="Z123"/>
  <c r="AA123"/>
  <c r="P124"/>
  <c r="S124" s="1"/>
  <c r="Z124"/>
  <c r="AA124"/>
  <c r="P125"/>
  <c r="Q125" s="1"/>
  <c r="R125"/>
  <c r="V125"/>
  <c r="W125"/>
  <c r="Z125"/>
  <c r="AA125"/>
  <c r="Z126"/>
  <c r="AA126"/>
  <c r="Z127"/>
  <c r="AA127"/>
  <c r="Z128"/>
  <c r="AA128"/>
  <c r="Z129"/>
  <c r="AA129"/>
  <c r="P130"/>
  <c r="Q130" s="1"/>
  <c r="Z130"/>
  <c r="AA130"/>
  <c r="Z131"/>
  <c r="AA131"/>
  <c r="W132"/>
  <c r="Z132"/>
  <c r="AA132"/>
  <c r="P133"/>
  <c r="S133" s="1"/>
  <c r="R133"/>
  <c r="V133"/>
  <c r="W133"/>
  <c r="Z133"/>
  <c r="AA133"/>
  <c r="Z134"/>
  <c r="AA134"/>
  <c r="Z135"/>
  <c r="AA135"/>
  <c r="Z136"/>
  <c r="AA136"/>
  <c r="P137"/>
  <c r="S137" s="1"/>
  <c r="Z137"/>
  <c r="AA137"/>
  <c r="Z138"/>
  <c r="AA138"/>
  <c r="V139"/>
  <c r="Z139"/>
  <c r="AA139"/>
  <c r="P140"/>
  <c r="S140" s="1"/>
  <c r="Z140"/>
  <c r="AA140"/>
  <c r="P141"/>
  <c r="R141"/>
  <c r="V141"/>
  <c r="W141"/>
  <c r="Z141"/>
  <c r="AA141"/>
  <c r="Z142"/>
  <c r="AA142"/>
  <c r="Z143"/>
  <c r="AA143"/>
  <c r="Z144"/>
  <c r="AA144"/>
  <c r="Z145"/>
  <c r="AA145"/>
  <c r="Z146"/>
  <c r="AA146"/>
  <c r="P147"/>
  <c r="Z147"/>
  <c r="AA147"/>
  <c r="Z148"/>
  <c r="AA148"/>
  <c r="P149"/>
  <c r="Q149" s="1"/>
  <c r="R149"/>
  <c r="V149"/>
  <c r="W149"/>
  <c r="Z149"/>
  <c r="AA149"/>
  <c r="P150"/>
  <c r="Z150"/>
  <c r="AA150"/>
  <c r="W151"/>
  <c r="Z151"/>
  <c r="AA151"/>
  <c r="Z152"/>
  <c r="AA152"/>
  <c r="Z153"/>
  <c r="AA153"/>
  <c r="W154"/>
  <c r="Z154"/>
  <c r="AA154"/>
  <c r="Z155"/>
  <c r="AA155"/>
  <c r="P156"/>
  <c r="Q156" s="1"/>
  <c r="Z156"/>
  <c r="AA156"/>
  <c r="P157"/>
  <c r="R157"/>
  <c r="V157"/>
  <c r="W157"/>
  <c r="Z157"/>
  <c r="AA157"/>
  <c r="Z158"/>
  <c r="AA158"/>
  <c r="Z159"/>
  <c r="AA159"/>
  <c r="Z160"/>
  <c r="AA160"/>
  <c r="Z161"/>
  <c r="AA161"/>
  <c r="Z162"/>
  <c r="AA162"/>
  <c r="Z163"/>
  <c r="AA163"/>
  <c r="Z164"/>
  <c r="AA164"/>
  <c r="P165"/>
  <c r="Q165" s="1"/>
  <c r="R165"/>
  <c r="V165"/>
  <c r="W165"/>
  <c r="Z165"/>
  <c r="AA165"/>
  <c r="P166"/>
  <c r="Q166" s="1"/>
  <c r="Z166"/>
  <c r="AA166"/>
  <c r="Z167"/>
  <c r="AA167"/>
  <c r="Z168"/>
  <c r="AA168"/>
  <c r="P169"/>
  <c r="S169" s="1"/>
  <c r="Z169"/>
  <c r="AA169"/>
  <c r="Z170"/>
  <c r="AA170"/>
  <c r="V171"/>
  <c r="Z171"/>
  <c r="AA171"/>
  <c r="P172"/>
  <c r="Z172"/>
  <c r="AA172"/>
  <c r="P173"/>
  <c r="S173" s="1"/>
  <c r="R173"/>
  <c r="V173"/>
  <c r="W173"/>
  <c r="Z173"/>
  <c r="AA173"/>
  <c r="V174"/>
  <c r="Z174"/>
  <c r="AA174"/>
  <c r="W175"/>
  <c r="Z175"/>
  <c r="AA175"/>
  <c r="Z176"/>
  <c r="AA176"/>
  <c r="Z177"/>
  <c r="AA177"/>
  <c r="P178"/>
  <c r="V178"/>
  <c r="Z178"/>
  <c r="AA178"/>
  <c r="W179"/>
  <c r="Z179"/>
  <c r="AA179"/>
  <c r="R180"/>
  <c r="Z180"/>
  <c r="AA180"/>
  <c r="P181"/>
  <c r="S181" s="1"/>
  <c r="R181"/>
  <c r="V181"/>
  <c r="W181"/>
  <c r="Z181"/>
  <c r="AA181"/>
  <c r="Z182"/>
  <c r="AA182"/>
  <c r="Z183"/>
  <c r="AA183"/>
  <c r="Z184"/>
  <c r="AA184"/>
  <c r="Z185"/>
  <c r="AA185"/>
  <c r="Z186"/>
  <c r="AA186"/>
  <c r="R187"/>
  <c r="Z187"/>
  <c r="AA187"/>
  <c r="Z188"/>
  <c r="AA188"/>
  <c r="P189"/>
  <c r="S189" s="1"/>
  <c r="R189"/>
  <c r="V189"/>
  <c r="W189"/>
  <c r="Z189"/>
  <c r="AA189"/>
  <c r="W190"/>
  <c r="Z190"/>
  <c r="AA190"/>
  <c r="Z191"/>
  <c r="AA191"/>
  <c r="Z192"/>
  <c r="AA192"/>
  <c r="Z193"/>
  <c r="AA193"/>
  <c r="Z194"/>
  <c r="AA194"/>
  <c r="W195"/>
  <c r="Z195"/>
  <c r="AA195"/>
  <c r="R196"/>
  <c r="Z196"/>
  <c r="AA196"/>
  <c r="P197"/>
  <c r="Q197" s="1"/>
  <c r="R197"/>
  <c r="V197"/>
  <c r="W197"/>
  <c r="Z197"/>
  <c r="AA197"/>
  <c r="P198"/>
  <c r="V198"/>
  <c r="Z198"/>
  <c r="AA198"/>
  <c r="V199"/>
  <c r="Z199"/>
  <c r="AA199"/>
  <c r="Z200"/>
  <c r="AA200"/>
  <c r="Z201"/>
  <c r="AA201"/>
  <c r="W202"/>
  <c r="Z202"/>
  <c r="AA202"/>
  <c r="Z203"/>
  <c r="AA203"/>
  <c r="V204"/>
  <c r="Z204"/>
  <c r="AA204"/>
  <c r="P205"/>
  <c r="R205"/>
  <c r="V205"/>
  <c r="W205"/>
  <c r="Z205"/>
  <c r="AA205"/>
  <c r="Z206"/>
  <c r="AA206"/>
  <c r="P207"/>
  <c r="Z207"/>
  <c r="AA207"/>
  <c r="Z208"/>
  <c r="AA208"/>
  <c r="Z209"/>
  <c r="AA209"/>
  <c r="P210"/>
  <c r="Z210"/>
  <c r="AA210"/>
  <c r="V211"/>
  <c r="Z211"/>
  <c r="AA211"/>
  <c r="Z212"/>
  <c r="AA212"/>
  <c r="P213"/>
  <c r="Q213" s="1"/>
  <c r="R213"/>
  <c r="V213"/>
  <c r="W213"/>
  <c r="Z213"/>
  <c r="AA213"/>
  <c r="Z214"/>
  <c r="AA214"/>
  <c r="Z215"/>
  <c r="AA215"/>
  <c r="Z216"/>
  <c r="AA216"/>
  <c r="Z217"/>
  <c r="AA217"/>
  <c r="Z218"/>
  <c r="AA218"/>
  <c r="Z219"/>
  <c r="AA219"/>
  <c r="V220"/>
  <c r="Z220"/>
  <c r="AA220"/>
  <c r="P221"/>
  <c r="R221"/>
  <c r="V221"/>
  <c r="W221"/>
  <c r="Z221"/>
  <c r="AA221"/>
  <c r="W222"/>
  <c r="Z222"/>
  <c r="AA222"/>
  <c r="Z223"/>
  <c r="AA223"/>
  <c r="Z224"/>
  <c r="AA224"/>
  <c r="Z225"/>
  <c r="AA225"/>
  <c r="P226"/>
  <c r="S226" s="1"/>
  <c r="Z226"/>
  <c r="AA226"/>
  <c r="P227"/>
  <c r="Z227"/>
  <c r="AA227"/>
  <c r="W228"/>
  <c r="Z228"/>
  <c r="AA228"/>
  <c r="P229"/>
  <c r="R229"/>
  <c r="V229"/>
  <c r="W229"/>
  <c r="Z229"/>
  <c r="AA229"/>
  <c r="Z230"/>
  <c r="AA230"/>
  <c r="Z231"/>
  <c r="AA231"/>
  <c r="Z232"/>
  <c r="AA232"/>
  <c r="Z233"/>
  <c r="AA233"/>
  <c r="Z234"/>
  <c r="AA234"/>
  <c r="W235"/>
  <c r="Z235"/>
  <c r="AA235"/>
  <c r="V236"/>
  <c r="Z236"/>
  <c r="AA236"/>
  <c r="P237"/>
  <c r="S237" s="1"/>
  <c r="R237"/>
  <c r="V237"/>
  <c r="W237"/>
  <c r="Z237"/>
  <c r="AA237"/>
  <c r="P238"/>
  <c r="Z238"/>
  <c r="AA238"/>
  <c r="Z239"/>
  <c r="AA239"/>
  <c r="Z240"/>
  <c r="AA240"/>
  <c r="R241"/>
  <c r="Z241"/>
  <c r="AA241"/>
  <c r="Z242"/>
  <c r="AA242"/>
  <c r="Z243"/>
  <c r="AA243"/>
  <c r="W244"/>
  <c r="Z244"/>
  <c r="AA244"/>
  <c r="P245"/>
  <c r="Q245" s="1"/>
  <c r="R245"/>
  <c r="V245"/>
  <c r="W245"/>
  <c r="Z245"/>
  <c r="AA245"/>
  <c r="R246"/>
  <c r="Z246"/>
  <c r="AA246"/>
  <c r="P247"/>
  <c r="Q247" s="1"/>
  <c r="Z247"/>
  <c r="AA247"/>
  <c r="Z248"/>
  <c r="AA248"/>
  <c r="Z249"/>
  <c r="AA249"/>
  <c r="Z250"/>
  <c r="AA250"/>
  <c r="Z251"/>
  <c r="AA251"/>
  <c r="P252"/>
  <c r="Z252"/>
  <c r="AA252"/>
  <c r="P253"/>
  <c r="R253"/>
  <c r="V253"/>
  <c r="W253"/>
  <c r="Z253"/>
  <c r="AA253"/>
  <c r="Z254"/>
  <c r="AA254"/>
  <c r="Z255"/>
  <c r="AA255"/>
  <c r="Z256"/>
  <c r="AA256"/>
  <c r="Z257"/>
  <c r="AA257"/>
  <c r="Z258"/>
  <c r="AA258"/>
  <c r="Z259"/>
  <c r="AA259"/>
  <c r="Z260"/>
  <c r="AA260"/>
  <c r="P261"/>
  <c r="Q261" s="1"/>
  <c r="R261"/>
  <c r="V261"/>
  <c r="W261"/>
  <c r="Z261"/>
  <c r="AA261"/>
  <c r="Z262"/>
  <c r="AA262"/>
  <c r="V263"/>
  <c r="Z263"/>
  <c r="AA263"/>
  <c r="Z264"/>
  <c r="AA264"/>
  <c r="Z265"/>
  <c r="AA265"/>
  <c r="Z266"/>
  <c r="AA266"/>
  <c r="Z267"/>
  <c r="AA267"/>
  <c r="W268"/>
  <c r="Z268"/>
  <c r="AA268"/>
  <c r="P269"/>
  <c r="R269"/>
  <c r="V269"/>
  <c r="W269"/>
  <c r="Z269"/>
  <c r="AA269"/>
  <c r="V270"/>
  <c r="Z270"/>
  <c r="AA270"/>
  <c r="P271"/>
  <c r="Q271" s="1"/>
  <c r="Z271"/>
  <c r="AA271"/>
  <c r="Z272"/>
  <c r="AA272"/>
  <c r="Z273"/>
  <c r="AA273"/>
  <c r="Z274"/>
  <c r="AA274"/>
  <c r="Z275"/>
  <c r="AA275"/>
  <c r="R276"/>
  <c r="Z276"/>
  <c r="AA276"/>
  <c r="P277"/>
  <c r="R277"/>
  <c r="V277"/>
  <c r="W277"/>
  <c r="Z277"/>
  <c r="AA277"/>
  <c r="R278"/>
  <c r="Z278"/>
  <c r="AA278"/>
  <c r="Z279"/>
  <c r="AA279"/>
  <c r="Z280"/>
  <c r="AA280"/>
  <c r="Z281"/>
  <c r="AA281"/>
  <c r="P282"/>
  <c r="S282" s="1"/>
  <c r="R282"/>
  <c r="Z282"/>
  <c r="AA282"/>
  <c r="Z283"/>
  <c r="AA283"/>
  <c r="P284"/>
  <c r="Q284" s="1"/>
  <c r="Z284"/>
  <c r="AA284"/>
  <c r="P285"/>
  <c r="Q285" s="1"/>
  <c r="R285"/>
  <c r="V285"/>
  <c r="W285"/>
  <c r="Z285"/>
  <c r="AA285"/>
  <c r="P286"/>
  <c r="Q286" s="1"/>
  <c r="R286"/>
  <c r="V286"/>
  <c r="Z286"/>
  <c r="AA286"/>
  <c r="V287"/>
  <c r="Z287"/>
  <c r="AA287"/>
  <c r="Z288"/>
  <c r="AA288"/>
  <c r="Z289"/>
  <c r="AA289"/>
  <c r="Z290"/>
  <c r="AA290"/>
  <c r="Z291"/>
  <c r="AA291"/>
  <c r="P292"/>
  <c r="Z292"/>
  <c r="AA292"/>
  <c r="P293"/>
  <c r="R293"/>
  <c r="V293"/>
  <c r="W293"/>
  <c r="Z293"/>
  <c r="AA293"/>
  <c r="P294"/>
  <c r="Z294"/>
  <c r="AA294"/>
  <c r="Z295"/>
  <c r="AA295"/>
  <c r="Z296"/>
  <c r="AA296"/>
  <c r="V297"/>
  <c r="Z297"/>
  <c r="AA297"/>
  <c r="Z298"/>
  <c r="AA298"/>
  <c r="Z299"/>
  <c r="AA299"/>
  <c r="V300"/>
  <c r="Z300"/>
  <c r="AA300"/>
  <c r="P301"/>
  <c r="S301" s="1"/>
  <c r="R301"/>
  <c r="V301"/>
  <c r="W301"/>
  <c r="Z301"/>
  <c r="AA301"/>
  <c r="P302"/>
  <c r="Q302" s="1"/>
  <c r="V302"/>
  <c r="Z302"/>
  <c r="AA302"/>
  <c r="Z303"/>
  <c r="AA303"/>
  <c r="Z304"/>
  <c r="AA304"/>
  <c r="Z305"/>
  <c r="AA305"/>
  <c r="P306"/>
  <c r="Q306" s="1"/>
  <c r="Z306"/>
  <c r="AA306"/>
  <c r="Z307"/>
  <c r="AA307"/>
  <c r="V308"/>
  <c r="W308"/>
  <c r="Z308"/>
  <c r="AA308"/>
  <c r="P309"/>
  <c r="R309"/>
  <c r="V309"/>
  <c r="W309"/>
  <c r="Z309"/>
  <c r="AA309"/>
  <c r="Z310"/>
  <c r="AA310"/>
  <c r="P311"/>
  <c r="S311" s="1"/>
  <c r="Z311"/>
  <c r="AA311"/>
  <c r="Z312"/>
  <c r="AA312"/>
  <c r="P313"/>
  <c r="S313" s="1"/>
  <c r="V313"/>
  <c r="Z313"/>
  <c r="AA313"/>
  <c r="Z314"/>
  <c r="AA314"/>
  <c r="P315"/>
  <c r="Q315" s="1"/>
  <c r="Z315"/>
  <c r="AA315"/>
  <c r="V316"/>
  <c r="Z316"/>
  <c r="AA316"/>
  <c r="P317"/>
  <c r="Q317" s="1"/>
  <c r="R317"/>
  <c r="V317"/>
  <c r="W317"/>
  <c r="Z317"/>
  <c r="AA317"/>
  <c r="P318"/>
  <c r="S318" s="1"/>
  <c r="Z318"/>
  <c r="AA318"/>
  <c r="V319"/>
  <c r="Z319"/>
  <c r="AA319"/>
  <c r="Z320"/>
  <c r="AA320"/>
  <c r="Z321"/>
  <c r="AA321"/>
  <c r="Z322"/>
  <c r="AA322"/>
  <c r="Z323"/>
  <c r="AA323"/>
  <c r="P324"/>
  <c r="R324"/>
  <c r="Z324"/>
  <c r="AA324"/>
  <c r="P325"/>
  <c r="S325" s="1"/>
  <c r="R325"/>
  <c r="V325"/>
  <c r="W325"/>
  <c r="Z325"/>
  <c r="AA325"/>
  <c r="Z326"/>
  <c r="AA326"/>
  <c r="Z327"/>
  <c r="AA327"/>
  <c r="Z328"/>
  <c r="AA328"/>
  <c r="Z329"/>
  <c r="AA329"/>
  <c r="R330"/>
  <c r="Z330"/>
  <c r="AA330"/>
  <c r="Z331"/>
  <c r="AA331"/>
  <c r="W332"/>
  <c r="Z332"/>
  <c r="AA332"/>
  <c r="P333"/>
  <c r="S333" s="1"/>
  <c r="R333"/>
  <c r="V333"/>
  <c r="W333"/>
  <c r="Z333"/>
  <c r="AA333"/>
  <c r="V334"/>
  <c r="Z334"/>
  <c r="AA334"/>
  <c r="Z335"/>
  <c r="AA335"/>
  <c r="Z336"/>
  <c r="AA336"/>
  <c r="Z337"/>
  <c r="AA337"/>
  <c r="R338"/>
  <c r="V338"/>
  <c r="Z338"/>
  <c r="AA338"/>
  <c r="Z339"/>
  <c r="AA339"/>
  <c r="W340"/>
  <c r="Z340"/>
  <c r="AA340"/>
  <c r="P341"/>
  <c r="S341" s="1"/>
  <c r="R341"/>
  <c r="V341"/>
  <c r="W341"/>
  <c r="Z341"/>
  <c r="AA341"/>
  <c r="V342"/>
  <c r="Z342"/>
  <c r="AA342"/>
  <c r="Z343"/>
  <c r="AA343"/>
  <c r="Z344"/>
  <c r="AA344"/>
  <c r="Z345"/>
  <c r="AA345"/>
  <c r="Z346"/>
  <c r="AA346"/>
  <c r="V347"/>
  <c r="Z347"/>
  <c r="AA347"/>
  <c r="P348"/>
  <c r="V348"/>
  <c r="Z348"/>
  <c r="AA348"/>
  <c r="P349"/>
  <c r="R349"/>
  <c r="V349"/>
  <c r="W349"/>
  <c r="Z349"/>
  <c r="AA349"/>
  <c r="R350"/>
  <c r="V350"/>
  <c r="Z350"/>
  <c r="AA350"/>
  <c r="Z351"/>
  <c r="AA351"/>
  <c r="Z352"/>
  <c r="AA352"/>
  <c r="Z353"/>
  <c r="AA353"/>
  <c r="P354"/>
  <c r="Q354" s="1"/>
  <c r="Z354"/>
  <c r="AA354"/>
  <c r="V355"/>
  <c r="Z355"/>
  <c r="AA355"/>
  <c r="P356"/>
  <c r="Q356" s="1"/>
  <c r="R356"/>
  <c r="Z356"/>
  <c r="AA356"/>
  <c r="P357"/>
  <c r="Q357" s="1"/>
  <c r="R357"/>
  <c r="V357"/>
  <c r="W357"/>
  <c r="Z357"/>
  <c r="AA357"/>
  <c r="P358"/>
  <c r="R358"/>
  <c r="Z358"/>
  <c r="AA358"/>
  <c r="Z359"/>
  <c r="AA359"/>
  <c r="Z360"/>
  <c r="AA360"/>
  <c r="Z361"/>
  <c r="AA361"/>
  <c r="R362"/>
  <c r="Z362"/>
  <c r="AA362"/>
  <c r="Z363"/>
  <c r="AA363"/>
  <c r="P364"/>
  <c r="S364" s="1"/>
  <c r="R364"/>
  <c r="Z364"/>
  <c r="AA364"/>
  <c r="P365"/>
  <c r="S365" s="1"/>
  <c r="R365"/>
  <c r="V365"/>
  <c r="W365"/>
  <c r="Z365"/>
  <c r="AA365"/>
  <c r="P366"/>
  <c r="S366" s="1"/>
  <c r="Z366"/>
  <c r="AA366"/>
  <c r="Z367"/>
  <c r="AA367"/>
  <c r="Z368"/>
  <c r="AA368"/>
  <c r="P369"/>
  <c r="V369"/>
  <c r="Z369"/>
  <c r="AA369"/>
  <c r="Z370"/>
  <c r="AA370"/>
  <c r="Z371"/>
  <c r="AA371"/>
  <c r="P372"/>
  <c r="S372" s="1"/>
  <c r="R372"/>
  <c r="Z372"/>
  <c r="AA372"/>
  <c r="P373"/>
  <c r="S373" s="1"/>
  <c r="R373"/>
  <c r="V373"/>
  <c r="W373"/>
  <c r="Z373"/>
  <c r="AA373"/>
  <c r="R374"/>
  <c r="Z374"/>
  <c r="AA374"/>
  <c r="Z375"/>
  <c r="AA375"/>
  <c r="Z376"/>
  <c r="AA376"/>
  <c r="Z377"/>
  <c r="AA377"/>
  <c r="Z378"/>
  <c r="AA378"/>
  <c r="Z379"/>
  <c r="AA379"/>
  <c r="W380"/>
  <c r="Z380"/>
  <c r="AA380"/>
  <c r="P381"/>
  <c r="R381"/>
  <c r="V381"/>
  <c r="W381"/>
  <c r="Z381"/>
  <c r="AA381"/>
  <c r="P382"/>
  <c r="S382" s="1"/>
  <c r="Z382"/>
  <c r="AA382"/>
  <c r="Z383"/>
  <c r="AA383"/>
  <c r="Z384"/>
  <c r="AA384"/>
  <c r="Z385"/>
  <c r="AA385"/>
  <c r="Z386"/>
  <c r="AA386"/>
  <c r="R387"/>
  <c r="Z387"/>
  <c r="AA387"/>
  <c r="P388"/>
  <c r="Q388" s="1"/>
  <c r="V388"/>
  <c r="Z388"/>
  <c r="AA388"/>
  <c r="P389"/>
  <c r="R389"/>
  <c r="V389"/>
  <c r="W389"/>
  <c r="Z389"/>
  <c r="AA389"/>
  <c r="Z390"/>
  <c r="AA390"/>
  <c r="P391"/>
  <c r="Z391"/>
  <c r="AA391"/>
  <c r="Z392"/>
  <c r="AA392"/>
  <c r="Z393"/>
  <c r="AA393"/>
  <c r="Z394"/>
  <c r="AA394"/>
  <c r="Z395"/>
  <c r="AA395"/>
  <c r="P396"/>
  <c r="Z396"/>
  <c r="AA396"/>
  <c r="P397"/>
  <c r="Q397" s="1"/>
  <c r="R397"/>
  <c r="V397"/>
  <c r="W397"/>
  <c r="Z397"/>
  <c r="AA397"/>
  <c r="V398"/>
  <c r="Z398"/>
  <c r="AA398"/>
  <c r="Z399"/>
  <c r="AA399"/>
  <c r="Z400"/>
  <c r="AA400"/>
  <c r="Z401"/>
  <c r="AA401"/>
  <c r="Z402"/>
  <c r="AA402"/>
  <c r="Z403"/>
  <c r="AA403"/>
  <c r="V404"/>
  <c r="W404"/>
  <c r="Z404"/>
  <c r="AA404"/>
  <c r="P405"/>
  <c r="Q405" s="1"/>
  <c r="R405"/>
  <c r="V405"/>
  <c r="W405"/>
  <c r="Z405"/>
  <c r="AA405"/>
  <c r="R406"/>
  <c r="Z406"/>
  <c r="AA406"/>
  <c r="Z407"/>
  <c r="AA407"/>
  <c r="Z408"/>
  <c r="AA408"/>
  <c r="Z409"/>
  <c r="AA409"/>
  <c r="P410"/>
  <c r="S410" s="1"/>
  <c r="R410"/>
  <c r="Z410"/>
  <c r="AA410"/>
  <c r="Z411"/>
  <c r="AA411"/>
  <c r="V412"/>
  <c r="W412"/>
  <c r="Z412"/>
  <c r="AA412"/>
  <c r="P413"/>
  <c r="R413"/>
  <c r="V413"/>
  <c r="W413"/>
  <c r="Z413"/>
  <c r="AA413"/>
  <c r="P414"/>
  <c r="S414" s="1"/>
  <c r="R414"/>
  <c r="V414"/>
  <c r="Z414"/>
  <c r="AA414"/>
  <c r="V415"/>
  <c r="Z415"/>
  <c r="AA415"/>
  <c r="Z416"/>
  <c r="AA416"/>
  <c r="Z417"/>
  <c r="AA417"/>
  <c r="Z418"/>
  <c r="AA418"/>
  <c r="Z419"/>
  <c r="AA419"/>
  <c r="R420"/>
  <c r="W420"/>
  <c r="Z420"/>
  <c r="AA420"/>
  <c r="P421"/>
  <c r="R421"/>
  <c r="V421"/>
  <c r="W421"/>
  <c r="Z421"/>
  <c r="AA421"/>
  <c r="P422"/>
  <c r="R422"/>
  <c r="Z422"/>
  <c r="AA422"/>
  <c r="Z423"/>
  <c r="AA423"/>
  <c r="Z424"/>
  <c r="AA424"/>
  <c r="P425"/>
  <c r="Q425" s="1"/>
  <c r="V425"/>
  <c r="Z425"/>
  <c r="AA425"/>
  <c r="Z426"/>
  <c r="AA426"/>
  <c r="Z427"/>
  <c r="AA427"/>
  <c r="P428"/>
  <c r="Q428" s="1"/>
  <c r="R428"/>
  <c r="Z428"/>
  <c r="AA428"/>
  <c r="P429"/>
  <c r="R429"/>
  <c r="V429"/>
  <c r="W429"/>
  <c r="Z429"/>
  <c r="AA429"/>
  <c r="P430"/>
  <c r="Z430"/>
  <c r="AA430"/>
  <c r="Z431"/>
  <c r="AA431"/>
  <c r="Z432"/>
  <c r="AA432"/>
  <c r="Z433"/>
  <c r="AA433"/>
  <c r="P434"/>
  <c r="R434"/>
  <c r="Z434"/>
  <c r="AA434"/>
  <c r="Z435"/>
  <c r="AA435"/>
  <c r="P436"/>
  <c r="R436"/>
  <c r="Z436"/>
  <c r="AA436"/>
  <c r="P437"/>
  <c r="R437"/>
  <c r="V437"/>
  <c r="W437"/>
  <c r="Z437"/>
  <c r="AA437"/>
  <c r="R438"/>
  <c r="V438"/>
  <c r="Z438"/>
  <c r="AA438"/>
  <c r="R439"/>
  <c r="Z439"/>
  <c r="AA439"/>
  <c r="P440"/>
  <c r="Q440" s="1"/>
  <c r="Z440"/>
  <c r="AA440"/>
  <c r="Z441"/>
  <c r="AA441"/>
  <c r="R442"/>
  <c r="Z442"/>
  <c r="AA442"/>
  <c r="P443"/>
  <c r="Z443"/>
  <c r="AA443"/>
  <c r="P444"/>
  <c r="Q444" s="1"/>
  <c r="Z444"/>
  <c r="AA444"/>
  <c r="P445"/>
  <c r="R445"/>
  <c r="V445"/>
  <c r="W445"/>
  <c r="Z445"/>
  <c r="AA445"/>
  <c r="P446"/>
  <c r="Q446" s="1"/>
  <c r="Z446"/>
  <c r="AA446"/>
  <c r="V447"/>
  <c r="Z447"/>
  <c r="AA447"/>
  <c r="Z448"/>
  <c r="AA448"/>
  <c r="P449"/>
  <c r="V449"/>
  <c r="Z449"/>
  <c r="AA449"/>
  <c r="Z450"/>
  <c r="AA450"/>
  <c r="P451"/>
  <c r="Q451" s="1"/>
  <c r="Z451"/>
  <c r="AA451"/>
  <c r="R452"/>
  <c r="Z452"/>
  <c r="AA452"/>
  <c r="P453"/>
  <c r="S453" s="1"/>
  <c r="R453"/>
  <c r="V453"/>
  <c r="W453"/>
  <c r="Z453"/>
  <c r="AA453"/>
  <c r="Z454"/>
  <c r="AA454"/>
  <c r="Z455"/>
  <c r="AA455"/>
  <c r="Z456"/>
  <c r="AA456"/>
  <c r="Z457"/>
  <c r="AA457"/>
  <c r="P458"/>
  <c r="R458"/>
  <c r="Z458"/>
  <c r="AA458"/>
  <c r="Z459"/>
  <c r="AA459"/>
  <c r="P460"/>
  <c r="S460" s="1"/>
  <c r="V460"/>
  <c r="Z460"/>
  <c r="AA460"/>
  <c r="P461"/>
  <c r="R461"/>
  <c r="V461"/>
  <c r="W461"/>
  <c r="Z461"/>
  <c r="AA461"/>
  <c r="P462"/>
  <c r="S462" s="1"/>
  <c r="R462"/>
  <c r="V462"/>
  <c r="Z462"/>
  <c r="AA462"/>
  <c r="Z463"/>
  <c r="AA463"/>
  <c r="R464"/>
  <c r="Z464"/>
  <c r="AA464"/>
  <c r="Z465"/>
  <c r="AA465"/>
  <c r="Z466"/>
  <c r="AA466"/>
  <c r="P467"/>
  <c r="Q467" s="1"/>
  <c r="Z467"/>
  <c r="AA467"/>
  <c r="P468"/>
  <c r="Z468"/>
  <c r="AA468"/>
  <c r="P469"/>
  <c r="Q469" s="1"/>
  <c r="R469"/>
  <c r="V469"/>
  <c r="W469"/>
  <c r="Z469"/>
  <c r="AA469"/>
  <c r="Z470"/>
  <c r="AA470"/>
  <c r="Z471"/>
  <c r="AA471"/>
  <c r="Z472"/>
  <c r="AA472"/>
  <c r="Z473"/>
  <c r="AA473"/>
  <c r="Z474"/>
  <c r="AA474"/>
  <c r="P475"/>
  <c r="S475" s="1"/>
  <c r="Z475"/>
  <c r="AA475"/>
  <c r="W476"/>
  <c r="Z476"/>
  <c r="AA476"/>
  <c r="P477"/>
  <c r="Q477" s="1"/>
  <c r="R477"/>
  <c r="V477"/>
  <c r="W477"/>
  <c r="Z477"/>
  <c r="AA477"/>
  <c r="P478"/>
  <c r="S478" s="1"/>
  <c r="R478"/>
  <c r="Z478"/>
  <c r="AA478"/>
  <c r="P479"/>
  <c r="Q479" s="1"/>
  <c r="Z479"/>
  <c r="AA479"/>
  <c r="Z480"/>
  <c r="AA480"/>
  <c r="P481"/>
  <c r="Z481"/>
  <c r="AA481"/>
  <c r="Z482"/>
  <c r="AA482"/>
  <c r="Z483"/>
  <c r="AA483"/>
  <c r="W484"/>
  <c r="Z484"/>
  <c r="AA484"/>
  <c r="P485"/>
  <c r="R485"/>
  <c r="V485"/>
  <c r="W485"/>
  <c r="Z485"/>
  <c r="AA485"/>
  <c r="P486"/>
  <c r="S486" s="1"/>
  <c r="Z486"/>
  <c r="AA486"/>
  <c r="Z487"/>
  <c r="AA487"/>
  <c r="Z488"/>
  <c r="AA488"/>
  <c r="Z489"/>
  <c r="AA489"/>
  <c r="Z490"/>
  <c r="AA490"/>
  <c r="V491"/>
  <c r="Z491"/>
  <c r="AA491"/>
  <c r="P492"/>
  <c r="S492" s="1"/>
  <c r="V492"/>
  <c r="Z492"/>
  <c r="AA492"/>
  <c r="P493"/>
  <c r="S493" s="1"/>
  <c r="R493"/>
  <c r="V493"/>
  <c r="W493"/>
  <c r="Z493"/>
  <c r="AA493"/>
  <c r="P494"/>
  <c r="Q494" s="1"/>
  <c r="R494"/>
  <c r="V494"/>
  <c r="Z494"/>
  <c r="AA494"/>
  <c r="Z495"/>
  <c r="AA495"/>
  <c r="Z496"/>
  <c r="AA496"/>
  <c r="W497"/>
  <c r="Z497"/>
  <c r="AA497"/>
  <c r="Z498"/>
  <c r="AA498"/>
  <c r="Z499"/>
  <c r="AA499"/>
  <c r="P500"/>
  <c r="S500" s="1"/>
  <c r="Z500"/>
  <c r="AA500"/>
  <c r="P501"/>
  <c r="S501" s="1"/>
  <c r="R501"/>
  <c r="V501"/>
  <c r="W501"/>
  <c r="Z501"/>
  <c r="AA501"/>
  <c r="P502"/>
  <c r="Q502" s="1"/>
  <c r="Z502"/>
  <c r="AA502"/>
  <c r="Z503"/>
  <c r="AA503"/>
  <c r="Z504"/>
  <c r="AA504"/>
  <c r="Z505"/>
  <c r="AA505"/>
  <c r="P506"/>
  <c r="Q506" s="1"/>
  <c r="R506"/>
  <c r="Z506"/>
  <c r="AA506"/>
  <c r="Z507"/>
  <c r="AA507"/>
  <c r="P508"/>
  <c r="Q508" s="1"/>
  <c r="Z508"/>
  <c r="AA508"/>
  <c r="P509"/>
  <c r="R509"/>
  <c r="V509"/>
  <c r="W509"/>
  <c r="Z509"/>
  <c r="AA509"/>
  <c r="R510"/>
  <c r="V510"/>
  <c r="Z510"/>
  <c r="AA510"/>
  <c r="Z511"/>
  <c r="AA511"/>
  <c r="Z512"/>
  <c r="AA512"/>
  <c r="Z513"/>
  <c r="AA513"/>
  <c r="Z514"/>
  <c r="AA514"/>
  <c r="V515"/>
  <c r="Z515"/>
  <c r="AA515"/>
  <c r="P516"/>
  <c r="S516" s="1"/>
  <c r="R516"/>
  <c r="Z516"/>
  <c r="AA516"/>
  <c r="P517"/>
  <c r="Q517" s="1"/>
  <c r="R517"/>
  <c r="V517"/>
  <c r="W517"/>
  <c r="Z517"/>
  <c r="AA517"/>
  <c r="P518"/>
  <c r="S518" s="1"/>
  <c r="Z518"/>
  <c r="AA518"/>
  <c r="Z519"/>
  <c r="AA519"/>
  <c r="Z520"/>
  <c r="AA520"/>
  <c r="P521"/>
  <c r="Z521"/>
  <c r="AA521"/>
  <c r="Z522"/>
  <c r="AA522"/>
  <c r="Z523"/>
  <c r="AA523"/>
  <c r="V524"/>
  <c r="W524"/>
  <c r="Z524"/>
  <c r="AA524"/>
  <c r="P525"/>
  <c r="R525"/>
  <c r="V525"/>
  <c r="W525"/>
  <c r="Z525"/>
  <c r="AA525"/>
  <c r="P526"/>
  <c r="S526" s="1"/>
  <c r="R526"/>
  <c r="V526"/>
  <c r="Z526"/>
  <c r="AA526"/>
  <c r="Z527"/>
  <c r="AA527"/>
  <c r="Z528"/>
  <c r="AA528"/>
  <c r="P529"/>
  <c r="V529"/>
  <c r="Z529"/>
  <c r="AA529"/>
  <c r="Z530"/>
  <c r="AA530"/>
  <c r="Z531"/>
  <c r="AA531"/>
  <c r="R532"/>
  <c r="Z532"/>
  <c r="AA532"/>
  <c r="P533"/>
  <c r="S533" s="1"/>
  <c r="R533"/>
  <c r="V533"/>
  <c r="W533"/>
  <c r="Z533"/>
  <c r="AA533"/>
  <c r="P534"/>
  <c r="Z534"/>
  <c r="AA534"/>
  <c r="Z535"/>
  <c r="AA535"/>
  <c r="Z536"/>
  <c r="AA536"/>
  <c r="Z537"/>
  <c r="AA537"/>
  <c r="P538"/>
  <c r="Z538"/>
  <c r="AA538"/>
  <c r="V539"/>
  <c r="Z539"/>
  <c r="AA539"/>
  <c r="P540"/>
  <c r="R540"/>
  <c r="Z540"/>
  <c r="AA540"/>
  <c r="P541"/>
  <c r="R541"/>
  <c r="V541"/>
  <c r="W541"/>
  <c r="Z541"/>
  <c r="AA541"/>
  <c r="P542"/>
  <c r="R542"/>
  <c r="V542"/>
  <c r="Z542"/>
  <c r="AA542"/>
  <c r="V543"/>
  <c r="Z543"/>
  <c r="AA543"/>
  <c r="Z544"/>
  <c r="AA544"/>
  <c r="Z545"/>
  <c r="AA545"/>
  <c r="Z546"/>
  <c r="AA546"/>
  <c r="Z547"/>
  <c r="AA547"/>
  <c r="P548"/>
  <c r="Q548" s="1"/>
  <c r="R548"/>
  <c r="Z548"/>
  <c r="AA548"/>
  <c r="P549"/>
  <c r="Q549" s="1"/>
  <c r="R549"/>
  <c r="V549"/>
  <c r="W549"/>
  <c r="Z549"/>
  <c r="AA549"/>
  <c r="P550"/>
  <c r="Z550"/>
  <c r="AA550"/>
  <c r="Z551"/>
  <c r="AA551"/>
  <c r="Z552"/>
  <c r="AA552"/>
  <c r="Z553"/>
  <c r="AA553"/>
  <c r="R554"/>
  <c r="Z554"/>
  <c r="AA554"/>
  <c r="V555"/>
  <c r="Z555"/>
  <c r="AA555"/>
  <c r="V556"/>
  <c r="W556"/>
  <c r="Z556"/>
  <c r="AA556"/>
  <c r="P557"/>
  <c r="Q557" s="1"/>
  <c r="R557"/>
  <c r="V557"/>
  <c r="W557"/>
  <c r="Z557"/>
  <c r="AA557"/>
  <c r="P558"/>
  <c r="S558" s="1"/>
  <c r="V558"/>
  <c r="Z558"/>
  <c r="AA558"/>
  <c r="Z559"/>
  <c r="AA559"/>
  <c r="Z560"/>
  <c r="AA560"/>
  <c r="Z561"/>
  <c r="AA561"/>
  <c r="R562"/>
  <c r="V562"/>
  <c r="W562"/>
  <c r="Z562"/>
  <c r="AA562"/>
  <c r="Z563"/>
  <c r="AA563"/>
  <c r="R564"/>
  <c r="Z564"/>
  <c r="AA564"/>
  <c r="P565"/>
  <c r="R565"/>
  <c r="V565"/>
  <c r="W565"/>
  <c r="Z565"/>
  <c r="AA565"/>
  <c r="R566"/>
  <c r="V566"/>
  <c r="W566"/>
  <c r="Z566"/>
  <c r="AA566"/>
  <c r="Z567"/>
  <c r="AA567"/>
  <c r="Z568"/>
  <c r="AA568"/>
  <c r="Z569"/>
  <c r="AA569"/>
  <c r="R570"/>
  <c r="Z570"/>
  <c r="AA570"/>
  <c r="Z571"/>
  <c r="AA571"/>
  <c r="R572"/>
  <c r="V572"/>
  <c r="Z572"/>
  <c r="AA572"/>
  <c r="P573"/>
  <c r="Q573" s="1"/>
  <c r="R573"/>
  <c r="V573"/>
  <c r="W573"/>
  <c r="Z573"/>
  <c r="AA573"/>
  <c r="R574"/>
  <c r="V574"/>
  <c r="W574"/>
  <c r="Z574"/>
  <c r="AA574"/>
  <c r="V575"/>
  <c r="Z575"/>
  <c r="AA575"/>
  <c r="Z576"/>
  <c r="AA576"/>
  <c r="W577"/>
  <c r="Z577"/>
  <c r="AA577"/>
  <c r="Z578"/>
  <c r="AA578"/>
  <c r="Z579"/>
  <c r="AA579"/>
  <c r="V580"/>
  <c r="W580"/>
  <c r="Z580"/>
  <c r="AA580"/>
  <c r="P581"/>
  <c r="S581" s="1"/>
  <c r="R581"/>
  <c r="V581"/>
  <c r="W581"/>
  <c r="Z581"/>
  <c r="AA581"/>
  <c r="R582"/>
  <c r="V582"/>
  <c r="W582"/>
  <c r="Z582"/>
  <c r="AA582"/>
  <c r="Z583"/>
  <c r="AA583"/>
  <c r="Z584"/>
  <c r="AA584"/>
  <c r="P585"/>
  <c r="R585"/>
  <c r="Z585"/>
  <c r="AA585"/>
  <c r="W586"/>
  <c r="Z586"/>
  <c r="AA586"/>
  <c r="Z587"/>
  <c r="AA587"/>
  <c r="P588"/>
  <c r="R588"/>
  <c r="Z588"/>
  <c r="AA588"/>
  <c r="P589"/>
  <c r="R589"/>
  <c r="V589"/>
  <c r="W589"/>
  <c r="Z589"/>
  <c r="AA589"/>
  <c r="R590"/>
  <c r="W590"/>
  <c r="Z590"/>
  <c r="AA590"/>
  <c r="P591"/>
  <c r="Z591"/>
  <c r="AA591"/>
  <c r="Z592"/>
  <c r="AA592"/>
  <c r="Z593"/>
  <c r="AA593"/>
  <c r="R594"/>
  <c r="V594"/>
  <c r="W594"/>
  <c r="Z594"/>
  <c r="AA594"/>
  <c r="Z595"/>
  <c r="AA595"/>
  <c r="P596"/>
  <c r="Q596" s="1"/>
  <c r="W596"/>
  <c r="Z596"/>
  <c r="AA596"/>
  <c r="P597"/>
  <c r="R597"/>
  <c r="V597"/>
  <c r="W597"/>
  <c r="Z597"/>
  <c r="AA597"/>
  <c r="R598"/>
  <c r="V598"/>
  <c r="W598"/>
  <c r="Z598"/>
  <c r="AA598"/>
  <c r="V599"/>
  <c r="Z599"/>
  <c r="AA599"/>
  <c r="R600"/>
  <c r="Z600"/>
  <c r="AA600"/>
  <c r="Z601"/>
  <c r="AA601"/>
  <c r="R602"/>
  <c r="Z602"/>
  <c r="AA602"/>
  <c r="P603"/>
  <c r="Z603"/>
  <c r="AA603"/>
  <c r="V604"/>
  <c r="W604"/>
  <c r="Z604"/>
  <c r="AA604"/>
  <c r="P605"/>
  <c r="Q605" s="1"/>
  <c r="R605"/>
  <c r="V605"/>
  <c r="W605"/>
  <c r="Z605"/>
  <c r="AA605"/>
  <c r="R606"/>
  <c r="V606"/>
  <c r="W606"/>
  <c r="Z606"/>
  <c r="AA606"/>
  <c r="V607"/>
  <c r="Z607"/>
  <c r="AA607"/>
  <c r="Z608"/>
  <c r="AA608"/>
  <c r="W609"/>
  <c r="Z609"/>
  <c r="AA609"/>
  <c r="Z610"/>
  <c r="AA610"/>
  <c r="Z611"/>
  <c r="AA611"/>
  <c r="V612"/>
  <c r="W612"/>
  <c r="Z612"/>
  <c r="AA612"/>
  <c r="P613"/>
  <c r="S613" s="1"/>
  <c r="R613"/>
  <c r="V613"/>
  <c r="W613"/>
  <c r="Z613"/>
  <c r="AA613"/>
  <c r="R614"/>
  <c r="V614"/>
  <c r="W614"/>
  <c r="Z614"/>
  <c r="AA614"/>
  <c r="Z615"/>
  <c r="AA615"/>
  <c r="Z616"/>
  <c r="AA616"/>
  <c r="P617"/>
  <c r="S617" s="1"/>
  <c r="R617"/>
  <c r="Z617"/>
  <c r="AA617"/>
  <c r="W618"/>
  <c r="Z618"/>
  <c r="AA618"/>
  <c r="Z619"/>
  <c r="AA619"/>
  <c r="P620"/>
  <c r="S620" s="1"/>
  <c r="R620"/>
  <c r="Z620"/>
  <c r="AA620"/>
  <c r="P621"/>
  <c r="R621"/>
  <c r="V621"/>
  <c r="W621"/>
  <c r="Z621"/>
  <c r="AA621"/>
  <c r="R622"/>
  <c r="W622"/>
  <c r="Z622"/>
  <c r="AA622"/>
  <c r="P623"/>
  <c r="Z623"/>
  <c r="AA623"/>
  <c r="Z624"/>
  <c r="AA624"/>
  <c r="Z625"/>
  <c r="AA625"/>
  <c r="R626"/>
  <c r="V626"/>
  <c r="W626"/>
  <c r="Z626"/>
  <c r="AA626"/>
  <c r="Z627"/>
  <c r="AA627"/>
  <c r="P628"/>
  <c r="S628" s="1"/>
  <c r="W628"/>
  <c r="Z628"/>
  <c r="AA628"/>
  <c r="P629"/>
  <c r="Q629" s="1"/>
  <c r="R629"/>
  <c r="V629"/>
  <c r="W629"/>
  <c r="Z629"/>
  <c r="AA629"/>
  <c r="R630"/>
  <c r="V630"/>
  <c r="W630"/>
  <c r="Z630"/>
  <c r="AA630"/>
  <c r="V631"/>
  <c r="Z631"/>
  <c r="AA631"/>
  <c r="R632"/>
  <c r="Z632"/>
  <c r="AA632"/>
  <c r="Z633"/>
  <c r="AA633"/>
  <c r="R634"/>
  <c r="Z634"/>
  <c r="AA634"/>
  <c r="P635"/>
  <c r="Q635" s="1"/>
  <c r="Z635"/>
  <c r="AA635"/>
  <c r="V636"/>
  <c r="W636"/>
  <c r="Z636"/>
  <c r="AA636"/>
  <c r="P637"/>
  <c r="R637"/>
  <c r="V637"/>
  <c r="W637"/>
  <c r="Z637"/>
  <c r="AA637"/>
  <c r="R638"/>
  <c r="V638"/>
  <c r="W638"/>
  <c r="Z638"/>
  <c r="AA638"/>
  <c r="V639"/>
  <c r="Z639"/>
  <c r="AA639"/>
  <c r="Z640"/>
  <c r="AA640"/>
  <c r="W641"/>
  <c r="Z641"/>
  <c r="AA641"/>
  <c r="Z642"/>
  <c r="AA642"/>
  <c r="Z643"/>
  <c r="AA643"/>
  <c r="V644"/>
  <c r="W644"/>
  <c r="Z644"/>
  <c r="AA644"/>
  <c r="P645"/>
  <c r="R645"/>
  <c r="V645"/>
  <c r="W645"/>
  <c r="Z645"/>
  <c r="AA645"/>
  <c r="R646"/>
  <c r="V646"/>
  <c r="W646"/>
  <c r="Z646"/>
  <c r="AA646"/>
  <c r="Z647"/>
  <c r="AA647"/>
  <c r="Z648"/>
  <c r="AA648"/>
  <c r="P649"/>
  <c r="R649"/>
  <c r="Z649"/>
  <c r="AA649"/>
  <c r="W650"/>
  <c r="Z650"/>
  <c r="AA650"/>
  <c r="Z651"/>
  <c r="AA651"/>
  <c r="P652"/>
  <c r="Q652" s="1"/>
  <c r="R652"/>
  <c r="Z652"/>
  <c r="AA652"/>
  <c r="P653"/>
  <c r="S653" s="1"/>
  <c r="R653"/>
  <c r="V653"/>
  <c r="W653"/>
  <c r="Z653"/>
  <c r="AA653"/>
  <c r="R654"/>
  <c r="V654"/>
  <c r="W654"/>
  <c r="Z654"/>
  <c r="AA654"/>
  <c r="Z655"/>
  <c r="AA655"/>
  <c r="Z656"/>
  <c r="AA656"/>
  <c r="Z657"/>
  <c r="AA657"/>
  <c r="R658"/>
  <c r="V658"/>
  <c r="W658"/>
  <c r="Z658"/>
  <c r="AA658"/>
  <c r="Z659"/>
  <c r="AA659"/>
  <c r="V660"/>
  <c r="W660"/>
  <c r="Z660"/>
  <c r="AA660"/>
  <c r="P661"/>
  <c r="Q661" s="1"/>
  <c r="R661"/>
  <c r="V661"/>
  <c r="W661"/>
  <c r="Z661"/>
  <c r="AA661"/>
  <c r="R662"/>
  <c r="V662"/>
  <c r="W662"/>
  <c r="Z662"/>
  <c r="AA662"/>
  <c r="Z663"/>
  <c r="AA663"/>
  <c r="R664"/>
  <c r="Z664"/>
  <c r="AA664"/>
  <c r="Z665"/>
  <c r="AA665"/>
  <c r="R666"/>
  <c r="Z666"/>
  <c r="AA666"/>
  <c r="Z667"/>
  <c r="AA667"/>
  <c r="R668"/>
  <c r="V668"/>
  <c r="Z668"/>
  <c r="AA668"/>
  <c r="P669"/>
  <c r="R669"/>
  <c r="V669"/>
  <c r="W669"/>
  <c r="Z669"/>
  <c r="AA669"/>
  <c r="R670"/>
  <c r="V670"/>
  <c r="W670"/>
  <c r="Z670"/>
  <c r="AA670"/>
  <c r="P671"/>
  <c r="S671" s="1"/>
  <c r="Z671"/>
  <c r="AA671"/>
  <c r="Z672"/>
  <c r="AA672"/>
  <c r="W673"/>
  <c r="Z673"/>
  <c r="AA673"/>
  <c r="Z674"/>
  <c r="AA674"/>
  <c r="W675"/>
  <c r="Z675"/>
  <c r="AA675"/>
  <c r="R676"/>
  <c r="V676"/>
  <c r="Z676"/>
  <c r="AA676"/>
  <c r="P677"/>
  <c r="Q677" s="1"/>
  <c r="R677"/>
  <c r="V677"/>
  <c r="W677"/>
  <c r="Z677"/>
  <c r="AA677"/>
  <c r="R678"/>
  <c r="V678"/>
  <c r="W678"/>
  <c r="Z678"/>
  <c r="AA678"/>
  <c r="Z679"/>
  <c r="AA679"/>
  <c r="Z680"/>
  <c r="AA680"/>
  <c r="P681"/>
  <c r="Q681" s="1"/>
  <c r="R681"/>
  <c r="Z681"/>
  <c r="AA681"/>
  <c r="W682"/>
  <c r="Z682"/>
  <c r="AA682"/>
  <c r="V683"/>
  <c r="Z683"/>
  <c r="AA683"/>
  <c r="P684"/>
  <c r="Q684" s="1"/>
  <c r="W684"/>
  <c r="Z684"/>
  <c r="AA684"/>
  <c r="P685"/>
  <c r="S685" s="1"/>
  <c r="R685"/>
  <c r="V685"/>
  <c r="W685"/>
  <c r="Z685"/>
  <c r="AA685"/>
  <c r="R686"/>
  <c r="V686"/>
  <c r="W686"/>
  <c r="Z686"/>
  <c r="AA686"/>
  <c r="Z687"/>
  <c r="AA687"/>
  <c r="Z688"/>
  <c r="AA688"/>
  <c r="Z689"/>
  <c r="AA689"/>
  <c r="R690"/>
  <c r="V690"/>
  <c r="W690"/>
  <c r="Z690"/>
  <c r="AA690"/>
  <c r="W691"/>
  <c r="Z691"/>
  <c r="AA691"/>
  <c r="R692"/>
  <c r="V692"/>
  <c r="Z692"/>
  <c r="AA692"/>
  <c r="P693"/>
  <c r="S693" s="1"/>
  <c r="R693"/>
  <c r="V693"/>
  <c r="W693"/>
  <c r="Z693"/>
  <c r="AA693"/>
  <c r="R694"/>
  <c r="V694"/>
  <c r="W694"/>
  <c r="Z694"/>
  <c r="AA694"/>
  <c r="Z695"/>
  <c r="AA695"/>
  <c r="Z696"/>
  <c r="AA696"/>
  <c r="Z697"/>
  <c r="AA697"/>
  <c r="R698"/>
  <c r="Z698"/>
  <c r="AA698"/>
  <c r="Z699"/>
  <c r="AA699"/>
  <c r="P700"/>
  <c r="S700" s="1"/>
  <c r="R700"/>
  <c r="Z700"/>
  <c r="AA700"/>
  <c r="P701"/>
  <c r="R701"/>
  <c r="V701"/>
  <c r="W701"/>
  <c r="Z701"/>
  <c r="AA701"/>
  <c r="R702"/>
  <c r="V702"/>
  <c r="W702"/>
  <c r="Z702"/>
  <c r="AA702"/>
  <c r="P703"/>
  <c r="Q703" s="1"/>
  <c r="Z703"/>
  <c r="AA703"/>
  <c r="Z704"/>
  <c r="AA704"/>
  <c r="W705"/>
  <c r="Z705"/>
  <c r="AA705"/>
  <c r="Z706"/>
  <c r="AA706"/>
  <c r="W707"/>
  <c r="Z707"/>
  <c r="AA707"/>
  <c r="P708"/>
  <c r="R708"/>
  <c r="Z708"/>
  <c r="AA708"/>
  <c r="P709"/>
  <c r="Q709" s="1"/>
  <c r="R709"/>
  <c r="V709"/>
  <c r="W709"/>
  <c r="Z709"/>
  <c r="AA709"/>
  <c r="R710"/>
  <c r="V710"/>
  <c r="W710"/>
  <c r="Z710"/>
  <c r="AA710"/>
  <c r="Z711"/>
  <c r="AA711"/>
  <c r="Z712"/>
  <c r="AA712"/>
  <c r="P713"/>
  <c r="S713" s="1"/>
  <c r="R713"/>
  <c r="Z713"/>
  <c r="AA713"/>
  <c r="W714"/>
  <c r="Z714"/>
  <c r="AA714"/>
  <c r="R715"/>
  <c r="Z715"/>
  <c r="AA715"/>
  <c r="V716"/>
  <c r="W716"/>
  <c r="Z716"/>
  <c r="AA716"/>
  <c r="P717"/>
  <c r="Q717" s="1"/>
  <c r="R717"/>
  <c r="V717"/>
  <c r="W717"/>
  <c r="Z717"/>
  <c r="AA717"/>
  <c r="R718"/>
  <c r="V718"/>
  <c r="W718"/>
  <c r="Z718"/>
  <c r="AA718"/>
  <c r="Z719"/>
  <c r="AA719"/>
  <c r="Z720"/>
  <c r="AA720"/>
  <c r="Z721"/>
  <c r="AA721"/>
  <c r="R722"/>
  <c r="V722"/>
  <c r="W722"/>
  <c r="Z722"/>
  <c r="AA722"/>
  <c r="W723"/>
  <c r="Z723"/>
  <c r="AA723"/>
  <c r="P724"/>
  <c r="S724" s="1"/>
  <c r="R724"/>
  <c r="Z724"/>
  <c r="AA724"/>
  <c r="P725"/>
  <c r="R725"/>
  <c r="V725"/>
  <c r="W725"/>
  <c r="Z725"/>
  <c r="AA725"/>
  <c r="R726"/>
  <c r="V726"/>
  <c r="W726"/>
  <c r="Z726"/>
  <c r="AA726"/>
  <c r="Z727"/>
  <c r="AA727"/>
  <c r="Z728"/>
  <c r="AA728"/>
  <c r="Z729"/>
  <c r="AA729"/>
  <c r="R730"/>
  <c r="Z730"/>
  <c r="AA730"/>
  <c r="Z731"/>
  <c r="AA731"/>
  <c r="P732"/>
  <c r="S732" s="1"/>
  <c r="W732"/>
  <c r="Z732"/>
  <c r="AA732"/>
  <c r="P733"/>
  <c r="R733"/>
  <c r="V733"/>
  <c r="W733"/>
  <c r="Z733"/>
  <c r="AA733"/>
  <c r="R734"/>
  <c r="V734"/>
  <c r="W734"/>
  <c r="Z734"/>
  <c r="AA734"/>
  <c r="V735"/>
  <c r="Z735"/>
  <c r="AA735"/>
  <c r="Z736"/>
  <c r="AA736"/>
  <c r="W737"/>
  <c r="Z737"/>
  <c r="AA737"/>
  <c r="Z738"/>
  <c r="AA738"/>
  <c r="V739"/>
  <c r="Z739"/>
  <c r="AA739"/>
  <c r="P740"/>
  <c r="W740"/>
  <c r="Z740"/>
  <c r="AA740"/>
  <c r="P741"/>
  <c r="Q741" s="1"/>
  <c r="R741"/>
  <c r="V741"/>
  <c r="W741"/>
  <c r="Z741"/>
  <c r="AA741"/>
  <c r="R742"/>
  <c r="V742"/>
  <c r="W742"/>
  <c r="Z742"/>
  <c r="AA742"/>
  <c r="Z743"/>
  <c r="AA743"/>
  <c r="Z744"/>
  <c r="AA744"/>
  <c r="P745"/>
  <c r="S745" s="1"/>
  <c r="R745"/>
  <c r="Z745"/>
  <c r="AA745"/>
  <c r="W746"/>
  <c r="Z746"/>
  <c r="AA746"/>
  <c r="W747"/>
  <c r="Z747"/>
  <c r="AA747"/>
  <c r="R748"/>
  <c r="V748"/>
  <c r="Z748"/>
  <c r="AA748"/>
  <c r="P749"/>
  <c r="S749" s="1"/>
  <c r="R749"/>
  <c r="V749"/>
  <c r="W749"/>
  <c r="Z749"/>
  <c r="AA749"/>
  <c r="R750"/>
  <c r="V750"/>
  <c r="W750"/>
  <c r="Z750"/>
  <c r="AA750"/>
  <c r="Z751"/>
  <c r="AA751"/>
  <c r="Z752"/>
  <c r="AA752"/>
  <c r="Z753"/>
  <c r="AA753"/>
  <c r="R754"/>
  <c r="V754"/>
  <c r="W754"/>
  <c r="Z754"/>
  <c r="AA754"/>
  <c r="V755"/>
  <c r="Z755"/>
  <c r="AA755"/>
  <c r="P756"/>
  <c r="S756" s="1"/>
  <c r="W756"/>
  <c r="Z756"/>
  <c r="AA756"/>
  <c r="P757"/>
  <c r="Q757" s="1"/>
  <c r="R757"/>
  <c r="V757"/>
  <c r="W757"/>
  <c r="Z757"/>
  <c r="AA757"/>
  <c r="R758"/>
  <c r="V758"/>
  <c r="W758"/>
  <c r="Z758"/>
  <c r="AA758"/>
  <c r="Z759"/>
  <c r="AA759"/>
  <c r="R760"/>
  <c r="Z760"/>
  <c r="AA760"/>
  <c r="Z761"/>
  <c r="AA761"/>
  <c r="R762"/>
  <c r="Z762"/>
  <c r="AA762"/>
  <c r="Z763"/>
  <c r="AA763"/>
  <c r="V764"/>
  <c r="W764"/>
  <c r="Z764"/>
  <c r="AA764"/>
  <c r="P765"/>
  <c r="R765"/>
  <c r="V765"/>
  <c r="W765"/>
  <c r="Z765"/>
  <c r="AA765"/>
  <c r="R766"/>
  <c r="V766"/>
  <c r="W766"/>
  <c r="Z766"/>
  <c r="AA766"/>
  <c r="Z767"/>
  <c r="AA767"/>
  <c r="Z768"/>
  <c r="AA768"/>
  <c r="W769"/>
  <c r="Z769"/>
  <c r="AA769"/>
  <c r="Z770"/>
  <c r="AA770"/>
  <c r="P771"/>
  <c r="Z771"/>
  <c r="AA771"/>
  <c r="V772"/>
  <c r="W772"/>
  <c r="Z772"/>
  <c r="AA772"/>
  <c r="P773"/>
  <c r="Q773" s="1"/>
  <c r="R773"/>
  <c r="V773"/>
  <c r="W773"/>
  <c r="Z773"/>
  <c r="AA773"/>
  <c r="R774"/>
  <c r="V774"/>
  <c r="W774"/>
  <c r="Z774"/>
  <c r="AA774"/>
  <c r="V775"/>
  <c r="Z775"/>
  <c r="AA775"/>
  <c r="Z776"/>
  <c r="AA776"/>
  <c r="P777"/>
  <c r="R777"/>
  <c r="Z777"/>
  <c r="AA777"/>
  <c r="W778"/>
  <c r="Z778"/>
  <c r="AA778"/>
  <c r="V779"/>
  <c r="Z779"/>
  <c r="AA779"/>
  <c r="P780"/>
  <c r="R780"/>
  <c r="Z780"/>
  <c r="AA780"/>
  <c r="P781"/>
  <c r="S781" s="1"/>
  <c r="R781"/>
  <c r="V781"/>
  <c r="W781"/>
  <c r="Z781"/>
  <c r="AA781"/>
  <c r="R782"/>
  <c r="V782"/>
  <c r="W782"/>
  <c r="Z782"/>
  <c r="AA782"/>
  <c r="W783"/>
  <c r="Z783"/>
  <c r="AA783"/>
  <c r="Z784"/>
  <c r="AA784"/>
  <c r="Z785"/>
  <c r="AA785"/>
  <c r="R786"/>
  <c r="V786"/>
  <c r="W786"/>
  <c r="Z786"/>
  <c r="AA786"/>
  <c r="P787"/>
  <c r="Q787" s="1"/>
  <c r="Z787"/>
  <c r="AA787"/>
  <c r="V788"/>
  <c r="W788"/>
  <c r="Z788"/>
  <c r="AA788"/>
  <c r="P789"/>
  <c r="S789" s="1"/>
  <c r="R789"/>
  <c r="V789"/>
  <c r="W789"/>
  <c r="Z789"/>
  <c r="AA789"/>
  <c r="R790"/>
  <c r="V790"/>
  <c r="W790"/>
  <c r="Z790"/>
  <c r="AA790"/>
  <c r="V791"/>
  <c r="Z791"/>
  <c r="AA791"/>
  <c r="R792"/>
  <c r="Z792"/>
  <c r="AA792"/>
  <c r="Z793"/>
  <c r="AA793"/>
  <c r="Z794"/>
  <c r="AA794"/>
  <c r="Z795"/>
  <c r="AA795"/>
  <c r="V796"/>
  <c r="W796"/>
  <c r="Z796"/>
  <c r="AA796"/>
  <c r="P797"/>
  <c r="S797" s="1"/>
  <c r="R797"/>
  <c r="V797"/>
  <c r="W797"/>
  <c r="Z797"/>
  <c r="AA797"/>
  <c r="R798"/>
  <c r="V798"/>
  <c r="W798"/>
  <c r="Z798"/>
  <c r="AA798"/>
  <c r="Z799"/>
  <c r="AA799"/>
  <c r="Z800"/>
  <c r="AA800"/>
  <c r="P801"/>
  <c r="Q801" s="1"/>
  <c r="R801"/>
  <c r="Z801"/>
  <c r="AA801"/>
  <c r="W802"/>
  <c r="Z802"/>
  <c r="AA802"/>
  <c r="Z803"/>
  <c r="AA803"/>
  <c r="P804"/>
  <c r="R804"/>
  <c r="Z804"/>
  <c r="AA804"/>
  <c r="P805"/>
  <c r="S805" s="1"/>
  <c r="R805"/>
  <c r="V805"/>
  <c r="W805"/>
  <c r="Z805"/>
  <c r="AA805"/>
  <c r="R806"/>
  <c r="V806"/>
  <c r="W806"/>
  <c r="Z806"/>
  <c r="AA806"/>
  <c r="Z807"/>
  <c r="AA807"/>
  <c r="Z808"/>
  <c r="AA808"/>
  <c r="Z809"/>
  <c r="AA809"/>
  <c r="R810"/>
  <c r="V810"/>
  <c r="Z810"/>
  <c r="AA810"/>
  <c r="Z811"/>
  <c r="AA811"/>
  <c r="P812"/>
  <c r="W812"/>
  <c r="Z812"/>
  <c r="AA812"/>
  <c r="P813"/>
  <c r="R813"/>
  <c r="V813"/>
  <c r="W813"/>
  <c r="Z813"/>
  <c r="AA813"/>
  <c r="R814"/>
  <c r="V814"/>
  <c r="W814"/>
  <c r="Z814"/>
  <c r="AA814"/>
  <c r="V815"/>
  <c r="Z815"/>
  <c r="AA815"/>
  <c r="Z816"/>
  <c r="AA816"/>
  <c r="W817"/>
  <c r="Z817"/>
  <c r="AA817"/>
  <c r="Z818"/>
  <c r="AA818"/>
  <c r="V819"/>
  <c r="Z819"/>
  <c r="AA819"/>
  <c r="P820"/>
  <c r="Q820" s="1"/>
  <c r="W820"/>
  <c r="Z820"/>
  <c r="AA820"/>
  <c r="P821"/>
  <c r="R821"/>
  <c r="V821"/>
  <c r="W821"/>
  <c r="Z821"/>
  <c r="AA821"/>
  <c r="R822"/>
  <c r="V822"/>
  <c r="W822"/>
  <c r="Z822"/>
  <c r="AA822"/>
  <c r="Z823"/>
  <c r="AA823"/>
  <c r="Z824"/>
  <c r="AA824"/>
  <c r="P825"/>
  <c r="Z825"/>
  <c r="AA825"/>
  <c r="V826"/>
  <c r="W826"/>
  <c r="Z826"/>
  <c r="AA826"/>
  <c r="W827"/>
  <c r="Z827"/>
  <c r="AA827"/>
  <c r="R828"/>
  <c r="V828"/>
  <c r="Z828"/>
  <c r="AA828"/>
  <c r="P829"/>
  <c r="S829" s="1"/>
  <c r="R829"/>
  <c r="V829"/>
  <c r="W829"/>
  <c r="Z829"/>
  <c r="AA829"/>
  <c r="R830"/>
  <c r="V830"/>
  <c r="W830"/>
  <c r="Z830"/>
  <c r="AA830"/>
  <c r="Z831"/>
  <c r="AA831"/>
  <c r="Z832"/>
  <c r="AA832"/>
  <c r="Z833"/>
  <c r="AA833"/>
  <c r="R834"/>
  <c r="Z834"/>
  <c r="AA834"/>
  <c r="Z835"/>
  <c r="AA835"/>
  <c r="P836"/>
  <c r="R836"/>
  <c r="Z836"/>
  <c r="AA836"/>
  <c r="P837"/>
  <c r="R837"/>
  <c r="V837"/>
  <c r="W837"/>
  <c r="Z837"/>
  <c r="AA837"/>
  <c r="R838"/>
  <c r="V838"/>
  <c r="W838"/>
  <c r="Z838"/>
  <c r="AA838"/>
  <c r="P839"/>
  <c r="Z839"/>
  <c r="AA839"/>
  <c r="Z840"/>
  <c r="AA840"/>
  <c r="R841"/>
  <c r="W841"/>
  <c r="Z841"/>
  <c r="AA841"/>
  <c r="Z842"/>
  <c r="AA842"/>
  <c r="R843"/>
  <c r="Z843"/>
  <c r="AA843"/>
  <c r="P844"/>
  <c r="Q844" s="1"/>
  <c r="W844"/>
  <c r="Z844"/>
  <c r="AA844"/>
  <c r="P845"/>
  <c r="R845"/>
  <c r="V845"/>
  <c r="W845"/>
  <c r="Z845"/>
  <c r="AA845"/>
  <c r="R846"/>
  <c r="V846"/>
  <c r="W846"/>
  <c r="Z846"/>
  <c r="AA846"/>
  <c r="W847"/>
  <c r="Z847"/>
  <c r="AA847"/>
  <c r="Z848"/>
  <c r="AA848"/>
  <c r="Z849"/>
  <c r="AA849"/>
  <c r="R850"/>
  <c r="V850"/>
  <c r="W850"/>
  <c r="Z850"/>
  <c r="AA850"/>
  <c r="P851"/>
  <c r="Z851"/>
  <c r="AA851"/>
  <c r="R852"/>
  <c r="V852"/>
  <c r="Z852"/>
  <c r="AA852"/>
  <c r="P853"/>
  <c r="Q853" s="1"/>
  <c r="R853"/>
  <c r="V853"/>
  <c r="W853"/>
  <c r="Z853"/>
  <c r="AA853"/>
  <c r="R854"/>
  <c r="V854"/>
  <c r="W854"/>
  <c r="Z854"/>
  <c r="AA854"/>
  <c r="R855"/>
  <c r="Z855"/>
  <c r="AA855"/>
  <c r="Z856"/>
  <c r="AA856"/>
  <c r="Z857"/>
  <c r="AA857"/>
  <c r="Z858"/>
  <c r="AA858"/>
  <c r="Z859"/>
  <c r="AA859"/>
  <c r="R860"/>
  <c r="V860"/>
  <c r="Z860"/>
  <c r="AA860"/>
  <c r="P861"/>
  <c r="S861" s="1"/>
  <c r="R861"/>
  <c r="V861"/>
  <c r="W861"/>
  <c r="Z861"/>
  <c r="AA861"/>
  <c r="R862"/>
  <c r="V862"/>
  <c r="W862"/>
  <c r="Z862"/>
  <c r="AA862"/>
  <c r="P863"/>
  <c r="Z863"/>
  <c r="AA863"/>
  <c r="Z864"/>
  <c r="AA864"/>
  <c r="P865"/>
  <c r="R865"/>
  <c r="Z865"/>
  <c r="AA865"/>
  <c r="W866"/>
  <c r="Z866"/>
  <c r="AA866"/>
  <c r="Z867"/>
  <c r="AA867"/>
  <c r="P868"/>
  <c r="W868"/>
  <c r="Z868"/>
  <c r="AA868"/>
  <c r="P869"/>
  <c r="S869" s="1"/>
  <c r="R869"/>
  <c r="V869"/>
  <c r="W869"/>
  <c r="Z869"/>
  <c r="AA869"/>
  <c r="R870"/>
  <c r="V870"/>
  <c r="W870"/>
  <c r="Z870"/>
  <c r="AA870"/>
  <c r="V871"/>
  <c r="Z871"/>
  <c r="AA871"/>
  <c r="Z872"/>
  <c r="AA872"/>
  <c r="Z873"/>
  <c r="AA873"/>
  <c r="R874"/>
  <c r="V874"/>
  <c r="Z874"/>
  <c r="AA874"/>
  <c r="P875"/>
  <c r="S875" s="1"/>
  <c r="Z875"/>
  <c r="AA875"/>
  <c r="V876"/>
  <c r="W876"/>
  <c r="Z876"/>
  <c r="AA876"/>
  <c r="P877"/>
  <c r="S877" s="1"/>
  <c r="R877"/>
  <c r="V877"/>
  <c r="W877"/>
  <c r="Z877"/>
  <c r="AA877"/>
  <c r="R878"/>
  <c r="V878"/>
  <c r="W878"/>
  <c r="Z878"/>
  <c r="AA878"/>
  <c r="V879"/>
  <c r="Z879"/>
  <c r="AA879"/>
  <c r="Z880"/>
  <c r="AA880"/>
  <c r="W881"/>
  <c r="Z881"/>
  <c r="AA881"/>
  <c r="Z882"/>
  <c r="AA882"/>
  <c r="Z883"/>
  <c r="AA883"/>
  <c r="V884"/>
  <c r="W884"/>
  <c r="Z884"/>
  <c r="AA884"/>
  <c r="P885"/>
  <c r="R885"/>
  <c r="V885"/>
  <c r="W885"/>
  <c r="Z885"/>
  <c r="AA885"/>
  <c r="R886"/>
  <c r="V886"/>
  <c r="W886"/>
  <c r="Z886"/>
  <c r="AA886"/>
  <c r="Z887"/>
  <c r="AA887"/>
  <c r="Z888"/>
  <c r="AA888"/>
  <c r="P889"/>
  <c r="Z889"/>
  <c r="AA889"/>
  <c r="V890"/>
  <c r="W890"/>
  <c r="Z890"/>
  <c r="AA890"/>
  <c r="Z891"/>
  <c r="AA891"/>
  <c r="P892"/>
  <c r="S892" s="1"/>
  <c r="R892"/>
  <c r="Z892"/>
  <c r="AA892"/>
  <c r="P893"/>
  <c r="R893"/>
  <c r="V893"/>
  <c r="W893"/>
  <c r="Z893"/>
  <c r="AA893"/>
  <c r="R894"/>
  <c r="V894"/>
  <c r="W894"/>
  <c r="Z894"/>
  <c r="AA894"/>
  <c r="Z895"/>
  <c r="AA895"/>
  <c r="Z896"/>
  <c r="AA896"/>
  <c r="W897"/>
  <c r="Z897"/>
  <c r="AA897"/>
  <c r="Z898"/>
  <c r="AA898"/>
  <c r="R899"/>
  <c r="Z899"/>
  <c r="AA899"/>
  <c r="P900"/>
  <c r="S900" s="1"/>
  <c r="W900"/>
  <c r="Z900"/>
  <c r="AA900"/>
  <c r="P901"/>
  <c r="S901" s="1"/>
  <c r="R901"/>
  <c r="V901"/>
  <c r="W901"/>
  <c r="Z901"/>
  <c r="AA901"/>
  <c r="R902"/>
  <c r="V902"/>
  <c r="W902"/>
  <c r="Z902"/>
  <c r="AA902"/>
  <c r="W903"/>
  <c r="Z903"/>
  <c r="AA903"/>
  <c r="Z904"/>
  <c r="AA904"/>
  <c r="Z905"/>
  <c r="AA905"/>
  <c r="R906"/>
  <c r="V906"/>
  <c r="Z906"/>
  <c r="AA906"/>
  <c r="R907"/>
  <c r="Z907"/>
  <c r="AA907"/>
  <c r="V908"/>
  <c r="W908"/>
  <c r="Z908"/>
  <c r="AA908"/>
  <c r="P909"/>
  <c r="R909"/>
  <c r="V909"/>
  <c r="W909"/>
  <c r="Z909"/>
  <c r="AA909"/>
  <c r="R910"/>
  <c r="V910"/>
  <c r="W910"/>
  <c r="Z910"/>
  <c r="AA910"/>
  <c r="Z911"/>
  <c r="AA911"/>
  <c r="Z912"/>
  <c r="AA912"/>
  <c r="R913"/>
  <c r="V913"/>
  <c r="Z913"/>
  <c r="AA913"/>
  <c r="W914"/>
  <c r="Z914"/>
  <c r="AA914"/>
  <c r="W915"/>
  <c r="Z915"/>
  <c r="AA915"/>
  <c r="P916"/>
  <c r="Q916" s="1"/>
  <c r="R916"/>
  <c r="Z916"/>
  <c r="AA916"/>
  <c r="P917"/>
  <c r="R917"/>
  <c r="V917"/>
  <c r="W917"/>
  <c r="Z917"/>
  <c r="AA917"/>
  <c r="R918"/>
  <c r="V918"/>
  <c r="W918"/>
  <c r="Z918"/>
  <c r="AA918"/>
  <c r="Z919"/>
  <c r="AA919"/>
  <c r="Z920"/>
  <c r="AA920"/>
  <c r="Z921"/>
  <c r="AA921"/>
  <c r="Z922"/>
  <c r="AA922"/>
  <c r="V923"/>
  <c r="Z923"/>
  <c r="AA923"/>
  <c r="P924"/>
  <c r="S924" s="1"/>
  <c r="R924"/>
  <c r="Z924"/>
  <c r="AA924"/>
  <c r="P925"/>
  <c r="R925"/>
  <c r="V925"/>
  <c r="W925"/>
  <c r="Z925"/>
  <c r="AA925"/>
  <c r="R926"/>
  <c r="V926"/>
  <c r="W926"/>
  <c r="Z926"/>
  <c r="AA926"/>
  <c r="W927"/>
  <c r="Z927"/>
  <c r="AA927"/>
  <c r="Z928"/>
  <c r="AA928"/>
  <c r="P929"/>
  <c r="Z929"/>
  <c r="AA929"/>
  <c r="R930"/>
  <c r="V930"/>
  <c r="W930"/>
  <c r="Z930"/>
  <c r="AA930"/>
  <c r="Z931"/>
  <c r="AA931"/>
  <c r="R932"/>
  <c r="V932"/>
  <c r="Z932"/>
  <c r="AA932"/>
  <c r="P933"/>
  <c r="Q933" s="1"/>
  <c r="R933"/>
  <c r="V933"/>
  <c r="W933"/>
  <c r="Z933"/>
  <c r="AA933"/>
  <c r="R934"/>
  <c r="V934"/>
  <c r="W934"/>
  <c r="Z934"/>
  <c r="AA934"/>
  <c r="P935"/>
  <c r="Z935"/>
  <c r="AA935"/>
  <c r="Z936"/>
  <c r="AA936"/>
  <c r="V937"/>
  <c r="W937"/>
  <c r="Z937"/>
  <c r="AA937"/>
  <c r="Z938"/>
  <c r="AA938"/>
  <c r="R939"/>
  <c r="Z939"/>
  <c r="AA939"/>
  <c r="P940"/>
  <c r="W940"/>
  <c r="Z940"/>
  <c r="AA940"/>
  <c r="P941"/>
  <c r="S941" s="1"/>
  <c r="R941"/>
  <c r="V941"/>
  <c r="W941"/>
  <c r="Z941"/>
  <c r="AA941"/>
  <c r="P942"/>
  <c r="S942" s="1"/>
  <c r="R942"/>
  <c r="V942"/>
  <c r="W942"/>
  <c r="Z942"/>
  <c r="AA942"/>
  <c r="R943"/>
  <c r="Z943"/>
  <c r="AA943"/>
  <c r="V944"/>
  <c r="Z944"/>
  <c r="AA944"/>
  <c r="Z945"/>
  <c r="AA945"/>
  <c r="Z946"/>
  <c r="AA946"/>
  <c r="R947"/>
  <c r="Z947"/>
  <c r="AA947"/>
  <c r="V948"/>
  <c r="W948"/>
  <c r="Z948"/>
  <c r="AA948"/>
  <c r="P949"/>
  <c r="R949"/>
  <c r="V949"/>
  <c r="W949"/>
  <c r="Z949"/>
  <c r="AA949"/>
  <c r="P950"/>
  <c r="R950"/>
  <c r="V950"/>
  <c r="W950"/>
  <c r="Z950"/>
  <c r="AA950"/>
  <c r="R951"/>
  <c r="Z951"/>
  <c r="AA951"/>
  <c r="Z952"/>
  <c r="AA952"/>
  <c r="Z953"/>
  <c r="AA953"/>
  <c r="P954"/>
  <c r="S954" s="1"/>
  <c r="Z954"/>
  <c r="AA954"/>
  <c r="Z955"/>
  <c r="AA955"/>
  <c r="R956"/>
  <c r="V956"/>
  <c r="Z956"/>
  <c r="AA956"/>
  <c r="P957"/>
  <c r="S957" s="1"/>
  <c r="R957"/>
  <c r="V957"/>
  <c r="W957"/>
  <c r="Z957"/>
  <c r="AA957"/>
  <c r="P958"/>
  <c r="Q958" s="1"/>
  <c r="R958"/>
  <c r="V958"/>
  <c r="W958"/>
  <c r="Z958"/>
  <c r="AA958"/>
  <c r="Z959"/>
  <c r="AA959"/>
  <c r="Z960"/>
  <c r="AA960"/>
  <c r="Z961"/>
  <c r="AA961"/>
  <c r="P962"/>
  <c r="S962" s="1"/>
  <c r="R962"/>
  <c r="Z962"/>
  <c r="AA962"/>
  <c r="Z963"/>
  <c r="AA963"/>
  <c r="P964"/>
  <c r="W964"/>
  <c r="Z964"/>
  <c r="AA964"/>
  <c r="P965"/>
  <c r="S965" s="1"/>
  <c r="R965"/>
  <c r="V965"/>
  <c r="W965"/>
  <c r="Z965"/>
  <c r="AA965"/>
  <c r="P966"/>
  <c r="Q966" s="1"/>
  <c r="R966"/>
  <c r="V966"/>
  <c r="W966"/>
  <c r="Z966"/>
  <c r="AA966"/>
  <c r="Z967"/>
  <c r="AA967"/>
  <c r="Z968"/>
  <c r="AA968"/>
  <c r="P969"/>
  <c r="Q969" s="1"/>
  <c r="Z969"/>
  <c r="AA969"/>
  <c r="P970"/>
  <c r="S970" s="1"/>
  <c r="R970"/>
  <c r="V970"/>
  <c r="Z970"/>
  <c r="AA970"/>
  <c r="R971"/>
  <c r="Z971"/>
  <c r="AA971"/>
  <c r="P972"/>
  <c r="S972" s="1"/>
  <c r="W972"/>
  <c r="Z972"/>
  <c r="AA972"/>
  <c r="P973"/>
  <c r="S973" s="1"/>
  <c r="R973"/>
  <c r="V973"/>
  <c r="W973"/>
  <c r="Z973"/>
  <c r="AA973"/>
  <c r="P974"/>
  <c r="Q974" s="1"/>
  <c r="R974"/>
  <c r="V974"/>
  <c r="W974"/>
  <c r="Z974"/>
  <c r="AA974"/>
  <c r="R975"/>
  <c r="Z975"/>
  <c r="AA975"/>
  <c r="Z976"/>
  <c r="AA976"/>
  <c r="P977"/>
  <c r="Q977" s="1"/>
  <c r="R977"/>
  <c r="Z977"/>
  <c r="AA977"/>
  <c r="R978"/>
  <c r="V978"/>
  <c r="W978"/>
  <c r="Z978"/>
  <c r="AA978"/>
  <c r="P979"/>
  <c r="S979" s="1"/>
  <c r="R979"/>
  <c r="Z979"/>
  <c r="AA979"/>
  <c r="V980"/>
  <c r="W980"/>
  <c r="Z980"/>
  <c r="AA980"/>
  <c r="P981"/>
  <c r="R981"/>
  <c r="V981"/>
  <c r="W981"/>
  <c r="Z981"/>
  <c r="AA981"/>
  <c r="P982"/>
  <c r="Q982" s="1"/>
  <c r="R982"/>
  <c r="V982"/>
  <c r="W982"/>
  <c r="Z982"/>
  <c r="AA982"/>
  <c r="P983"/>
  <c r="R983"/>
  <c r="Z983"/>
  <c r="AA983"/>
  <c r="Z984"/>
  <c r="AA984"/>
  <c r="R985"/>
  <c r="V985"/>
  <c r="Z985"/>
  <c r="AA985"/>
  <c r="V986"/>
  <c r="W986"/>
  <c r="Z986"/>
  <c r="AA986"/>
  <c r="Z987"/>
  <c r="AA987"/>
  <c r="V988"/>
  <c r="W988"/>
  <c r="Z988"/>
  <c r="AA988"/>
  <c r="P989"/>
  <c r="Q989" s="1"/>
  <c r="R989"/>
  <c r="V989"/>
  <c r="W989"/>
  <c r="Z989"/>
  <c r="AA989"/>
  <c r="P990"/>
  <c r="Q990" s="1"/>
  <c r="R990"/>
  <c r="V990"/>
  <c r="W990"/>
  <c r="Z990"/>
  <c r="AA990"/>
  <c r="Z991"/>
  <c r="AA991"/>
  <c r="Z992"/>
  <c r="AA992"/>
  <c r="V993"/>
  <c r="W993"/>
  <c r="Z993"/>
  <c r="AA993"/>
  <c r="W994"/>
  <c r="Z994"/>
  <c r="AA994"/>
  <c r="F2" i="17"/>
  <c r="I2"/>
  <c r="F4" i="13"/>
  <c r="B9"/>
  <c r="C9"/>
  <c r="A9" s="1"/>
  <c r="B10"/>
  <c r="C10"/>
  <c r="A10" s="1"/>
  <c r="A11"/>
  <c r="B11"/>
  <c r="C11"/>
  <c r="B12"/>
  <c r="C12"/>
  <c r="A12"/>
  <c r="B13"/>
  <c r="C13"/>
  <c r="A13" s="1"/>
  <c r="B14"/>
  <c r="C14"/>
  <c r="A14"/>
  <c r="B15"/>
  <c r="C15"/>
  <c r="A15" s="1"/>
  <c r="B16"/>
  <c r="C16"/>
  <c r="A16"/>
  <c r="B17"/>
  <c r="C17"/>
  <c r="A17"/>
  <c r="B18"/>
  <c r="C18"/>
  <c r="A18"/>
  <c r="A19"/>
  <c r="B19"/>
  <c r="C19"/>
  <c r="B20"/>
  <c r="C20"/>
  <c r="A20"/>
  <c r="B21"/>
  <c r="C21"/>
  <c r="A21" s="1"/>
  <c r="B22"/>
  <c r="C22"/>
  <c r="A22"/>
  <c r="B23"/>
  <c r="C23"/>
  <c r="A23" s="1"/>
  <c r="B24"/>
  <c r="C24"/>
  <c r="A24"/>
  <c r="B25"/>
  <c r="C25"/>
  <c r="A25"/>
  <c r="B26"/>
  <c r="C26"/>
  <c r="A26"/>
  <c r="A27"/>
  <c r="B27"/>
  <c r="C27"/>
  <c r="B28"/>
  <c r="C28"/>
  <c r="A28"/>
  <c r="B29"/>
  <c r="C29"/>
  <c r="A29" s="1"/>
  <c r="B30"/>
  <c r="C30"/>
  <c r="A30"/>
  <c r="B31"/>
  <c r="C31"/>
  <c r="A31" s="1"/>
  <c r="B32"/>
  <c r="C32"/>
  <c r="A32"/>
  <c r="B33"/>
  <c r="C33"/>
  <c r="A33"/>
  <c r="B34"/>
  <c r="C34"/>
  <c r="A34" s="1"/>
  <c r="A35"/>
  <c r="B35"/>
  <c r="C35"/>
  <c r="B36"/>
  <c r="C36"/>
  <c r="A36"/>
  <c r="B37"/>
  <c r="C37"/>
  <c r="A37" s="1"/>
  <c r="B38"/>
  <c r="C38"/>
  <c r="A38"/>
  <c r="B39"/>
  <c r="C39"/>
  <c r="A39" s="1"/>
  <c r="B40"/>
  <c r="C40"/>
  <c r="A40"/>
  <c r="B41"/>
  <c r="C41"/>
  <c r="A41"/>
  <c r="B42"/>
  <c r="C42"/>
  <c r="A42" s="1"/>
  <c r="A43"/>
  <c r="B43"/>
  <c r="C43"/>
  <c r="B44"/>
  <c r="C44"/>
  <c r="A44"/>
  <c r="B45"/>
  <c r="C45"/>
  <c r="A45" s="1"/>
  <c r="B46"/>
  <c r="C46"/>
  <c r="A46"/>
  <c r="B47"/>
  <c r="C47"/>
  <c r="A47" s="1"/>
  <c r="B48"/>
  <c r="C48"/>
  <c r="A48"/>
  <c r="B49"/>
  <c r="C49"/>
  <c r="A49"/>
  <c r="B50"/>
  <c r="C50"/>
  <c r="A50"/>
  <c r="A51"/>
  <c r="B51"/>
  <c r="C51"/>
  <c r="B52"/>
  <c r="C52"/>
  <c r="A52"/>
  <c r="B53"/>
  <c r="C53"/>
  <c r="A53" s="1"/>
  <c r="B54"/>
  <c r="C54"/>
  <c r="A54"/>
  <c r="B55"/>
  <c r="C55"/>
  <c r="A55" s="1"/>
  <c r="B56"/>
  <c r="C56"/>
  <c r="A56"/>
  <c r="B57"/>
  <c r="C57"/>
  <c r="A57"/>
  <c r="B58"/>
  <c r="C58"/>
  <c r="A58" s="1"/>
  <c r="A59"/>
  <c r="B59"/>
  <c r="C59"/>
  <c r="B60"/>
  <c r="C60"/>
  <c r="A60"/>
  <c r="B61"/>
  <c r="C61"/>
  <c r="A61" s="1"/>
  <c r="B62"/>
  <c r="C62"/>
  <c r="A62"/>
  <c r="B63"/>
  <c r="C63"/>
  <c r="A63" s="1"/>
  <c r="B64"/>
  <c r="C64"/>
  <c r="A64"/>
  <c r="B65"/>
  <c r="C65"/>
  <c r="A65"/>
  <c r="B66"/>
  <c r="C66"/>
  <c r="A66" s="1"/>
  <c r="A67"/>
  <c r="B67"/>
  <c r="C67"/>
  <c r="B68"/>
  <c r="C68"/>
  <c r="A68"/>
  <c r="B69"/>
  <c r="C69"/>
  <c r="A69" s="1"/>
  <c r="B70"/>
  <c r="C70"/>
  <c r="A70"/>
  <c r="B71"/>
  <c r="C71"/>
  <c r="A71" s="1"/>
  <c r="B72"/>
  <c r="C72"/>
  <c r="A72"/>
  <c r="B73"/>
  <c r="C73"/>
  <c r="A73"/>
  <c r="B74"/>
  <c r="C74"/>
  <c r="A74"/>
  <c r="A75"/>
  <c r="B75"/>
  <c r="C75"/>
  <c r="B76"/>
  <c r="C76"/>
  <c r="A76"/>
  <c r="B77"/>
  <c r="C77"/>
  <c r="A77" s="1"/>
  <c r="B78"/>
  <c r="C78"/>
  <c r="A78"/>
  <c r="B79"/>
  <c r="C79"/>
  <c r="A79" s="1"/>
  <c r="B80"/>
  <c r="C80"/>
  <c r="A80"/>
  <c r="B81"/>
  <c r="C81"/>
  <c r="A81"/>
  <c r="B82"/>
  <c r="C82"/>
  <c r="A82"/>
  <c r="A83"/>
  <c r="B83"/>
  <c r="C83"/>
  <c r="B84"/>
  <c r="C84"/>
  <c r="A84"/>
  <c r="B85"/>
  <c r="C85"/>
  <c r="A85" s="1"/>
  <c r="B86"/>
  <c r="C86"/>
  <c r="A86"/>
  <c r="B87"/>
  <c r="C87"/>
  <c r="A87" s="1"/>
  <c r="B88"/>
  <c r="C88"/>
  <c r="A88"/>
  <c r="B89"/>
  <c r="C89"/>
  <c r="A89"/>
  <c r="B90"/>
  <c r="C90"/>
  <c r="A90"/>
  <c r="A91"/>
  <c r="B91"/>
  <c r="C91"/>
  <c r="B92"/>
  <c r="C92"/>
  <c r="A92"/>
  <c r="B93"/>
  <c r="C93"/>
  <c r="A93" s="1"/>
  <c r="B94"/>
  <c r="C94"/>
  <c r="A94"/>
  <c r="B95"/>
  <c r="C95"/>
  <c r="A95" s="1"/>
  <c r="B96"/>
  <c r="C96"/>
  <c r="A96"/>
  <c r="B97"/>
  <c r="C97"/>
  <c r="A97"/>
  <c r="B98"/>
  <c r="C98"/>
  <c r="A98" s="1"/>
  <c r="A99"/>
  <c r="B99"/>
  <c r="C99"/>
  <c r="B100"/>
  <c r="C100"/>
  <c r="A100"/>
  <c r="B101"/>
  <c r="C101"/>
  <c r="A101" s="1"/>
  <c r="B102"/>
  <c r="C102"/>
  <c r="A102"/>
  <c r="B103"/>
  <c r="C103"/>
  <c r="A103" s="1"/>
  <c r="B104"/>
  <c r="C104"/>
  <c r="A104"/>
  <c r="B105"/>
  <c r="C105"/>
  <c r="A105"/>
  <c r="B106"/>
  <c r="C106"/>
  <c r="A106" s="1"/>
  <c r="A107"/>
  <c r="B107"/>
  <c r="C107"/>
  <c r="B108"/>
  <c r="C108"/>
  <c r="A108"/>
  <c r="B109"/>
  <c r="C109"/>
  <c r="A109" s="1"/>
  <c r="B110"/>
  <c r="C110"/>
  <c r="A110"/>
  <c r="B111"/>
  <c r="C111"/>
  <c r="A111" s="1"/>
  <c r="B112"/>
  <c r="C112"/>
  <c r="A112"/>
  <c r="B113"/>
  <c r="C113"/>
  <c r="A113"/>
  <c r="B114"/>
  <c r="C114"/>
  <c r="A114"/>
  <c r="A115"/>
  <c r="B115"/>
  <c r="C115"/>
  <c r="B116"/>
  <c r="C116"/>
  <c r="A116"/>
  <c r="B117"/>
  <c r="C117"/>
  <c r="A117" s="1"/>
  <c r="B118"/>
  <c r="C118"/>
  <c r="A118"/>
  <c r="B119"/>
  <c r="C119"/>
  <c r="A119" s="1"/>
  <c r="B120"/>
  <c r="C120"/>
  <c r="A120"/>
  <c r="B121"/>
  <c r="C121"/>
  <c r="A121"/>
  <c r="B122"/>
  <c r="C122"/>
  <c r="A122"/>
  <c r="A123"/>
  <c r="B123"/>
  <c r="C123"/>
  <c r="B124"/>
  <c r="C124"/>
  <c r="A124"/>
  <c r="B125"/>
  <c r="C125"/>
  <c r="A125" s="1"/>
  <c r="B126"/>
  <c r="C126"/>
  <c r="A126"/>
  <c r="B127"/>
  <c r="C127"/>
  <c r="A127" s="1"/>
  <c r="B128"/>
  <c r="C128"/>
  <c r="A128"/>
  <c r="B129"/>
  <c r="C129"/>
  <c r="A129"/>
  <c r="B130"/>
  <c r="C130"/>
  <c r="A130" s="1"/>
  <c r="A131"/>
  <c r="B131"/>
  <c r="C131"/>
  <c r="B132"/>
  <c r="C132"/>
  <c r="A132"/>
  <c r="B133"/>
  <c r="C133"/>
  <c r="A133" s="1"/>
  <c r="B134"/>
  <c r="C134"/>
  <c r="A134"/>
  <c r="B135"/>
  <c r="C135"/>
  <c r="A135" s="1"/>
  <c r="B136"/>
  <c r="C136"/>
  <c r="A136"/>
  <c r="B137"/>
  <c r="C137"/>
  <c r="A137"/>
  <c r="B138"/>
  <c r="C138"/>
  <c r="A138"/>
  <c r="A139"/>
  <c r="B139"/>
  <c r="C139"/>
  <c r="B140"/>
  <c r="C140"/>
  <c r="A140"/>
  <c r="B141"/>
  <c r="C141"/>
  <c r="A141" s="1"/>
  <c r="B142"/>
  <c r="C142"/>
  <c r="A142"/>
  <c r="B143"/>
  <c r="C143"/>
  <c r="A143" s="1"/>
  <c r="B144"/>
  <c r="C144"/>
  <c r="A144"/>
  <c r="B145"/>
  <c r="C145"/>
  <c r="A145"/>
  <c r="B146"/>
  <c r="C146"/>
  <c r="A146"/>
  <c r="A147"/>
  <c r="B147"/>
  <c r="C147"/>
  <c r="B148"/>
  <c r="C148"/>
  <c r="A148"/>
  <c r="B149"/>
  <c r="C149"/>
  <c r="A149" s="1"/>
  <c r="B150"/>
  <c r="C150"/>
  <c r="A150"/>
  <c r="B151"/>
  <c r="C151"/>
  <c r="A151" s="1"/>
  <c r="B152"/>
  <c r="C152"/>
  <c r="A152"/>
  <c r="B153"/>
  <c r="C153"/>
  <c r="A153"/>
  <c r="B154"/>
  <c r="C154"/>
  <c r="A154" s="1"/>
  <c r="A155"/>
  <c r="B155"/>
  <c r="C155"/>
  <c r="B156"/>
  <c r="C156"/>
  <c r="A156"/>
  <c r="B157"/>
  <c r="C157"/>
  <c r="A157" s="1"/>
  <c r="B158"/>
  <c r="C158"/>
  <c r="A158" s="1"/>
  <c r="B159"/>
  <c r="C159"/>
  <c r="A159" s="1"/>
  <c r="B160"/>
  <c r="C160"/>
  <c r="A160"/>
  <c r="B161"/>
  <c r="C161"/>
  <c r="A161"/>
  <c r="B162"/>
  <c r="C162"/>
  <c r="A162" s="1"/>
  <c r="B163"/>
  <c r="C163"/>
  <c r="A163" s="1"/>
  <c r="B164"/>
  <c r="C164"/>
  <c r="A164"/>
  <c r="B165"/>
  <c r="C165"/>
  <c r="A165" s="1"/>
  <c r="B166"/>
  <c r="C166"/>
  <c r="A166" s="1"/>
  <c r="B167"/>
  <c r="C167"/>
  <c r="A167" s="1"/>
  <c r="B168"/>
  <c r="C168"/>
  <c r="A168"/>
  <c r="B169"/>
  <c r="C169"/>
  <c r="A169"/>
  <c r="B170"/>
  <c r="C170"/>
  <c r="A170" s="1"/>
  <c r="B171"/>
  <c r="C171"/>
  <c r="A171" s="1"/>
  <c r="B172"/>
  <c r="C172"/>
  <c r="A172"/>
  <c r="B173"/>
  <c r="C173"/>
  <c r="A173" s="1"/>
  <c r="B174"/>
  <c r="C174"/>
  <c r="A174" s="1"/>
  <c r="B175"/>
  <c r="C175"/>
  <c r="A175" s="1"/>
  <c r="B176"/>
  <c r="C176"/>
  <c r="A176"/>
  <c r="B177"/>
  <c r="C177"/>
  <c r="A177"/>
  <c r="B178"/>
  <c r="C178"/>
  <c r="A178"/>
  <c r="B179"/>
  <c r="C179"/>
  <c r="A179" s="1"/>
  <c r="B180"/>
  <c r="C180"/>
  <c r="A180"/>
  <c r="B181"/>
  <c r="C181"/>
  <c r="A181" s="1"/>
  <c r="B182"/>
  <c r="C182"/>
  <c r="A182" s="1"/>
  <c r="B183"/>
  <c r="C183"/>
  <c r="A183" s="1"/>
  <c r="B184"/>
  <c r="C184"/>
  <c r="A184"/>
  <c r="B185"/>
  <c r="C185"/>
  <c r="A185"/>
  <c r="B186"/>
  <c r="C186"/>
  <c r="A186" s="1"/>
  <c r="B187"/>
  <c r="C187"/>
  <c r="A187" s="1"/>
  <c r="B188"/>
  <c r="C188"/>
  <c r="A188"/>
  <c r="B189"/>
  <c r="C189"/>
  <c r="A189" s="1"/>
  <c r="B190"/>
  <c r="C190"/>
  <c r="A190" s="1"/>
  <c r="B191"/>
  <c r="C191"/>
  <c r="A191" s="1"/>
  <c r="B192"/>
  <c r="C192"/>
  <c r="A192"/>
  <c r="B193"/>
  <c r="C193"/>
  <c r="A193"/>
  <c r="B194"/>
  <c r="C194"/>
  <c r="A194" s="1"/>
  <c r="B195"/>
  <c r="C195"/>
  <c r="A195" s="1"/>
  <c r="B196"/>
  <c r="C196"/>
  <c r="A196"/>
  <c r="B197"/>
  <c r="C197"/>
  <c r="A197" s="1"/>
  <c r="B198"/>
  <c r="C198"/>
  <c r="A198" s="1"/>
  <c r="B199"/>
  <c r="C199"/>
  <c r="A199" s="1"/>
  <c r="B200"/>
  <c r="C200"/>
  <c r="A200"/>
  <c r="B201"/>
  <c r="C201"/>
  <c r="A201"/>
  <c r="B202"/>
  <c r="C202"/>
  <c r="A202" s="1"/>
  <c r="B203"/>
  <c r="C203"/>
  <c r="A203" s="1"/>
  <c r="B204"/>
  <c r="C204"/>
  <c r="A204"/>
  <c r="B205"/>
  <c r="C205"/>
  <c r="A205" s="1"/>
  <c r="B206"/>
  <c r="C206"/>
  <c r="A206" s="1"/>
  <c r="B207"/>
  <c r="C207"/>
  <c r="A207" s="1"/>
  <c r="B208"/>
  <c r="C208"/>
  <c r="A208"/>
  <c r="B209"/>
  <c r="C209"/>
  <c r="A209"/>
  <c r="B210"/>
  <c r="C210"/>
  <c r="A210" s="1"/>
  <c r="B211"/>
  <c r="C211"/>
  <c r="A211" s="1"/>
  <c r="B212"/>
  <c r="C212"/>
  <c r="A212"/>
  <c r="B213"/>
  <c r="C213"/>
  <c r="A213" s="1"/>
  <c r="B214"/>
  <c r="C214"/>
  <c r="A214" s="1"/>
  <c r="B215"/>
  <c r="C215"/>
  <c r="A215" s="1"/>
  <c r="B216"/>
  <c r="C216"/>
  <c r="A216"/>
  <c r="B217"/>
  <c r="C217"/>
  <c r="A217"/>
  <c r="B218"/>
  <c r="C218"/>
  <c r="A218" s="1"/>
  <c r="B219"/>
  <c r="C219"/>
  <c r="A219" s="1"/>
  <c r="B220"/>
  <c r="C220"/>
  <c r="A220"/>
  <c r="B221"/>
  <c r="C221"/>
  <c r="A221" s="1"/>
  <c r="B222"/>
  <c r="C222"/>
  <c r="A222" s="1"/>
  <c r="B223"/>
  <c r="C223"/>
  <c r="A223" s="1"/>
  <c r="B224"/>
  <c r="C224"/>
  <c r="A224"/>
  <c r="B225"/>
  <c r="C225"/>
  <c r="A225"/>
  <c r="B226"/>
  <c r="C226"/>
  <c r="A226"/>
  <c r="B227"/>
  <c r="C227"/>
  <c r="A227" s="1"/>
  <c r="B228"/>
  <c r="C228"/>
  <c r="A228"/>
  <c r="B229"/>
  <c r="C229"/>
  <c r="A229" s="1"/>
  <c r="B230"/>
  <c r="C230"/>
  <c r="A230" s="1"/>
  <c r="B231"/>
  <c r="C231"/>
  <c r="A231" s="1"/>
  <c r="B232"/>
  <c r="C232"/>
  <c r="A232"/>
  <c r="B233"/>
  <c r="C233"/>
  <c r="A233"/>
  <c r="B234"/>
  <c r="C234"/>
  <c r="A234" s="1"/>
  <c r="B235"/>
  <c r="C235"/>
  <c r="A235" s="1"/>
  <c r="B236"/>
  <c r="C236"/>
  <c r="A236"/>
  <c r="B237"/>
  <c r="C237"/>
  <c r="A237" s="1"/>
  <c r="B238"/>
  <c r="C238"/>
  <c r="A238" s="1"/>
  <c r="B239"/>
  <c r="C239"/>
  <c r="A239" s="1"/>
  <c r="B240"/>
  <c r="C240"/>
  <c r="A240"/>
  <c r="B241"/>
  <c r="C241"/>
  <c r="A241"/>
  <c r="B242"/>
  <c r="C242"/>
  <c r="A242" s="1"/>
  <c r="B243"/>
  <c r="C243"/>
  <c r="A243" s="1"/>
  <c r="B244"/>
  <c r="C244"/>
  <c r="A244"/>
  <c r="B245"/>
  <c r="C245"/>
  <c r="A245" s="1"/>
  <c r="B246"/>
  <c r="C246"/>
  <c r="A246" s="1"/>
  <c r="B247"/>
  <c r="C247"/>
  <c r="A247" s="1"/>
  <c r="B248"/>
  <c r="C248"/>
  <c r="A248"/>
  <c r="B249"/>
  <c r="C249"/>
  <c r="A249"/>
  <c r="B250"/>
  <c r="C250"/>
  <c r="A250" s="1"/>
  <c r="B251"/>
  <c r="C251"/>
  <c r="A251" s="1"/>
  <c r="B252"/>
  <c r="C252"/>
  <c r="A252"/>
  <c r="B253"/>
  <c r="C253"/>
  <c r="A253" s="1"/>
  <c r="B254"/>
  <c r="C254"/>
  <c r="A254" s="1"/>
  <c r="B255"/>
  <c r="C255"/>
  <c r="A255" s="1"/>
  <c r="B256"/>
  <c r="C256"/>
  <c r="A256"/>
  <c r="B257"/>
  <c r="C257"/>
  <c r="A257"/>
  <c r="B258"/>
  <c r="C258"/>
  <c r="A258"/>
  <c r="B259"/>
  <c r="C259"/>
  <c r="A259" s="1"/>
  <c r="B260"/>
  <c r="C260"/>
  <c r="A260"/>
  <c r="B261"/>
  <c r="C261"/>
  <c r="A261" s="1"/>
  <c r="B262"/>
  <c r="C262"/>
  <c r="A262" s="1"/>
  <c r="B263"/>
  <c r="C263"/>
  <c r="A263" s="1"/>
  <c r="B264"/>
  <c r="C264"/>
  <c r="A264"/>
  <c r="B265"/>
  <c r="C265"/>
  <c r="A265"/>
  <c r="B266"/>
  <c r="C266"/>
  <c r="A266" s="1"/>
  <c r="B267"/>
  <c r="C267"/>
  <c r="A267" s="1"/>
  <c r="B268"/>
  <c r="C268"/>
  <c r="A268"/>
  <c r="B269"/>
  <c r="C269"/>
  <c r="A269" s="1"/>
  <c r="B270"/>
  <c r="C270"/>
  <c r="A270" s="1"/>
  <c r="B271"/>
  <c r="C271"/>
  <c r="A271" s="1"/>
  <c r="B272"/>
  <c r="C272"/>
  <c r="A272"/>
  <c r="B273"/>
  <c r="C273"/>
  <c r="A273"/>
  <c r="B274"/>
  <c r="C274"/>
  <c r="A274"/>
  <c r="B275"/>
  <c r="C275"/>
  <c r="A275" s="1"/>
  <c r="B276"/>
  <c r="C276"/>
  <c r="A276"/>
  <c r="B277"/>
  <c r="C277"/>
  <c r="A277" s="1"/>
  <c r="B278"/>
  <c r="C278"/>
  <c r="A278" s="1"/>
  <c r="B279"/>
  <c r="C279"/>
  <c r="A279" s="1"/>
  <c r="B280"/>
  <c r="C280"/>
  <c r="A280"/>
  <c r="B281"/>
  <c r="C281"/>
  <c r="A281"/>
  <c r="B282"/>
  <c r="C282"/>
  <c r="A282" s="1"/>
  <c r="B283"/>
  <c r="C283"/>
  <c r="A283" s="1"/>
  <c r="B284"/>
  <c r="C284"/>
  <c r="A284"/>
  <c r="B285"/>
  <c r="C285"/>
  <c r="A285" s="1"/>
  <c r="B286"/>
  <c r="C286"/>
  <c r="A286" s="1"/>
  <c r="B287"/>
  <c r="C287"/>
  <c r="A287" s="1"/>
  <c r="B288"/>
  <c r="C288"/>
  <c r="A288"/>
  <c r="B289"/>
  <c r="C289"/>
  <c r="A289"/>
  <c r="B290"/>
  <c r="C290"/>
  <c r="A290" s="1"/>
  <c r="B291"/>
  <c r="C291"/>
  <c r="A291" s="1"/>
  <c r="B292"/>
  <c r="C292"/>
  <c r="A292"/>
  <c r="B293"/>
  <c r="C293"/>
  <c r="A293" s="1"/>
  <c r="B294"/>
  <c r="C294"/>
  <c r="A294" s="1"/>
  <c r="B295"/>
  <c r="C295"/>
  <c r="A295" s="1"/>
  <c r="B296"/>
  <c r="C296"/>
  <c r="A296"/>
  <c r="B297"/>
  <c r="C297"/>
  <c r="A297"/>
  <c r="B298"/>
  <c r="C298"/>
  <c r="A298" s="1"/>
  <c r="B299"/>
  <c r="C299"/>
  <c r="A299" s="1"/>
  <c r="B300"/>
  <c r="C300"/>
  <c r="A300"/>
  <c r="B301"/>
  <c r="C301"/>
  <c r="A301" s="1"/>
  <c r="B302"/>
  <c r="C302"/>
  <c r="A302" s="1"/>
  <c r="B303"/>
  <c r="C303"/>
  <c r="A303" s="1"/>
  <c r="B304"/>
  <c r="C304"/>
  <c r="A304"/>
  <c r="B305"/>
  <c r="C305"/>
  <c r="A305"/>
  <c r="B306"/>
  <c r="C306"/>
  <c r="A306"/>
  <c r="B307"/>
  <c r="C307"/>
  <c r="A307" s="1"/>
  <c r="B308"/>
  <c r="C308"/>
  <c r="A308"/>
  <c r="B309"/>
  <c r="C309"/>
  <c r="A309" s="1"/>
  <c r="B310"/>
  <c r="C310"/>
  <c r="A310" s="1"/>
  <c r="B311"/>
  <c r="C311"/>
  <c r="A311" s="1"/>
  <c r="B312"/>
  <c r="C312"/>
  <c r="A312"/>
  <c r="B313"/>
  <c r="C313"/>
  <c r="A313"/>
  <c r="B314"/>
  <c r="C314"/>
  <c r="A314" s="1"/>
  <c r="B315"/>
  <c r="C315"/>
  <c r="A315" s="1"/>
  <c r="B316"/>
  <c r="C316"/>
  <c r="A316"/>
  <c r="B317"/>
  <c r="C317"/>
  <c r="A317" s="1"/>
  <c r="B318"/>
  <c r="C318"/>
  <c r="A318" s="1"/>
  <c r="B319"/>
  <c r="C319"/>
  <c r="A319" s="1"/>
  <c r="B320"/>
  <c r="C320"/>
  <c r="A320"/>
  <c r="B321"/>
  <c r="C321"/>
  <c r="A321"/>
  <c r="B322"/>
  <c r="C322"/>
  <c r="A322" s="1"/>
  <c r="B323"/>
  <c r="C323"/>
  <c r="A323" s="1"/>
  <c r="B324"/>
  <c r="C324"/>
  <c r="A324"/>
  <c r="B325"/>
  <c r="C325"/>
  <c r="A325" s="1"/>
  <c r="B326"/>
  <c r="C326"/>
  <c r="A326" s="1"/>
  <c r="B327"/>
  <c r="C327"/>
  <c r="A327" s="1"/>
  <c r="B328"/>
  <c r="C328"/>
  <c r="A328"/>
  <c r="B329"/>
  <c r="C329"/>
  <c r="A329"/>
  <c r="B330"/>
  <c r="C330"/>
  <c r="A330" s="1"/>
  <c r="B331"/>
  <c r="C331"/>
  <c r="A331" s="1"/>
  <c r="B332"/>
  <c r="C332"/>
  <c r="A332"/>
  <c r="B333"/>
  <c r="C333"/>
  <c r="A333" s="1"/>
  <c r="B334"/>
  <c r="C334"/>
  <c r="A334" s="1"/>
  <c r="B335"/>
  <c r="C335"/>
  <c r="A335" s="1"/>
  <c r="B336"/>
  <c r="C336"/>
  <c r="A336"/>
  <c r="B337"/>
  <c r="C337"/>
  <c r="A337"/>
  <c r="B338"/>
  <c r="C338"/>
  <c r="A338" s="1"/>
  <c r="B339"/>
  <c r="C339"/>
  <c r="A339" s="1"/>
  <c r="B340"/>
  <c r="C340"/>
  <c r="A340"/>
  <c r="B341"/>
  <c r="C341"/>
  <c r="A341" s="1"/>
  <c r="B342"/>
  <c r="C342"/>
  <c r="A342" s="1"/>
  <c r="B343"/>
  <c r="C343"/>
  <c r="A343" s="1"/>
  <c r="B344"/>
  <c r="C344"/>
  <c r="A344"/>
  <c r="B345"/>
  <c r="C345"/>
  <c r="A345"/>
  <c r="B346"/>
  <c r="C346"/>
  <c r="A346" s="1"/>
  <c r="B347"/>
  <c r="C347"/>
  <c r="A347" s="1"/>
  <c r="B348"/>
  <c r="C348"/>
  <c r="A348"/>
  <c r="B349"/>
  <c r="C349"/>
  <c r="A349" s="1"/>
  <c r="B350"/>
  <c r="C350"/>
  <c r="A350" s="1"/>
  <c r="B351"/>
  <c r="C351"/>
  <c r="A351" s="1"/>
  <c r="B352"/>
  <c r="C352"/>
  <c r="A352"/>
  <c r="B353"/>
  <c r="C353"/>
  <c r="A353"/>
  <c r="B354"/>
  <c r="C354"/>
  <c r="A354"/>
  <c r="B355"/>
  <c r="C355"/>
  <c r="A355" s="1"/>
  <c r="B356"/>
  <c r="C356"/>
  <c r="A356"/>
  <c r="B357"/>
  <c r="C357"/>
  <c r="A357" s="1"/>
  <c r="B358"/>
  <c r="C358"/>
  <c r="A358" s="1"/>
  <c r="B359"/>
  <c r="C359"/>
  <c r="A359" s="1"/>
  <c r="B360"/>
  <c r="C360"/>
  <c r="A360"/>
  <c r="B361"/>
  <c r="C361"/>
  <c r="A361"/>
  <c r="B362"/>
  <c r="C362"/>
  <c r="A362" s="1"/>
  <c r="B363"/>
  <c r="C363"/>
  <c r="A363" s="1"/>
  <c r="B364"/>
  <c r="C364"/>
  <c r="A364"/>
  <c r="B365"/>
  <c r="C365"/>
  <c r="A365" s="1"/>
  <c r="B366"/>
  <c r="C366"/>
  <c r="A366" s="1"/>
  <c r="B367"/>
  <c r="C367"/>
  <c r="A367" s="1"/>
  <c r="B368"/>
  <c r="C368"/>
  <c r="A368"/>
  <c r="B369"/>
  <c r="C369"/>
  <c r="A369"/>
  <c r="B370"/>
  <c r="C370"/>
  <c r="A370" s="1"/>
  <c r="B371"/>
  <c r="C371"/>
  <c r="A371" s="1"/>
  <c r="B372"/>
  <c r="C372"/>
  <c r="A372"/>
  <c r="B373"/>
  <c r="C373"/>
  <c r="A373" s="1"/>
  <c r="B374"/>
  <c r="C374"/>
  <c r="A374" s="1"/>
  <c r="B375"/>
  <c r="C375"/>
  <c r="A375" s="1"/>
  <c r="B376"/>
  <c r="C376"/>
  <c r="A376"/>
  <c r="B377"/>
  <c r="C377"/>
  <c r="A377"/>
  <c r="B378"/>
  <c r="C378"/>
  <c r="A378" s="1"/>
  <c r="B379"/>
  <c r="C379"/>
  <c r="A379" s="1"/>
  <c r="B380"/>
  <c r="C380"/>
  <c r="A380"/>
  <c r="B381"/>
  <c r="C381"/>
  <c r="A381" s="1"/>
  <c r="B382"/>
  <c r="C382"/>
  <c r="A382" s="1"/>
  <c r="B383"/>
  <c r="C383"/>
  <c r="A383" s="1"/>
  <c r="B384"/>
  <c r="C384"/>
  <c r="A384"/>
  <c r="B385"/>
  <c r="C385"/>
  <c r="A385"/>
  <c r="B386"/>
  <c r="C386"/>
  <c r="A386" s="1"/>
  <c r="B387"/>
  <c r="C387"/>
  <c r="A387" s="1"/>
  <c r="B388"/>
  <c r="C388"/>
  <c r="A388"/>
  <c r="B389"/>
  <c r="C389"/>
  <c r="A389" s="1"/>
  <c r="B390"/>
  <c r="C390"/>
  <c r="A390" s="1"/>
  <c r="B391"/>
  <c r="C391"/>
  <c r="A391" s="1"/>
  <c r="B392"/>
  <c r="C392"/>
  <c r="A392"/>
  <c r="B393"/>
  <c r="C393"/>
  <c r="A393"/>
  <c r="B394"/>
  <c r="C394"/>
  <c r="A394" s="1"/>
  <c r="B395"/>
  <c r="C395"/>
  <c r="A395" s="1"/>
  <c r="B396"/>
  <c r="C396"/>
  <c r="A396"/>
  <c r="B397"/>
  <c r="C397"/>
  <c r="A397" s="1"/>
  <c r="B398"/>
  <c r="C398"/>
  <c r="A398" s="1"/>
  <c r="B399"/>
  <c r="C399"/>
  <c r="A399" s="1"/>
  <c r="B400"/>
  <c r="C400"/>
  <c r="A400"/>
  <c r="B401"/>
  <c r="C401"/>
  <c r="A401"/>
  <c r="B402"/>
  <c r="C402"/>
  <c r="A402"/>
  <c r="B403"/>
  <c r="C403"/>
  <c r="A403" s="1"/>
  <c r="B404"/>
  <c r="C404"/>
  <c r="A404"/>
  <c r="B405"/>
  <c r="C405"/>
  <c r="A405" s="1"/>
  <c r="B406"/>
  <c r="C406"/>
  <c r="A406" s="1"/>
  <c r="A407"/>
  <c r="B407"/>
  <c r="C407"/>
  <c r="B408"/>
  <c r="C408"/>
  <c r="A408"/>
  <c r="B409"/>
  <c r="C409"/>
  <c r="A409"/>
  <c r="B410"/>
  <c r="C410"/>
  <c r="A410"/>
  <c r="B411"/>
  <c r="C411"/>
  <c r="A411" s="1"/>
  <c r="B412"/>
  <c r="C412"/>
  <c r="A412"/>
  <c r="B413"/>
  <c r="C413"/>
  <c r="A413" s="1"/>
  <c r="B414"/>
  <c r="C414"/>
  <c r="A414" s="1"/>
  <c r="A415"/>
  <c r="B415"/>
  <c r="C415"/>
  <c r="B416"/>
  <c r="C416"/>
  <c r="A416"/>
  <c r="B417"/>
  <c r="C417"/>
  <c r="A417"/>
  <c r="B418"/>
  <c r="C418"/>
  <c r="A418"/>
  <c r="B419"/>
  <c r="C419"/>
  <c r="A419" s="1"/>
  <c r="B420"/>
  <c r="C420"/>
  <c r="A420" s="1"/>
  <c r="B421"/>
  <c r="C421"/>
  <c r="A421" s="1"/>
  <c r="B422"/>
  <c r="C422"/>
  <c r="A422" s="1"/>
  <c r="B423"/>
  <c r="C423"/>
  <c r="A423" s="1"/>
  <c r="B424"/>
  <c r="C424"/>
  <c r="A424"/>
  <c r="B425"/>
  <c r="C425"/>
  <c r="A425"/>
  <c r="B426"/>
  <c r="C426"/>
  <c r="A426"/>
  <c r="B427"/>
  <c r="C427"/>
  <c r="A427" s="1"/>
  <c r="B428"/>
  <c r="C428"/>
  <c r="A428" s="1"/>
  <c r="B429"/>
  <c r="C429"/>
  <c r="A429" s="1"/>
  <c r="B430"/>
  <c r="C430"/>
  <c r="A430" s="1"/>
  <c r="B431"/>
  <c r="C431"/>
  <c r="A431" s="1"/>
  <c r="B432"/>
  <c r="C432"/>
  <c r="A432"/>
  <c r="B433"/>
  <c r="C433"/>
  <c r="A433"/>
  <c r="B434"/>
  <c r="C434"/>
  <c r="A434" s="1"/>
  <c r="B435"/>
  <c r="C435"/>
  <c r="A435" s="1"/>
  <c r="B436"/>
  <c r="C436"/>
  <c r="A436"/>
  <c r="B437"/>
  <c r="C437"/>
  <c r="A437"/>
  <c r="B438"/>
  <c r="C438"/>
  <c r="A438" s="1"/>
  <c r="A439"/>
  <c r="B439"/>
  <c r="C439"/>
  <c r="B440"/>
  <c r="C440"/>
  <c r="A440"/>
  <c r="B441"/>
  <c r="C441"/>
  <c r="A441"/>
  <c r="B442"/>
  <c r="C442"/>
  <c r="A442"/>
  <c r="B443"/>
  <c r="C443"/>
  <c r="A443" s="1"/>
  <c r="B444"/>
  <c r="C444"/>
  <c r="A444" s="1"/>
  <c r="B445"/>
  <c r="C445"/>
  <c r="A445" s="1"/>
  <c r="B446"/>
  <c r="C446"/>
  <c r="A446" s="1"/>
  <c r="A447"/>
  <c r="B447"/>
  <c r="C447"/>
  <c r="B448"/>
  <c r="C448"/>
  <c r="A448" s="1"/>
  <c r="B449"/>
  <c r="C449"/>
  <c r="A449"/>
  <c r="B450"/>
  <c r="C450"/>
  <c r="A450"/>
  <c r="A451"/>
  <c r="B451"/>
  <c r="C451"/>
  <c r="B452"/>
  <c r="C452"/>
  <c r="A452" s="1"/>
  <c r="B453"/>
  <c r="C453"/>
  <c r="A453" s="1"/>
  <c r="B454"/>
  <c r="C454"/>
  <c r="A454" s="1"/>
  <c r="B455"/>
  <c r="C455"/>
  <c r="A455" s="1"/>
  <c r="B456"/>
  <c r="C456"/>
  <c r="A456" s="1"/>
  <c r="B457"/>
  <c r="C457"/>
  <c r="A457"/>
  <c r="B458"/>
  <c r="C458"/>
  <c r="A458" s="1"/>
  <c r="A459"/>
  <c r="B459"/>
  <c r="C459"/>
  <c r="B460"/>
  <c r="C460"/>
  <c r="A460" s="1"/>
  <c r="B461"/>
  <c r="C461"/>
  <c r="A461"/>
  <c r="B462"/>
  <c r="C462"/>
  <c r="A462"/>
  <c r="B463"/>
  <c r="C463"/>
  <c r="A463" s="1"/>
  <c r="B464"/>
  <c r="C464"/>
  <c r="A464"/>
  <c r="B465"/>
  <c r="C465"/>
  <c r="A465"/>
  <c r="B466"/>
  <c r="C466"/>
  <c r="A466" s="1"/>
  <c r="A467"/>
  <c r="B467"/>
  <c r="C467"/>
  <c r="B468"/>
  <c r="C468"/>
  <c r="A468" s="1"/>
  <c r="B469"/>
  <c r="C469"/>
  <c r="A469"/>
  <c r="B470"/>
  <c r="C470"/>
  <c r="A470"/>
  <c r="A471"/>
  <c r="B471"/>
  <c r="C471"/>
  <c r="B472"/>
  <c r="C472"/>
  <c r="A472"/>
  <c r="B473"/>
  <c r="C473"/>
  <c r="A473"/>
  <c r="B474"/>
  <c r="C474"/>
  <c r="A474" s="1"/>
  <c r="A475"/>
  <c r="B475"/>
  <c r="C475"/>
  <c r="B476"/>
  <c r="C476"/>
  <c r="A476"/>
  <c r="B477"/>
  <c r="C477"/>
  <c r="A477"/>
  <c r="B478"/>
  <c r="C478"/>
  <c r="A478"/>
  <c r="B479"/>
  <c r="C479"/>
  <c r="A479" s="1"/>
  <c r="B480"/>
  <c r="C480"/>
  <c r="A480" s="1"/>
  <c r="B481"/>
  <c r="C481"/>
  <c r="A481"/>
  <c r="B482"/>
  <c r="C482"/>
  <c r="A482" s="1"/>
  <c r="A483"/>
  <c r="B483"/>
  <c r="C483"/>
  <c r="B484"/>
  <c r="C484"/>
  <c r="A484" s="1"/>
  <c r="B485"/>
  <c r="C485"/>
  <c r="A485"/>
  <c r="B486"/>
  <c r="C486"/>
  <c r="A486"/>
  <c r="B487"/>
  <c r="C487"/>
  <c r="A487" s="1"/>
  <c r="B488"/>
  <c r="C488"/>
  <c r="A488"/>
  <c r="B489"/>
  <c r="C489"/>
  <c r="A489"/>
  <c r="B490"/>
  <c r="C490"/>
  <c r="A490" s="1"/>
  <c r="A491"/>
  <c r="B491"/>
  <c r="C491"/>
  <c r="B492"/>
  <c r="C492"/>
  <c r="A492" s="1"/>
  <c r="B493"/>
  <c r="C493"/>
  <c r="A493"/>
  <c r="B494"/>
  <c r="C494"/>
  <c r="A494"/>
  <c r="A495"/>
  <c r="B495"/>
  <c r="C495"/>
  <c r="B496"/>
  <c r="C496"/>
  <c r="A496" s="1"/>
  <c r="B497"/>
  <c r="C497"/>
  <c r="A497"/>
  <c r="B498"/>
  <c r="C498"/>
  <c r="A498" s="1"/>
  <c r="A499"/>
  <c r="B499"/>
  <c r="C499"/>
  <c r="B500"/>
  <c r="C500"/>
  <c r="A500"/>
  <c r="B501"/>
  <c r="C501"/>
  <c r="A501"/>
  <c r="B502"/>
  <c r="C502"/>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A736"/>
  <c r="A737"/>
  <c r="A738"/>
  <c r="A739"/>
  <c r="A740"/>
  <c r="A741"/>
  <c r="A742"/>
  <c r="A743"/>
  <c r="A744"/>
  <c r="A745"/>
  <c r="A746"/>
  <c r="A747"/>
  <c r="A748"/>
  <c r="A749"/>
  <c r="A750"/>
  <c r="A751"/>
  <c r="A752"/>
  <c r="A753"/>
  <c r="A754"/>
  <c r="A755"/>
  <c r="A756"/>
  <c r="A757"/>
  <c r="A758"/>
  <c r="A759"/>
  <c r="A760"/>
  <c r="A761"/>
  <c r="A762"/>
  <c r="A763"/>
  <c r="A764"/>
  <c r="A765"/>
  <c r="A766"/>
  <c r="A767"/>
  <c r="A768"/>
  <c r="A769"/>
  <c r="A770"/>
  <c r="A771"/>
  <c r="A772"/>
  <c r="A773"/>
  <c r="A774"/>
  <c r="A775"/>
  <c r="A776"/>
  <c r="A777"/>
  <c r="A778"/>
  <c r="A779"/>
  <c r="A780"/>
  <c r="A781"/>
  <c r="A782"/>
  <c r="A783"/>
  <c r="A784"/>
  <c r="A785"/>
  <c r="A786"/>
  <c r="A787"/>
  <c r="A788"/>
  <c r="A789"/>
  <c r="A790"/>
  <c r="A791"/>
  <c r="A792"/>
  <c r="A793"/>
  <c r="A794"/>
  <c r="A795"/>
  <c r="A796"/>
  <c r="A797"/>
  <c r="A798"/>
  <c r="A799"/>
  <c r="A800"/>
  <c r="A801"/>
  <c r="A802"/>
  <c r="A803"/>
  <c r="A804"/>
  <c r="A805"/>
  <c r="A806"/>
  <c r="A807"/>
  <c r="A808"/>
  <c r="A809"/>
  <c r="A810"/>
  <c r="A811"/>
  <c r="A812"/>
  <c r="A813"/>
  <c r="A814"/>
  <c r="A815"/>
  <c r="A816"/>
  <c r="A817"/>
  <c r="A818"/>
  <c r="A819"/>
  <c r="A820"/>
  <c r="A821"/>
  <c r="A822"/>
  <c r="A823"/>
  <c r="A824"/>
  <c r="A825"/>
  <c r="A826"/>
  <c r="A827"/>
  <c r="A828"/>
  <c r="A829"/>
  <c r="A830"/>
  <c r="A831"/>
  <c r="A832"/>
  <c r="A833"/>
  <c r="A834"/>
  <c r="A835"/>
  <c r="A836"/>
  <c r="A837"/>
  <c r="A838"/>
  <c r="A839"/>
  <c r="A840"/>
  <c r="A841"/>
  <c r="A842"/>
  <c r="A843"/>
  <c r="A844"/>
  <c r="A845"/>
  <c r="A846"/>
  <c r="A847"/>
  <c r="A848"/>
  <c r="A849"/>
  <c r="A850"/>
  <c r="A851"/>
  <c r="A852"/>
  <c r="A853"/>
  <c r="A854"/>
  <c r="A855"/>
  <c r="A856"/>
  <c r="A857"/>
  <c r="A858"/>
  <c r="A859"/>
  <c r="A860"/>
  <c r="A861"/>
  <c r="A862"/>
  <c r="A863"/>
  <c r="A864"/>
  <c r="A865"/>
  <c r="A866"/>
  <c r="A867"/>
  <c r="A868"/>
  <c r="A869"/>
  <c r="A870"/>
  <c r="A871"/>
  <c r="A872"/>
  <c r="A873"/>
  <c r="A874"/>
  <c r="A875"/>
  <c r="A876"/>
  <c r="A877"/>
  <c r="A878"/>
  <c r="A879"/>
  <c r="A880"/>
  <c r="A881"/>
  <c r="A882"/>
  <c r="A883"/>
  <c r="A884"/>
  <c r="A885"/>
  <c r="A886"/>
  <c r="A887"/>
  <c r="A888"/>
  <c r="A889"/>
  <c r="A890"/>
  <c r="A891"/>
  <c r="A892"/>
  <c r="A893"/>
  <c r="A894"/>
  <c r="A895"/>
  <c r="A896"/>
  <c r="A897"/>
  <c r="A898"/>
  <c r="A899"/>
  <c r="A900"/>
  <c r="A901"/>
  <c r="A902"/>
  <c r="A903"/>
  <c r="A904"/>
  <c r="A905"/>
  <c r="A906"/>
  <c r="A907"/>
  <c r="A908"/>
  <c r="A909"/>
  <c r="A910"/>
  <c r="A911"/>
  <c r="A912"/>
  <c r="A913"/>
  <c r="A914"/>
  <c r="A915"/>
  <c r="A916"/>
  <c r="A917"/>
  <c r="A918"/>
  <c r="A919"/>
  <c r="A920"/>
  <c r="A921"/>
  <c r="A922"/>
  <c r="A923"/>
  <c r="A924"/>
  <c r="A925"/>
  <c r="A926"/>
  <c r="A927"/>
  <c r="A928"/>
  <c r="A929"/>
  <c r="A930"/>
  <c r="A931"/>
  <c r="A932"/>
  <c r="A933"/>
  <c r="A934"/>
  <c r="A935"/>
  <c r="A936"/>
  <c r="A937"/>
  <c r="A938"/>
  <c r="A939"/>
  <c r="A940"/>
  <c r="A941"/>
  <c r="A942"/>
  <c r="A943"/>
  <c r="A944"/>
  <c r="A945"/>
  <c r="A946"/>
  <c r="A947"/>
  <c r="A948"/>
  <c r="A949"/>
  <c r="A950"/>
  <c r="A951"/>
  <c r="A952"/>
  <c r="A953"/>
  <c r="A954"/>
  <c r="A955"/>
  <c r="A956"/>
  <c r="A957"/>
  <c r="A958"/>
  <c r="A959"/>
  <c r="A960"/>
  <c r="A961"/>
  <c r="A962"/>
  <c r="A963"/>
  <c r="A964"/>
  <c r="A965"/>
  <c r="A966"/>
  <c r="A967"/>
  <c r="A968"/>
  <c r="A969"/>
  <c r="A970"/>
  <c r="A971"/>
  <c r="A972"/>
  <c r="A973"/>
  <c r="A974"/>
  <c r="A975"/>
  <c r="A976"/>
  <c r="A977"/>
  <c r="A978"/>
  <c r="A979"/>
  <c r="A980"/>
  <c r="A981"/>
  <c r="A982"/>
  <c r="A983"/>
  <c r="A984"/>
  <c r="A985"/>
  <c r="A986"/>
  <c r="A987"/>
  <c r="A988"/>
  <c r="A989"/>
  <c r="A990"/>
  <c r="A991"/>
  <c r="A992"/>
  <c r="A993"/>
  <c r="A994"/>
  <c r="A995"/>
  <c r="A996"/>
  <c r="A997"/>
  <c r="A998"/>
  <c r="A999"/>
  <c r="A1000"/>
  <c r="A1001"/>
  <c r="A1002"/>
  <c r="V29" i="1"/>
  <c r="V28"/>
  <c r="W22"/>
  <c r="V26"/>
  <c r="I3" i="17"/>
  <c r="V30" i="1"/>
  <c r="P13"/>
  <c r="S13" s="1"/>
  <c r="R13"/>
  <c r="R14"/>
  <c r="P14"/>
  <c r="P15"/>
  <c r="Q15" s="1"/>
  <c r="R18"/>
  <c r="P20"/>
  <c r="Q20" s="1"/>
  <c r="R20"/>
  <c r="P21"/>
  <c r="S21" s="1"/>
  <c r="R21"/>
  <c r="P22"/>
  <c r="Q22" s="1"/>
  <c r="R22"/>
  <c r="P26"/>
  <c r="R29"/>
  <c r="P29"/>
  <c r="R30"/>
  <c r="P30"/>
  <c r="R31"/>
  <c r="R34"/>
  <c r="G49"/>
  <c r="H7" i="15"/>
  <c r="P31" i="1" l="1"/>
  <c r="S31" s="1"/>
  <c r="V967"/>
  <c r="V963"/>
  <c r="W959"/>
  <c r="W955"/>
  <c r="P951"/>
  <c r="S951" s="1"/>
  <c r="P947"/>
  <c r="P927"/>
  <c r="Q927" s="1"/>
  <c r="W919"/>
  <c r="V915"/>
  <c r="V911"/>
  <c r="P907"/>
  <c r="S907" s="1"/>
  <c r="V903"/>
  <c r="W891"/>
  <c r="R883"/>
  <c r="R879"/>
  <c r="P855"/>
  <c r="Q855" s="1"/>
  <c r="V847"/>
  <c r="R831"/>
  <c r="P827"/>
  <c r="W823"/>
  <c r="R819"/>
  <c r="W803"/>
  <c r="R795"/>
  <c r="R791"/>
  <c r="P783"/>
  <c r="S783" s="1"/>
  <c r="R775"/>
  <c r="R763"/>
  <c r="W759"/>
  <c r="R755"/>
  <c r="R751"/>
  <c r="P747"/>
  <c r="S747" s="1"/>
  <c r="W743"/>
  <c r="R739"/>
  <c r="W727"/>
  <c r="V723"/>
  <c r="V719"/>
  <c r="P715"/>
  <c r="Q715" s="1"/>
  <c r="W711"/>
  <c r="V707"/>
  <c r="R695"/>
  <c r="P691"/>
  <c r="S691" s="1"/>
  <c r="W687"/>
  <c r="R683"/>
  <c r="R679"/>
  <c r="P675"/>
  <c r="S675" s="1"/>
  <c r="R659"/>
  <c r="W651"/>
  <c r="R643"/>
  <c r="R639"/>
  <c r="W619"/>
  <c r="R611"/>
  <c r="R607"/>
  <c r="W587"/>
  <c r="R579"/>
  <c r="R575"/>
  <c r="V523"/>
  <c r="V511"/>
  <c r="V495"/>
  <c r="V459"/>
  <c r="W435"/>
  <c r="W427"/>
  <c r="W403"/>
  <c r="R383"/>
  <c r="R379"/>
  <c r="W359"/>
  <c r="R335"/>
  <c r="R319"/>
  <c r="W303"/>
  <c r="R287"/>
  <c r="W275"/>
  <c r="R259"/>
  <c r="V251"/>
  <c r="P239"/>
  <c r="S239" s="1"/>
  <c r="W231"/>
  <c r="W191"/>
  <c r="R163"/>
  <c r="V155"/>
  <c r="P131"/>
  <c r="Q131" s="1"/>
  <c r="V123"/>
  <c r="V103"/>
  <c r="V75"/>
  <c r="R63"/>
  <c r="V23"/>
  <c r="R27"/>
  <c r="V975"/>
  <c r="R935"/>
  <c r="P931"/>
  <c r="R875"/>
  <c r="W871"/>
  <c r="R867"/>
  <c r="R811"/>
  <c r="P807"/>
  <c r="Q807" s="1"/>
  <c r="R787"/>
  <c r="W735"/>
  <c r="W703"/>
  <c r="P667"/>
  <c r="Q667" s="1"/>
  <c r="R647"/>
  <c r="W631"/>
  <c r="R615"/>
  <c r="W599"/>
  <c r="R595"/>
  <c r="R591"/>
  <c r="P563"/>
  <c r="V547"/>
  <c r="V527"/>
  <c r="P507"/>
  <c r="S507" s="1"/>
  <c r="R503"/>
  <c r="P487"/>
  <c r="Q487" s="1"/>
  <c r="R451"/>
  <c r="V443"/>
  <c r="R399"/>
  <c r="V371"/>
  <c r="P343"/>
  <c r="Q343" s="1"/>
  <c r="R327"/>
  <c r="R311"/>
  <c r="V295"/>
  <c r="P255"/>
  <c r="S255" s="1"/>
  <c r="R247"/>
  <c r="R223"/>
  <c r="W215"/>
  <c r="R207"/>
  <c r="R167"/>
  <c r="V147"/>
  <c r="R135"/>
  <c r="R107"/>
  <c r="W99"/>
  <c r="R91"/>
  <c r="P991"/>
  <c r="Q991" s="1"/>
  <c r="P987"/>
  <c r="Q987" s="1"/>
  <c r="V971"/>
  <c r="V943"/>
  <c r="V939"/>
  <c r="W923"/>
  <c r="V899"/>
  <c r="P895"/>
  <c r="R887"/>
  <c r="R863"/>
  <c r="P859"/>
  <c r="S859" s="1"/>
  <c r="W851"/>
  <c r="V843"/>
  <c r="W839"/>
  <c r="V835"/>
  <c r="W815"/>
  <c r="R799"/>
  <c r="W779"/>
  <c r="R771"/>
  <c r="R767"/>
  <c r="R731"/>
  <c r="V699"/>
  <c r="R671"/>
  <c r="R663"/>
  <c r="P655"/>
  <c r="Q655" s="1"/>
  <c r="R635"/>
  <c r="R627"/>
  <c r="R623"/>
  <c r="R603"/>
  <c r="R583"/>
  <c r="W571"/>
  <c r="V535"/>
  <c r="P531"/>
  <c r="S531" s="1"/>
  <c r="P499"/>
  <c r="S499" s="1"/>
  <c r="R467"/>
  <c r="R463"/>
  <c r="P395"/>
  <c r="Q395" s="1"/>
  <c r="V363"/>
  <c r="V351"/>
  <c r="V323"/>
  <c r="V291"/>
  <c r="R283"/>
  <c r="R271"/>
  <c r="V79"/>
  <c r="P47"/>
  <c r="S47" s="1"/>
  <c r="P27"/>
  <c r="Q27" s="1"/>
  <c r="R991"/>
  <c r="R987"/>
  <c r="R967"/>
  <c r="R963"/>
  <c r="P959"/>
  <c r="P955"/>
  <c r="Q955" s="1"/>
  <c r="W931"/>
  <c r="P919"/>
  <c r="Q919" s="1"/>
  <c r="R911"/>
  <c r="W895"/>
  <c r="V891"/>
  <c r="V887"/>
  <c r="P883"/>
  <c r="Q883" s="1"/>
  <c r="V867"/>
  <c r="W859"/>
  <c r="W835"/>
  <c r="P831"/>
  <c r="V823"/>
  <c r="V811"/>
  <c r="W807"/>
  <c r="V803"/>
  <c r="V799"/>
  <c r="P795"/>
  <c r="Q795" s="1"/>
  <c r="V767"/>
  <c r="P763"/>
  <c r="Q763" s="1"/>
  <c r="V759"/>
  <c r="P751"/>
  <c r="S751" s="1"/>
  <c r="V743"/>
  <c r="V731"/>
  <c r="P727"/>
  <c r="Q727" s="1"/>
  <c r="R719"/>
  <c r="P711"/>
  <c r="S711" s="1"/>
  <c r="W699"/>
  <c r="P695"/>
  <c r="Q695" s="1"/>
  <c r="V687"/>
  <c r="P679"/>
  <c r="Q679" s="1"/>
  <c r="W667"/>
  <c r="V663"/>
  <c r="P659"/>
  <c r="Q659" s="1"/>
  <c r="W655"/>
  <c r="V651"/>
  <c r="V647"/>
  <c r="P643"/>
  <c r="S643" s="1"/>
  <c r="V627"/>
  <c r="V619"/>
  <c r="V615"/>
  <c r="P611"/>
  <c r="S611" s="1"/>
  <c r="V595"/>
  <c r="V587"/>
  <c r="V583"/>
  <c r="P579"/>
  <c r="Q579" s="1"/>
  <c r="R563"/>
  <c r="R531"/>
  <c r="R507"/>
  <c r="R499"/>
  <c r="R483"/>
  <c r="W419"/>
  <c r="V411"/>
  <c r="R395"/>
  <c r="P335"/>
  <c r="S335" s="1"/>
  <c r="W279"/>
  <c r="V223"/>
  <c r="P183"/>
  <c r="S183" s="1"/>
  <c r="P163"/>
  <c r="S163" s="1"/>
  <c r="V115"/>
  <c r="V107"/>
  <c r="X20"/>
  <c r="T20" s="1"/>
  <c r="W20"/>
  <c r="X28"/>
  <c r="T28" s="1"/>
  <c r="U28" s="1"/>
  <c r="W28"/>
  <c r="R28"/>
  <c r="P28"/>
  <c r="S28" s="1"/>
  <c r="X36"/>
  <c r="T36" s="1"/>
  <c r="U36" s="1"/>
  <c r="P36"/>
  <c r="S36" s="1"/>
  <c r="V36"/>
  <c r="R36"/>
  <c r="X44"/>
  <c r="T44" s="1"/>
  <c r="U44" s="1"/>
  <c r="V44"/>
  <c r="P44"/>
  <c r="Q44" s="1"/>
  <c r="X52"/>
  <c r="T52" s="1"/>
  <c r="U52" s="1"/>
  <c r="R52"/>
  <c r="P52"/>
  <c r="Q52" s="1"/>
  <c r="W52"/>
  <c r="X60"/>
  <c r="T60" s="1"/>
  <c r="U60" s="1"/>
  <c r="P60"/>
  <c r="Q60" s="1"/>
  <c r="W60"/>
  <c r="X68"/>
  <c r="T68" s="1"/>
  <c r="U68" s="1"/>
  <c r="W68"/>
  <c r="V68"/>
  <c r="P68"/>
  <c r="X76"/>
  <c r="T76" s="1"/>
  <c r="U76" s="1"/>
  <c r="W76"/>
  <c r="R76"/>
  <c r="X84"/>
  <c r="T84" s="1"/>
  <c r="U84" s="1"/>
  <c r="P84"/>
  <c r="S84" s="1"/>
  <c r="W84"/>
  <c r="V84"/>
  <c r="X92"/>
  <c r="T92" s="1"/>
  <c r="U92" s="1"/>
  <c r="R92"/>
  <c r="W92"/>
  <c r="V92"/>
  <c r="P92"/>
  <c r="Q92" s="1"/>
  <c r="X100"/>
  <c r="T100" s="1"/>
  <c r="U100" s="1"/>
  <c r="W100"/>
  <c r="P100"/>
  <c r="Q100" s="1"/>
  <c r="V100"/>
  <c r="X108"/>
  <c r="T108" s="1"/>
  <c r="U108" s="1"/>
  <c r="V108"/>
  <c r="W108"/>
  <c r="R108"/>
  <c r="P108"/>
  <c r="Q108" s="1"/>
  <c r="X116"/>
  <c r="T116" s="1"/>
  <c r="U116" s="1"/>
  <c r="R116"/>
  <c r="P116"/>
  <c r="W116"/>
  <c r="X124"/>
  <c r="T124" s="1"/>
  <c r="U124" s="1"/>
  <c r="R124"/>
  <c r="V124"/>
  <c r="W124"/>
  <c r="X132"/>
  <c r="T132" s="1"/>
  <c r="U132" s="1"/>
  <c r="P132"/>
  <c r="Q132" s="1"/>
  <c r="V132"/>
  <c r="R132"/>
  <c r="X140"/>
  <c r="T140" s="1"/>
  <c r="U140" s="1"/>
  <c r="W140"/>
  <c r="R140"/>
  <c r="V140"/>
  <c r="X148"/>
  <c r="T148" s="1"/>
  <c r="U148" s="1"/>
  <c r="W148"/>
  <c r="V148"/>
  <c r="P148"/>
  <c r="Q148" s="1"/>
  <c r="R148"/>
  <c r="X156"/>
  <c r="T156" s="1"/>
  <c r="U156" s="1"/>
  <c r="R156"/>
  <c r="V156"/>
  <c r="W156"/>
  <c r="X164"/>
  <c r="T164" s="1"/>
  <c r="U164" s="1"/>
  <c r="R164"/>
  <c r="W164"/>
  <c r="V164"/>
  <c r="P164"/>
  <c r="S164" s="1"/>
  <c r="X172"/>
  <c r="T172" s="1"/>
  <c r="U172" s="1"/>
  <c r="W172"/>
  <c r="R172"/>
  <c r="V172"/>
  <c r="X180"/>
  <c r="T180" s="1"/>
  <c r="U180" s="1"/>
  <c r="P180"/>
  <c r="S180" s="1"/>
  <c r="V180"/>
  <c r="W180"/>
  <c r="X188"/>
  <c r="T188" s="1"/>
  <c r="U188" s="1"/>
  <c r="P188"/>
  <c r="Q188" s="1"/>
  <c r="W188"/>
  <c r="R188"/>
  <c r="V188"/>
  <c r="X196"/>
  <c r="T196" s="1"/>
  <c r="U196" s="1"/>
  <c r="W196"/>
  <c r="P196"/>
  <c r="S196" s="1"/>
  <c r="V196"/>
  <c r="X204"/>
  <c r="T204" s="1"/>
  <c r="U204" s="1"/>
  <c r="P204"/>
  <c r="S204" s="1"/>
  <c r="R204"/>
  <c r="W204"/>
  <c r="X212"/>
  <c r="T212" s="1"/>
  <c r="U212" s="1"/>
  <c r="W212"/>
  <c r="V212"/>
  <c r="P212"/>
  <c r="R212"/>
  <c r="X220"/>
  <c r="T220" s="1"/>
  <c r="U220" s="1"/>
  <c r="W220"/>
  <c r="R220"/>
  <c r="P220"/>
  <c r="Q220" s="1"/>
  <c r="X228"/>
  <c r="T228" s="1"/>
  <c r="U228" s="1"/>
  <c r="P228"/>
  <c r="Q228" s="1"/>
  <c r="V228"/>
  <c r="R228"/>
  <c r="X236"/>
  <c r="T236" s="1"/>
  <c r="U236" s="1"/>
  <c r="P236"/>
  <c r="Q236" s="1"/>
  <c r="R236"/>
  <c r="W236"/>
  <c r="X244"/>
  <c r="T244" s="1"/>
  <c r="U244" s="1"/>
  <c r="V244"/>
  <c r="R244"/>
  <c r="P244"/>
  <c r="S244" s="1"/>
  <c r="X252"/>
  <c r="T252" s="1"/>
  <c r="U252" s="1"/>
  <c r="R252"/>
  <c r="V252"/>
  <c r="W252"/>
  <c r="X260"/>
  <c r="T260" s="1"/>
  <c r="U260" s="1"/>
  <c r="R260"/>
  <c r="W260"/>
  <c r="V260"/>
  <c r="P260"/>
  <c r="S260" s="1"/>
  <c r="X268"/>
  <c r="T268" s="1"/>
  <c r="U268" s="1"/>
  <c r="R268"/>
  <c r="V268"/>
  <c r="P268"/>
  <c r="Q268" s="1"/>
  <c r="X276"/>
  <c r="T276" s="1"/>
  <c r="U276" s="1"/>
  <c r="P276"/>
  <c r="S276" s="1"/>
  <c r="V276"/>
  <c r="W276"/>
  <c r="X284"/>
  <c r="T284" s="1"/>
  <c r="U284" s="1"/>
  <c r="R284"/>
  <c r="V284"/>
  <c r="W284"/>
  <c r="X292"/>
  <c r="T292" s="1"/>
  <c r="U292" s="1"/>
  <c r="V292"/>
  <c r="W292"/>
  <c r="R292"/>
  <c r="X300"/>
  <c r="T300" s="1"/>
  <c r="U300" s="1"/>
  <c r="P300"/>
  <c r="Q300" s="1"/>
  <c r="R300"/>
  <c r="W300"/>
  <c r="X308"/>
  <c r="T308" s="1"/>
  <c r="U308" s="1"/>
  <c r="R308"/>
  <c r="P308"/>
  <c r="Q308" s="1"/>
  <c r="X316"/>
  <c r="T316" s="1"/>
  <c r="U316" s="1"/>
  <c r="W316"/>
  <c r="R316"/>
  <c r="P316"/>
  <c r="Q316" s="1"/>
  <c r="X324"/>
  <c r="T324" s="1"/>
  <c r="U324" s="1"/>
  <c r="V324"/>
  <c r="W324"/>
  <c r="X332"/>
  <c r="T332" s="1"/>
  <c r="U332" s="1"/>
  <c r="R332"/>
  <c r="V332"/>
  <c r="P332"/>
  <c r="X340"/>
  <c r="T340" s="1"/>
  <c r="U340" s="1"/>
  <c r="V340"/>
  <c r="R340"/>
  <c r="P340"/>
  <c r="X348"/>
  <c r="T348" s="1"/>
  <c r="U348" s="1"/>
  <c r="R348"/>
  <c r="W348"/>
  <c r="X356"/>
  <c r="T356" s="1"/>
  <c r="U356" s="1"/>
  <c r="V356"/>
  <c r="W356"/>
  <c r="X364"/>
  <c r="T364" s="1"/>
  <c r="U364" s="1"/>
  <c r="V364"/>
  <c r="W364"/>
  <c r="X372"/>
  <c r="T372" s="1"/>
  <c r="U372" s="1"/>
  <c r="W372"/>
  <c r="V372"/>
  <c r="X380"/>
  <c r="T380" s="1"/>
  <c r="U380" s="1"/>
  <c r="V380"/>
  <c r="R380"/>
  <c r="P380"/>
  <c r="S380" s="1"/>
  <c r="X388"/>
  <c r="T388" s="1"/>
  <c r="U388" s="1"/>
  <c r="R388"/>
  <c r="W388"/>
  <c r="X396"/>
  <c r="T396" s="1"/>
  <c r="U396" s="1"/>
  <c r="R396"/>
  <c r="W396"/>
  <c r="V396"/>
  <c r="X404"/>
  <c r="T404" s="1"/>
  <c r="U404" s="1"/>
  <c r="P404"/>
  <c r="S404" s="1"/>
  <c r="R404"/>
  <c r="X412"/>
  <c r="T412" s="1"/>
  <c r="U412" s="1"/>
  <c r="R412"/>
  <c r="P412"/>
  <c r="S412" s="1"/>
  <c r="X420"/>
  <c r="T420" s="1"/>
  <c r="U420" s="1"/>
  <c r="V420"/>
  <c r="P420"/>
  <c r="S420" s="1"/>
  <c r="X428"/>
  <c r="T428" s="1"/>
  <c r="U428" s="1"/>
  <c r="V428"/>
  <c r="W428"/>
  <c r="X436"/>
  <c r="T436" s="1"/>
  <c r="U436" s="1"/>
  <c r="W436"/>
  <c r="V436"/>
  <c r="X444"/>
  <c r="T444" s="1"/>
  <c r="U444" s="1"/>
  <c r="W444"/>
  <c r="V444"/>
  <c r="R444"/>
  <c r="X452"/>
  <c r="T452" s="1"/>
  <c r="U452" s="1"/>
  <c r="P452"/>
  <c r="W452"/>
  <c r="V452"/>
  <c r="X460"/>
  <c r="T460" s="1"/>
  <c r="U460" s="1"/>
  <c r="R460"/>
  <c r="W460"/>
  <c r="X468"/>
  <c r="T468" s="1"/>
  <c r="U468" s="1"/>
  <c r="R468"/>
  <c r="W468"/>
  <c r="V468"/>
  <c r="X476"/>
  <c r="T476" s="1"/>
  <c r="U476" s="1"/>
  <c r="R476"/>
  <c r="V476"/>
  <c r="P476"/>
  <c r="Q476" s="1"/>
  <c r="X484"/>
  <c r="T484" s="1"/>
  <c r="U484" s="1"/>
  <c r="V484"/>
  <c r="R484"/>
  <c r="P484"/>
  <c r="S484" s="1"/>
  <c r="X492"/>
  <c r="T492" s="1"/>
  <c r="U492" s="1"/>
  <c r="R492"/>
  <c r="W492"/>
  <c r="X500"/>
  <c r="T500" s="1"/>
  <c r="U500" s="1"/>
  <c r="R500"/>
  <c r="W500"/>
  <c r="V500"/>
  <c r="R504"/>
  <c r="W504"/>
  <c r="X508"/>
  <c r="T508" s="1"/>
  <c r="U508" s="1"/>
  <c r="R508"/>
  <c r="W508"/>
  <c r="V508"/>
  <c r="X516"/>
  <c r="T516" s="1"/>
  <c r="U516" s="1"/>
  <c r="W516"/>
  <c r="V516"/>
  <c r="X524"/>
  <c r="T524" s="1"/>
  <c r="U524" s="1"/>
  <c r="R524"/>
  <c r="P524"/>
  <c r="S524" s="1"/>
  <c r="X532"/>
  <c r="T532" s="1"/>
  <c r="U532" s="1"/>
  <c r="P532"/>
  <c r="S532" s="1"/>
  <c r="W532"/>
  <c r="V532"/>
  <c r="X540"/>
  <c r="T540" s="1"/>
  <c r="U540" s="1"/>
  <c r="V540"/>
  <c r="W540"/>
  <c r="X548"/>
  <c r="T548" s="1"/>
  <c r="U548" s="1"/>
  <c r="W548"/>
  <c r="V548"/>
  <c r="X556"/>
  <c r="T556" s="1"/>
  <c r="U556" s="1"/>
  <c r="R556"/>
  <c r="P556"/>
  <c r="Q556" s="1"/>
  <c r="X564"/>
  <c r="T564" s="1"/>
  <c r="U564" s="1"/>
  <c r="P564"/>
  <c r="S564" s="1"/>
  <c r="W564"/>
  <c r="V564"/>
  <c r="X572"/>
  <c r="T572" s="1"/>
  <c r="U572" s="1"/>
  <c r="W572"/>
  <c r="P572"/>
  <c r="Q572" s="1"/>
  <c r="X580"/>
  <c r="T580" s="1"/>
  <c r="U580" s="1"/>
  <c r="R580"/>
  <c r="P580"/>
  <c r="Q580" s="1"/>
  <c r="X588"/>
  <c r="T588" s="1"/>
  <c r="U588" s="1"/>
  <c r="W588"/>
  <c r="V588"/>
  <c r="X596"/>
  <c r="T596" s="1"/>
  <c r="U596" s="1"/>
  <c r="V596"/>
  <c r="R596"/>
  <c r="X604"/>
  <c r="T604" s="1"/>
  <c r="U604" s="1"/>
  <c r="R604"/>
  <c r="P604"/>
  <c r="X612"/>
  <c r="T612" s="1"/>
  <c r="U612" s="1"/>
  <c r="R612"/>
  <c r="P612"/>
  <c r="Q612" s="1"/>
  <c r="X620"/>
  <c r="T620" s="1"/>
  <c r="U620" s="1"/>
  <c r="W620"/>
  <c r="V620"/>
  <c r="X628"/>
  <c r="T628" s="1"/>
  <c r="U628" s="1"/>
  <c r="V628"/>
  <c r="R628"/>
  <c r="X636"/>
  <c r="T636" s="1"/>
  <c r="U636" s="1"/>
  <c r="R636"/>
  <c r="P636"/>
  <c r="X644"/>
  <c r="T644" s="1"/>
  <c r="U644" s="1"/>
  <c r="R644"/>
  <c r="P644"/>
  <c r="S644" s="1"/>
  <c r="X652"/>
  <c r="T652" s="1"/>
  <c r="U652" s="1"/>
  <c r="W652"/>
  <c r="V652"/>
  <c r="X660"/>
  <c r="T660" s="1"/>
  <c r="U660" s="1"/>
  <c r="R660"/>
  <c r="P660"/>
  <c r="S660" s="1"/>
  <c r="X668"/>
  <c r="T668" s="1"/>
  <c r="U668" s="1"/>
  <c r="P668"/>
  <c r="Q668" s="1"/>
  <c r="W668"/>
  <c r="X676"/>
  <c r="T676" s="1"/>
  <c r="U676" s="1"/>
  <c r="P676"/>
  <c r="S676" s="1"/>
  <c r="W676"/>
  <c r="X684"/>
  <c r="T684" s="1"/>
  <c r="U684" s="1"/>
  <c r="V684"/>
  <c r="R684"/>
  <c r="X692"/>
  <c r="T692" s="1"/>
  <c r="U692" s="1"/>
  <c r="P692"/>
  <c r="W692"/>
  <c r="X700"/>
  <c r="T700" s="1"/>
  <c r="U700" s="1"/>
  <c r="W700"/>
  <c r="V700"/>
  <c r="X708"/>
  <c r="T708" s="1"/>
  <c r="U708" s="1"/>
  <c r="W708"/>
  <c r="V708"/>
  <c r="X716"/>
  <c r="T716" s="1"/>
  <c r="U716" s="1"/>
  <c r="R716"/>
  <c r="P716"/>
  <c r="Q716" s="1"/>
  <c r="X724"/>
  <c r="T724" s="1"/>
  <c r="U724" s="1"/>
  <c r="W724"/>
  <c r="V724"/>
  <c r="X732"/>
  <c r="T732" s="1"/>
  <c r="U732" s="1"/>
  <c r="V732"/>
  <c r="R732"/>
  <c r="X740"/>
  <c r="T740" s="1"/>
  <c r="U740" s="1"/>
  <c r="V740"/>
  <c r="R740"/>
  <c r="X748"/>
  <c r="T748" s="1"/>
  <c r="U748" s="1"/>
  <c r="P748"/>
  <c r="S748" s="1"/>
  <c r="W748"/>
  <c r="X756"/>
  <c r="T756" s="1"/>
  <c r="U756" s="1"/>
  <c r="V756"/>
  <c r="R756"/>
  <c r="X764"/>
  <c r="T764" s="1"/>
  <c r="U764" s="1"/>
  <c r="R764"/>
  <c r="P764"/>
  <c r="X772"/>
  <c r="T772" s="1"/>
  <c r="U772" s="1"/>
  <c r="R772"/>
  <c r="P772"/>
  <c r="Q772" s="1"/>
  <c r="X780"/>
  <c r="T780" s="1"/>
  <c r="U780" s="1"/>
  <c r="W780"/>
  <c r="V780"/>
  <c r="X788"/>
  <c r="T788" s="1"/>
  <c r="U788" s="1"/>
  <c r="R788"/>
  <c r="P788"/>
  <c r="S788" s="1"/>
  <c r="X796"/>
  <c r="T796" s="1"/>
  <c r="U796" s="1"/>
  <c r="R796"/>
  <c r="P796"/>
  <c r="X804"/>
  <c r="T804" s="1"/>
  <c r="U804" s="1"/>
  <c r="W804"/>
  <c r="V804"/>
  <c r="X812"/>
  <c r="T812" s="1"/>
  <c r="U812" s="1"/>
  <c r="V812"/>
  <c r="R812"/>
  <c r="X820"/>
  <c r="T820" s="1"/>
  <c r="U820" s="1"/>
  <c r="V820"/>
  <c r="R820"/>
  <c r="X828"/>
  <c r="T828" s="1"/>
  <c r="U828" s="1"/>
  <c r="P828"/>
  <c r="W828"/>
  <c r="R832"/>
  <c r="V832"/>
  <c r="X836"/>
  <c r="T836" s="1"/>
  <c r="U836" s="1"/>
  <c r="W836"/>
  <c r="V836"/>
  <c r="X844"/>
  <c r="T844" s="1"/>
  <c r="U844" s="1"/>
  <c r="V844"/>
  <c r="R844"/>
  <c r="X852"/>
  <c r="T852" s="1"/>
  <c r="U852" s="1"/>
  <c r="P852"/>
  <c r="Q852" s="1"/>
  <c r="W852"/>
  <c r="X860"/>
  <c r="T860" s="1"/>
  <c r="U860" s="1"/>
  <c r="P860"/>
  <c r="S860" s="1"/>
  <c r="W860"/>
  <c r="X868"/>
  <c r="T868" s="1"/>
  <c r="U868" s="1"/>
  <c r="V868"/>
  <c r="R868"/>
  <c r="X876"/>
  <c r="T876" s="1"/>
  <c r="U876" s="1"/>
  <c r="R876"/>
  <c r="P876"/>
  <c r="S876" s="1"/>
  <c r="X884"/>
  <c r="T884" s="1"/>
  <c r="U884" s="1"/>
  <c r="R884"/>
  <c r="P884"/>
  <c r="S884" s="1"/>
  <c r="X892"/>
  <c r="T892" s="1"/>
  <c r="U892" s="1"/>
  <c r="W892"/>
  <c r="V892"/>
  <c r="X900"/>
  <c r="T900" s="1"/>
  <c r="U900" s="1"/>
  <c r="V900"/>
  <c r="R900"/>
  <c r="X908"/>
  <c r="T908" s="1"/>
  <c r="U908" s="1"/>
  <c r="R908"/>
  <c r="P908"/>
  <c r="Q908" s="1"/>
  <c r="X916"/>
  <c r="T916" s="1"/>
  <c r="U916" s="1"/>
  <c r="W916"/>
  <c r="V916"/>
  <c r="R920"/>
  <c r="V920"/>
  <c r="X924"/>
  <c r="T924" s="1"/>
  <c r="U924" s="1"/>
  <c r="W924"/>
  <c r="V924"/>
  <c r="X932"/>
  <c r="T932" s="1"/>
  <c r="U932" s="1"/>
  <c r="P932"/>
  <c r="S932" s="1"/>
  <c r="W932"/>
  <c r="X940"/>
  <c r="T940" s="1"/>
  <c r="U940" s="1"/>
  <c r="V940"/>
  <c r="R940"/>
  <c r="X948"/>
  <c r="T948" s="1"/>
  <c r="U948" s="1"/>
  <c r="R948"/>
  <c r="P948"/>
  <c r="S948" s="1"/>
  <c r="X956"/>
  <c r="T956" s="1"/>
  <c r="U956" s="1"/>
  <c r="P956"/>
  <c r="S956" s="1"/>
  <c r="W956"/>
  <c r="X964"/>
  <c r="T964" s="1"/>
  <c r="U964" s="1"/>
  <c r="V964"/>
  <c r="R964"/>
  <c r="X972"/>
  <c r="T972" s="1"/>
  <c r="U972" s="1"/>
  <c r="V972"/>
  <c r="R972"/>
  <c r="X980"/>
  <c r="T980" s="1"/>
  <c r="U980" s="1"/>
  <c r="R980"/>
  <c r="P980"/>
  <c r="Q980" s="1"/>
  <c r="X988"/>
  <c r="T988" s="1"/>
  <c r="U988" s="1"/>
  <c r="R988"/>
  <c r="P988"/>
  <c r="S988" s="1"/>
  <c r="R100"/>
  <c r="X87"/>
  <c r="T87" s="1"/>
  <c r="U87" s="1"/>
  <c r="W87"/>
  <c r="X95"/>
  <c r="T95" s="1"/>
  <c r="U95" s="1"/>
  <c r="V95"/>
  <c r="X103"/>
  <c r="T103" s="1"/>
  <c r="U103" s="1"/>
  <c r="R103"/>
  <c r="X111"/>
  <c r="T111" s="1"/>
  <c r="U111" s="1"/>
  <c r="W111"/>
  <c r="X119"/>
  <c r="T119" s="1"/>
  <c r="U119" s="1"/>
  <c r="W119"/>
  <c r="X127"/>
  <c r="T127" s="1"/>
  <c r="U127" s="1"/>
  <c r="W127"/>
  <c r="X135"/>
  <c r="T135" s="1"/>
  <c r="U135" s="1"/>
  <c r="V135"/>
  <c r="X143"/>
  <c r="T143" s="1"/>
  <c r="U143" s="1"/>
  <c r="R143"/>
  <c r="X151"/>
  <c r="T151" s="1"/>
  <c r="U151" s="1"/>
  <c r="P151"/>
  <c r="Q151" s="1"/>
  <c r="X159"/>
  <c r="T159" s="1"/>
  <c r="U159" s="1"/>
  <c r="W159"/>
  <c r="X167"/>
  <c r="T167" s="1"/>
  <c r="U167" s="1"/>
  <c r="V167"/>
  <c r="X175"/>
  <c r="T175" s="1"/>
  <c r="U175" s="1"/>
  <c r="P175"/>
  <c r="Q175" s="1"/>
  <c r="X179"/>
  <c r="T179" s="1"/>
  <c r="U179" s="1"/>
  <c r="V179"/>
  <c r="X187"/>
  <c r="T187" s="1"/>
  <c r="U187" s="1"/>
  <c r="V187"/>
  <c r="X191"/>
  <c r="T191" s="1"/>
  <c r="U191" s="1"/>
  <c r="R191"/>
  <c r="X195"/>
  <c r="T195" s="1"/>
  <c r="U195" s="1"/>
  <c r="R195"/>
  <c r="X203"/>
  <c r="T203" s="1"/>
  <c r="U203" s="1"/>
  <c r="V203"/>
  <c r="X211"/>
  <c r="T211" s="1"/>
  <c r="U211" s="1"/>
  <c r="R211"/>
  <c r="X219"/>
  <c r="T219" s="1"/>
  <c r="U219" s="1"/>
  <c r="R219"/>
  <c r="X227"/>
  <c r="T227" s="1"/>
  <c r="U227" s="1"/>
  <c r="V227"/>
  <c r="X235"/>
  <c r="T235" s="1"/>
  <c r="U235" s="1"/>
  <c r="V235"/>
  <c r="X243"/>
  <c r="T243" s="1"/>
  <c r="U243" s="1"/>
  <c r="P243"/>
  <c r="Q243" s="1"/>
  <c r="X251"/>
  <c r="T251" s="1"/>
  <c r="U251" s="1"/>
  <c r="W251"/>
  <c r="X259"/>
  <c r="T259" s="1"/>
  <c r="U259" s="1"/>
  <c r="W259"/>
  <c r="X267"/>
  <c r="T267" s="1"/>
  <c r="U267" s="1"/>
  <c r="W267"/>
  <c r="X275"/>
  <c r="T275" s="1"/>
  <c r="U275" s="1"/>
  <c r="V275"/>
  <c r="X283"/>
  <c r="T283" s="1"/>
  <c r="U283" s="1"/>
  <c r="W283"/>
  <c r="X291"/>
  <c r="T291" s="1"/>
  <c r="U291" s="1"/>
  <c r="P291"/>
  <c r="S291" s="1"/>
  <c r="X299"/>
  <c r="T299" s="1"/>
  <c r="U299" s="1"/>
  <c r="V299"/>
  <c r="X307"/>
  <c r="T307" s="1"/>
  <c r="U307" s="1"/>
  <c r="W307"/>
  <c r="X315"/>
  <c r="T315" s="1"/>
  <c r="U315" s="1"/>
  <c r="R315"/>
  <c r="X323"/>
  <c r="T323" s="1"/>
  <c r="U323" s="1"/>
  <c r="P323"/>
  <c r="S323" s="1"/>
  <c r="X331"/>
  <c r="T331" s="1"/>
  <c r="U331" s="1"/>
  <c r="W331"/>
  <c r="X339"/>
  <c r="T339" s="1"/>
  <c r="U339" s="1"/>
  <c r="P339"/>
  <c r="Q339" s="1"/>
  <c r="X343"/>
  <c r="T343" s="1"/>
  <c r="U343" s="1"/>
  <c r="W343"/>
  <c r="X351"/>
  <c r="T351" s="1"/>
  <c r="U351" s="1"/>
  <c r="R351"/>
  <c r="X359"/>
  <c r="T359" s="1"/>
  <c r="U359" s="1"/>
  <c r="V359"/>
  <c r="X367"/>
  <c r="T367" s="1"/>
  <c r="U367" s="1"/>
  <c r="W367"/>
  <c r="X375"/>
  <c r="T375" s="1"/>
  <c r="U375" s="1"/>
  <c r="P375"/>
  <c r="S375" s="1"/>
  <c r="X383"/>
  <c r="T383" s="1"/>
  <c r="U383" s="1"/>
  <c r="W383"/>
  <c r="X391"/>
  <c r="T391" s="1"/>
  <c r="U391" s="1"/>
  <c r="W391"/>
  <c r="X399"/>
  <c r="T399" s="1"/>
  <c r="U399" s="1"/>
  <c r="V399"/>
  <c r="X407"/>
  <c r="T407" s="1"/>
  <c r="U407" s="1"/>
  <c r="R407"/>
  <c r="X415"/>
  <c r="T415" s="1"/>
  <c r="U415" s="1"/>
  <c r="P415"/>
  <c r="Q415" s="1"/>
  <c r="X423"/>
  <c r="T423" s="1"/>
  <c r="U423" s="1"/>
  <c r="V423"/>
  <c r="X431"/>
  <c r="T431" s="1"/>
  <c r="U431" s="1"/>
  <c r="W431"/>
  <c r="X439"/>
  <c r="T439" s="1"/>
  <c r="U439" s="1"/>
  <c r="W439"/>
  <c r="X447"/>
  <c r="T447" s="1"/>
  <c r="U447" s="1"/>
  <c r="P447"/>
  <c r="Q447" s="1"/>
  <c r="X455"/>
  <c r="T455" s="1"/>
  <c r="U455" s="1"/>
  <c r="V455"/>
  <c r="X463"/>
  <c r="T463" s="1"/>
  <c r="U463" s="1"/>
  <c r="P463"/>
  <c r="S463" s="1"/>
  <c r="X471"/>
  <c r="T471" s="1"/>
  <c r="U471" s="1"/>
  <c r="W471"/>
  <c r="X479"/>
  <c r="T479" s="1"/>
  <c r="U479" s="1"/>
  <c r="R479"/>
  <c r="X487"/>
  <c r="T487" s="1"/>
  <c r="U487" s="1"/>
  <c r="W487"/>
  <c r="X495"/>
  <c r="T495" s="1"/>
  <c r="U495" s="1"/>
  <c r="P495"/>
  <c r="Q495" s="1"/>
  <c r="X503"/>
  <c r="T503" s="1"/>
  <c r="U503" s="1"/>
  <c r="V503"/>
  <c r="X511"/>
  <c r="T511" s="1"/>
  <c r="U511" s="1"/>
  <c r="R511"/>
  <c r="X519"/>
  <c r="T519" s="1"/>
  <c r="U519" s="1"/>
  <c r="P519"/>
  <c r="Q519" s="1"/>
  <c r="X527"/>
  <c r="T527" s="1"/>
  <c r="U527" s="1"/>
  <c r="P527"/>
  <c r="Q527" s="1"/>
  <c r="X535"/>
  <c r="T535" s="1"/>
  <c r="U535" s="1"/>
  <c r="R535"/>
  <c r="X543"/>
  <c r="T543" s="1"/>
  <c r="U543" s="1"/>
  <c r="R543"/>
  <c r="X551"/>
  <c r="T551" s="1"/>
  <c r="U551" s="1"/>
  <c r="P551"/>
  <c r="Q551" s="1"/>
  <c r="X559"/>
  <c r="T559" s="1"/>
  <c r="U559" s="1"/>
  <c r="R559"/>
  <c r="X567"/>
  <c r="T567" s="1"/>
  <c r="U567" s="1"/>
  <c r="W567"/>
  <c r="R23"/>
  <c r="W31"/>
  <c r="W975"/>
  <c r="W971"/>
  <c r="R959"/>
  <c r="R955"/>
  <c r="W943"/>
  <c r="W939"/>
  <c r="R919"/>
  <c r="P915"/>
  <c r="S915" s="1"/>
  <c r="P903"/>
  <c r="S903" s="1"/>
  <c r="W899"/>
  <c r="V875"/>
  <c r="W867"/>
  <c r="R859"/>
  <c r="R851"/>
  <c r="W843"/>
  <c r="V831"/>
  <c r="V795"/>
  <c r="V787"/>
  <c r="P779"/>
  <c r="S779" s="1"/>
  <c r="W775"/>
  <c r="V771"/>
  <c r="V763"/>
  <c r="P759"/>
  <c r="V751"/>
  <c r="R747"/>
  <c r="V715"/>
  <c r="R703"/>
  <c r="P699"/>
  <c r="S699" s="1"/>
  <c r="R691"/>
  <c r="R675"/>
  <c r="V671"/>
  <c r="R667"/>
  <c r="V635"/>
  <c r="P619"/>
  <c r="S619" s="1"/>
  <c r="W615"/>
  <c r="V603"/>
  <c r="P587"/>
  <c r="Q587" s="1"/>
  <c r="W583"/>
  <c r="V579"/>
  <c r="W575"/>
  <c r="R567"/>
  <c r="P559"/>
  <c r="S559" s="1"/>
  <c r="R551"/>
  <c r="W543"/>
  <c r="R519"/>
  <c r="W511"/>
  <c r="W495"/>
  <c r="V487"/>
  <c r="V479"/>
  <c r="P471"/>
  <c r="Q471" s="1"/>
  <c r="W463"/>
  <c r="P455"/>
  <c r="Q455" s="1"/>
  <c r="P431"/>
  <c r="S431" s="1"/>
  <c r="P423"/>
  <c r="S423" s="1"/>
  <c r="V407"/>
  <c r="R391"/>
  <c r="V383"/>
  <c r="R375"/>
  <c r="P367"/>
  <c r="S367" s="1"/>
  <c r="V343"/>
  <c r="V339"/>
  <c r="R331"/>
  <c r="V315"/>
  <c r="P307"/>
  <c r="S307" s="1"/>
  <c r="P299"/>
  <c r="Q299" s="1"/>
  <c r="R267"/>
  <c r="V259"/>
  <c r="V243"/>
  <c r="P235"/>
  <c r="Q235" s="1"/>
  <c r="V219"/>
  <c r="W211"/>
  <c r="P203"/>
  <c r="Q203" s="1"/>
  <c r="P195"/>
  <c r="Q195" s="1"/>
  <c r="W187"/>
  <c r="R175"/>
  <c r="R159"/>
  <c r="V143"/>
  <c r="R127"/>
  <c r="V119"/>
  <c r="W103"/>
  <c r="R87"/>
  <c r="R83"/>
  <c r="R67"/>
  <c r="X43"/>
  <c r="R43"/>
  <c r="X51"/>
  <c r="T51" s="1"/>
  <c r="U51" s="1"/>
  <c r="V51"/>
  <c r="X55"/>
  <c r="T55" s="1"/>
  <c r="U55" s="1"/>
  <c r="V55"/>
  <c r="X91"/>
  <c r="T91" s="1"/>
  <c r="U91" s="1"/>
  <c r="W91"/>
  <c r="X99"/>
  <c r="T99" s="1"/>
  <c r="U99" s="1"/>
  <c r="R99"/>
  <c r="X107"/>
  <c r="T107" s="1"/>
  <c r="U107" s="1"/>
  <c r="P107"/>
  <c r="X115"/>
  <c r="T115" s="1"/>
  <c r="U115" s="1"/>
  <c r="W115"/>
  <c r="X123"/>
  <c r="T123" s="1"/>
  <c r="U123" s="1"/>
  <c r="W123"/>
  <c r="X131"/>
  <c r="T131" s="1"/>
  <c r="U131" s="1"/>
  <c r="V131"/>
  <c r="X139"/>
  <c r="T139" s="1"/>
  <c r="U139" s="1"/>
  <c r="R139"/>
  <c r="X147"/>
  <c r="T147" s="1"/>
  <c r="U147" s="1"/>
  <c r="R147"/>
  <c r="X155"/>
  <c r="T155" s="1"/>
  <c r="U155" s="1"/>
  <c r="W155"/>
  <c r="X163"/>
  <c r="T163" s="1"/>
  <c r="U163" s="1"/>
  <c r="W163"/>
  <c r="X171"/>
  <c r="T171" s="1"/>
  <c r="U171" s="1"/>
  <c r="R171"/>
  <c r="X183"/>
  <c r="T183" s="1"/>
  <c r="U183" s="1"/>
  <c r="V183"/>
  <c r="X199"/>
  <c r="T199" s="1"/>
  <c r="U199" s="1"/>
  <c r="W199"/>
  <c r="X207"/>
  <c r="T207" s="1"/>
  <c r="U207" s="1"/>
  <c r="V207"/>
  <c r="X215"/>
  <c r="T215" s="1"/>
  <c r="U215" s="1"/>
  <c r="R215"/>
  <c r="X223"/>
  <c r="T223" s="1"/>
  <c r="U223" s="1"/>
  <c r="P223"/>
  <c r="Q223" s="1"/>
  <c r="X231"/>
  <c r="T231" s="1"/>
  <c r="U231" s="1"/>
  <c r="V231"/>
  <c r="X239"/>
  <c r="T239" s="1"/>
  <c r="U239" s="1"/>
  <c r="R239"/>
  <c r="X247"/>
  <c r="T247" s="1"/>
  <c r="U247" s="1"/>
  <c r="W247"/>
  <c r="X255"/>
  <c r="T255" s="1"/>
  <c r="U255" s="1"/>
  <c r="W255"/>
  <c r="X263"/>
  <c r="T263" s="1"/>
  <c r="U263" s="1"/>
  <c r="W263"/>
  <c r="X271"/>
  <c r="T271" s="1"/>
  <c r="U271" s="1"/>
  <c r="V271"/>
  <c r="X279"/>
  <c r="T279" s="1"/>
  <c r="U279" s="1"/>
  <c r="R279"/>
  <c r="X287"/>
  <c r="T287" s="1"/>
  <c r="U287" s="1"/>
  <c r="P287"/>
  <c r="Q287" s="1"/>
  <c r="X295"/>
  <c r="T295" s="1"/>
  <c r="U295" s="1"/>
  <c r="W295"/>
  <c r="X303"/>
  <c r="T303" s="1"/>
  <c r="U303" s="1"/>
  <c r="P303"/>
  <c r="S303" s="1"/>
  <c r="X311"/>
  <c r="T311" s="1"/>
  <c r="U311" s="1"/>
  <c r="W311"/>
  <c r="X319"/>
  <c r="T319" s="1"/>
  <c r="U319" s="1"/>
  <c r="P319"/>
  <c r="Q319" s="1"/>
  <c r="X327"/>
  <c r="T327" s="1"/>
  <c r="U327" s="1"/>
  <c r="P327"/>
  <c r="S327" s="1"/>
  <c r="X335"/>
  <c r="T335" s="1"/>
  <c r="U335" s="1"/>
  <c r="V335"/>
  <c r="X347"/>
  <c r="T347" s="1"/>
  <c r="U347" s="1"/>
  <c r="W347"/>
  <c r="X355"/>
  <c r="T355" s="1"/>
  <c r="U355" s="1"/>
  <c r="P355"/>
  <c r="S355" s="1"/>
  <c r="X363"/>
  <c r="T363" s="1"/>
  <c r="U363" s="1"/>
  <c r="P363"/>
  <c r="S363" s="1"/>
  <c r="X371"/>
  <c r="T371" s="1"/>
  <c r="U371" s="1"/>
  <c r="R371"/>
  <c r="X379"/>
  <c r="T379" s="1"/>
  <c r="U379" s="1"/>
  <c r="P379"/>
  <c r="X387"/>
  <c r="T387" s="1"/>
  <c r="U387" s="1"/>
  <c r="W387"/>
  <c r="X395"/>
  <c r="T395" s="1"/>
  <c r="U395" s="1"/>
  <c r="W395"/>
  <c r="X403"/>
  <c r="T403" s="1"/>
  <c r="U403" s="1"/>
  <c r="V403"/>
  <c r="X411"/>
  <c r="T411" s="1"/>
  <c r="U411" s="1"/>
  <c r="W411"/>
  <c r="X419"/>
  <c r="T419" s="1"/>
  <c r="U419" s="1"/>
  <c r="P419"/>
  <c r="S419" s="1"/>
  <c r="X427"/>
  <c r="T427" s="1"/>
  <c r="U427" s="1"/>
  <c r="P427"/>
  <c r="S427" s="1"/>
  <c r="X435"/>
  <c r="T435" s="1"/>
  <c r="U435" s="1"/>
  <c r="R435"/>
  <c r="X443"/>
  <c r="T443" s="1"/>
  <c r="U443" s="1"/>
  <c r="R443"/>
  <c r="X451"/>
  <c r="T451" s="1"/>
  <c r="U451" s="1"/>
  <c r="V451"/>
  <c r="X459"/>
  <c r="T459" s="1"/>
  <c r="U459" s="1"/>
  <c r="W459"/>
  <c r="X467"/>
  <c r="T467" s="1"/>
  <c r="U467" s="1"/>
  <c r="W467"/>
  <c r="X475"/>
  <c r="T475" s="1"/>
  <c r="U475" s="1"/>
  <c r="W475"/>
  <c r="X483"/>
  <c r="T483" s="1"/>
  <c r="U483" s="1"/>
  <c r="P483"/>
  <c r="S483" s="1"/>
  <c r="X491"/>
  <c r="T491" s="1"/>
  <c r="U491" s="1"/>
  <c r="W491"/>
  <c r="X499"/>
  <c r="T499" s="1"/>
  <c r="U499" s="1"/>
  <c r="W499"/>
  <c r="X507"/>
  <c r="T507" s="1"/>
  <c r="U507" s="1"/>
  <c r="W507"/>
  <c r="X515"/>
  <c r="T515" s="1"/>
  <c r="U515" s="1"/>
  <c r="R515"/>
  <c r="X523"/>
  <c r="T523" s="1"/>
  <c r="U523" s="1"/>
  <c r="W523"/>
  <c r="X531"/>
  <c r="T531" s="1"/>
  <c r="U531" s="1"/>
  <c r="V531"/>
  <c r="X539"/>
  <c r="T539" s="1"/>
  <c r="U539" s="1"/>
  <c r="P539"/>
  <c r="X547"/>
  <c r="T547" s="1"/>
  <c r="U547" s="1"/>
  <c r="R547"/>
  <c r="X555"/>
  <c r="T555" s="1"/>
  <c r="U555" s="1"/>
  <c r="W555"/>
  <c r="X563"/>
  <c r="T563" s="1"/>
  <c r="U563" s="1"/>
  <c r="V563"/>
  <c r="X571"/>
  <c r="T571" s="1"/>
  <c r="U571" s="1"/>
  <c r="R571"/>
  <c r="V27"/>
  <c r="V991"/>
  <c r="V987"/>
  <c r="V983"/>
  <c r="V979"/>
  <c r="W967"/>
  <c r="W963"/>
  <c r="V951"/>
  <c r="V947"/>
  <c r="V935"/>
  <c r="R931"/>
  <c r="R927"/>
  <c r="P923"/>
  <c r="Q923" s="1"/>
  <c r="W911"/>
  <c r="V907"/>
  <c r="R895"/>
  <c r="P891"/>
  <c r="Q891" s="1"/>
  <c r="W887"/>
  <c r="V883"/>
  <c r="W879"/>
  <c r="P871"/>
  <c r="S871" s="1"/>
  <c r="V863"/>
  <c r="V855"/>
  <c r="P847"/>
  <c r="R839"/>
  <c r="P835"/>
  <c r="Q835" s="1"/>
  <c r="R827"/>
  <c r="P823"/>
  <c r="Q823" s="1"/>
  <c r="W819"/>
  <c r="P815"/>
  <c r="Q815" s="1"/>
  <c r="W811"/>
  <c r="R807"/>
  <c r="P803"/>
  <c r="Q803" s="1"/>
  <c r="W799"/>
  <c r="W791"/>
  <c r="R783"/>
  <c r="W767"/>
  <c r="W755"/>
  <c r="P743"/>
  <c r="S743" s="1"/>
  <c r="W739"/>
  <c r="P735"/>
  <c r="S735" s="1"/>
  <c r="W731"/>
  <c r="R727"/>
  <c r="P723"/>
  <c r="W719"/>
  <c r="R711"/>
  <c r="P707"/>
  <c r="Q707" s="1"/>
  <c r="V695"/>
  <c r="P687"/>
  <c r="Q687" s="1"/>
  <c r="W683"/>
  <c r="V679"/>
  <c r="W663"/>
  <c r="V659"/>
  <c r="R655"/>
  <c r="P651"/>
  <c r="Q651" s="1"/>
  <c r="W647"/>
  <c r="V643"/>
  <c r="W639"/>
  <c r="P631"/>
  <c r="Q631" s="1"/>
  <c r="W627"/>
  <c r="V623"/>
  <c r="V611"/>
  <c r="W607"/>
  <c r="P599"/>
  <c r="S599" s="1"/>
  <c r="W595"/>
  <c r="V591"/>
  <c r="R227"/>
  <c r="R19"/>
  <c r="V31"/>
  <c r="W991"/>
  <c r="W987"/>
  <c r="W983"/>
  <c r="W979"/>
  <c r="P975"/>
  <c r="Q975" s="1"/>
  <c r="P971"/>
  <c r="P967"/>
  <c r="Q967" s="1"/>
  <c r="P963"/>
  <c r="Q963" s="1"/>
  <c r="V959"/>
  <c r="V955"/>
  <c r="W951"/>
  <c r="W947"/>
  <c r="P943"/>
  <c r="S943" s="1"/>
  <c r="P939"/>
  <c r="Q939" s="1"/>
  <c r="W935"/>
  <c r="V931"/>
  <c r="V927"/>
  <c r="R923"/>
  <c r="V919"/>
  <c r="R915"/>
  <c r="P911"/>
  <c r="S911" s="1"/>
  <c r="W907"/>
  <c r="R903"/>
  <c r="P899"/>
  <c r="S899" s="1"/>
  <c r="V895"/>
  <c r="R891"/>
  <c r="P887"/>
  <c r="W883"/>
  <c r="P879"/>
  <c r="S879" s="1"/>
  <c r="W875"/>
  <c r="R871"/>
  <c r="P867"/>
  <c r="Q867" s="1"/>
  <c r="W863"/>
  <c r="V859"/>
  <c r="W855"/>
  <c r="V851"/>
  <c r="R847"/>
  <c r="P843"/>
  <c r="S843" s="1"/>
  <c r="V839"/>
  <c r="R835"/>
  <c r="W831"/>
  <c r="V827"/>
  <c r="R823"/>
  <c r="P819"/>
  <c r="S819" s="1"/>
  <c r="R815"/>
  <c r="P811"/>
  <c r="Q811" s="1"/>
  <c r="V807"/>
  <c r="R803"/>
  <c r="P799"/>
  <c r="Q799" s="1"/>
  <c r="W795"/>
  <c r="P791"/>
  <c r="S791" s="1"/>
  <c r="W787"/>
  <c r="V783"/>
  <c r="R779"/>
  <c r="P775"/>
  <c r="S775" s="1"/>
  <c r="W771"/>
  <c r="P767"/>
  <c r="Q767" s="1"/>
  <c r="W763"/>
  <c r="R759"/>
  <c r="P755"/>
  <c r="S755" s="1"/>
  <c r="W751"/>
  <c r="V747"/>
  <c r="R743"/>
  <c r="P739"/>
  <c r="Q739" s="1"/>
  <c r="R735"/>
  <c r="P731"/>
  <c r="Q731" s="1"/>
  <c r="V727"/>
  <c r="R723"/>
  <c r="P719"/>
  <c r="S719" s="1"/>
  <c r="W715"/>
  <c r="V711"/>
  <c r="R707"/>
  <c r="V703"/>
  <c r="R699"/>
  <c r="W695"/>
  <c r="V691"/>
  <c r="R687"/>
  <c r="P683"/>
  <c r="S683" s="1"/>
  <c r="W679"/>
  <c r="V675"/>
  <c r="W671"/>
  <c r="V667"/>
  <c r="P663"/>
  <c r="W659"/>
  <c r="V655"/>
  <c r="R651"/>
  <c r="P647"/>
  <c r="S647" s="1"/>
  <c r="W643"/>
  <c r="P639"/>
  <c r="Q639" s="1"/>
  <c r="W635"/>
  <c r="R631"/>
  <c r="P627"/>
  <c r="Q627" s="1"/>
  <c r="W623"/>
  <c r="R619"/>
  <c r="P615"/>
  <c r="W611"/>
  <c r="P607"/>
  <c r="Q607" s="1"/>
  <c r="W603"/>
  <c r="R599"/>
  <c r="P595"/>
  <c r="S595" s="1"/>
  <c r="W591"/>
  <c r="R587"/>
  <c r="P583"/>
  <c r="Q583" s="1"/>
  <c r="W579"/>
  <c r="P575"/>
  <c r="S575" s="1"/>
  <c r="V571"/>
  <c r="V567"/>
  <c r="V559"/>
  <c r="R555"/>
  <c r="V551"/>
  <c r="P547"/>
  <c r="R539"/>
  <c r="P535"/>
  <c r="S535" s="1"/>
  <c r="R527"/>
  <c r="R523"/>
  <c r="V519"/>
  <c r="P515"/>
  <c r="S515" s="1"/>
  <c r="P503"/>
  <c r="S503" s="1"/>
  <c r="P491"/>
  <c r="W483"/>
  <c r="W479"/>
  <c r="V475"/>
  <c r="R471"/>
  <c r="P459"/>
  <c r="S459" s="1"/>
  <c r="R455"/>
  <c r="R447"/>
  <c r="P439"/>
  <c r="Q439" s="1"/>
  <c r="P435"/>
  <c r="Q435" s="1"/>
  <c r="R431"/>
  <c r="R427"/>
  <c r="R423"/>
  <c r="V419"/>
  <c r="R415"/>
  <c r="R411"/>
  <c r="W407"/>
  <c r="R403"/>
  <c r="P399"/>
  <c r="Q399" s="1"/>
  <c r="V391"/>
  <c r="P387"/>
  <c r="S387" s="1"/>
  <c r="W379"/>
  <c r="V375"/>
  <c r="P371"/>
  <c r="S371" s="1"/>
  <c r="R367"/>
  <c r="R363"/>
  <c r="P359"/>
  <c r="Q359" s="1"/>
  <c r="R355"/>
  <c r="P351"/>
  <c r="S351" s="1"/>
  <c r="P347"/>
  <c r="Q347" s="1"/>
  <c r="W339"/>
  <c r="V331"/>
  <c r="W327"/>
  <c r="R323"/>
  <c r="W315"/>
  <c r="R307"/>
  <c r="V303"/>
  <c r="R299"/>
  <c r="R295"/>
  <c r="R291"/>
  <c r="P283"/>
  <c r="S283" s="1"/>
  <c r="V279"/>
  <c r="P275"/>
  <c r="S275" s="1"/>
  <c r="V267"/>
  <c r="R263"/>
  <c r="V255"/>
  <c r="P251"/>
  <c r="Q251" s="1"/>
  <c r="W243"/>
  <c r="W239"/>
  <c r="R235"/>
  <c r="P231"/>
  <c r="S231" s="1"/>
  <c r="W227"/>
  <c r="W219"/>
  <c r="V215"/>
  <c r="R203"/>
  <c r="R199"/>
  <c r="V195"/>
  <c r="P191"/>
  <c r="S191" s="1"/>
  <c r="W183"/>
  <c r="P179"/>
  <c r="S179" s="1"/>
  <c r="V175"/>
  <c r="P171"/>
  <c r="S171" s="1"/>
  <c r="P167"/>
  <c r="S167" s="1"/>
  <c r="V159"/>
  <c r="P155"/>
  <c r="Q155" s="1"/>
  <c r="R151"/>
  <c r="W143"/>
  <c r="P139"/>
  <c r="S139" s="1"/>
  <c r="P135"/>
  <c r="Q135" s="1"/>
  <c r="W131"/>
  <c r="V127"/>
  <c r="P123"/>
  <c r="Q123" s="1"/>
  <c r="R115"/>
  <c r="P111"/>
  <c r="S111" s="1"/>
  <c r="V99"/>
  <c r="P95"/>
  <c r="S95" s="1"/>
  <c r="V87"/>
  <c r="W71"/>
  <c r="V39"/>
  <c r="W35"/>
  <c r="P83"/>
  <c r="S83" s="1"/>
  <c r="R79"/>
  <c r="R75"/>
  <c r="V71"/>
  <c r="P67"/>
  <c r="Q67" s="1"/>
  <c r="P63"/>
  <c r="Q63" s="1"/>
  <c r="R59"/>
  <c r="R55"/>
  <c r="R51"/>
  <c r="W47"/>
  <c r="P43"/>
  <c r="S43" s="1"/>
  <c r="R39"/>
  <c r="V35"/>
  <c r="W19"/>
  <c r="V83"/>
  <c r="W79"/>
  <c r="W75"/>
  <c r="P71"/>
  <c r="Q71" s="1"/>
  <c r="V67"/>
  <c r="V63"/>
  <c r="W59"/>
  <c r="W55"/>
  <c r="W51"/>
  <c r="R47"/>
  <c r="V43"/>
  <c r="W39"/>
  <c r="P35"/>
  <c r="S35" s="1"/>
  <c r="W23"/>
  <c r="W15"/>
  <c r="P23"/>
  <c r="S23" s="1"/>
  <c r="P19"/>
  <c r="S19" s="1"/>
  <c r="R15"/>
  <c r="R84"/>
  <c r="W83"/>
  <c r="P79"/>
  <c r="S79" s="1"/>
  <c r="V76"/>
  <c r="P75"/>
  <c r="S75" s="1"/>
  <c r="R71"/>
  <c r="R68"/>
  <c r="W67"/>
  <c r="W63"/>
  <c r="V60"/>
  <c r="P59"/>
  <c r="S59" s="1"/>
  <c r="P55"/>
  <c r="Q55" s="1"/>
  <c r="V52"/>
  <c r="P51"/>
  <c r="S51" s="1"/>
  <c r="V47"/>
  <c r="R44"/>
  <c r="W43"/>
  <c r="P39"/>
  <c r="S39" s="1"/>
  <c r="W36"/>
  <c r="R35"/>
  <c r="W27"/>
  <c r="V20"/>
  <c r="V19"/>
  <c r="H7" i="17"/>
  <c r="X24" i="1"/>
  <c r="T24" s="1"/>
  <c r="U24" s="1"/>
  <c r="W24"/>
  <c r="X56"/>
  <c r="T56" s="1"/>
  <c r="U56" s="1"/>
  <c r="P56"/>
  <c r="S56" s="1"/>
  <c r="R56"/>
  <c r="V56"/>
  <c r="W56"/>
  <c r="X88"/>
  <c r="T88" s="1"/>
  <c r="U88" s="1"/>
  <c r="P88"/>
  <c r="Q88" s="1"/>
  <c r="R88"/>
  <c r="V88"/>
  <c r="W88"/>
  <c r="X120"/>
  <c r="T120" s="1"/>
  <c r="U120" s="1"/>
  <c r="P120"/>
  <c r="Q120" s="1"/>
  <c r="R120"/>
  <c r="V120"/>
  <c r="W120"/>
  <c r="X152"/>
  <c r="T152" s="1"/>
  <c r="U152" s="1"/>
  <c r="P152"/>
  <c r="S152" s="1"/>
  <c r="R152"/>
  <c r="V152"/>
  <c r="W152"/>
  <c r="X176"/>
  <c r="T176" s="1"/>
  <c r="U176" s="1"/>
  <c r="P176"/>
  <c r="Q176" s="1"/>
  <c r="R176"/>
  <c r="W176"/>
  <c r="V176"/>
  <c r="X208"/>
  <c r="T208" s="1"/>
  <c r="U208" s="1"/>
  <c r="P208"/>
  <c r="Q208" s="1"/>
  <c r="R208"/>
  <c r="W208"/>
  <c r="V208"/>
  <c r="X232"/>
  <c r="T232" s="1"/>
  <c r="U232" s="1"/>
  <c r="R232"/>
  <c r="P232"/>
  <c r="S232" s="1"/>
  <c r="X264"/>
  <c r="T264" s="1"/>
  <c r="U264" s="1"/>
  <c r="R264"/>
  <c r="V264"/>
  <c r="W264"/>
  <c r="X296"/>
  <c r="T296" s="1"/>
  <c r="U296" s="1"/>
  <c r="R296"/>
  <c r="V296"/>
  <c r="W296"/>
  <c r="X328"/>
  <c r="T328" s="1"/>
  <c r="U328" s="1"/>
  <c r="R328"/>
  <c r="V328"/>
  <c r="W328"/>
  <c r="X360"/>
  <c r="T360" s="1"/>
  <c r="U360" s="1"/>
  <c r="R360"/>
  <c r="V360"/>
  <c r="W360"/>
  <c r="X392"/>
  <c r="T392" s="1"/>
  <c r="U392" s="1"/>
  <c r="R392"/>
  <c r="V392"/>
  <c r="W392"/>
  <c r="X424"/>
  <c r="T424" s="1"/>
  <c r="U424" s="1"/>
  <c r="V424"/>
  <c r="W424"/>
  <c r="R424"/>
  <c r="X464"/>
  <c r="T464" s="1"/>
  <c r="U464" s="1"/>
  <c r="V464"/>
  <c r="P464"/>
  <c r="Q464" s="1"/>
  <c r="W464"/>
  <c r="X496"/>
  <c r="T496" s="1"/>
  <c r="U496" s="1"/>
  <c r="V496"/>
  <c r="P496"/>
  <c r="S496" s="1"/>
  <c r="W496"/>
  <c r="X528"/>
  <c r="T528" s="1"/>
  <c r="U528" s="1"/>
  <c r="V528"/>
  <c r="P528"/>
  <c r="S528" s="1"/>
  <c r="W528"/>
  <c r="X552"/>
  <c r="T552" s="1"/>
  <c r="U552" s="1"/>
  <c r="V552"/>
  <c r="P552"/>
  <c r="Q552" s="1"/>
  <c r="X584"/>
  <c r="T584" s="1"/>
  <c r="U584" s="1"/>
  <c r="P584"/>
  <c r="S584" s="1"/>
  <c r="V584"/>
  <c r="W584"/>
  <c r="X616"/>
  <c r="T616" s="1"/>
  <c r="U616" s="1"/>
  <c r="P616"/>
  <c r="S616" s="1"/>
  <c r="V616"/>
  <c r="W616"/>
  <c r="X648"/>
  <c r="T648" s="1"/>
  <c r="U648" s="1"/>
  <c r="P648"/>
  <c r="Q648" s="1"/>
  <c r="V648"/>
  <c r="W648"/>
  <c r="X680"/>
  <c r="T680" s="1"/>
  <c r="U680" s="1"/>
  <c r="P680"/>
  <c r="S680" s="1"/>
  <c r="V680"/>
  <c r="W680"/>
  <c r="X704"/>
  <c r="T704" s="1"/>
  <c r="U704" s="1"/>
  <c r="P704"/>
  <c r="S704" s="1"/>
  <c r="V704"/>
  <c r="W704"/>
  <c r="X736"/>
  <c r="T736" s="1"/>
  <c r="U736" s="1"/>
  <c r="P736"/>
  <c r="S736" s="1"/>
  <c r="V736"/>
  <c r="W736"/>
  <c r="X768"/>
  <c r="T768" s="1"/>
  <c r="U768" s="1"/>
  <c r="P768"/>
  <c r="S768" s="1"/>
  <c r="V768"/>
  <c r="W768"/>
  <c r="X800"/>
  <c r="T800" s="1"/>
  <c r="U800" s="1"/>
  <c r="P800"/>
  <c r="Q800" s="1"/>
  <c r="W800"/>
  <c r="X840"/>
  <c r="T840" s="1"/>
  <c r="U840" s="1"/>
  <c r="P840"/>
  <c r="Q840" s="1"/>
  <c r="W840"/>
  <c r="X872"/>
  <c r="T872" s="1"/>
  <c r="U872" s="1"/>
  <c r="P872"/>
  <c r="S872" s="1"/>
  <c r="W872"/>
  <c r="X912"/>
  <c r="T912" s="1"/>
  <c r="U912" s="1"/>
  <c r="W912"/>
  <c r="X944"/>
  <c r="T944" s="1"/>
  <c r="U944" s="1"/>
  <c r="W944"/>
  <c r="X968"/>
  <c r="T968" s="1"/>
  <c r="U968" s="1"/>
  <c r="W968"/>
  <c r="V952"/>
  <c r="V808"/>
  <c r="X33"/>
  <c r="T33" s="1"/>
  <c r="U33" s="1"/>
  <c r="V33"/>
  <c r="X65"/>
  <c r="T65" s="1"/>
  <c r="U65" s="1"/>
  <c r="V65"/>
  <c r="W65"/>
  <c r="P65"/>
  <c r="Q65" s="1"/>
  <c r="R65"/>
  <c r="X97"/>
  <c r="T97" s="1"/>
  <c r="U97" s="1"/>
  <c r="V97"/>
  <c r="W97"/>
  <c r="P97"/>
  <c r="Q97" s="1"/>
  <c r="R97"/>
  <c r="X129"/>
  <c r="T129" s="1"/>
  <c r="U129" s="1"/>
  <c r="V129"/>
  <c r="W129"/>
  <c r="P129"/>
  <c r="Q129" s="1"/>
  <c r="R129"/>
  <c r="X153"/>
  <c r="T153" s="1"/>
  <c r="U153" s="1"/>
  <c r="V153"/>
  <c r="W153"/>
  <c r="R153"/>
  <c r="P153"/>
  <c r="Q153" s="1"/>
  <c r="X185"/>
  <c r="T185" s="1"/>
  <c r="U185" s="1"/>
  <c r="V185"/>
  <c r="W185"/>
  <c r="R185"/>
  <c r="X217"/>
  <c r="T217" s="1"/>
  <c r="U217" s="1"/>
  <c r="V217"/>
  <c r="W217"/>
  <c r="R217"/>
  <c r="P217"/>
  <c r="Q217" s="1"/>
  <c r="X249"/>
  <c r="T249" s="1"/>
  <c r="U249" s="1"/>
  <c r="R249"/>
  <c r="W249"/>
  <c r="X281"/>
  <c r="T281" s="1"/>
  <c r="U281" s="1"/>
  <c r="R281"/>
  <c r="W281"/>
  <c r="P281"/>
  <c r="S281" s="1"/>
  <c r="V281"/>
  <c r="X313"/>
  <c r="T313" s="1"/>
  <c r="U313" s="1"/>
  <c r="R313"/>
  <c r="W313"/>
  <c r="X345"/>
  <c r="T345" s="1"/>
  <c r="U345" s="1"/>
  <c r="R345"/>
  <c r="W345"/>
  <c r="P345"/>
  <c r="S345" s="1"/>
  <c r="V345"/>
  <c r="X377"/>
  <c r="T377" s="1"/>
  <c r="U377" s="1"/>
  <c r="R377"/>
  <c r="W377"/>
  <c r="X409"/>
  <c r="T409" s="1"/>
  <c r="U409" s="1"/>
  <c r="R409"/>
  <c r="W409"/>
  <c r="P409"/>
  <c r="Q409" s="1"/>
  <c r="V409"/>
  <c r="X441"/>
  <c r="T441" s="1"/>
  <c r="U441" s="1"/>
  <c r="R441"/>
  <c r="P441"/>
  <c r="S441" s="1"/>
  <c r="V441"/>
  <c r="X473"/>
  <c r="T473" s="1"/>
  <c r="U473" s="1"/>
  <c r="R473"/>
  <c r="V473"/>
  <c r="W473"/>
  <c r="X505"/>
  <c r="T505" s="1"/>
  <c r="U505" s="1"/>
  <c r="R505"/>
  <c r="V505"/>
  <c r="W505"/>
  <c r="X537"/>
  <c r="T537" s="1"/>
  <c r="U537" s="1"/>
  <c r="R537"/>
  <c r="V537"/>
  <c r="W537"/>
  <c r="X561"/>
  <c r="T561" s="1"/>
  <c r="U561" s="1"/>
  <c r="V561"/>
  <c r="X593"/>
  <c r="T593" s="1"/>
  <c r="U593" s="1"/>
  <c r="V593"/>
  <c r="X641"/>
  <c r="T641" s="1"/>
  <c r="U641" s="1"/>
  <c r="V641"/>
  <c r="X673"/>
  <c r="T673" s="1"/>
  <c r="U673" s="1"/>
  <c r="V673"/>
  <c r="X705"/>
  <c r="T705" s="1"/>
  <c r="U705" s="1"/>
  <c r="V705"/>
  <c r="X737"/>
  <c r="T737" s="1"/>
  <c r="U737" s="1"/>
  <c r="V737"/>
  <c r="X769"/>
  <c r="T769" s="1"/>
  <c r="U769" s="1"/>
  <c r="V769"/>
  <c r="X801"/>
  <c r="T801" s="1"/>
  <c r="U801" s="1"/>
  <c r="V801"/>
  <c r="X833"/>
  <c r="T833" s="1"/>
  <c r="U833" s="1"/>
  <c r="V833"/>
  <c r="X865"/>
  <c r="T865" s="1"/>
  <c r="U865" s="1"/>
  <c r="V865"/>
  <c r="X889"/>
  <c r="T889" s="1"/>
  <c r="U889" s="1"/>
  <c r="V889"/>
  <c r="R993"/>
  <c r="W945"/>
  <c r="P944"/>
  <c r="Q944" s="1"/>
  <c r="R937"/>
  <c r="V897"/>
  <c r="R881"/>
  <c r="R872"/>
  <c r="R641"/>
  <c r="W472"/>
  <c r="W33"/>
  <c r="X34"/>
  <c r="T34" s="1"/>
  <c r="U34" s="1"/>
  <c r="W34"/>
  <c r="V34"/>
  <c r="X74"/>
  <c r="T74" s="1"/>
  <c r="U74" s="1"/>
  <c r="P74"/>
  <c r="S74" s="1"/>
  <c r="R74"/>
  <c r="V74"/>
  <c r="X106"/>
  <c r="T106" s="1"/>
  <c r="U106" s="1"/>
  <c r="P106"/>
  <c r="S106" s="1"/>
  <c r="R106"/>
  <c r="V106"/>
  <c r="X130"/>
  <c r="T130" s="1"/>
  <c r="U130" s="1"/>
  <c r="R130"/>
  <c r="W130"/>
  <c r="V130"/>
  <c r="X162"/>
  <c r="T162" s="1"/>
  <c r="U162" s="1"/>
  <c r="R162"/>
  <c r="W162"/>
  <c r="P162"/>
  <c r="S162" s="1"/>
  <c r="V162"/>
  <c r="X194"/>
  <c r="T194" s="1"/>
  <c r="U194" s="1"/>
  <c r="R194"/>
  <c r="W194"/>
  <c r="V194"/>
  <c r="X226"/>
  <c r="T226" s="1"/>
  <c r="U226" s="1"/>
  <c r="R226"/>
  <c r="V226"/>
  <c r="W226"/>
  <c r="X258"/>
  <c r="T258" s="1"/>
  <c r="U258" s="1"/>
  <c r="W258"/>
  <c r="P258"/>
  <c r="S258" s="1"/>
  <c r="R258"/>
  <c r="X290"/>
  <c r="T290" s="1"/>
  <c r="U290" s="1"/>
  <c r="W290"/>
  <c r="R290"/>
  <c r="X322"/>
  <c r="T322" s="1"/>
  <c r="U322" s="1"/>
  <c r="W322"/>
  <c r="P322"/>
  <c r="Q322" s="1"/>
  <c r="R322"/>
  <c r="X354"/>
  <c r="T354" s="1"/>
  <c r="U354" s="1"/>
  <c r="W354"/>
  <c r="R354"/>
  <c r="X386"/>
  <c r="T386" s="1"/>
  <c r="U386" s="1"/>
  <c r="W386"/>
  <c r="P386"/>
  <c r="Q386" s="1"/>
  <c r="R386"/>
  <c r="X410"/>
  <c r="T410" s="1"/>
  <c r="U410" s="1"/>
  <c r="W410"/>
  <c r="V410"/>
  <c r="X442"/>
  <c r="T442" s="1"/>
  <c r="U442" s="1"/>
  <c r="W442"/>
  <c r="P442"/>
  <c r="Q442" s="1"/>
  <c r="V442"/>
  <c r="X466"/>
  <c r="T466" s="1"/>
  <c r="U466" s="1"/>
  <c r="W466"/>
  <c r="P466"/>
  <c r="Q466" s="1"/>
  <c r="R466"/>
  <c r="V466"/>
  <c r="X498"/>
  <c r="T498" s="1"/>
  <c r="U498" s="1"/>
  <c r="W498"/>
  <c r="P498"/>
  <c r="S498" s="1"/>
  <c r="R498"/>
  <c r="V498"/>
  <c r="X530"/>
  <c r="T530" s="1"/>
  <c r="U530" s="1"/>
  <c r="W530"/>
  <c r="P530"/>
  <c r="S530" s="1"/>
  <c r="R530"/>
  <c r="V530"/>
  <c r="X562"/>
  <c r="T562" s="1"/>
  <c r="U562" s="1"/>
  <c r="P562"/>
  <c r="S562" s="1"/>
  <c r="X594"/>
  <c r="T594" s="1"/>
  <c r="U594" s="1"/>
  <c r="P594"/>
  <c r="Q594" s="1"/>
  <c r="X626"/>
  <c r="T626" s="1"/>
  <c r="U626" s="1"/>
  <c r="P626"/>
  <c r="S626" s="1"/>
  <c r="X658"/>
  <c r="T658" s="1"/>
  <c r="U658" s="1"/>
  <c r="P658"/>
  <c r="S658" s="1"/>
  <c r="X698"/>
  <c r="T698" s="1"/>
  <c r="U698" s="1"/>
  <c r="P698"/>
  <c r="S698" s="1"/>
  <c r="X738"/>
  <c r="T738" s="1"/>
  <c r="U738" s="1"/>
  <c r="P738"/>
  <c r="Q738" s="1"/>
  <c r="X770"/>
  <c r="T770" s="1"/>
  <c r="U770" s="1"/>
  <c r="P770"/>
  <c r="S770" s="1"/>
  <c r="X802"/>
  <c r="T802" s="1"/>
  <c r="U802" s="1"/>
  <c r="P802"/>
  <c r="Q802" s="1"/>
  <c r="X826"/>
  <c r="T826" s="1"/>
  <c r="U826" s="1"/>
  <c r="P826"/>
  <c r="S826" s="1"/>
  <c r="X842"/>
  <c r="T842" s="1"/>
  <c r="U842" s="1"/>
  <c r="P842"/>
  <c r="S842" s="1"/>
  <c r="X858"/>
  <c r="T858" s="1"/>
  <c r="U858" s="1"/>
  <c r="P858"/>
  <c r="Q858" s="1"/>
  <c r="X874"/>
  <c r="T874" s="1"/>
  <c r="U874" s="1"/>
  <c r="P874"/>
  <c r="Q874" s="1"/>
  <c r="X890"/>
  <c r="T890" s="1"/>
  <c r="U890" s="1"/>
  <c r="P890"/>
  <c r="Q890" s="1"/>
  <c r="X906"/>
  <c r="T906" s="1"/>
  <c r="U906" s="1"/>
  <c r="P906"/>
  <c r="S906" s="1"/>
  <c r="X922"/>
  <c r="T922" s="1"/>
  <c r="U922" s="1"/>
  <c r="P922"/>
  <c r="S922" s="1"/>
  <c r="R26"/>
  <c r="V994"/>
  <c r="R986"/>
  <c r="P978"/>
  <c r="S978" s="1"/>
  <c r="V968"/>
  <c r="R960"/>
  <c r="W953"/>
  <c r="P952"/>
  <c r="Q952" s="1"/>
  <c r="V921"/>
  <c r="R904"/>
  <c r="R890"/>
  <c r="V866"/>
  <c r="R857"/>
  <c r="W842"/>
  <c r="W833"/>
  <c r="V824"/>
  <c r="P817"/>
  <c r="Q817" s="1"/>
  <c r="V802"/>
  <c r="R793"/>
  <c r="V778"/>
  <c r="P769"/>
  <c r="S769" s="1"/>
  <c r="W761"/>
  <c r="V746"/>
  <c r="P737"/>
  <c r="Q737" s="1"/>
  <c r="W729"/>
  <c r="V714"/>
  <c r="P705"/>
  <c r="Q705" s="1"/>
  <c r="W697"/>
  <c r="V682"/>
  <c r="P673"/>
  <c r="S673" s="1"/>
  <c r="W665"/>
  <c r="V650"/>
  <c r="P641"/>
  <c r="Q641" s="1"/>
  <c r="W633"/>
  <c r="V618"/>
  <c r="P609"/>
  <c r="Q609" s="1"/>
  <c r="W601"/>
  <c r="V586"/>
  <c r="P577"/>
  <c r="Q577" s="1"/>
  <c r="W569"/>
  <c r="V545"/>
  <c r="P537"/>
  <c r="Q537" s="1"/>
  <c r="W520"/>
  <c r="P497"/>
  <c r="Q497" s="1"/>
  <c r="R474"/>
  <c r="W465"/>
  <c r="V418"/>
  <c r="V394"/>
  <c r="V322"/>
  <c r="V290"/>
  <c r="V266"/>
  <c r="P33"/>
  <c r="Q33" s="1"/>
  <c r="R25"/>
  <c r="R17"/>
  <c r="V22"/>
  <c r="R994"/>
  <c r="P986"/>
  <c r="Q986" s="1"/>
  <c r="V976"/>
  <c r="R968"/>
  <c r="W961"/>
  <c r="V953"/>
  <c r="W946"/>
  <c r="R945"/>
  <c r="R928"/>
  <c r="R921"/>
  <c r="W905"/>
  <c r="P897"/>
  <c r="Q897" s="1"/>
  <c r="R888"/>
  <c r="V864"/>
  <c r="V842"/>
  <c r="R833"/>
  <c r="W809"/>
  <c r="R802"/>
  <c r="V800"/>
  <c r="W770"/>
  <c r="W738"/>
  <c r="R729"/>
  <c r="W706"/>
  <c r="R697"/>
  <c r="R680"/>
  <c r="W674"/>
  <c r="R665"/>
  <c r="R648"/>
  <c r="W642"/>
  <c r="R633"/>
  <c r="R616"/>
  <c r="W610"/>
  <c r="R584"/>
  <c r="W578"/>
  <c r="R528"/>
  <c r="V465"/>
  <c r="P424"/>
  <c r="S424" s="1"/>
  <c r="V377"/>
  <c r="R346"/>
  <c r="V305"/>
  <c r="P296"/>
  <c r="Q296" s="1"/>
  <c r="P290"/>
  <c r="S290" s="1"/>
  <c r="V249"/>
  <c r="W232"/>
  <c r="V134"/>
  <c r="X32"/>
  <c r="T32" s="1"/>
  <c r="U32" s="1"/>
  <c r="V32"/>
  <c r="X64"/>
  <c r="T64" s="1"/>
  <c r="U64" s="1"/>
  <c r="P64"/>
  <c r="Q64" s="1"/>
  <c r="R64"/>
  <c r="W64"/>
  <c r="V64"/>
  <c r="X96"/>
  <c r="T96" s="1"/>
  <c r="U96" s="1"/>
  <c r="P96"/>
  <c r="S96" s="1"/>
  <c r="R96"/>
  <c r="W96"/>
  <c r="X128"/>
  <c r="T128" s="1"/>
  <c r="U128" s="1"/>
  <c r="P128"/>
  <c r="Q128" s="1"/>
  <c r="R128"/>
  <c r="W128"/>
  <c r="V128"/>
  <c r="X160"/>
  <c r="T160" s="1"/>
  <c r="U160" s="1"/>
  <c r="P160"/>
  <c r="S160" s="1"/>
  <c r="R160"/>
  <c r="W160"/>
  <c r="X200"/>
  <c r="T200" s="1"/>
  <c r="U200" s="1"/>
  <c r="P200"/>
  <c r="Q200" s="1"/>
  <c r="R200"/>
  <c r="V200"/>
  <c r="W200"/>
  <c r="X240"/>
  <c r="T240" s="1"/>
  <c r="U240" s="1"/>
  <c r="R240"/>
  <c r="P240"/>
  <c r="S240" s="1"/>
  <c r="V240"/>
  <c r="W240"/>
  <c r="X272"/>
  <c r="T272" s="1"/>
  <c r="U272" s="1"/>
  <c r="R272"/>
  <c r="V272"/>
  <c r="W272"/>
  <c r="X304"/>
  <c r="T304" s="1"/>
  <c r="U304" s="1"/>
  <c r="R304"/>
  <c r="V304"/>
  <c r="W304"/>
  <c r="P304"/>
  <c r="Q304" s="1"/>
  <c r="X336"/>
  <c r="T336" s="1"/>
  <c r="U336" s="1"/>
  <c r="R336"/>
  <c r="V336"/>
  <c r="W336"/>
  <c r="X368"/>
  <c r="T368" s="1"/>
  <c r="U368" s="1"/>
  <c r="R368"/>
  <c r="V368"/>
  <c r="W368"/>
  <c r="P368"/>
  <c r="Q368" s="1"/>
  <c r="X400"/>
  <c r="T400" s="1"/>
  <c r="U400" s="1"/>
  <c r="R400"/>
  <c r="V400"/>
  <c r="W400"/>
  <c r="X432"/>
  <c r="T432" s="1"/>
  <c r="U432" s="1"/>
  <c r="V432"/>
  <c r="W432"/>
  <c r="P432"/>
  <c r="Q432" s="1"/>
  <c r="X456"/>
  <c r="T456" s="1"/>
  <c r="U456" s="1"/>
  <c r="V456"/>
  <c r="W456"/>
  <c r="X488"/>
  <c r="T488" s="1"/>
  <c r="U488" s="1"/>
  <c r="V488"/>
  <c r="P488"/>
  <c r="S488" s="1"/>
  <c r="X520"/>
  <c r="T520" s="1"/>
  <c r="U520" s="1"/>
  <c r="V520"/>
  <c r="P520"/>
  <c r="S520" s="1"/>
  <c r="X560"/>
  <c r="T560" s="1"/>
  <c r="U560" s="1"/>
  <c r="P560"/>
  <c r="S560" s="1"/>
  <c r="V560"/>
  <c r="W560"/>
  <c r="X592"/>
  <c r="T592" s="1"/>
  <c r="U592" s="1"/>
  <c r="P592"/>
  <c r="Q592" s="1"/>
  <c r="V592"/>
  <c r="W592"/>
  <c r="X624"/>
  <c r="T624" s="1"/>
  <c r="U624" s="1"/>
  <c r="P624"/>
  <c r="Q624" s="1"/>
  <c r="V624"/>
  <c r="W624"/>
  <c r="X656"/>
  <c r="T656" s="1"/>
  <c r="U656" s="1"/>
  <c r="P656"/>
  <c r="Q656" s="1"/>
  <c r="V656"/>
  <c r="W656"/>
  <c r="X688"/>
  <c r="T688" s="1"/>
  <c r="U688" s="1"/>
  <c r="P688"/>
  <c r="S688" s="1"/>
  <c r="V688"/>
  <c r="W688"/>
  <c r="X720"/>
  <c r="T720" s="1"/>
  <c r="U720" s="1"/>
  <c r="P720"/>
  <c r="Q720" s="1"/>
  <c r="V720"/>
  <c r="W720"/>
  <c r="X760"/>
  <c r="T760" s="1"/>
  <c r="U760" s="1"/>
  <c r="P760"/>
  <c r="Q760" s="1"/>
  <c r="V760"/>
  <c r="W760"/>
  <c r="X784"/>
  <c r="T784" s="1"/>
  <c r="U784" s="1"/>
  <c r="P784"/>
  <c r="Q784" s="1"/>
  <c r="V784"/>
  <c r="W784"/>
  <c r="X816"/>
  <c r="T816" s="1"/>
  <c r="U816" s="1"/>
  <c r="P816"/>
  <c r="S816" s="1"/>
  <c r="W816"/>
  <c r="X848"/>
  <c r="T848" s="1"/>
  <c r="U848" s="1"/>
  <c r="P848"/>
  <c r="S848" s="1"/>
  <c r="W848"/>
  <c r="X880"/>
  <c r="T880" s="1"/>
  <c r="U880" s="1"/>
  <c r="P880"/>
  <c r="Q880" s="1"/>
  <c r="W880"/>
  <c r="X904"/>
  <c r="T904" s="1"/>
  <c r="U904" s="1"/>
  <c r="W904"/>
  <c r="X936"/>
  <c r="T936" s="1"/>
  <c r="U936" s="1"/>
  <c r="W936"/>
  <c r="X984"/>
  <c r="T984" s="1"/>
  <c r="U984" s="1"/>
  <c r="W984"/>
  <c r="X41"/>
  <c r="T41" s="1"/>
  <c r="U41" s="1"/>
  <c r="V41"/>
  <c r="W41"/>
  <c r="R41"/>
  <c r="X81"/>
  <c r="T81" s="1"/>
  <c r="U81" s="1"/>
  <c r="V81"/>
  <c r="W81"/>
  <c r="P81"/>
  <c r="S81" s="1"/>
  <c r="R81"/>
  <c r="X113"/>
  <c r="T113" s="1"/>
  <c r="U113" s="1"/>
  <c r="V113"/>
  <c r="W113"/>
  <c r="P113"/>
  <c r="S113" s="1"/>
  <c r="R113"/>
  <c r="X145"/>
  <c r="T145" s="1"/>
  <c r="U145" s="1"/>
  <c r="V145"/>
  <c r="W145"/>
  <c r="P145"/>
  <c r="Q145" s="1"/>
  <c r="R145"/>
  <c r="X177"/>
  <c r="T177" s="1"/>
  <c r="U177" s="1"/>
  <c r="V177"/>
  <c r="W177"/>
  <c r="P177"/>
  <c r="Q177" s="1"/>
  <c r="R177"/>
  <c r="X209"/>
  <c r="T209" s="1"/>
  <c r="U209" s="1"/>
  <c r="V209"/>
  <c r="W209"/>
  <c r="P209"/>
  <c r="Q209" s="1"/>
  <c r="R209"/>
  <c r="X233"/>
  <c r="T233" s="1"/>
  <c r="U233" s="1"/>
  <c r="W233"/>
  <c r="P233"/>
  <c r="S233" s="1"/>
  <c r="R233"/>
  <c r="V233"/>
  <c r="X265"/>
  <c r="T265" s="1"/>
  <c r="U265" s="1"/>
  <c r="R265"/>
  <c r="W265"/>
  <c r="P265"/>
  <c r="S265" s="1"/>
  <c r="X297"/>
  <c r="T297" s="1"/>
  <c r="U297" s="1"/>
  <c r="R297"/>
  <c r="W297"/>
  <c r="P297"/>
  <c r="Q297" s="1"/>
  <c r="X329"/>
  <c r="T329" s="1"/>
  <c r="U329" s="1"/>
  <c r="R329"/>
  <c r="W329"/>
  <c r="P329"/>
  <c r="S329" s="1"/>
  <c r="X369"/>
  <c r="T369" s="1"/>
  <c r="U369" s="1"/>
  <c r="R369"/>
  <c r="W369"/>
  <c r="X401"/>
  <c r="T401" s="1"/>
  <c r="U401" s="1"/>
  <c r="R401"/>
  <c r="W401"/>
  <c r="V401"/>
  <c r="X425"/>
  <c r="T425" s="1"/>
  <c r="U425" s="1"/>
  <c r="R425"/>
  <c r="X457"/>
  <c r="T457" s="1"/>
  <c r="U457" s="1"/>
  <c r="R457"/>
  <c r="V457"/>
  <c r="W457"/>
  <c r="X489"/>
  <c r="T489" s="1"/>
  <c r="U489" s="1"/>
  <c r="R489"/>
  <c r="V489"/>
  <c r="W489"/>
  <c r="X513"/>
  <c r="T513" s="1"/>
  <c r="U513" s="1"/>
  <c r="R513"/>
  <c r="X545"/>
  <c r="T545" s="1"/>
  <c r="U545" s="1"/>
  <c r="R545"/>
  <c r="X569"/>
  <c r="T569" s="1"/>
  <c r="U569" s="1"/>
  <c r="V569"/>
  <c r="X601"/>
  <c r="T601" s="1"/>
  <c r="U601" s="1"/>
  <c r="V601"/>
  <c r="X625"/>
  <c r="T625" s="1"/>
  <c r="U625" s="1"/>
  <c r="V625"/>
  <c r="X657"/>
  <c r="T657" s="1"/>
  <c r="U657" s="1"/>
  <c r="V657"/>
  <c r="X689"/>
  <c r="T689" s="1"/>
  <c r="U689" s="1"/>
  <c r="V689"/>
  <c r="X721"/>
  <c r="T721" s="1"/>
  <c r="U721" s="1"/>
  <c r="V721"/>
  <c r="X761"/>
  <c r="T761" s="1"/>
  <c r="U761" s="1"/>
  <c r="V761"/>
  <c r="X793"/>
  <c r="T793" s="1"/>
  <c r="U793" s="1"/>
  <c r="V793"/>
  <c r="X825"/>
  <c r="T825" s="1"/>
  <c r="U825" s="1"/>
  <c r="V825"/>
  <c r="X857"/>
  <c r="T857" s="1"/>
  <c r="U857" s="1"/>
  <c r="V857"/>
  <c r="X873"/>
  <c r="T873" s="1"/>
  <c r="U873" s="1"/>
  <c r="V873"/>
  <c r="V904"/>
  <c r="W793"/>
  <c r="R769"/>
  <c r="R737"/>
  <c r="P401"/>
  <c r="S401" s="1"/>
  <c r="P392"/>
  <c r="Q392" s="1"/>
  <c r="P264"/>
  <c r="S264" s="1"/>
  <c r="X18"/>
  <c r="T18" s="1"/>
  <c r="U18" s="1"/>
  <c r="V18"/>
  <c r="X50"/>
  <c r="T50" s="1"/>
  <c r="U50" s="1"/>
  <c r="R50"/>
  <c r="W50"/>
  <c r="X82"/>
  <c r="T82" s="1"/>
  <c r="U82" s="1"/>
  <c r="R82"/>
  <c r="W82"/>
  <c r="V82"/>
  <c r="X114"/>
  <c r="T114" s="1"/>
  <c r="U114" s="1"/>
  <c r="R114"/>
  <c r="W114"/>
  <c r="X146"/>
  <c r="T146" s="1"/>
  <c r="U146" s="1"/>
  <c r="R146"/>
  <c r="W146"/>
  <c r="V146"/>
  <c r="X178"/>
  <c r="T178" s="1"/>
  <c r="U178" s="1"/>
  <c r="R178"/>
  <c r="W178"/>
  <c r="X210"/>
  <c r="T210" s="1"/>
  <c r="U210" s="1"/>
  <c r="R210"/>
  <c r="W210"/>
  <c r="V210"/>
  <c r="X242"/>
  <c r="T242" s="1"/>
  <c r="U242" s="1"/>
  <c r="W242"/>
  <c r="R242"/>
  <c r="V242"/>
  <c r="X274"/>
  <c r="T274" s="1"/>
  <c r="U274" s="1"/>
  <c r="W274"/>
  <c r="X306"/>
  <c r="T306" s="1"/>
  <c r="U306" s="1"/>
  <c r="W306"/>
  <c r="R306"/>
  <c r="V306"/>
  <c r="X338"/>
  <c r="T338" s="1"/>
  <c r="U338" s="1"/>
  <c r="W338"/>
  <c r="X370"/>
  <c r="T370" s="1"/>
  <c r="U370" s="1"/>
  <c r="W370"/>
  <c r="R370"/>
  <c r="V370"/>
  <c r="X402"/>
  <c r="T402" s="1"/>
  <c r="U402" s="1"/>
  <c r="W402"/>
  <c r="X434"/>
  <c r="T434" s="1"/>
  <c r="U434" s="1"/>
  <c r="W434"/>
  <c r="X482"/>
  <c r="T482" s="1"/>
  <c r="U482" s="1"/>
  <c r="W482"/>
  <c r="P482"/>
  <c r="Q482" s="1"/>
  <c r="R482"/>
  <c r="V482"/>
  <c r="X522"/>
  <c r="T522" s="1"/>
  <c r="U522" s="1"/>
  <c r="W522"/>
  <c r="V522"/>
  <c r="X554"/>
  <c r="T554" s="1"/>
  <c r="U554" s="1"/>
  <c r="W554"/>
  <c r="V554"/>
  <c r="X586"/>
  <c r="T586" s="1"/>
  <c r="U586" s="1"/>
  <c r="P586"/>
  <c r="Q586" s="1"/>
  <c r="X618"/>
  <c r="T618" s="1"/>
  <c r="U618" s="1"/>
  <c r="P618"/>
  <c r="Q618" s="1"/>
  <c r="X650"/>
  <c r="T650" s="1"/>
  <c r="U650" s="1"/>
  <c r="P650"/>
  <c r="Q650" s="1"/>
  <c r="X682"/>
  <c r="T682" s="1"/>
  <c r="U682" s="1"/>
  <c r="P682"/>
  <c r="Q682" s="1"/>
  <c r="X714"/>
  <c r="T714" s="1"/>
  <c r="U714" s="1"/>
  <c r="P714"/>
  <c r="S714" s="1"/>
  <c r="X762"/>
  <c r="T762" s="1"/>
  <c r="U762" s="1"/>
  <c r="P762"/>
  <c r="S762" s="1"/>
  <c r="X786"/>
  <c r="T786" s="1"/>
  <c r="U786" s="1"/>
  <c r="P786"/>
  <c r="S786" s="1"/>
  <c r="X818"/>
  <c r="T818" s="1"/>
  <c r="U818" s="1"/>
  <c r="P818"/>
  <c r="Q818" s="1"/>
  <c r="X834"/>
  <c r="T834" s="1"/>
  <c r="U834" s="1"/>
  <c r="P834"/>
  <c r="S834" s="1"/>
  <c r="X850"/>
  <c r="T850" s="1"/>
  <c r="U850" s="1"/>
  <c r="P850"/>
  <c r="Q850" s="1"/>
  <c r="X866"/>
  <c r="T866" s="1"/>
  <c r="U866" s="1"/>
  <c r="P866"/>
  <c r="S866" s="1"/>
  <c r="X882"/>
  <c r="T882" s="1"/>
  <c r="U882" s="1"/>
  <c r="P882"/>
  <c r="S882" s="1"/>
  <c r="X898"/>
  <c r="T898" s="1"/>
  <c r="U898" s="1"/>
  <c r="P898"/>
  <c r="S898" s="1"/>
  <c r="X914"/>
  <c r="T914" s="1"/>
  <c r="U914" s="1"/>
  <c r="P914"/>
  <c r="S914" s="1"/>
  <c r="X930"/>
  <c r="T930" s="1"/>
  <c r="U930" s="1"/>
  <c r="P930"/>
  <c r="S930" s="1"/>
  <c r="X938"/>
  <c r="T938" s="1"/>
  <c r="U938" s="1"/>
  <c r="P938"/>
  <c r="Q938" s="1"/>
  <c r="P34"/>
  <c r="Q34" s="1"/>
  <c r="P18"/>
  <c r="Q18" s="1"/>
  <c r="W26"/>
  <c r="P993"/>
  <c r="Q993" s="1"/>
  <c r="V945"/>
  <c r="W938"/>
  <c r="P937"/>
  <c r="Q937" s="1"/>
  <c r="V928"/>
  <c r="V914"/>
  <c r="R897"/>
  <c r="R848"/>
  <c r="R826"/>
  <c r="R33"/>
  <c r="P994"/>
  <c r="S994" s="1"/>
  <c r="V984"/>
  <c r="R976"/>
  <c r="W969"/>
  <c r="P968"/>
  <c r="Q968" s="1"/>
  <c r="V961"/>
  <c r="W954"/>
  <c r="R953"/>
  <c r="V946"/>
  <c r="P945"/>
  <c r="Q945" s="1"/>
  <c r="R938"/>
  <c r="W929"/>
  <c r="W922"/>
  <c r="P921"/>
  <c r="Q921" s="1"/>
  <c r="V912"/>
  <c r="V905"/>
  <c r="V898"/>
  <c r="V882"/>
  <c r="R873"/>
  <c r="W858"/>
  <c r="R842"/>
  <c r="V840"/>
  <c r="P833"/>
  <c r="S833" s="1"/>
  <c r="V818"/>
  <c r="R800"/>
  <c r="V770"/>
  <c r="P761"/>
  <c r="Q761" s="1"/>
  <c r="V738"/>
  <c r="W721"/>
  <c r="W689"/>
  <c r="W657"/>
  <c r="V642"/>
  <c r="W625"/>
  <c r="V610"/>
  <c r="P601"/>
  <c r="S601" s="1"/>
  <c r="W593"/>
  <c r="V578"/>
  <c r="P569"/>
  <c r="S569" s="1"/>
  <c r="W561"/>
  <c r="P522"/>
  <c r="S522" s="1"/>
  <c r="V513"/>
  <c r="P505"/>
  <c r="S505" s="1"/>
  <c r="W488"/>
  <c r="W441"/>
  <c r="V402"/>
  <c r="P400"/>
  <c r="S400" s="1"/>
  <c r="P377"/>
  <c r="Q377" s="1"/>
  <c r="P370"/>
  <c r="Q370" s="1"/>
  <c r="V274"/>
  <c r="P272"/>
  <c r="S272" s="1"/>
  <c r="P249"/>
  <c r="S249" s="1"/>
  <c r="P242"/>
  <c r="S242" s="1"/>
  <c r="V232"/>
  <c r="P146"/>
  <c r="S146" s="1"/>
  <c r="V114"/>
  <c r="W32"/>
  <c r="W18"/>
  <c r="X48"/>
  <c r="T48" s="1"/>
  <c r="U48" s="1"/>
  <c r="P48"/>
  <c r="Q48" s="1"/>
  <c r="R48"/>
  <c r="W48"/>
  <c r="V48"/>
  <c r="X80"/>
  <c r="T80" s="1"/>
  <c r="U80" s="1"/>
  <c r="P80"/>
  <c r="Q80" s="1"/>
  <c r="R80"/>
  <c r="W80"/>
  <c r="V80"/>
  <c r="X112"/>
  <c r="T112" s="1"/>
  <c r="U112" s="1"/>
  <c r="P112"/>
  <c r="S112" s="1"/>
  <c r="R112"/>
  <c r="W112"/>
  <c r="V112"/>
  <c r="X144"/>
  <c r="T144" s="1"/>
  <c r="U144" s="1"/>
  <c r="P144"/>
  <c r="S144" s="1"/>
  <c r="R144"/>
  <c r="W144"/>
  <c r="V144"/>
  <c r="X184"/>
  <c r="T184" s="1"/>
  <c r="U184" s="1"/>
  <c r="P184"/>
  <c r="S184" s="1"/>
  <c r="R184"/>
  <c r="V184"/>
  <c r="W184"/>
  <c r="X216"/>
  <c r="T216" s="1"/>
  <c r="U216" s="1"/>
  <c r="P216"/>
  <c r="S216" s="1"/>
  <c r="R216"/>
  <c r="V216"/>
  <c r="W216"/>
  <c r="X248"/>
  <c r="T248" s="1"/>
  <c r="U248" s="1"/>
  <c r="R248"/>
  <c r="V248"/>
  <c r="W248"/>
  <c r="P248"/>
  <c r="S248" s="1"/>
  <c r="X280"/>
  <c r="T280" s="1"/>
  <c r="U280" s="1"/>
  <c r="R280"/>
  <c r="V280"/>
  <c r="W280"/>
  <c r="X312"/>
  <c r="T312" s="1"/>
  <c r="U312" s="1"/>
  <c r="R312"/>
  <c r="V312"/>
  <c r="W312"/>
  <c r="P312"/>
  <c r="Q312" s="1"/>
  <c r="X344"/>
  <c r="T344" s="1"/>
  <c r="U344" s="1"/>
  <c r="R344"/>
  <c r="V344"/>
  <c r="W344"/>
  <c r="X376"/>
  <c r="T376" s="1"/>
  <c r="U376" s="1"/>
  <c r="R376"/>
  <c r="V376"/>
  <c r="W376"/>
  <c r="P376"/>
  <c r="S376" s="1"/>
  <c r="X408"/>
  <c r="T408" s="1"/>
  <c r="U408" s="1"/>
  <c r="R408"/>
  <c r="V408"/>
  <c r="W408"/>
  <c r="X440"/>
  <c r="T440" s="1"/>
  <c r="U440" s="1"/>
  <c r="V440"/>
  <c r="W440"/>
  <c r="R440"/>
  <c r="X472"/>
  <c r="T472" s="1"/>
  <c r="U472" s="1"/>
  <c r="V472"/>
  <c r="P472"/>
  <c r="S472" s="1"/>
  <c r="X504"/>
  <c r="T504" s="1"/>
  <c r="U504" s="1"/>
  <c r="V504"/>
  <c r="P504"/>
  <c r="S504" s="1"/>
  <c r="X544"/>
  <c r="T544" s="1"/>
  <c r="U544" s="1"/>
  <c r="V544"/>
  <c r="P544"/>
  <c r="Q544" s="1"/>
  <c r="W544"/>
  <c r="X576"/>
  <c r="T576" s="1"/>
  <c r="U576" s="1"/>
  <c r="P576"/>
  <c r="S576" s="1"/>
  <c r="V576"/>
  <c r="W576"/>
  <c r="X600"/>
  <c r="T600" s="1"/>
  <c r="U600" s="1"/>
  <c r="P600"/>
  <c r="Q600" s="1"/>
  <c r="V600"/>
  <c r="W600"/>
  <c r="X632"/>
  <c r="T632" s="1"/>
  <c r="U632" s="1"/>
  <c r="P632"/>
  <c r="S632" s="1"/>
  <c r="V632"/>
  <c r="W632"/>
  <c r="X672"/>
  <c r="T672" s="1"/>
  <c r="U672" s="1"/>
  <c r="P672"/>
  <c r="S672" s="1"/>
  <c r="V672"/>
  <c r="W672"/>
  <c r="X696"/>
  <c r="T696" s="1"/>
  <c r="U696" s="1"/>
  <c r="P696"/>
  <c r="S696" s="1"/>
  <c r="V696"/>
  <c r="W696"/>
  <c r="X728"/>
  <c r="T728" s="1"/>
  <c r="U728" s="1"/>
  <c r="P728"/>
  <c r="S728" s="1"/>
  <c r="V728"/>
  <c r="W728"/>
  <c r="X752"/>
  <c r="T752" s="1"/>
  <c r="U752" s="1"/>
  <c r="P752"/>
  <c r="S752" s="1"/>
  <c r="V752"/>
  <c r="W752"/>
  <c r="X792"/>
  <c r="T792" s="1"/>
  <c r="U792" s="1"/>
  <c r="P792"/>
  <c r="Q792" s="1"/>
  <c r="W792"/>
  <c r="X824"/>
  <c r="T824" s="1"/>
  <c r="U824" s="1"/>
  <c r="P824"/>
  <c r="Q824" s="1"/>
  <c r="W824"/>
  <c r="X856"/>
  <c r="T856" s="1"/>
  <c r="U856" s="1"/>
  <c r="P856"/>
  <c r="S856" s="1"/>
  <c r="W856"/>
  <c r="X888"/>
  <c r="T888" s="1"/>
  <c r="U888" s="1"/>
  <c r="P888"/>
  <c r="Q888" s="1"/>
  <c r="W888"/>
  <c r="X920"/>
  <c r="T920" s="1"/>
  <c r="U920" s="1"/>
  <c r="W920"/>
  <c r="X952"/>
  <c r="T952" s="1"/>
  <c r="U952" s="1"/>
  <c r="W952"/>
  <c r="X992"/>
  <c r="T992" s="1"/>
  <c r="U992" s="1"/>
  <c r="W992"/>
  <c r="R944"/>
  <c r="V872"/>
  <c r="X17"/>
  <c r="T17" s="1"/>
  <c r="U17" s="1"/>
  <c r="V17"/>
  <c r="W17"/>
  <c r="X57"/>
  <c r="T57" s="1"/>
  <c r="U57" s="1"/>
  <c r="V57"/>
  <c r="W57"/>
  <c r="R57"/>
  <c r="X89"/>
  <c r="T89" s="1"/>
  <c r="U89" s="1"/>
  <c r="V89"/>
  <c r="W89"/>
  <c r="R89"/>
  <c r="P89"/>
  <c r="S89" s="1"/>
  <c r="X121"/>
  <c r="T121" s="1"/>
  <c r="U121" s="1"/>
  <c r="V121"/>
  <c r="W121"/>
  <c r="R121"/>
  <c r="X161"/>
  <c r="T161" s="1"/>
  <c r="U161" s="1"/>
  <c r="V161"/>
  <c r="W161"/>
  <c r="P161"/>
  <c r="S161" s="1"/>
  <c r="R161"/>
  <c r="X193"/>
  <c r="T193" s="1"/>
  <c r="U193" s="1"/>
  <c r="V193"/>
  <c r="W193"/>
  <c r="P193"/>
  <c r="Q193" s="1"/>
  <c r="R193"/>
  <c r="X225"/>
  <c r="T225" s="1"/>
  <c r="U225" s="1"/>
  <c r="W225"/>
  <c r="P225"/>
  <c r="Q225" s="1"/>
  <c r="R225"/>
  <c r="V225"/>
  <c r="X257"/>
  <c r="T257" s="1"/>
  <c r="U257" s="1"/>
  <c r="R257"/>
  <c r="W257"/>
  <c r="V257"/>
  <c r="X289"/>
  <c r="T289" s="1"/>
  <c r="U289" s="1"/>
  <c r="R289"/>
  <c r="W289"/>
  <c r="P289"/>
  <c r="Q289" s="1"/>
  <c r="V289"/>
  <c r="X321"/>
  <c r="T321" s="1"/>
  <c r="U321" s="1"/>
  <c r="R321"/>
  <c r="W321"/>
  <c r="V321"/>
  <c r="X353"/>
  <c r="T353" s="1"/>
  <c r="U353" s="1"/>
  <c r="R353"/>
  <c r="W353"/>
  <c r="P353"/>
  <c r="Q353" s="1"/>
  <c r="V353"/>
  <c r="X393"/>
  <c r="T393" s="1"/>
  <c r="U393" s="1"/>
  <c r="R393"/>
  <c r="W393"/>
  <c r="P393"/>
  <c r="Q393" s="1"/>
  <c r="X433"/>
  <c r="T433" s="1"/>
  <c r="U433" s="1"/>
  <c r="R433"/>
  <c r="P433"/>
  <c r="S433" s="1"/>
  <c r="W433"/>
  <c r="X465"/>
  <c r="T465" s="1"/>
  <c r="U465" s="1"/>
  <c r="R465"/>
  <c r="X497"/>
  <c r="T497" s="1"/>
  <c r="U497" s="1"/>
  <c r="R497"/>
  <c r="X529"/>
  <c r="T529" s="1"/>
  <c r="U529" s="1"/>
  <c r="R529"/>
  <c r="X577"/>
  <c r="T577" s="1"/>
  <c r="U577" s="1"/>
  <c r="V577"/>
  <c r="X609"/>
  <c r="T609" s="1"/>
  <c r="U609" s="1"/>
  <c r="V609"/>
  <c r="X633"/>
  <c r="T633" s="1"/>
  <c r="U633" s="1"/>
  <c r="V633"/>
  <c r="X665"/>
  <c r="T665" s="1"/>
  <c r="U665" s="1"/>
  <c r="V665"/>
  <c r="X697"/>
  <c r="T697" s="1"/>
  <c r="U697" s="1"/>
  <c r="V697"/>
  <c r="X729"/>
  <c r="T729" s="1"/>
  <c r="U729" s="1"/>
  <c r="V729"/>
  <c r="X753"/>
  <c r="T753" s="1"/>
  <c r="U753" s="1"/>
  <c r="V753"/>
  <c r="X785"/>
  <c r="T785" s="1"/>
  <c r="U785" s="1"/>
  <c r="V785"/>
  <c r="X817"/>
  <c r="T817" s="1"/>
  <c r="U817" s="1"/>
  <c r="V817"/>
  <c r="X849"/>
  <c r="T849" s="1"/>
  <c r="U849" s="1"/>
  <c r="V849"/>
  <c r="X881"/>
  <c r="T881" s="1"/>
  <c r="U881" s="1"/>
  <c r="V881"/>
  <c r="P985"/>
  <c r="Q985" s="1"/>
  <c r="P920"/>
  <c r="Q920" s="1"/>
  <c r="P913"/>
  <c r="S913" s="1"/>
  <c r="R560"/>
  <c r="R552"/>
  <c r="W545"/>
  <c r="P344"/>
  <c r="Q344" s="1"/>
  <c r="P257"/>
  <c r="S257" s="1"/>
  <c r="P185"/>
  <c r="Q185" s="1"/>
  <c r="X58"/>
  <c r="T58" s="1"/>
  <c r="U58" s="1"/>
  <c r="P58"/>
  <c r="S58" s="1"/>
  <c r="R58"/>
  <c r="V58"/>
  <c r="W58"/>
  <c r="X90"/>
  <c r="T90" s="1"/>
  <c r="U90" s="1"/>
  <c r="P90"/>
  <c r="Q90" s="1"/>
  <c r="R90"/>
  <c r="X122"/>
  <c r="T122" s="1"/>
  <c r="U122" s="1"/>
  <c r="P122"/>
  <c r="S122" s="1"/>
  <c r="R122"/>
  <c r="V122"/>
  <c r="W122"/>
  <c r="X154"/>
  <c r="T154" s="1"/>
  <c r="U154" s="1"/>
  <c r="P154"/>
  <c r="Q154" s="1"/>
  <c r="R154"/>
  <c r="X186"/>
  <c r="T186" s="1"/>
  <c r="U186" s="1"/>
  <c r="P186"/>
  <c r="S186" s="1"/>
  <c r="R186"/>
  <c r="V186"/>
  <c r="W186"/>
  <c r="X218"/>
  <c r="T218" s="1"/>
  <c r="U218" s="1"/>
  <c r="P218"/>
  <c r="S218" s="1"/>
  <c r="R218"/>
  <c r="X250"/>
  <c r="T250" s="1"/>
  <c r="U250" s="1"/>
  <c r="W250"/>
  <c r="P250"/>
  <c r="Q250" s="1"/>
  <c r="R250"/>
  <c r="V250"/>
  <c r="X282"/>
  <c r="T282" s="1"/>
  <c r="U282" s="1"/>
  <c r="W282"/>
  <c r="V282"/>
  <c r="X314"/>
  <c r="T314" s="1"/>
  <c r="U314" s="1"/>
  <c r="W314"/>
  <c r="P314"/>
  <c r="S314" s="1"/>
  <c r="R314"/>
  <c r="V314"/>
  <c r="X346"/>
  <c r="T346" s="1"/>
  <c r="U346" s="1"/>
  <c r="W346"/>
  <c r="V346"/>
  <c r="X378"/>
  <c r="T378" s="1"/>
  <c r="U378" s="1"/>
  <c r="W378"/>
  <c r="P378"/>
  <c r="S378" s="1"/>
  <c r="R378"/>
  <c r="V378"/>
  <c r="X418"/>
  <c r="T418" s="1"/>
  <c r="U418" s="1"/>
  <c r="W418"/>
  <c r="R418"/>
  <c r="X450"/>
  <c r="T450" s="1"/>
  <c r="U450" s="1"/>
  <c r="W450"/>
  <c r="P450"/>
  <c r="Q450" s="1"/>
  <c r="R450"/>
  <c r="X474"/>
  <c r="T474" s="1"/>
  <c r="U474" s="1"/>
  <c r="W474"/>
  <c r="V474"/>
  <c r="X506"/>
  <c r="T506" s="1"/>
  <c r="U506" s="1"/>
  <c r="W506"/>
  <c r="V506"/>
  <c r="X546"/>
  <c r="T546" s="1"/>
  <c r="U546" s="1"/>
  <c r="W546"/>
  <c r="P546"/>
  <c r="Q546" s="1"/>
  <c r="R546"/>
  <c r="V546"/>
  <c r="X570"/>
  <c r="T570" s="1"/>
  <c r="U570" s="1"/>
  <c r="P570"/>
  <c r="S570" s="1"/>
  <c r="X602"/>
  <c r="T602" s="1"/>
  <c r="U602" s="1"/>
  <c r="P602"/>
  <c r="Q602" s="1"/>
  <c r="X634"/>
  <c r="T634" s="1"/>
  <c r="U634" s="1"/>
  <c r="P634"/>
  <c r="Q634" s="1"/>
  <c r="X666"/>
  <c r="T666" s="1"/>
  <c r="U666" s="1"/>
  <c r="P666"/>
  <c r="Q666" s="1"/>
  <c r="X690"/>
  <c r="T690" s="1"/>
  <c r="U690" s="1"/>
  <c r="P690"/>
  <c r="Q690" s="1"/>
  <c r="X730"/>
  <c r="T730" s="1"/>
  <c r="U730" s="1"/>
  <c r="P730"/>
  <c r="Q730" s="1"/>
  <c r="X746"/>
  <c r="T746" s="1"/>
  <c r="U746" s="1"/>
  <c r="P746"/>
  <c r="S746" s="1"/>
  <c r="X778"/>
  <c r="T778" s="1"/>
  <c r="U778" s="1"/>
  <c r="P778"/>
  <c r="Q778" s="1"/>
  <c r="X810"/>
  <c r="T810" s="1"/>
  <c r="U810" s="1"/>
  <c r="P810"/>
  <c r="S810" s="1"/>
  <c r="R24"/>
  <c r="R984"/>
  <c r="V954"/>
  <c r="P953"/>
  <c r="S953" s="1"/>
  <c r="V936"/>
  <c r="V922"/>
  <c r="R912"/>
  <c r="R905"/>
  <c r="W889"/>
  <c r="R882"/>
  <c r="W825"/>
  <c r="V816"/>
  <c r="R785"/>
  <c r="R770"/>
  <c r="R768"/>
  <c r="W762"/>
  <c r="R753"/>
  <c r="R738"/>
  <c r="R736"/>
  <c r="W730"/>
  <c r="W698"/>
  <c r="W666"/>
  <c r="W634"/>
  <c r="W602"/>
  <c r="R496"/>
  <c r="R402"/>
  <c r="P280"/>
  <c r="S280" s="1"/>
  <c r="R274"/>
  <c r="W218"/>
  <c r="P114"/>
  <c r="Q114" s="1"/>
  <c r="W90"/>
  <c r="X14"/>
  <c r="T14" s="1"/>
  <c r="U14" s="1"/>
  <c r="V14"/>
  <c r="W14"/>
  <c r="X30"/>
  <c r="T30" s="1"/>
  <c r="U30" s="1"/>
  <c r="W30"/>
  <c r="X38"/>
  <c r="T38" s="1"/>
  <c r="U38" s="1"/>
  <c r="R38"/>
  <c r="W38"/>
  <c r="V38"/>
  <c r="X46"/>
  <c r="T46" s="1"/>
  <c r="U46" s="1"/>
  <c r="P46"/>
  <c r="Q46" s="1"/>
  <c r="R46"/>
  <c r="X54"/>
  <c r="T54" s="1"/>
  <c r="U54" s="1"/>
  <c r="R54"/>
  <c r="W54"/>
  <c r="P54"/>
  <c r="Q54" s="1"/>
  <c r="V54"/>
  <c r="X62"/>
  <c r="T62" s="1"/>
  <c r="U62" s="1"/>
  <c r="P62"/>
  <c r="S62" s="1"/>
  <c r="R62"/>
  <c r="V62"/>
  <c r="X70"/>
  <c r="T70" s="1"/>
  <c r="U70" s="1"/>
  <c r="R70"/>
  <c r="W70"/>
  <c r="X78"/>
  <c r="T78" s="1"/>
  <c r="U78" s="1"/>
  <c r="P78"/>
  <c r="S78" s="1"/>
  <c r="R78"/>
  <c r="V78"/>
  <c r="W78"/>
  <c r="X86"/>
  <c r="T86" s="1"/>
  <c r="U86" s="1"/>
  <c r="R86"/>
  <c r="W86"/>
  <c r="V86"/>
  <c r="X94"/>
  <c r="T94" s="1"/>
  <c r="U94" s="1"/>
  <c r="P94"/>
  <c r="Q94" s="1"/>
  <c r="R94"/>
  <c r="V94"/>
  <c r="X102"/>
  <c r="T102" s="1"/>
  <c r="U102" s="1"/>
  <c r="R102"/>
  <c r="W102"/>
  <c r="V102"/>
  <c r="X110"/>
  <c r="T110" s="1"/>
  <c r="U110" s="1"/>
  <c r="P110"/>
  <c r="Q110" s="1"/>
  <c r="R110"/>
  <c r="X118"/>
  <c r="T118" s="1"/>
  <c r="U118" s="1"/>
  <c r="R118"/>
  <c r="W118"/>
  <c r="P118"/>
  <c r="S118" s="1"/>
  <c r="V118"/>
  <c r="X126"/>
  <c r="T126" s="1"/>
  <c r="U126" s="1"/>
  <c r="P126"/>
  <c r="Q126" s="1"/>
  <c r="R126"/>
  <c r="V126"/>
  <c r="X134"/>
  <c r="T134" s="1"/>
  <c r="U134" s="1"/>
  <c r="R134"/>
  <c r="W134"/>
  <c r="X142"/>
  <c r="T142" s="1"/>
  <c r="U142" s="1"/>
  <c r="P142"/>
  <c r="Q142" s="1"/>
  <c r="R142"/>
  <c r="V142"/>
  <c r="W142"/>
  <c r="X150"/>
  <c r="T150" s="1"/>
  <c r="U150" s="1"/>
  <c r="R150"/>
  <c r="W150"/>
  <c r="V150"/>
  <c r="X158"/>
  <c r="T158" s="1"/>
  <c r="U158" s="1"/>
  <c r="P158"/>
  <c r="Q158" s="1"/>
  <c r="R158"/>
  <c r="V158"/>
  <c r="X166"/>
  <c r="T166" s="1"/>
  <c r="U166" s="1"/>
  <c r="R166"/>
  <c r="W166"/>
  <c r="V166"/>
  <c r="X174"/>
  <c r="T174" s="1"/>
  <c r="U174" s="1"/>
  <c r="P174"/>
  <c r="S174" s="1"/>
  <c r="R174"/>
  <c r="X182"/>
  <c r="T182" s="1"/>
  <c r="U182" s="1"/>
  <c r="R182"/>
  <c r="W182"/>
  <c r="P182"/>
  <c r="Q182" s="1"/>
  <c r="V182"/>
  <c r="X190"/>
  <c r="T190" s="1"/>
  <c r="U190" s="1"/>
  <c r="P190"/>
  <c r="Q190" s="1"/>
  <c r="R190"/>
  <c r="V190"/>
  <c r="X198"/>
  <c r="T198" s="1"/>
  <c r="U198" s="1"/>
  <c r="R198"/>
  <c r="W198"/>
  <c r="X206"/>
  <c r="T206" s="1"/>
  <c r="U206" s="1"/>
  <c r="P206"/>
  <c r="S206" s="1"/>
  <c r="R206"/>
  <c r="V206"/>
  <c r="W206"/>
  <c r="X214"/>
  <c r="T214" s="1"/>
  <c r="U214" s="1"/>
  <c r="R214"/>
  <c r="W214"/>
  <c r="V214"/>
  <c r="X222"/>
  <c r="T222" s="1"/>
  <c r="U222" s="1"/>
  <c r="P222"/>
  <c r="Q222" s="1"/>
  <c r="R222"/>
  <c r="V222"/>
  <c r="X230"/>
  <c r="T230" s="1"/>
  <c r="U230" s="1"/>
  <c r="R230"/>
  <c r="V230"/>
  <c r="W230"/>
  <c r="P230"/>
  <c r="Q230" s="1"/>
  <c r="X238"/>
  <c r="T238" s="1"/>
  <c r="U238" s="1"/>
  <c r="R238"/>
  <c r="W238"/>
  <c r="V238"/>
  <c r="X246"/>
  <c r="T246" s="1"/>
  <c r="U246" s="1"/>
  <c r="W246"/>
  <c r="P246"/>
  <c r="S246" s="1"/>
  <c r="V246"/>
  <c r="X254"/>
  <c r="T254" s="1"/>
  <c r="U254" s="1"/>
  <c r="W254"/>
  <c r="R254"/>
  <c r="V254"/>
  <c r="X262"/>
  <c r="T262" s="1"/>
  <c r="U262" s="1"/>
  <c r="W262"/>
  <c r="P262"/>
  <c r="Q262" s="1"/>
  <c r="R262"/>
  <c r="V262"/>
  <c r="X270"/>
  <c r="T270" s="1"/>
  <c r="U270" s="1"/>
  <c r="W270"/>
  <c r="P270"/>
  <c r="Q270" s="1"/>
  <c r="R270"/>
  <c r="X278"/>
  <c r="T278" s="1"/>
  <c r="U278" s="1"/>
  <c r="W278"/>
  <c r="P278"/>
  <c r="S278" s="1"/>
  <c r="X286"/>
  <c r="T286" s="1"/>
  <c r="U286" s="1"/>
  <c r="W286"/>
  <c r="X294"/>
  <c r="T294" s="1"/>
  <c r="U294" s="1"/>
  <c r="W294"/>
  <c r="V294"/>
  <c r="X302"/>
  <c r="T302" s="1"/>
  <c r="U302" s="1"/>
  <c r="W302"/>
  <c r="R302"/>
  <c r="X310"/>
  <c r="T310" s="1"/>
  <c r="U310" s="1"/>
  <c r="W310"/>
  <c r="P310"/>
  <c r="Q310" s="1"/>
  <c r="V310"/>
  <c r="X318"/>
  <c r="T318" s="1"/>
  <c r="U318" s="1"/>
  <c r="W318"/>
  <c r="R318"/>
  <c r="V318"/>
  <c r="X326"/>
  <c r="T326" s="1"/>
  <c r="U326" s="1"/>
  <c r="W326"/>
  <c r="P326"/>
  <c r="S326" s="1"/>
  <c r="R326"/>
  <c r="V326"/>
  <c r="X334"/>
  <c r="T334" s="1"/>
  <c r="U334" s="1"/>
  <c r="W334"/>
  <c r="P334"/>
  <c r="Q334" s="1"/>
  <c r="R334"/>
  <c r="X342"/>
  <c r="T342" s="1"/>
  <c r="U342" s="1"/>
  <c r="W342"/>
  <c r="P342"/>
  <c r="S342" s="1"/>
  <c r="X350"/>
  <c r="T350" s="1"/>
  <c r="U350" s="1"/>
  <c r="W350"/>
  <c r="X358"/>
  <c r="T358" s="1"/>
  <c r="U358" s="1"/>
  <c r="W358"/>
  <c r="V358"/>
  <c r="X366"/>
  <c r="T366" s="1"/>
  <c r="U366" s="1"/>
  <c r="W366"/>
  <c r="R366"/>
  <c r="X374"/>
  <c r="T374" s="1"/>
  <c r="U374" s="1"/>
  <c r="W374"/>
  <c r="P374"/>
  <c r="S374" s="1"/>
  <c r="V374"/>
  <c r="X382"/>
  <c r="T382" s="1"/>
  <c r="U382" s="1"/>
  <c r="W382"/>
  <c r="R382"/>
  <c r="V382"/>
  <c r="X390"/>
  <c r="T390" s="1"/>
  <c r="U390" s="1"/>
  <c r="W390"/>
  <c r="P390"/>
  <c r="S390" s="1"/>
  <c r="R390"/>
  <c r="V390"/>
  <c r="X398"/>
  <c r="T398" s="1"/>
  <c r="U398" s="1"/>
  <c r="W398"/>
  <c r="P398"/>
  <c r="S398" s="1"/>
  <c r="R398"/>
  <c r="X406"/>
  <c r="T406" s="1"/>
  <c r="U406" s="1"/>
  <c r="W406"/>
  <c r="P406"/>
  <c r="Q406" s="1"/>
  <c r="X414"/>
  <c r="T414" s="1"/>
  <c r="U414" s="1"/>
  <c r="W414"/>
  <c r="X422"/>
  <c r="T422" s="1"/>
  <c r="U422" s="1"/>
  <c r="W422"/>
  <c r="V422"/>
  <c r="X430"/>
  <c r="T430" s="1"/>
  <c r="U430" s="1"/>
  <c r="W430"/>
  <c r="R430"/>
  <c r="V430"/>
  <c r="X438"/>
  <c r="T438" s="1"/>
  <c r="U438" s="1"/>
  <c r="W438"/>
  <c r="P438"/>
  <c r="S438" s="1"/>
  <c r="X446"/>
  <c r="T446" s="1"/>
  <c r="U446" s="1"/>
  <c r="W446"/>
  <c r="R446"/>
  <c r="X454"/>
  <c r="T454" s="1"/>
  <c r="U454" s="1"/>
  <c r="W454"/>
  <c r="P454"/>
  <c r="S454" s="1"/>
  <c r="R454"/>
  <c r="V454"/>
  <c r="X462"/>
  <c r="T462" s="1"/>
  <c r="U462" s="1"/>
  <c r="W462"/>
  <c r="X470"/>
  <c r="T470" s="1"/>
  <c r="U470" s="1"/>
  <c r="W470"/>
  <c r="R470"/>
  <c r="V470"/>
  <c r="X478"/>
  <c r="T478" s="1"/>
  <c r="U478" s="1"/>
  <c r="W478"/>
  <c r="X486"/>
  <c r="T486" s="1"/>
  <c r="U486" s="1"/>
  <c r="W486"/>
  <c r="R486"/>
  <c r="V486"/>
  <c r="X494"/>
  <c r="T494" s="1"/>
  <c r="U494" s="1"/>
  <c r="W494"/>
  <c r="X502"/>
  <c r="T502" s="1"/>
  <c r="U502" s="1"/>
  <c r="W502"/>
  <c r="R502"/>
  <c r="V502"/>
  <c r="X510"/>
  <c r="T510" s="1"/>
  <c r="U510" s="1"/>
  <c r="W510"/>
  <c r="X518"/>
  <c r="T518" s="1"/>
  <c r="U518" s="1"/>
  <c r="W518"/>
  <c r="R518"/>
  <c r="V518"/>
  <c r="X526"/>
  <c r="T526" s="1"/>
  <c r="U526" s="1"/>
  <c r="W526"/>
  <c r="X534"/>
  <c r="T534" s="1"/>
  <c r="U534" s="1"/>
  <c r="W534"/>
  <c r="R534"/>
  <c r="V534"/>
  <c r="X542"/>
  <c r="T542" s="1"/>
  <c r="U542" s="1"/>
  <c r="W542"/>
  <c r="X550"/>
  <c r="T550" s="1"/>
  <c r="U550" s="1"/>
  <c r="W550"/>
  <c r="R550"/>
  <c r="V550"/>
  <c r="X558"/>
  <c r="T558" s="1"/>
  <c r="U558" s="1"/>
  <c r="W558"/>
  <c r="X566"/>
  <c r="T566" s="1"/>
  <c r="U566" s="1"/>
  <c r="P566"/>
  <c r="S566" s="1"/>
  <c r="X574"/>
  <c r="T574" s="1"/>
  <c r="U574" s="1"/>
  <c r="P574"/>
  <c r="Q574" s="1"/>
  <c r="X582"/>
  <c r="T582" s="1"/>
  <c r="U582" s="1"/>
  <c r="P582"/>
  <c r="Q582" s="1"/>
  <c r="X590"/>
  <c r="T590" s="1"/>
  <c r="U590" s="1"/>
  <c r="P590"/>
  <c r="Q590" s="1"/>
  <c r="X598"/>
  <c r="T598" s="1"/>
  <c r="U598" s="1"/>
  <c r="P598"/>
  <c r="S598" s="1"/>
  <c r="X606"/>
  <c r="T606" s="1"/>
  <c r="U606" s="1"/>
  <c r="P606"/>
  <c r="S606" s="1"/>
  <c r="X614"/>
  <c r="T614" s="1"/>
  <c r="U614" s="1"/>
  <c r="P614"/>
  <c r="S614" s="1"/>
  <c r="X622"/>
  <c r="T622" s="1"/>
  <c r="U622" s="1"/>
  <c r="P622"/>
  <c r="S622" s="1"/>
  <c r="X630"/>
  <c r="T630" s="1"/>
  <c r="U630" s="1"/>
  <c r="P630"/>
  <c r="Q630" s="1"/>
  <c r="X638"/>
  <c r="T638" s="1"/>
  <c r="U638" s="1"/>
  <c r="P638"/>
  <c r="S638" s="1"/>
  <c r="X646"/>
  <c r="T646" s="1"/>
  <c r="U646" s="1"/>
  <c r="P646"/>
  <c r="S646" s="1"/>
  <c r="X654"/>
  <c r="T654" s="1"/>
  <c r="U654" s="1"/>
  <c r="P654"/>
  <c r="Q654" s="1"/>
  <c r="X662"/>
  <c r="T662" s="1"/>
  <c r="U662" s="1"/>
  <c r="P662"/>
  <c r="Q662" s="1"/>
  <c r="X670"/>
  <c r="T670" s="1"/>
  <c r="U670" s="1"/>
  <c r="P670"/>
  <c r="S670" s="1"/>
  <c r="X678"/>
  <c r="T678" s="1"/>
  <c r="U678" s="1"/>
  <c r="P678"/>
  <c r="Q678" s="1"/>
  <c r="X686"/>
  <c r="T686" s="1"/>
  <c r="U686" s="1"/>
  <c r="P686"/>
  <c r="Q686" s="1"/>
  <c r="X694"/>
  <c r="T694" s="1"/>
  <c r="U694" s="1"/>
  <c r="P694"/>
  <c r="Q694" s="1"/>
  <c r="X702"/>
  <c r="T702" s="1"/>
  <c r="U702" s="1"/>
  <c r="P702"/>
  <c r="Q702" s="1"/>
  <c r="X710"/>
  <c r="T710" s="1"/>
  <c r="U710" s="1"/>
  <c r="P710"/>
  <c r="S710" s="1"/>
  <c r="X718"/>
  <c r="T718" s="1"/>
  <c r="U718" s="1"/>
  <c r="P718"/>
  <c r="Q718" s="1"/>
  <c r="X726"/>
  <c r="T726" s="1"/>
  <c r="U726" s="1"/>
  <c r="P726"/>
  <c r="Q726" s="1"/>
  <c r="X734"/>
  <c r="T734" s="1"/>
  <c r="U734" s="1"/>
  <c r="P734"/>
  <c r="Q734" s="1"/>
  <c r="X742"/>
  <c r="T742" s="1"/>
  <c r="U742" s="1"/>
  <c r="P742"/>
  <c r="Q742" s="1"/>
  <c r="X750"/>
  <c r="T750" s="1"/>
  <c r="U750" s="1"/>
  <c r="P750"/>
  <c r="Q750" s="1"/>
  <c r="X758"/>
  <c r="T758" s="1"/>
  <c r="U758" s="1"/>
  <c r="P758"/>
  <c r="Q758" s="1"/>
  <c r="X766"/>
  <c r="T766" s="1"/>
  <c r="U766" s="1"/>
  <c r="P766"/>
  <c r="S766" s="1"/>
  <c r="X774"/>
  <c r="T774" s="1"/>
  <c r="U774" s="1"/>
  <c r="P774"/>
  <c r="Q774" s="1"/>
  <c r="X782"/>
  <c r="T782" s="1"/>
  <c r="U782" s="1"/>
  <c r="P782"/>
  <c r="Q782" s="1"/>
  <c r="X790"/>
  <c r="T790" s="1"/>
  <c r="U790" s="1"/>
  <c r="P790"/>
  <c r="Q790" s="1"/>
  <c r="X798"/>
  <c r="T798" s="1"/>
  <c r="U798" s="1"/>
  <c r="P798"/>
  <c r="S798" s="1"/>
  <c r="X806"/>
  <c r="T806" s="1"/>
  <c r="U806" s="1"/>
  <c r="P806"/>
  <c r="S806" s="1"/>
  <c r="X814"/>
  <c r="T814" s="1"/>
  <c r="U814" s="1"/>
  <c r="P814"/>
  <c r="Q814" s="1"/>
  <c r="X822"/>
  <c r="T822" s="1"/>
  <c r="U822" s="1"/>
  <c r="P822"/>
  <c r="Q822" s="1"/>
  <c r="X830"/>
  <c r="T830" s="1"/>
  <c r="U830" s="1"/>
  <c r="P830"/>
  <c r="S830" s="1"/>
  <c r="X838"/>
  <c r="T838" s="1"/>
  <c r="U838" s="1"/>
  <c r="P838"/>
  <c r="Q838" s="1"/>
  <c r="X846"/>
  <c r="T846" s="1"/>
  <c r="U846" s="1"/>
  <c r="P846"/>
  <c r="Q846" s="1"/>
  <c r="X854"/>
  <c r="T854" s="1"/>
  <c r="U854" s="1"/>
  <c r="P854"/>
  <c r="S854" s="1"/>
  <c r="X862"/>
  <c r="T862" s="1"/>
  <c r="U862" s="1"/>
  <c r="P862"/>
  <c r="S862" s="1"/>
  <c r="X870"/>
  <c r="T870" s="1"/>
  <c r="U870" s="1"/>
  <c r="P870"/>
  <c r="S870" s="1"/>
  <c r="X878"/>
  <c r="T878" s="1"/>
  <c r="U878" s="1"/>
  <c r="P878"/>
  <c r="S878" s="1"/>
  <c r="X886"/>
  <c r="T886" s="1"/>
  <c r="U886" s="1"/>
  <c r="P886"/>
  <c r="Q886" s="1"/>
  <c r="X894"/>
  <c r="T894" s="1"/>
  <c r="U894" s="1"/>
  <c r="P894"/>
  <c r="Q894" s="1"/>
  <c r="X902"/>
  <c r="T902" s="1"/>
  <c r="U902" s="1"/>
  <c r="P902"/>
  <c r="S902" s="1"/>
  <c r="X910"/>
  <c r="T910" s="1"/>
  <c r="U910" s="1"/>
  <c r="P910"/>
  <c r="Q910" s="1"/>
  <c r="X918"/>
  <c r="T918" s="1"/>
  <c r="U918" s="1"/>
  <c r="P918"/>
  <c r="Q918" s="1"/>
  <c r="X926"/>
  <c r="T926" s="1"/>
  <c r="U926" s="1"/>
  <c r="P926"/>
  <c r="S926" s="1"/>
  <c r="X934"/>
  <c r="T934" s="1"/>
  <c r="U934" s="1"/>
  <c r="P934"/>
  <c r="S934" s="1"/>
  <c r="X16"/>
  <c r="T16" s="1"/>
  <c r="U16" s="1"/>
  <c r="V16"/>
  <c r="W16"/>
  <c r="X40"/>
  <c r="T40" s="1"/>
  <c r="U40" s="1"/>
  <c r="P40"/>
  <c r="S40" s="1"/>
  <c r="R40"/>
  <c r="V40"/>
  <c r="W40"/>
  <c r="X72"/>
  <c r="T72" s="1"/>
  <c r="U72" s="1"/>
  <c r="P72"/>
  <c r="S72" s="1"/>
  <c r="R72"/>
  <c r="V72"/>
  <c r="W72"/>
  <c r="X104"/>
  <c r="T104" s="1"/>
  <c r="U104" s="1"/>
  <c r="P104"/>
  <c r="Q104" s="1"/>
  <c r="R104"/>
  <c r="V104"/>
  <c r="W104"/>
  <c r="X136"/>
  <c r="T136" s="1"/>
  <c r="U136" s="1"/>
  <c r="P136"/>
  <c r="S136" s="1"/>
  <c r="R136"/>
  <c r="V136"/>
  <c r="W136"/>
  <c r="X168"/>
  <c r="T168" s="1"/>
  <c r="U168" s="1"/>
  <c r="P168"/>
  <c r="Q168" s="1"/>
  <c r="R168"/>
  <c r="V168"/>
  <c r="W168"/>
  <c r="X192"/>
  <c r="T192" s="1"/>
  <c r="U192" s="1"/>
  <c r="P192"/>
  <c r="Q192" s="1"/>
  <c r="R192"/>
  <c r="W192"/>
  <c r="V192"/>
  <c r="X224"/>
  <c r="T224" s="1"/>
  <c r="U224" s="1"/>
  <c r="R224"/>
  <c r="V224"/>
  <c r="X256"/>
  <c r="T256" s="1"/>
  <c r="U256" s="1"/>
  <c r="R256"/>
  <c r="V256"/>
  <c r="W256"/>
  <c r="P256"/>
  <c r="Q256" s="1"/>
  <c r="X288"/>
  <c r="T288" s="1"/>
  <c r="U288" s="1"/>
  <c r="R288"/>
  <c r="V288"/>
  <c r="W288"/>
  <c r="P288"/>
  <c r="Q288" s="1"/>
  <c r="X320"/>
  <c r="T320" s="1"/>
  <c r="U320" s="1"/>
  <c r="R320"/>
  <c r="V320"/>
  <c r="W320"/>
  <c r="P320"/>
  <c r="Q320" s="1"/>
  <c r="X352"/>
  <c r="T352" s="1"/>
  <c r="U352" s="1"/>
  <c r="R352"/>
  <c r="V352"/>
  <c r="W352"/>
  <c r="P352"/>
  <c r="S352" s="1"/>
  <c r="X384"/>
  <c r="T384" s="1"/>
  <c r="U384" s="1"/>
  <c r="R384"/>
  <c r="V384"/>
  <c r="W384"/>
  <c r="P384"/>
  <c r="S384" s="1"/>
  <c r="X416"/>
  <c r="T416" s="1"/>
  <c r="U416" s="1"/>
  <c r="R416"/>
  <c r="V416"/>
  <c r="W416"/>
  <c r="P416"/>
  <c r="S416" s="1"/>
  <c r="X448"/>
  <c r="T448" s="1"/>
  <c r="U448" s="1"/>
  <c r="V448"/>
  <c r="W448"/>
  <c r="P448"/>
  <c r="Q448" s="1"/>
  <c r="R448"/>
  <c r="X480"/>
  <c r="T480" s="1"/>
  <c r="U480" s="1"/>
  <c r="V480"/>
  <c r="P480"/>
  <c r="Q480" s="1"/>
  <c r="W480"/>
  <c r="X512"/>
  <c r="T512" s="1"/>
  <c r="U512" s="1"/>
  <c r="V512"/>
  <c r="P512"/>
  <c r="S512" s="1"/>
  <c r="W512"/>
  <c r="X536"/>
  <c r="T536" s="1"/>
  <c r="U536" s="1"/>
  <c r="V536"/>
  <c r="P536"/>
  <c r="S536" s="1"/>
  <c r="X568"/>
  <c r="T568" s="1"/>
  <c r="U568" s="1"/>
  <c r="P568"/>
  <c r="S568" s="1"/>
  <c r="V568"/>
  <c r="W568"/>
  <c r="X608"/>
  <c r="T608" s="1"/>
  <c r="U608" s="1"/>
  <c r="P608"/>
  <c r="S608" s="1"/>
  <c r="V608"/>
  <c r="W608"/>
  <c r="X640"/>
  <c r="T640" s="1"/>
  <c r="U640" s="1"/>
  <c r="P640"/>
  <c r="S640" s="1"/>
  <c r="V640"/>
  <c r="W640"/>
  <c r="X664"/>
  <c r="T664" s="1"/>
  <c r="U664" s="1"/>
  <c r="P664"/>
  <c r="Q664" s="1"/>
  <c r="V664"/>
  <c r="W664"/>
  <c r="X712"/>
  <c r="T712" s="1"/>
  <c r="U712" s="1"/>
  <c r="P712"/>
  <c r="S712" s="1"/>
  <c r="V712"/>
  <c r="W712"/>
  <c r="X744"/>
  <c r="T744" s="1"/>
  <c r="U744" s="1"/>
  <c r="P744"/>
  <c r="S744" s="1"/>
  <c r="V744"/>
  <c r="W744"/>
  <c r="X776"/>
  <c r="T776" s="1"/>
  <c r="U776" s="1"/>
  <c r="P776"/>
  <c r="Q776" s="1"/>
  <c r="V776"/>
  <c r="W776"/>
  <c r="X808"/>
  <c r="T808" s="1"/>
  <c r="U808" s="1"/>
  <c r="P808"/>
  <c r="Q808" s="1"/>
  <c r="W808"/>
  <c r="X832"/>
  <c r="T832" s="1"/>
  <c r="U832" s="1"/>
  <c r="P832"/>
  <c r="S832" s="1"/>
  <c r="W832"/>
  <c r="X864"/>
  <c r="T864" s="1"/>
  <c r="U864" s="1"/>
  <c r="P864"/>
  <c r="S864" s="1"/>
  <c r="W864"/>
  <c r="X896"/>
  <c r="T896" s="1"/>
  <c r="U896" s="1"/>
  <c r="W896"/>
  <c r="X928"/>
  <c r="T928" s="1"/>
  <c r="U928" s="1"/>
  <c r="W928"/>
  <c r="X960"/>
  <c r="T960" s="1"/>
  <c r="U960" s="1"/>
  <c r="W960"/>
  <c r="X976"/>
  <c r="T976" s="1"/>
  <c r="U976" s="1"/>
  <c r="W976"/>
  <c r="P896"/>
  <c r="Q896" s="1"/>
  <c r="W552"/>
  <c r="R512"/>
  <c r="P336"/>
  <c r="Q336" s="1"/>
  <c r="X25"/>
  <c r="T25" s="1"/>
  <c r="U25" s="1"/>
  <c r="W25"/>
  <c r="X49"/>
  <c r="T49" s="1"/>
  <c r="U49" s="1"/>
  <c r="V49"/>
  <c r="W49"/>
  <c r="P49"/>
  <c r="Q49" s="1"/>
  <c r="R49"/>
  <c r="X73"/>
  <c r="T73" s="1"/>
  <c r="U73" s="1"/>
  <c r="V73"/>
  <c r="W73"/>
  <c r="R73"/>
  <c r="X105"/>
  <c r="T105" s="1"/>
  <c r="U105" s="1"/>
  <c r="V105"/>
  <c r="W105"/>
  <c r="R105"/>
  <c r="X137"/>
  <c r="T137" s="1"/>
  <c r="U137" s="1"/>
  <c r="V137"/>
  <c r="W137"/>
  <c r="R137"/>
  <c r="X169"/>
  <c r="T169" s="1"/>
  <c r="U169" s="1"/>
  <c r="V169"/>
  <c r="W169"/>
  <c r="R169"/>
  <c r="X201"/>
  <c r="T201" s="1"/>
  <c r="U201" s="1"/>
  <c r="V201"/>
  <c r="W201"/>
  <c r="R201"/>
  <c r="X241"/>
  <c r="T241" s="1"/>
  <c r="U241" s="1"/>
  <c r="W241"/>
  <c r="P241"/>
  <c r="Q241" s="1"/>
  <c r="V241"/>
  <c r="X273"/>
  <c r="T273" s="1"/>
  <c r="U273" s="1"/>
  <c r="R273"/>
  <c r="W273"/>
  <c r="V273"/>
  <c r="X305"/>
  <c r="T305" s="1"/>
  <c r="U305" s="1"/>
  <c r="R305"/>
  <c r="W305"/>
  <c r="X337"/>
  <c r="T337" s="1"/>
  <c r="U337" s="1"/>
  <c r="R337"/>
  <c r="W337"/>
  <c r="V337"/>
  <c r="X361"/>
  <c r="T361" s="1"/>
  <c r="U361" s="1"/>
  <c r="R361"/>
  <c r="W361"/>
  <c r="P361"/>
  <c r="Q361" s="1"/>
  <c r="X385"/>
  <c r="T385" s="1"/>
  <c r="U385" s="1"/>
  <c r="R385"/>
  <c r="W385"/>
  <c r="V385"/>
  <c r="X417"/>
  <c r="T417" s="1"/>
  <c r="U417" s="1"/>
  <c r="R417"/>
  <c r="W417"/>
  <c r="P417"/>
  <c r="S417" s="1"/>
  <c r="V417"/>
  <c r="X449"/>
  <c r="T449" s="1"/>
  <c r="U449" s="1"/>
  <c r="R449"/>
  <c r="W449"/>
  <c r="X481"/>
  <c r="T481" s="1"/>
  <c r="U481" s="1"/>
  <c r="R481"/>
  <c r="X521"/>
  <c r="T521" s="1"/>
  <c r="U521" s="1"/>
  <c r="R521"/>
  <c r="V521"/>
  <c r="W521"/>
  <c r="X553"/>
  <c r="T553" s="1"/>
  <c r="U553" s="1"/>
  <c r="R553"/>
  <c r="V553"/>
  <c r="W553"/>
  <c r="X585"/>
  <c r="T585" s="1"/>
  <c r="U585" s="1"/>
  <c r="V585"/>
  <c r="X617"/>
  <c r="T617" s="1"/>
  <c r="U617" s="1"/>
  <c r="V617"/>
  <c r="X649"/>
  <c r="T649" s="1"/>
  <c r="U649" s="1"/>
  <c r="V649"/>
  <c r="X681"/>
  <c r="T681" s="1"/>
  <c r="U681" s="1"/>
  <c r="V681"/>
  <c r="X713"/>
  <c r="T713" s="1"/>
  <c r="U713" s="1"/>
  <c r="V713"/>
  <c r="X745"/>
  <c r="T745" s="1"/>
  <c r="U745" s="1"/>
  <c r="V745"/>
  <c r="X777"/>
  <c r="T777" s="1"/>
  <c r="U777" s="1"/>
  <c r="V777"/>
  <c r="X809"/>
  <c r="T809" s="1"/>
  <c r="U809" s="1"/>
  <c r="V809"/>
  <c r="X841"/>
  <c r="T841" s="1"/>
  <c r="U841" s="1"/>
  <c r="V841"/>
  <c r="V960"/>
  <c r="W921"/>
  <c r="W857"/>
  <c r="V848"/>
  <c r="P841"/>
  <c r="Q841" s="1"/>
  <c r="R720"/>
  <c r="R705"/>
  <c r="R688"/>
  <c r="R673"/>
  <c r="R656"/>
  <c r="P57"/>
  <c r="Q57" s="1"/>
  <c r="X42"/>
  <c r="T42" s="1"/>
  <c r="U42" s="1"/>
  <c r="P42"/>
  <c r="Q42" s="1"/>
  <c r="R42"/>
  <c r="V42"/>
  <c r="X66"/>
  <c r="T66" s="1"/>
  <c r="U66" s="1"/>
  <c r="R66"/>
  <c r="W66"/>
  <c r="V66"/>
  <c r="X98"/>
  <c r="T98" s="1"/>
  <c r="U98" s="1"/>
  <c r="R98"/>
  <c r="W98"/>
  <c r="P98"/>
  <c r="S98" s="1"/>
  <c r="V98"/>
  <c r="X138"/>
  <c r="T138" s="1"/>
  <c r="U138" s="1"/>
  <c r="P138"/>
  <c r="S138" s="1"/>
  <c r="R138"/>
  <c r="V138"/>
  <c r="X170"/>
  <c r="T170" s="1"/>
  <c r="U170" s="1"/>
  <c r="P170"/>
  <c r="S170" s="1"/>
  <c r="R170"/>
  <c r="V170"/>
  <c r="X202"/>
  <c r="T202" s="1"/>
  <c r="U202" s="1"/>
  <c r="P202"/>
  <c r="S202" s="1"/>
  <c r="R202"/>
  <c r="V202"/>
  <c r="X234"/>
  <c r="T234" s="1"/>
  <c r="U234" s="1"/>
  <c r="R234"/>
  <c r="W234"/>
  <c r="P234"/>
  <c r="S234" s="1"/>
  <c r="V234"/>
  <c r="X266"/>
  <c r="T266" s="1"/>
  <c r="U266" s="1"/>
  <c r="W266"/>
  <c r="P266"/>
  <c r="S266" s="1"/>
  <c r="X298"/>
  <c r="T298" s="1"/>
  <c r="U298" s="1"/>
  <c r="W298"/>
  <c r="P298"/>
  <c r="S298" s="1"/>
  <c r="V298"/>
  <c r="X330"/>
  <c r="T330" s="1"/>
  <c r="U330" s="1"/>
  <c r="W330"/>
  <c r="P330"/>
  <c r="S330" s="1"/>
  <c r="X362"/>
  <c r="T362" s="1"/>
  <c r="U362" s="1"/>
  <c r="W362"/>
  <c r="P362"/>
  <c r="Q362" s="1"/>
  <c r="V362"/>
  <c r="X394"/>
  <c r="T394" s="1"/>
  <c r="U394" s="1"/>
  <c r="W394"/>
  <c r="P394"/>
  <c r="S394" s="1"/>
  <c r="X426"/>
  <c r="T426" s="1"/>
  <c r="U426" s="1"/>
  <c r="W426"/>
  <c r="P426"/>
  <c r="S426" s="1"/>
  <c r="R426"/>
  <c r="V426"/>
  <c r="X458"/>
  <c r="T458" s="1"/>
  <c r="U458" s="1"/>
  <c r="W458"/>
  <c r="V458"/>
  <c r="X490"/>
  <c r="T490" s="1"/>
  <c r="U490" s="1"/>
  <c r="W490"/>
  <c r="V490"/>
  <c r="X514"/>
  <c r="T514" s="1"/>
  <c r="U514" s="1"/>
  <c r="W514"/>
  <c r="P514"/>
  <c r="S514" s="1"/>
  <c r="R514"/>
  <c r="V514"/>
  <c r="X538"/>
  <c r="T538" s="1"/>
  <c r="U538" s="1"/>
  <c r="W538"/>
  <c r="V538"/>
  <c r="X578"/>
  <c r="T578" s="1"/>
  <c r="U578" s="1"/>
  <c r="P578"/>
  <c r="S578" s="1"/>
  <c r="X610"/>
  <c r="T610" s="1"/>
  <c r="U610" s="1"/>
  <c r="P610"/>
  <c r="Q610" s="1"/>
  <c r="X642"/>
  <c r="T642" s="1"/>
  <c r="U642" s="1"/>
  <c r="P642"/>
  <c r="S642" s="1"/>
  <c r="X674"/>
  <c r="T674" s="1"/>
  <c r="U674" s="1"/>
  <c r="P674"/>
  <c r="S674" s="1"/>
  <c r="X706"/>
  <c r="T706" s="1"/>
  <c r="U706" s="1"/>
  <c r="P706"/>
  <c r="S706" s="1"/>
  <c r="X722"/>
  <c r="T722" s="1"/>
  <c r="U722" s="1"/>
  <c r="P722"/>
  <c r="S722" s="1"/>
  <c r="X754"/>
  <c r="T754" s="1"/>
  <c r="U754" s="1"/>
  <c r="P754"/>
  <c r="Q754" s="1"/>
  <c r="X794"/>
  <c r="T794" s="1"/>
  <c r="U794" s="1"/>
  <c r="P794"/>
  <c r="S794" s="1"/>
  <c r="P32"/>
  <c r="S32" s="1"/>
  <c r="P16"/>
  <c r="S16" s="1"/>
  <c r="V25"/>
  <c r="V992"/>
  <c r="W977"/>
  <c r="V969"/>
  <c r="W962"/>
  <c r="R961"/>
  <c r="R946"/>
  <c r="V929"/>
  <c r="R898"/>
  <c r="V880"/>
  <c r="P873"/>
  <c r="S873" s="1"/>
  <c r="V858"/>
  <c r="R849"/>
  <c r="R840"/>
  <c r="W834"/>
  <c r="R818"/>
  <c r="P809"/>
  <c r="S809" s="1"/>
  <c r="V794"/>
  <c r="R721"/>
  <c r="R706"/>
  <c r="R704"/>
  <c r="R689"/>
  <c r="R674"/>
  <c r="R672"/>
  <c r="R657"/>
  <c r="R625"/>
  <c r="R593"/>
  <c r="R576"/>
  <c r="W570"/>
  <c r="R561"/>
  <c r="P513"/>
  <c r="S513" s="1"/>
  <c r="R488"/>
  <c r="P408"/>
  <c r="S408" s="1"/>
  <c r="P328"/>
  <c r="Q328" s="1"/>
  <c r="P321"/>
  <c r="S321" s="1"/>
  <c r="P194"/>
  <c r="S194" s="1"/>
  <c r="P121"/>
  <c r="Q121" s="1"/>
  <c r="R32"/>
  <c r="P24"/>
  <c r="S24" s="1"/>
  <c r="R16"/>
  <c r="V24"/>
  <c r="R992"/>
  <c r="W985"/>
  <c r="P984"/>
  <c r="S984" s="1"/>
  <c r="V977"/>
  <c r="W970"/>
  <c r="R969"/>
  <c r="V962"/>
  <c r="P961"/>
  <c r="Q961" s="1"/>
  <c r="R954"/>
  <c r="P946"/>
  <c r="Q946" s="1"/>
  <c r="R936"/>
  <c r="R929"/>
  <c r="R922"/>
  <c r="W913"/>
  <c r="P912"/>
  <c r="S912" s="1"/>
  <c r="W906"/>
  <c r="P905"/>
  <c r="S905" s="1"/>
  <c r="V896"/>
  <c r="R889"/>
  <c r="R880"/>
  <c r="W874"/>
  <c r="W865"/>
  <c r="R858"/>
  <c r="V856"/>
  <c r="P849"/>
  <c r="Q849" s="1"/>
  <c r="V834"/>
  <c r="R825"/>
  <c r="R816"/>
  <c r="W810"/>
  <c r="W801"/>
  <c r="R794"/>
  <c r="V792"/>
  <c r="P785"/>
  <c r="Q785" s="1"/>
  <c r="W777"/>
  <c r="V762"/>
  <c r="P753"/>
  <c r="S753" s="1"/>
  <c r="W745"/>
  <c r="V730"/>
  <c r="P721"/>
  <c r="S721" s="1"/>
  <c r="W713"/>
  <c r="V698"/>
  <c r="P689"/>
  <c r="Q689" s="1"/>
  <c r="W681"/>
  <c r="V666"/>
  <c r="P657"/>
  <c r="S657" s="1"/>
  <c r="W649"/>
  <c r="V634"/>
  <c r="P625"/>
  <c r="Q625" s="1"/>
  <c r="W617"/>
  <c r="V602"/>
  <c r="P593"/>
  <c r="S593" s="1"/>
  <c r="W585"/>
  <c r="V570"/>
  <c r="P561"/>
  <c r="S561" s="1"/>
  <c r="R544"/>
  <c r="R538"/>
  <c r="R536"/>
  <c r="W529"/>
  <c r="P490"/>
  <c r="Q490" s="1"/>
  <c r="V481"/>
  <c r="P473"/>
  <c r="S473" s="1"/>
  <c r="R456"/>
  <c r="V434"/>
  <c r="R432"/>
  <c r="W425"/>
  <c r="V406"/>
  <c r="P402"/>
  <c r="S402" s="1"/>
  <c r="V393"/>
  <c r="V386"/>
  <c r="V354"/>
  <c r="P350"/>
  <c r="S350" s="1"/>
  <c r="V330"/>
  <c r="V278"/>
  <c r="P274"/>
  <c r="Q274" s="1"/>
  <c r="V265"/>
  <c r="V258"/>
  <c r="W224"/>
  <c r="V218"/>
  <c r="W174"/>
  <c r="W126"/>
  <c r="P102"/>
  <c r="S102" s="1"/>
  <c r="V90"/>
  <c r="W46"/>
  <c r="G734"/>
  <c r="F13"/>
  <c r="F37"/>
  <c r="F77"/>
  <c r="F141"/>
  <c r="F165"/>
  <c r="F197"/>
  <c r="F229"/>
  <c r="F341"/>
  <c r="G477"/>
  <c r="F477"/>
  <c r="F501"/>
  <c r="F589"/>
  <c r="F653"/>
  <c r="F677"/>
  <c r="G709"/>
  <c r="F709"/>
  <c r="F741"/>
  <c r="F773"/>
  <c r="F797"/>
  <c r="F813"/>
  <c r="F837"/>
  <c r="G861"/>
  <c r="F861"/>
  <c r="G885"/>
  <c r="F885"/>
  <c r="F917"/>
  <c r="G206"/>
  <c r="F206"/>
  <c r="G342"/>
  <c r="F342"/>
  <c r="G374"/>
  <c r="F374"/>
  <c r="G398"/>
  <c r="F398"/>
  <c r="F422"/>
  <c r="F454"/>
  <c r="F478"/>
  <c r="G510"/>
  <c r="F510"/>
  <c r="F534"/>
  <c r="F558"/>
  <c r="G590"/>
  <c r="F590"/>
  <c r="G622"/>
  <c r="F622"/>
  <c r="G654"/>
  <c r="F654"/>
  <c r="F686"/>
  <c r="F798"/>
  <c r="G830"/>
  <c r="F830"/>
  <c r="G862"/>
  <c r="F862"/>
  <c r="G918"/>
  <c r="F918"/>
  <c r="G942"/>
  <c r="F942"/>
  <c r="F966"/>
  <c r="F982"/>
  <c r="F31"/>
  <c r="F63"/>
  <c r="G135"/>
  <c r="F135"/>
  <c r="F207"/>
  <c r="F223"/>
  <c r="G255"/>
  <c r="F255"/>
  <c r="F279"/>
  <c r="G343"/>
  <c r="F343"/>
  <c r="G367"/>
  <c r="F367"/>
  <c r="F399"/>
  <c r="G423"/>
  <c r="F423"/>
  <c r="G455"/>
  <c r="F455"/>
  <c r="F559"/>
  <c r="G583"/>
  <c r="F583"/>
  <c r="G607"/>
  <c r="F607"/>
  <c r="F639"/>
  <c r="F663"/>
  <c r="F695"/>
  <c r="F727"/>
  <c r="G767"/>
  <c r="F767"/>
  <c r="F839"/>
  <c r="G967"/>
  <c r="F967"/>
  <c r="G32"/>
  <c r="F32"/>
  <c r="F64"/>
  <c r="F96"/>
  <c r="G128"/>
  <c r="F128"/>
  <c r="F152"/>
  <c r="F176"/>
  <c r="G288"/>
  <c r="F288"/>
  <c r="G320"/>
  <c r="F320"/>
  <c r="G384"/>
  <c r="F384"/>
  <c r="G416"/>
  <c r="F416"/>
  <c r="F432"/>
  <c r="F464"/>
  <c r="G488"/>
  <c r="F488"/>
  <c r="F512"/>
  <c r="G568"/>
  <c r="F568"/>
  <c r="F600"/>
  <c r="F632"/>
  <c r="F688"/>
  <c r="F720"/>
  <c r="F752"/>
  <c r="F832"/>
  <c r="G856"/>
  <c r="F856"/>
  <c r="F888"/>
  <c r="G928"/>
  <c r="F928"/>
  <c r="G952"/>
  <c r="F952"/>
  <c r="G984"/>
  <c r="F984"/>
  <c r="F17"/>
  <c r="G25"/>
  <c r="F25"/>
  <c r="F33"/>
  <c r="F49"/>
  <c r="F57"/>
  <c r="F73"/>
  <c r="F81"/>
  <c r="F89"/>
  <c r="F105"/>
  <c r="F121"/>
  <c r="G129"/>
  <c r="F129"/>
  <c r="F153"/>
  <c r="G169"/>
  <c r="F169"/>
  <c r="F185"/>
  <c r="F193"/>
  <c r="F201"/>
  <c r="F217"/>
  <c r="F233"/>
  <c r="F241"/>
  <c r="G249"/>
  <c r="F249"/>
  <c r="G257"/>
  <c r="F257"/>
  <c r="F265"/>
  <c r="F273"/>
  <c r="F281"/>
  <c r="F297"/>
  <c r="F313"/>
  <c r="F321"/>
  <c r="F345"/>
  <c r="G353"/>
  <c r="F353"/>
  <c r="G369"/>
  <c r="F369"/>
  <c r="G377"/>
  <c r="F377"/>
  <c r="G385"/>
  <c r="F385"/>
  <c r="G393"/>
  <c r="F393"/>
  <c r="G401"/>
  <c r="F401"/>
  <c r="G409"/>
  <c r="F409"/>
  <c r="G417"/>
  <c r="F417"/>
  <c r="G425"/>
  <c r="F425"/>
  <c r="F441"/>
  <c r="F449"/>
  <c r="G457"/>
  <c r="F457"/>
  <c r="F497"/>
  <c r="G505"/>
  <c r="F505"/>
  <c r="G521"/>
  <c r="F521"/>
  <c r="G529"/>
  <c r="F529"/>
  <c r="F537"/>
  <c r="F553"/>
  <c r="F561"/>
  <c r="F585"/>
  <c r="G593"/>
  <c r="F593"/>
  <c r="F601"/>
  <c r="F609"/>
  <c r="G617"/>
  <c r="F617"/>
  <c r="F633"/>
  <c r="F657"/>
  <c r="G665"/>
  <c r="F665"/>
  <c r="G681"/>
  <c r="F681"/>
  <c r="G689"/>
  <c r="F689"/>
  <c r="G697"/>
  <c r="F697"/>
  <c r="F705"/>
  <c r="F713"/>
  <c r="F721"/>
  <c r="F729"/>
  <c r="G737"/>
  <c r="F737"/>
  <c r="G745"/>
  <c r="F745"/>
  <c r="F753"/>
  <c r="G761"/>
  <c r="F761"/>
  <c r="F769"/>
  <c r="F785"/>
  <c r="G801"/>
  <c r="F801"/>
  <c r="F809"/>
  <c r="F817"/>
  <c r="F825"/>
  <c r="F841"/>
  <c r="G849"/>
  <c r="F849"/>
  <c r="G857"/>
  <c r="F857"/>
  <c r="F865"/>
  <c r="G873"/>
  <c r="F873"/>
  <c r="G881"/>
  <c r="F881"/>
  <c r="F897"/>
  <c r="F905"/>
  <c r="G929"/>
  <c r="F929"/>
  <c r="F937"/>
  <c r="F945"/>
  <c r="G953"/>
  <c r="F953"/>
  <c r="F961"/>
  <c r="G977"/>
  <c r="F977"/>
  <c r="G985"/>
  <c r="F985"/>
  <c r="G993"/>
  <c r="F993"/>
  <c r="F29"/>
  <c r="F53"/>
  <c r="F133"/>
  <c r="G173"/>
  <c r="F173"/>
  <c r="F213"/>
  <c r="F261"/>
  <c r="G293"/>
  <c r="F293"/>
  <c r="F437"/>
  <c r="G461"/>
  <c r="F461"/>
  <c r="G541"/>
  <c r="F541"/>
  <c r="G733"/>
  <c r="F733"/>
  <c r="G765"/>
  <c r="F765"/>
  <c r="F805"/>
  <c r="F933"/>
  <c r="G941"/>
  <c r="F941"/>
  <c r="F973"/>
  <c r="F989"/>
  <c r="F46"/>
  <c r="G78"/>
  <c r="F78"/>
  <c r="G86"/>
  <c r="F86"/>
  <c r="F118"/>
  <c r="F150"/>
  <c r="G182"/>
  <c r="F182"/>
  <c r="F246"/>
  <c r="F278"/>
  <c r="F318"/>
  <c r="F350"/>
  <c r="F382"/>
  <c r="F406"/>
  <c r="G430"/>
  <c r="F430"/>
  <c r="G462"/>
  <c r="F462"/>
  <c r="G494"/>
  <c r="F494"/>
  <c r="G582"/>
  <c r="F582"/>
  <c r="G614"/>
  <c r="F614"/>
  <c r="G646"/>
  <c r="F646"/>
  <c r="F670"/>
  <c r="G694"/>
  <c r="F694"/>
  <c r="G718"/>
  <c r="F718"/>
  <c r="F742"/>
  <c r="F846"/>
  <c r="G926"/>
  <c r="F926"/>
  <c r="G974"/>
  <c r="F974"/>
  <c r="F23"/>
  <c r="F55"/>
  <c r="G87"/>
  <c r="F87"/>
  <c r="G127"/>
  <c r="F127"/>
  <c r="F159"/>
  <c r="F359"/>
  <c r="G391"/>
  <c r="F391"/>
  <c r="F415"/>
  <c r="F447"/>
  <c r="G511"/>
  <c r="F511"/>
  <c r="G575"/>
  <c r="F575"/>
  <c r="F599"/>
  <c r="G631"/>
  <c r="F631"/>
  <c r="G719"/>
  <c r="F719"/>
  <c r="G751"/>
  <c r="F751"/>
  <c r="G815"/>
  <c r="F815"/>
  <c r="G847"/>
  <c r="F847"/>
  <c r="G871"/>
  <c r="F871"/>
  <c r="F895"/>
  <c r="G919"/>
  <c r="F919"/>
  <c r="G951"/>
  <c r="F951"/>
  <c r="G16"/>
  <c r="F16"/>
  <c r="F40"/>
  <c r="F80"/>
  <c r="G112"/>
  <c r="F112"/>
  <c r="G144"/>
  <c r="F144"/>
  <c r="G272"/>
  <c r="F272"/>
  <c r="G304"/>
  <c r="F304"/>
  <c r="G328"/>
  <c r="F328"/>
  <c r="F392"/>
  <c r="F472"/>
  <c r="F496"/>
  <c r="G552"/>
  <c r="F552"/>
  <c r="G584"/>
  <c r="F584"/>
  <c r="F616"/>
  <c r="G696"/>
  <c r="F696"/>
  <c r="F768"/>
  <c r="F792"/>
  <c r="F872"/>
  <c r="G904"/>
  <c r="F904"/>
  <c r="G976"/>
  <c r="F976"/>
  <c r="F18"/>
  <c r="G26"/>
  <c r="F26"/>
  <c r="F42"/>
  <c r="F50"/>
  <c r="G58"/>
  <c r="F58"/>
  <c r="F66"/>
  <c r="G74"/>
  <c r="F74"/>
  <c r="G90"/>
  <c r="F90"/>
  <c r="F98"/>
  <c r="G106"/>
  <c r="F106"/>
  <c r="G114"/>
  <c r="F114"/>
  <c r="F130"/>
  <c r="F138"/>
  <c r="F146"/>
  <c r="F154"/>
  <c r="G162"/>
  <c r="F162"/>
  <c r="G186"/>
  <c r="F186"/>
  <c r="F194"/>
  <c r="G210"/>
  <c r="F210"/>
  <c r="G218"/>
  <c r="F218"/>
  <c r="G226"/>
  <c r="F226"/>
  <c r="G234"/>
  <c r="F234"/>
  <c r="F250"/>
  <c r="F258"/>
  <c r="F266"/>
  <c r="G274"/>
  <c r="F274"/>
  <c r="F282"/>
  <c r="G306"/>
  <c r="F306"/>
  <c r="G322"/>
  <c r="F322"/>
  <c r="G330"/>
  <c r="F330"/>
  <c r="F338"/>
  <c r="F346"/>
  <c r="F354"/>
  <c r="F362"/>
  <c r="G370"/>
  <c r="F370"/>
  <c r="F378"/>
  <c r="F386"/>
  <c r="G394"/>
  <c r="F394"/>
  <c r="G402"/>
  <c r="F402"/>
  <c r="F418"/>
  <c r="G426"/>
  <c r="F426"/>
  <c r="G434"/>
  <c r="F434"/>
  <c r="F442"/>
  <c r="G450"/>
  <c r="F450"/>
  <c r="G458"/>
  <c r="F458"/>
  <c r="F466"/>
  <c r="G474"/>
  <c r="F474"/>
  <c r="G482"/>
  <c r="F482"/>
  <c r="G490"/>
  <c r="F490"/>
  <c r="G506"/>
  <c r="F506"/>
  <c r="F514"/>
  <c r="F522"/>
  <c r="G530"/>
  <c r="F530"/>
  <c r="F538"/>
  <c r="F546"/>
  <c r="G554"/>
  <c r="F554"/>
  <c r="F562"/>
  <c r="G570"/>
  <c r="F570"/>
  <c r="G578"/>
  <c r="F578"/>
  <c r="G594"/>
  <c r="F594"/>
  <c r="G602"/>
  <c r="F602"/>
  <c r="G610"/>
  <c r="F610"/>
  <c r="G618"/>
  <c r="F618"/>
  <c r="F626"/>
  <c r="G634"/>
  <c r="F634"/>
  <c r="G642"/>
  <c r="F642"/>
  <c r="F658"/>
  <c r="F666"/>
  <c r="G674"/>
  <c r="F674"/>
  <c r="G682"/>
  <c r="F682"/>
  <c r="G698"/>
  <c r="F698"/>
  <c r="G706"/>
  <c r="F706"/>
  <c r="F722"/>
  <c r="G730"/>
  <c r="F730"/>
  <c r="F738"/>
  <c r="F754"/>
  <c r="G770"/>
  <c r="F770"/>
  <c r="G794"/>
  <c r="F794"/>
  <c r="G818"/>
  <c r="F818"/>
  <c r="F834"/>
  <c r="G842"/>
  <c r="F842"/>
  <c r="F858"/>
  <c r="G866"/>
  <c r="F866"/>
  <c r="G890"/>
  <c r="F890"/>
  <c r="G898"/>
  <c r="F898"/>
  <c r="G922"/>
  <c r="F922"/>
  <c r="F930"/>
  <c r="G938"/>
  <c r="F938"/>
  <c r="G946"/>
  <c r="F946"/>
  <c r="F954"/>
  <c r="G970"/>
  <c r="F970"/>
  <c r="G986"/>
  <c r="F986"/>
  <c r="G994"/>
  <c r="F994"/>
  <c r="G21"/>
  <c r="F21"/>
  <c r="F85"/>
  <c r="F117"/>
  <c r="G149"/>
  <c r="F149"/>
  <c r="G181"/>
  <c r="F181"/>
  <c r="F205"/>
  <c r="F237"/>
  <c r="F349"/>
  <c r="G485"/>
  <c r="F485"/>
  <c r="G549"/>
  <c r="F549"/>
  <c r="F605"/>
  <c r="F629"/>
  <c r="G661"/>
  <c r="F661"/>
  <c r="F685"/>
  <c r="F717"/>
  <c r="F749"/>
  <c r="F781"/>
  <c r="F893"/>
  <c r="F925"/>
  <c r="F949"/>
  <c r="F981"/>
  <c r="F22"/>
  <c r="G158"/>
  <c r="F158"/>
  <c r="G190"/>
  <c r="F190"/>
  <c r="G214"/>
  <c r="F214"/>
  <c r="F238"/>
  <c r="G254"/>
  <c r="F254"/>
  <c r="F286"/>
  <c r="G302"/>
  <c r="F302"/>
  <c r="F334"/>
  <c r="F366"/>
  <c r="F446"/>
  <c r="G486"/>
  <c r="F486"/>
  <c r="G518"/>
  <c r="F518"/>
  <c r="G542"/>
  <c r="F542"/>
  <c r="F566"/>
  <c r="G598"/>
  <c r="F598"/>
  <c r="G630"/>
  <c r="F630"/>
  <c r="F662"/>
  <c r="F774"/>
  <c r="G870"/>
  <c r="F870"/>
  <c r="G950"/>
  <c r="F950"/>
  <c r="G47"/>
  <c r="F47"/>
  <c r="F79"/>
  <c r="G111"/>
  <c r="F111"/>
  <c r="G175"/>
  <c r="F175"/>
  <c r="G199"/>
  <c r="F199"/>
  <c r="F231"/>
  <c r="G263"/>
  <c r="F263"/>
  <c r="F335"/>
  <c r="F407"/>
  <c r="G439"/>
  <c r="F439"/>
  <c r="F503"/>
  <c r="G519"/>
  <c r="F519"/>
  <c r="G543"/>
  <c r="F543"/>
  <c r="G567"/>
  <c r="F567"/>
  <c r="F647"/>
  <c r="F679"/>
  <c r="F703"/>
  <c r="F735"/>
  <c r="F759"/>
  <c r="F783"/>
  <c r="G823"/>
  <c r="F823"/>
  <c r="F887"/>
  <c r="F911"/>
  <c r="G935"/>
  <c r="F935"/>
  <c r="G959"/>
  <c r="F959"/>
  <c r="F975"/>
  <c r="F88"/>
  <c r="F120"/>
  <c r="F224"/>
  <c r="F240"/>
  <c r="F400"/>
  <c r="F424"/>
  <c r="F448"/>
  <c r="F480"/>
  <c r="F592"/>
  <c r="F624"/>
  <c r="F648"/>
  <c r="G712"/>
  <c r="F712"/>
  <c r="F776"/>
  <c r="F816"/>
  <c r="G880"/>
  <c r="F880"/>
  <c r="G896"/>
  <c r="F896"/>
  <c r="G920"/>
  <c r="F920"/>
  <c r="G936"/>
  <c r="F936"/>
  <c r="G960"/>
  <c r="F960"/>
  <c r="G992"/>
  <c r="F992"/>
  <c r="G759"/>
  <c r="F19"/>
  <c r="G27"/>
  <c r="F27"/>
  <c r="F35"/>
  <c r="F51"/>
  <c r="G59"/>
  <c r="F59"/>
  <c r="F67"/>
  <c r="G75"/>
  <c r="F75"/>
  <c r="F83"/>
  <c r="F99"/>
  <c r="F107"/>
  <c r="F115"/>
  <c r="G123"/>
  <c r="F123"/>
  <c r="G131"/>
  <c r="F131"/>
  <c r="G139"/>
  <c r="F139"/>
  <c r="G147"/>
  <c r="F147"/>
  <c r="F155"/>
  <c r="F163"/>
  <c r="F171"/>
  <c r="G179"/>
  <c r="F179"/>
  <c r="F187"/>
  <c r="G195"/>
  <c r="F195"/>
  <c r="F203"/>
  <c r="F211"/>
  <c r="F227"/>
  <c r="G235"/>
  <c r="F235"/>
  <c r="F251"/>
  <c r="F267"/>
  <c r="F291"/>
  <c r="F299"/>
  <c r="F307"/>
  <c r="F331"/>
  <c r="F355"/>
  <c r="G363"/>
  <c r="F363"/>
  <c r="F379"/>
  <c r="G387"/>
  <c r="F387"/>
  <c r="G395"/>
  <c r="F395"/>
  <c r="F403"/>
  <c r="F411"/>
  <c r="G435"/>
  <c r="F435"/>
  <c r="F459"/>
  <c r="G467"/>
  <c r="F467"/>
  <c r="F475"/>
  <c r="F483"/>
  <c r="G491"/>
  <c r="F491"/>
  <c r="F499"/>
  <c r="G507"/>
  <c r="F507"/>
  <c r="F515"/>
  <c r="F531"/>
  <c r="G539"/>
  <c r="F539"/>
  <c r="F555"/>
  <c r="G571"/>
  <c r="F571"/>
  <c r="F579"/>
  <c r="G587"/>
  <c r="F587"/>
  <c r="G595"/>
  <c r="F595"/>
  <c r="G603"/>
  <c r="F603"/>
  <c r="G611"/>
  <c r="F611"/>
  <c r="G619"/>
  <c r="F619"/>
  <c r="F627"/>
  <c r="G635"/>
  <c r="F635"/>
  <c r="G643"/>
  <c r="F643"/>
  <c r="G659"/>
  <c r="F659"/>
  <c r="F667"/>
  <c r="G691"/>
  <c r="F691"/>
  <c r="F707"/>
  <c r="G715"/>
  <c r="F715"/>
  <c r="G723"/>
  <c r="F723"/>
  <c r="G739"/>
  <c r="F739"/>
  <c r="G747"/>
  <c r="F747"/>
  <c r="F771"/>
  <c r="G779"/>
  <c r="F779"/>
  <c r="F795"/>
  <c r="F803"/>
  <c r="F843"/>
  <c r="G851"/>
  <c r="F851"/>
  <c r="F867"/>
  <c r="F883"/>
  <c r="G891"/>
  <c r="F891"/>
  <c r="F899"/>
  <c r="F907"/>
  <c r="G915"/>
  <c r="F915"/>
  <c r="F939"/>
  <c r="F947"/>
  <c r="F963"/>
  <c r="G979"/>
  <c r="F979"/>
  <c r="F45"/>
  <c r="F69"/>
  <c r="F93"/>
  <c r="F125"/>
  <c r="F157"/>
  <c r="F189"/>
  <c r="F253"/>
  <c r="G269"/>
  <c r="F269"/>
  <c r="F301"/>
  <c r="F325"/>
  <c r="G357"/>
  <c r="F357"/>
  <c r="G365"/>
  <c r="F365"/>
  <c r="G429"/>
  <c r="F429"/>
  <c r="F493"/>
  <c r="G517"/>
  <c r="F517"/>
  <c r="G533"/>
  <c r="F533"/>
  <c r="F557"/>
  <c r="G573"/>
  <c r="F573"/>
  <c r="F637"/>
  <c r="G669"/>
  <c r="F669"/>
  <c r="G693"/>
  <c r="F693"/>
  <c r="F725"/>
  <c r="F757"/>
  <c r="F789"/>
  <c r="G853"/>
  <c r="F853"/>
  <c r="F877"/>
  <c r="G909"/>
  <c r="F909"/>
  <c r="F14"/>
  <c r="G70"/>
  <c r="F70"/>
  <c r="F94"/>
  <c r="F126"/>
  <c r="G198"/>
  <c r="F198"/>
  <c r="G230"/>
  <c r="F230"/>
  <c r="F294"/>
  <c r="F326"/>
  <c r="F358"/>
  <c r="F390"/>
  <c r="G470"/>
  <c r="F470"/>
  <c r="F502"/>
  <c r="G526"/>
  <c r="F526"/>
  <c r="G606"/>
  <c r="F606"/>
  <c r="F638"/>
  <c r="F702"/>
  <c r="G726"/>
  <c r="F726"/>
  <c r="F790"/>
  <c r="G806"/>
  <c r="F806"/>
  <c r="F838"/>
  <c r="F902"/>
  <c r="G934"/>
  <c r="F934"/>
  <c r="F39"/>
  <c r="F71"/>
  <c r="G95"/>
  <c r="F95"/>
  <c r="F119"/>
  <c r="F143"/>
  <c r="G167"/>
  <c r="F167"/>
  <c r="F191"/>
  <c r="G239"/>
  <c r="F239"/>
  <c r="G463"/>
  <c r="F463"/>
  <c r="G487"/>
  <c r="F487"/>
  <c r="F623"/>
  <c r="G655"/>
  <c r="F655"/>
  <c r="G671"/>
  <c r="F671"/>
  <c r="G711"/>
  <c r="F711"/>
  <c r="F743"/>
  <c r="F775"/>
  <c r="F799"/>
  <c r="G855"/>
  <c r="F855"/>
  <c r="F927"/>
  <c r="G205"/>
  <c r="G72"/>
  <c r="F72"/>
  <c r="G104"/>
  <c r="F104"/>
  <c r="F136"/>
  <c r="F160"/>
  <c r="G192"/>
  <c r="F192"/>
  <c r="F280"/>
  <c r="F312"/>
  <c r="G376"/>
  <c r="F376"/>
  <c r="G408"/>
  <c r="F408"/>
  <c r="F536"/>
  <c r="G640"/>
  <c r="F640"/>
  <c r="F704"/>
  <c r="F728"/>
  <c r="G760"/>
  <c r="F760"/>
  <c r="F784"/>
  <c r="F808"/>
  <c r="F824"/>
  <c r="F864"/>
  <c r="G912"/>
  <c r="F912"/>
  <c r="G831"/>
  <c r="G621"/>
  <c r="G20"/>
  <c r="F20"/>
  <c r="G28"/>
  <c r="F28"/>
  <c r="F36"/>
  <c r="F44"/>
  <c r="F52"/>
  <c r="F60"/>
  <c r="F68"/>
  <c r="F84"/>
  <c r="F92"/>
  <c r="F100"/>
  <c r="G108"/>
  <c r="F108"/>
  <c r="F116"/>
  <c r="F132"/>
  <c r="G148"/>
  <c r="F148"/>
  <c r="G156"/>
  <c r="F156"/>
  <c r="G164"/>
  <c r="F164"/>
  <c r="F172"/>
  <c r="G180"/>
  <c r="F180"/>
  <c r="G188"/>
  <c r="F188"/>
  <c r="F204"/>
  <c r="F212"/>
  <c r="F228"/>
  <c r="G236"/>
  <c r="F236"/>
  <c r="G244"/>
  <c r="F244"/>
  <c r="F252"/>
  <c r="F260"/>
  <c r="G284"/>
  <c r="F284"/>
  <c r="F292"/>
  <c r="G300"/>
  <c r="F300"/>
  <c r="F308"/>
  <c r="F316"/>
  <c r="G332"/>
  <c r="F332"/>
  <c r="F340"/>
  <c r="G348"/>
  <c r="F348"/>
  <c r="F356"/>
  <c r="F388"/>
  <c r="F396"/>
  <c r="G404"/>
  <c r="F404"/>
  <c r="F412"/>
  <c r="F420"/>
  <c r="F428"/>
  <c r="G436"/>
  <c r="F436"/>
  <c r="F444"/>
  <c r="F452"/>
  <c r="F460"/>
  <c r="F468"/>
  <c r="G476"/>
  <c r="F476"/>
  <c r="G484"/>
  <c r="F484"/>
  <c r="F500"/>
  <c r="F516"/>
  <c r="G524"/>
  <c r="F524"/>
  <c r="F548"/>
  <c r="G580"/>
  <c r="F580"/>
  <c r="G588"/>
  <c r="F588"/>
  <c r="G596"/>
  <c r="F596"/>
  <c r="G604"/>
  <c r="F604"/>
  <c r="F612"/>
  <c r="G620"/>
  <c r="F620"/>
  <c r="G636"/>
  <c r="F636"/>
  <c r="F652"/>
  <c r="G668"/>
  <c r="F668"/>
  <c r="G676"/>
  <c r="F676"/>
  <c r="F684"/>
  <c r="G692"/>
  <c r="F692"/>
  <c r="F700"/>
  <c r="F716"/>
  <c r="G724"/>
  <c r="F724"/>
  <c r="F732"/>
  <c r="G740"/>
  <c r="F740"/>
  <c r="F748"/>
  <c r="G764"/>
  <c r="F764"/>
  <c r="G788"/>
  <c r="F788"/>
  <c r="G796"/>
  <c r="F796"/>
  <c r="G804"/>
  <c r="F804"/>
  <c r="F820"/>
  <c r="F836"/>
  <c r="F844"/>
  <c r="F852"/>
  <c r="F876"/>
  <c r="G892"/>
  <c r="F892"/>
  <c r="G900"/>
  <c r="F900"/>
  <c r="F908"/>
  <c r="G916"/>
  <c r="F916"/>
  <c r="F924"/>
  <c r="F932"/>
  <c r="G940"/>
  <c r="F940"/>
  <c r="G948"/>
  <c r="F948"/>
  <c r="G956"/>
  <c r="F956"/>
  <c r="F972"/>
  <c r="G980"/>
  <c r="F980"/>
  <c r="D6" i="17"/>
  <c r="E6" s="1"/>
  <c r="H8"/>
  <c r="B8"/>
  <c r="X12" i="1"/>
  <c r="G341"/>
  <c r="G133"/>
  <c r="G592"/>
  <c r="G852"/>
  <c r="G141"/>
  <c r="G301"/>
  <c r="G165"/>
  <c r="G150"/>
  <c r="G55"/>
  <c r="G346"/>
  <c r="G211"/>
  <c r="G666"/>
  <c r="G841"/>
  <c r="G626"/>
  <c r="G905"/>
  <c r="G663"/>
  <c r="G961"/>
  <c r="G282"/>
  <c r="G331"/>
  <c r="G729"/>
  <c r="G475"/>
  <c r="G292"/>
  <c r="G704"/>
  <c r="G808"/>
  <c r="G52"/>
  <c r="G325"/>
  <c r="G742"/>
  <c r="G446"/>
  <c r="G702"/>
  <c r="G768"/>
  <c r="G63"/>
  <c r="G279"/>
  <c r="G464"/>
  <c r="G227"/>
  <c r="G382"/>
  <c r="G858"/>
  <c r="G326"/>
  <c r="G907"/>
  <c r="G797"/>
  <c r="G39"/>
  <c r="G662"/>
  <c r="G366"/>
  <c r="G223"/>
  <c r="G752"/>
  <c r="G73"/>
  <c r="G119"/>
  <c r="G792"/>
  <c r="G805"/>
  <c r="G160"/>
  <c r="G670"/>
  <c r="G844"/>
  <c r="G703"/>
  <c r="G774"/>
  <c r="G717"/>
  <c r="G982"/>
  <c r="G908"/>
  <c r="G599"/>
  <c r="G386"/>
  <c r="G512"/>
  <c r="G442"/>
  <c r="G153"/>
  <c r="G836"/>
  <c r="G460"/>
  <c r="G877"/>
  <c r="G286"/>
  <c r="G609"/>
  <c r="G53"/>
  <c r="G424"/>
  <c r="G493"/>
  <c r="G121"/>
  <c r="G843"/>
  <c r="G839"/>
  <c r="G349"/>
  <c r="G69"/>
  <c r="G838"/>
  <c r="G318"/>
  <c r="G616"/>
  <c r="G771"/>
  <c r="G313"/>
  <c r="G201"/>
  <c r="G93"/>
  <c r="G187"/>
  <c r="G193"/>
  <c r="G281"/>
  <c r="G312"/>
  <c r="G538"/>
  <c r="G217"/>
  <c r="G13"/>
  <c r="G864"/>
  <c r="G68"/>
  <c r="G741"/>
  <c r="G981"/>
  <c r="G809"/>
  <c r="G273"/>
  <c r="G37"/>
  <c r="G623"/>
  <c r="G732"/>
  <c r="G813"/>
  <c r="G624"/>
  <c r="G695"/>
  <c r="G422"/>
  <c r="G241"/>
  <c r="G163"/>
  <c r="G966"/>
  <c r="G546"/>
  <c r="G251"/>
  <c r="G639"/>
  <c r="G454"/>
  <c r="G716"/>
  <c r="S44"/>
  <c r="G500"/>
  <c r="G250"/>
  <c r="G411"/>
  <c r="G267"/>
  <c r="G392"/>
  <c r="G115"/>
  <c r="G548"/>
  <c r="G720"/>
  <c r="G728"/>
  <c r="G406"/>
  <c r="G299"/>
  <c r="G933"/>
  <c r="G359"/>
  <c r="G448"/>
  <c r="G400"/>
  <c r="G99"/>
  <c r="G418"/>
  <c r="G657"/>
  <c r="G280"/>
  <c r="G883"/>
  <c r="G143"/>
  <c r="G685"/>
  <c r="G355"/>
  <c r="G825"/>
  <c r="G231"/>
  <c r="G832"/>
  <c r="G949"/>
  <c r="G534"/>
  <c r="G735"/>
  <c r="G954"/>
  <c r="G67"/>
  <c r="G480"/>
  <c r="G228"/>
  <c r="G428"/>
  <c r="G803"/>
  <c r="G973"/>
  <c r="G784"/>
  <c r="G185"/>
  <c r="G679"/>
  <c r="G120"/>
  <c r="G159"/>
  <c r="G897"/>
  <c r="G307"/>
  <c r="G96"/>
  <c r="G562"/>
  <c r="G816"/>
  <c r="G45"/>
  <c r="G824"/>
  <c r="G677"/>
  <c r="G917"/>
  <c r="G925"/>
  <c r="G189"/>
  <c r="G817"/>
  <c r="G390"/>
  <c r="G638"/>
  <c r="G213"/>
  <c r="G22"/>
  <c r="G753"/>
  <c r="G776"/>
  <c r="G713"/>
  <c r="G790"/>
  <c r="G795"/>
  <c r="G837"/>
  <c r="G499"/>
  <c r="G757"/>
  <c r="G268"/>
  <c r="G372"/>
  <c r="G744"/>
  <c r="G380"/>
  <c r="G886"/>
  <c r="G177"/>
  <c r="G335"/>
  <c r="G456"/>
  <c r="L24"/>
  <c r="K24"/>
  <c r="L56"/>
  <c r="K56"/>
  <c r="L88"/>
  <c r="K88"/>
  <c r="L120"/>
  <c r="K120"/>
  <c r="K144"/>
  <c r="L144"/>
  <c r="K176"/>
  <c r="L176"/>
  <c r="L208"/>
  <c r="K208"/>
  <c r="K240"/>
  <c r="L240"/>
  <c r="L264"/>
  <c r="K264"/>
  <c r="L288"/>
  <c r="K288"/>
  <c r="L320"/>
  <c r="K320"/>
  <c r="L352"/>
  <c r="K352"/>
  <c r="L384"/>
  <c r="K384"/>
  <c r="L416"/>
  <c r="K416"/>
  <c r="L448"/>
  <c r="K448"/>
  <c r="L480"/>
  <c r="K480"/>
  <c r="L504"/>
  <c r="K504"/>
  <c r="L528"/>
  <c r="K528"/>
  <c r="K560"/>
  <c r="L560"/>
  <c r="K592"/>
  <c r="L592"/>
  <c r="K624"/>
  <c r="L624"/>
  <c r="L656"/>
  <c r="K656"/>
  <c r="L688"/>
  <c r="K688"/>
  <c r="K728"/>
  <c r="L728"/>
  <c r="K760"/>
  <c r="L760"/>
  <c r="K792"/>
  <c r="L792"/>
  <c r="K824"/>
  <c r="L824"/>
  <c r="K856"/>
  <c r="L856"/>
  <c r="L888"/>
  <c r="K888"/>
  <c r="K920"/>
  <c r="L920"/>
  <c r="L944"/>
  <c r="K944"/>
  <c r="L968"/>
  <c r="K968"/>
  <c r="G65"/>
  <c r="G109"/>
  <c r="G315"/>
  <c r="L17"/>
  <c r="K17"/>
  <c r="L25"/>
  <c r="K25"/>
  <c r="L33"/>
  <c r="K33"/>
  <c r="L41"/>
  <c r="K41"/>
  <c r="L49"/>
  <c r="K49"/>
  <c r="K57"/>
  <c r="L57"/>
  <c r="L65"/>
  <c r="K65"/>
  <c r="L73"/>
  <c r="K73"/>
  <c r="L81"/>
  <c r="K81"/>
  <c r="L89"/>
  <c r="K89"/>
  <c r="K97"/>
  <c r="L97"/>
  <c r="L105"/>
  <c r="K105"/>
  <c r="L113"/>
  <c r="K113"/>
  <c r="L121"/>
  <c r="K121"/>
  <c r="L129"/>
  <c r="K129"/>
  <c r="L137"/>
  <c r="K137"/>
  <c r="L145"/>
  <c r="K145"/>
  <c r="L153"/>
  <c r="K153"/>
  <c r="L161"/>
  <c r="K161"/>
  <c r="L169"/>
  <c r="K169"/>
  <c r="L177"/>
  <c r="K177"/>
  <c r="L185"/>
  <c r="K185"/>
  <c r="L193"/>
  <c r="K193"/>
  <c r="L201"/>
  <c r="K201"/>
  <c r="L209"/>
  <c r="K209"/>
  <c r="K217"/>
  <c r="L217"/>
  <c r="L225"/>
  <c r="K225"/>
  <c r="L233"/>
  <c r="K233"/>
  <c r="K241"/>
  <c r="L241"/>
  <c r="K249"/>
  <c r="L249"/>
  <c r="L257"/>
  <c r="K257"/>
  <c r="L265"/>
  <c r="K265"/>
  <c r="L273"/>
  <c r="K273"/>
  <c r="L281"/>
  <c r="K281"/>
  <c r="L289"/>
  <c r="K289"/>
  <c r="L297"/>
  <c r="K297"/>
  <c r="L305"/>
  <c r="K305"/>
  <c r="K313"/>
  <c r="L313"/>
  <c r="L337"/>
  <c r="K337"/>
  <c r="L353"/>
  <c r="K353"/>
  <c r="L361"/>
  <c r="K361"/>
  <c r="K369"/>
  <c r="L369"/>
  <c r="L377"/>
  <c r="K377"/>
  <c r="L385"/>
  <c r="K385"/>
  <c r="L393"/>
  <c r="K393"/>
  <c r="L401"/>
  <c r="K401"/>
  <c r="L409"/>
  <c r="K409"/>
  <c r="L417"/>
  <c r="K417"/>
  <c r="L425"/>
  <c r="K425"/>
  <c r="L433"/>
  <c r="K433"/>
  <c r="L441"/>
  <c r="K441"/>
  <c r="K449"/>
  <c r="L449"/>
  <c r="L457"/>
  <c r="K457"/>
  <c r="L465"/>
  <c r="K465"/>
  <c r="L473"/>
  <c r="K473"/>
  <c r="L481"/>
  <c r="K481"/>
  <c r="L489"/>
  <c r="K489"/>
  <c r="L497"/>
  <c r="K497"/>
  <c r="K505"/>
  <c r="L505"/>
  <c r="K513"/>
  <c r="L513"/>
  <c r="L521"/>
  <c r="K521"/>
  <c r="L529"/>
  <c r="K529"/>
  <c r="K537"/>
  <c r="L537"/>
  <c r="L545"/>
  <c r="K545"/>
  <c r="L553"/>
  <c r="K553"/>
  <c r="L561"/>
  <c r="K561"/>
  <c r="K569"/>
  <c r="L569"/>
  <c r="L577"/>
  <c r="K577"/>
  <c r="K585"/>
  <c r="L585"/>
  <c r="L593"/>
  <c r="K593"/>
  <c r="L601"/>
  <c r="K601"/>
  <c r="L609"/>
  <c r="K609"/>
  <c r="L617"/>
  <c r="K617"/>
  <c r="L625"/>
  <c r="K625"/>
  <c r="K633"/>
  <c r="L633"/>
  <c r="L641"/>
  <c r="K641"/>
  <c r="K649"/>
  <c r="L649"/>
  <c r="L657"/>
  <c r="K657"/>
  <c r="K665"/>
  <c r="L665"/>
  <c r="L673"/>
  <c r="K673"/>
  <c r="L681"/>
  <c r="K681"/>
  <c r="K689"/>
  <c r="L689"/>
  <c r="L697"/>
  <c r="K697"/>
  <c r="L705"/>
  <c r="K705"/>
  <c r="L713"/>
  <c r="K713"/>
  <c r="L721"/>
  <c r="K721"/>
  <c r="L729"/>
  <c r="K729"/>
  <c r="L737"/>
  <c r="K737"/>
  <c r="L745"/>
  <c r="K745"/>
  <c r="L753"/>
  <c r="K753"/>
  <c r="L761"/>
  <c r="K761"/>
  <c r="L769"/>
  <c r="K769"/>
  <c r="L777"/>
  <c r="K777"/>
  <c r="L785"/>
  <c r="K785"/>
  <c r="L793"/>
  <c r="K793"/>
  <c r="L801"/>
  <c r="K801"/>
  <c r="L809"/>
  <c r="K809"/>
  <c r="K817"/>
  <c r="L817"/>
  <c r="L825"/>
  <c r="K825"/>
  <c r="L833"/>
  <c r="K833"/>
  <c r="K841"/>
  <c r="L841"/>
  <c r="L849"/>
  <c r="K849"/>
  <c r="L857"/>
  <c r="K857"/>
  <c r="L865"/>
  <c r="K865"/>
  <c r="L873"/>
  <c r="K873"/>
  <c r="L881"/>
  <c r="K881"/>
  <c r="K889"/>
  <c r="L889"/>
  <c r="L897"/>
  <c r="K897"/>
  <c r="K905"/>
  <c r="L905"/>
  <c r="L913"/>
  <c r="K913"/>
  <c r="K921"/>
  <c r="L921"/>
  <c r="L929"/>
  <c r="K929"/>
  <c r="L937"/>
  <c r="K937"/>
  <c r="K945"/>
  <c r="L945"/>
  <c r="K953"/>
  <c r="L953"/>
  <c r="K961"/>
  <c r="L961"/>
  <c r="K969"/>
  <c r="L969"/>
  <c r="L977"/>
  <c r="K977"/>
  <c r="L985"/>
  <c r="K985"/>
  <c r="L993"/>
  <c r="K993"/>
  <c r="L12"/>
  <c r="G749"/>
  <c r="G29"/>
  <c r="G297"/>
  <c r="G89"/>
  <c r="G558"/>
  <c r="G132"/>
  <c r="G834"/>
  <c r="G219"/>
  <c r="G309"/>
  <c r="G323"/>
  <c r="G339"/>
  <c r="G361"/>
  <c r="G389"/>
  <c r="G479"/>
  <c r="G523"/>
  <c r="G755"/>
  <c r="G850"/>
  <c r="G137"/>
  <c r="G275"/>
  <c r="G305"/>
  <c r="G327"/>
  <c r="G878"/>
  <c r="G947"/>
  <c r="G56"/>
  <c r="G664"/>
  <c r="G687"/>
  <c r="L32"/>
  <c r="K32"/>
  <c r="K72"/>
  <c r="L72"/>
  <c r="L104"/>
  <c r="K104"/>
  <c r="L136"/>
  <c r="K136"/>
  <c r="L160"/>
  <c r="K160"/>
  <c r="K192"/>
  <c r="L192"/>
  <c r="L224"/>
  <c r="K224"/>
  <c r="L256"/>
  <c r="K256"/>
  <c r="L296"/>
  <c r="K296"/>
  <c r="L336"/>
  <c r="K336"/>
  <c r="L368"/>
  <c r="K368"/>
  <c r="L400"/>
  <c r="K400"/>
  <c r="L432"/>
  <c r="K432"/>
  <c r="L456"/>
  <c r="K456"/>
  <c r="L488"/>
  <c r="K488"/>
  <c r="L520"/>
  <c r="K520"/>
  <c r="L552"/>
  <c r="K552"/>
  <c r="L568"/>
  <c r="K568"/>
  <c r="L608"/>
  <c r="K608"/>
  <c r="L640"/>
  <c r="K640"/>
  <c r="K672"/>
  <c r="L672"/>
  <c r="K704"/>
  <c r="L704"/>
  <c r="L736"/>
  <c r="K736"/>
  <c r="K768"/>
  <c r="L768"/>
  <c r="L808"/>
  <c r="K808"/>
  <c r="L840"/>
  <c r="K840"/>
  <c r="K872"/>
  <c r="L872"/>
  <c r="K896"/>
  <c r="L896"/>
  <c r="L928"/>
  <c r="K928"/>
  <c r="L976"/>
  <c r="K976"/>
  <c r="L345"/>
  <c r="K345"/>
  <c r="G103"/>
  <c r="G220"/>
  <c r="G287"/>
  <c r="G495"/>
  <c r="G532"/>
  <c r="G777"/>
  <c r="G943"/>
  <c r="L19"/>
  <c r="K19"/>
  <c r="L27"/>
  <c r="K27"/>
  <c r="L35"/>
  <c r="K35"/>
  <c r="L43"/>
  <c r="K43"/>
  <c r="K51"/>
  <c r="L51"/>
  <c r="L59"/>
  <c r="K59"/>
  <c r="K67"/>
  <c r="L67"/>
  <c r="L75"/>
  <c r="K75"/>
  <c r="L83"/>
  <c r="K83"/>
  <c r="L91"/>
  <c r="K91"/>
  <c r="L99"/>
  <c r="K99"/>
  <c r="L107"/>
  <c r="K107"/>
  <c r="K115"/>
  <c r="L115"/>
  <c r="L123"/>
  <c r="K123"/>
  <c r="K131"/>
  <c r="L131"/>
  <c r="K139"/>
  <c r="L139"/>
  <c r="L147"/>
  <c r="K147"/>
  <c r="L155"/>
  <c r="K155"/>
  <c r="K163"/>
  <c r="L163"/>
  <c r="L171"/>
  <c r="K171"/>
  <c r="L179"/>
  <c r="K179"/>
  <c r="L187"/>
  <c r="K187"/>
  <c r="K195"/>
  <c r="L195"/>
  <c r="K203"/>
  <c r="L203"/>
  <c r="L211"/>
  <c r="K211"/>
  <c r="L219"/>
  <c r="K219"/>
  <c r="L227"/>
  <c r="K227"/>
  <c r="L235"/>
  <c r="K235"/>
  <c r="L243"/>
  <c r="K243"/>
  <c r="L251"/>
  <c r="K251"/>
  <c r="L259"/>
  <c r="K259"/>
  <c r="L267"/>
  <c r="K267"/>
  <c r="L275"/>
  <c r="K275"/>
  <c r="L283"/>
  <c r="K283"/>
  <c r="L291"/>
  <c r="K291"/>
  <c r="L299"/>
  <c r="K299"/>
  <c r="L307"/>
  <c r="K307"/>
  <c r="L315"/>
  <c r="K315"/>
  <c r="L323"/>
  <c r="K323"/>
  <c r="L331"/>
  <c r="K331"/>
  <c r="L339"/>
  <c r="K339"/>
  <c r="L347"/>
  <c r="K347"/>
  <c r="L355"/>
  <c r="K355"/>
  <c r="L363"/>
  <c r="K363"/>
  <c r="L371"/>
  <c r="K371"/>
  <c r="L379"/>
  <c r="K379"/>
  <c r="L387"/>
  <c r="K387"/>
  <c r="L395"/>
  <c r="K395"/>
  <c r="L403"/>
  <c r="K403"/>
  <c r="L411"/>
  <c r="K411"/>
  <c r="L419"/>
  <c r="K419"/>
  <c r="L427"/>
  <c r="K427"/>
  <c r="L435"/>
  <c r="K435"/>
  <c r="L443"/>
  <c r="K443"/>
  <c r="L451"/>
  <c r="K451"/>
  <c r="L459"/>
  <c r="K459"/>
  <c r="L467"/>
  <c r="K467"/>
  <c r="L475"/>
  <c r="K475"/>
  <c r="L483"/>
  <c r="K483"/>
  <c r="L491"/>
  <c r="K491"/>
  <c r="L499"/>
  <c r="K499"/>
  <c r="L507"/>
  <c r="K507"/>
  <c r="L515"/>
  <c r="K515"/>
  <c r="L523"/>
  <c r="K523"/>
  <c r="L531"/>
  <c r="K531"/>
  <c r="L539"/>
  <c r="K539"/>
  <c r="L547"/>
  <c r="K547"/>
  <c r="L555"/>
  <c r="K555"/>
  <c r="L563"/>
  <c r="K563"/>
  <c r="L571"/>
  <c r="K571"/>
  <c r="L579"/>
  <c r="K579"/>
  <c r="L587"/>
  <c r="K587"/>
  <c r="L595"/>
  <c r="K595"/>
  <c r="L603"/>
  <c r="K603"/>
  <c r="L611"/>
  <c r="K611"/>
  <c r="L619"/>
  <c r="K619"/>
  <c r="L627"/>
  <c r="K627"/>
  <c r="L635"/>
  <c r="K635"/>
  <c r="L643"/>
  <c r="K643"/>
  <c r="L651"/>
  <c r="K651"/>
  <c r="L659"/>
  <c r="K659"/>
  <c r="L667"/>
  <c r="K667"/>
  <c r="L675"/>
  <c r="K675"/>
  <c r="L683"/>
  <c r="K683"/>
  <c r="L691"/>
  <c r="K691"/>
  <c r="L699"/>
  <c r="K699"/>
  <c r="L707"/>
  <c r="K707"/>
  <c r="L715"/>
  <c r="K715"/>
  <c r="L723"/>
  <c r="K723"/>
  <c r="L731"/>
  <c r="K731"/>
  <c r="L739"/>
  <c r="K739"/>
  <c r="L747"/>
  <c r="K747"/>
  <c r="L755"/>
  <c r="K755"/>
  <c r="L763"/>
  <c r="K763"/>
  <c r="L771"/>
  <c r="K771"/>
  <c r="L779"/>
  <c r="K779"/>
  <c r="L787"/>
  <c r="K787"/>
  <c r="L795"/>
  <c r="K795"/>
  <c r="L803"/>
  <c r="K803"/>
  <c r="L811"/>
  <c r="K811"/>
  <c r="L819"/>
  <c r="K819"/>
  <c r="L827"/>
  <c r="K827"/>
  <c r="L835"/>
  <c r="K835"/>
  <c r="L843"/>
  <c r="K843"/>
  <c r="L851"/>
  <c r="K851"/>
  <c r="L859"/>
  <c r="K859"/>
  <c r="L867"/>
  <c r="K867"/>
  <c r="L875"/>
  <c r="K875"/>
  <c r="L883"/>
  <c r="K883"/>
  <c r="L891"/>
  <c r="K891"/>
  <c r="L899"/>
  <c r="K899"/>
  <c r="L907"/>
  <c r="K907"/>
  <c r="L915"/>
  <c r="K915"/>
  <c r="L923"/>
  <c r="K923"/>
  <c r="L931"/>
  <c r="K931"/>
  <c r="L939"/>
  <c r="K939"/>
  <c r="L947"/>
  <c r="K947"/>
  <c r="L955"/>
  <c r="K955"/>
  <c r="L963"/>
  <c r="K963"/>
  <c r="L971"/>
  <c r="K971"/>
  <c r="L979"/>
  <c r="K979"/>
  <c r="L987"/>
  <c r="K987"/>
  <c r="G145"/>
  <c r="G840"/>
  <c r="G122"/>
  <c r="G923"/>
  <c r="G225"/>
  <c r="G314"/>
  <c r="L40"/>
  <c r="K40"/>
  <c r="L64"/>
  <c r="K64"/>
  <c r="L96"/>
  <c r="K96"/>
  <c r="L128"/>
  <c r="K128"/>
  <c r="L168"/>
  <c r="K168"/>
  <c r="L200"/>
  <c r="K200"/>
  <c r="L232"/>
  <c r="K232"/>
  <c r="L272"/>
  <c r="K272"/>
  <c r="L304"/>
  <c r="K304"/>
  <c r="L328"/>
  <c r="K328"/>
  <c r="L360"/>
  <c r="K360"/>
  <c r="L392"/>
  <c r="K392"/>
  <c r="L424"/>
  <c r="K424"/>
  <c r="L464"/>
  <c r="K464"/>
  <c r="L512"/>
  <c r="K512"/>
  <c r="L544"/>
  <c r="K544"/>
  <c r="L584"/>
  <c r="K584"/>
  <c r="K616"/>
  <c r="L616"/>
  <c r="L648"/>
  <c r="K648"/>
  <c r="K680"/>
  <c r="L680"/>
  <c r="L712"/>
  <c r="K712"/>
  <c r="L744"/>
  <c r="K744"/>
  <c r="L776"/>
  <c r="K776"/>
  <c r="L800"/>
  <c r="K800"/>
  <c r="K832"/>
  <c r="L832"/>
  <c r="L864"/>
  <c r="K864"/>
  <c r="L904"/>
  <c r="K904"/>
  <c r="L952"/>
  <c r="K952"/>
  <c r="L984"/>
  <c r="K984"/>
  <c r="G101"/>
  <c r="G256"/>
  <c r="G285"/>
  <c r="L321"/>
  <c r="K321"/>
  <c r="G754"/>
  <c r="G893"/>
  <c r="G859"/>
  <c r="G957"/>
  <c r="G117"/>
  <c r="G57"/>
  <c r="G204"/>
  <c r="G605"/>
  <c r="G155"/>
  <c r="G294"/>
  <c r="G708"/>
  <c r="G449"/>
  <c r="G358"/>
  <c r="G94"/>
  <c r="G82"/>
  <c r="G166"/>
  <c r="G311"/>
  <c r="G445"/>
  <c r="G608"/>
  <c r="G660"/>
  <c r="G868"/>
  <c r="G913"/>
  <c r="G469"/>
  <c r="G277"/>
  <c r="G551"/>
  <c r="G672"/>
  <c r="G835"/>
  <c r="K16"/>
  <c r="L16"/>
  <c r="L48"/>
  <c r="K48"/>
  <c r="L80"/>
  <c r="K80"/>
  <c r="L112"/>
  <c r="K112"/>
  <c r="L152"/>
  <c r="K152"/>
  <c r="L184"/>
  <c r="K184"/>
  <c r="L216"/>
  <c r="K216"/>
  <c r="L248"/>
  <c r="K248"/>
  <c r="L280"/>
  <c r="K280"/>
  <c r="L312"/>
  <c r="K312"/>
  <c r="L344"/>
  <c r="K344"/>
  <c r="L376"/>
  <c r="K376"/>
  <c r="L408"/>
  <c r="K408"/>
  <c r="L440"/>
  <c r="K440"/>
  <c r="L472"/>
  <c r="K472"/>
  <c r="K496"/>
  <c r="L496"/>
  <c r="K536"/>
  <c r="L536"/>
  <c r="K576"/>
  <c r="L576"/>
  <c r="L600"/>
  <c r="K600"/>
  <c r="L632"/>
  <c r="K632"/>
  <c r="L664"/>
  <c r="K664"/>
  <c r="L696"/>
  <c r="K696"/>
  <c r="L720"/>
  <c r="K720"/>
  <c r="L752"/>
  <c r="K752"/>
  <c r="L784"/>
  <c r="K784"/>
  <c r="L816"/>
  <c r="K816"/>
  <c r="L848"/>
  <c r="K848"/>
  <c r="L880"/>
  <c r="K880"/>
  <c r="L912"/>
  <c r="K912"/>
  <c r="L936"/>
  <c r="K936"/>
  <c r="L960"/>
  <c r="K960"/>
  <c r="L992"/>
  <c r="K992"/>
  <c r="G261"/>
  <c r="G537"/>
  <c r="G360"/>
  <c r="L329"/>
  <c r="K329"/>
  <c r="G79"/>
  <c r="G207"/>
  <c r="G875"/>
  <c r="G247"/>
  <c r="G632"/>
  <c r="G437"/>
  <c r="G846"/>
  <c r="G124"/>
  <c r="G100"/>
  <c r="G184"/>
  <c r="G826"/>
  <c r="G964"/>
  <c r="G38"/>
  <c r="G183"/>
  <c r="G379"/>
  <c r="G504"/>
  <c r="G615"/>
  <c r="G772"/>
  <c r="L14"/>
  <c r="K14"/>
  <c r="L22"/>
  <c r="K22"/>
  <c r="L30"/>
  <c r="K30"/>
  <c r="L38"/>
  <c r="K38"/>
  <c r="L46"/>
  <c r="K46"/>
  <c r="L54"/>
  <c r="K54"/>
  <c r="L62"/>
  <c r="K62"/>
  <c r="L70"/>
  <c r="K70"/>
  <c r="L78"/>
  <c r="K78"/>
  <c r="L86"/>
  <c r="K86"/>
  <c r="L94"/>
  <c r="K94"/>
  <c r="L102"/>
  <c r="K102"/>
  <c r="L110"/>
  <c r="K110"/>
  <c r="L118"/>
  <c r="K118"/>
  <c r="L126"/>
  <c r="K126"/>
  <c r="L134"/>
  <c r="K134"/>
  <c r="L142"/>
  <c r="K142"/>
  <c r="L150"/>
  <c r="K150"/>
  <c r="L158"/>
  <c r="K158"/>
  <c r="L166"/>
  <c r="K166"/>
  <c r="L174"/>
  <c r="K174"/>
  <c r="L182"/>
  <c r="K182"/>
  <c r="L190"/>
  <c r="K190"/>
  <c r="L198"/>
  <c r="K198"/>
  <c r="L206"/>
  <c r="K206"/>
  <c r="L214"/>
  <c r="K214"/>
  <c r="L222"/>
  <c r="K222"/>
  <c r="L230"/>
  <c r="K230"/>
  <c r="L238"/>
  <c r="K238"/>
  <c r="L246"/>
  <c r="K246"/>
  <c r="L254"/>
  <c r="K254"/>
  <c r="L262"/>
  <c r="K262"/>
  <c r="L270"/>
  <c r="K270"/>
  <c r="L278"/>
  <c r="K278"/>
  <c r="L286"/>
  <c r="K286"/>
  <c r="L294"/>
  <c r="K294"/>
  <c r="L302"/>
  <c r="K302"/>
  <c r="L310"/>
  <c r="K310"/>
  <c r="L318"/>
  <c r="K318"/>
  <c r="L326"/>
  <c r="K326"/>
  <c r="L334"/>
  <c r="K334"/>
  <c r="L342"/>
  <c r="K342"/>
  <c r="L350"/>
  <c r="K350"/>
  <c r="L358"/>
  <c r="K358"/>
  <c r="K366"/>
  <c r="L366"/>
  <c r="L374"/>
  <c r="K374"/>
  <c r="K382"/>
  <c r="L382"/>
  <c r="L390"/>
  <c r="K390"/>
  <c r="K398"/>
  <c r="L398"/>
  <c r="L406"/>
  <c r="K406"/>
  <c r="L414"/>
  <c r="K414"/>
  <c r="L422"/>
  <c r="K422"/>
  <c r="K430"/>
  <c r="L430"/>
  <c r="L438"/>
  <c r="K438"/>
  <c r="L446"/>
  <c r="K446"/>
  <c r="K454"/>
  <c r="L454"/>
  <c r="L462"/>
  <c r="K462"/>
  <c r="L470"/>
  <c r="K470"/>
  <c r="L478"/>
  <c r="K478"/>
  <c r="K486"/>
  <c r="L486"/>
  <c r="L494"/>
  <c r="K494"/>
  <c r="L502"/>
  <c r="K502"/>
  <c r="L510"/>
  <c r="K510"/>
  <c r="L518"/>
  <c r="K518"/>
  <c r="L526"/>
  <c r="K526"/>
  <c r="L534"/>
  <c r="K534"/>
  <c r="L542"/>
  <c r="K542"/>
  <c r="K550"/>
  <c r="L550"/>
  <c r="K558"/>
  <c r="L558"/>
  <c r="L566"/>
  <c r="K566"/>
  <c r="L574"/>
  <c r="K574"/>
  <c r="K582"/>
  <c r="L582"/>
  <c r="L590"/>
  <c r="K590"/>
  <c r="L598"/>
  <c r="K598"/>
  <c r="L606"/>
  <c r="K606"/>
  <c r="L614"/>
  <c r="K614"/>
  <c r="K622"/>
  <c r="L622"/>
  <c r="L630"/>
  <c r="K630"/>
  <c r="K638"/>
  <c r="L638"/>
  <c r="L646"/>
  <c r="K646"/>
  <c r="L654"/>
  <c r="K654"/>
  <c r="L662"/>
  <c r="K662"/>
  <c r="L670"/>
  <c r="K670"/>
  <c r="L678"/>
  <c r="K678"/>
  <c r="K686"/>
  <c r="L686"/>
  <c r="L694"/>
  <c r="K694"/>
  <c r="L702"/>
  <c r="K702"/>
  <c r="L710"/>
  <c r="K710"/>
  <c r="K718"/>
  <c r="L718"/>
  <c r="L726"/>
  <c r="K726"/>
  <c r="L734"/>
  <c r="K734"/>
  <c r="L742"/>
  <c r="K742"/>
  <c r="K750"/>
  <c r="L750"/>
  <c r="L758"/>
  <c r="K758"/>
  <c r="L766"/>
  <c r="K766"/>
  <c r="K774"/>
  <c r="L774"/>
  <c r="L782"/>
  <c r="K782"/>
  <c r="K790"/>
  <c r="L790"/>
  <c r="L798"/>
  <c r="K798"/>
  <c r="K806"/>
  <c r="L806"/>
  <c r="L814"/>
  <c r="K814"/>
  <c r="L822"/>
  <c r="K822"/>
  <c r="L830"/>
  <c r="K830"/>
  <c r="L838"/>
  <c r="K838"/>
  <c r="L846"/>
  <c r="K846"/>
  <c r="K854"/>
  <c r="L854"/>
  <c r="L862"/>
  <c r="K862"/>
  <c r="L870"/>
  <c r="K870"/>
  <c r="K878"/>
  <c r="L878"/>
  <c r="L886"/>
  <c r="K886"/>
  <c r="L894"/>
  <c r="K894"/>
  <c r="L902"/>
  <c r="K902"/>
  <c r="L910"/>
  <c r="K910"/>
  <c r="L918"/>
  <c r="K918"/>
  <c r="K926"/>
  <c r="L926"/>
  <c r="L934"/>
  <c r="K934"/>
  <c r="K942"/>
  <c r="L942"/>
  <c r="L950"/>
  <c r="K950"/>
  <c r="K958"/>
  <c r="L958"/>
  <c r="K966"/>
  <c r="L966"/>
  <c r="L974"/>
  <c r="K974"/>
  <c r="L982"/>
  <c r="K982"/>
  <c r="L990"/>
  <c r="K990"/>
  <c r="L15"/>
  <c r="K15"/>
  <c r="L23"/>
  <c r="K23"/>
  <c r="L31"/>
  <c r="K31"/>
  <c r="L39"/>
  <c r="K39"/>
  <c r="L47"/>
  <c r="K47"/>
  <c r="L55"/>
  <c r="K55"/>
  <c r="L63"/>
  <c r="K63"/>
  <c r="L71"/>
  <c r="K71"/>
  <c r="K79"/>
  <c r="L79"/>
  <c r="L87"/>
  <c r="K87"/>
  <c r="L95"/>
  <c r="K95"/>
  <c r="K103"/>
  <c r="L103"/>
  <c r="L111"/>
  <c r="K111"/>
  <c r="K119"/>
  <c r="L119"/>
  <c r="L127"/>
  <c r="K127"/>
  <c r="L135"/>
  <c r="K135"/>
  <c r="L143"/>
  <c r="K143"/>
  <c r="L151"/>
  <c r="K151"/>
  <c r="L159"/>
  <c r="K159"/>
  <c r="K167"/>
  <c r="L167"/>
  <c r="L175"/>
  <c r="K175"/>
  <c r="L183"/>
  <c r="K183"/>
  <c r="L191"/>
  <c r="K191"/>
  <c r="L199"/>
  <c r="K199"/>
  <c r="L207"/>
  <c r="K207"/>
  <c r="L215"/>
  <c r="K215"/>
  <c r="L223"/>
  <c r="K223"/>
  <c r="L231"/>
  <c r="K231"/>
  <c r="L239"/>
  <c r="K239"/>
  <c r="L247"/>
  <c r="K247"/>
  <c r="L255"/>
  <c r="K255"/>
  <c r="L263"/>
  <c r="K263"/>
  <c r="L271"/>
  <c r="K271"/>
  <c r="L279"/>
  <c r="K279"/>
  <c r="L287"/>
  <c r="K287"/>
  <c r="L295"/>
  <c r="K295"/>
  <c r="L303"/>
  <c r="K303"/>
  <c r="L311"/>
  <c r="K311"/>
  <c r="L319"/>
  <c r="K319"/>
  <c r="L327"/>
  <c r="K327"/>
  <c r="L335"/>
  <c r="K335"/>
  <c r="L343"/>
  <c r="K343"/>
  <c r="L351"/>
  <c r="K351"/>
  <c r="L359"/>
  <c r="K359"/>
  <c r="L367"/>
  <c r="K367"/>
  <c r="L375"/>
  <c r="K375"/>
  <c r="L383"/>
  <c r="K383"/>
  <c r="L391"/>
  <c r="K391"/>
  <c r="L399"/>
  <c r="K399"/>
  <c r="L407"/>
  <c r="K407"/>
  <c r="L415"/>
  <c r="K415"/>
  <c r="L423"/>
  <c r="K423"/>
  <c r="L431"/>
  <c r="K431"/>
  <c r="L439"/>
  <c r="K439"/>
  <c r="L447"/>
  <c r="K447"/>
  <c r="L455"/>
  <c r="K455"/>
  <c r="K463"/>
  <c r="L463"/>
  <c r="L471"/>
  <c r="K471"/>
  <c r="L479"/>
  <c r="K479"/>
  <c r="L487"/>
  <c r="K487"/>
  <c r="L495"/>
  <c r="K495"/>
  <c r="L503"/>
  <c r="K503"/>
  <c r="L511"/>
  <c r="K511"/>
  <c r="L519"/>
  <c r="K519"/>
  <c r="L527"/>
  <c r="K527"/>
  <c r="L535"/>
  <c r="K535"/>
  <c r="L543"/>
  <c r="K543"/>
  <c r="L551"/>
  <c r="K551"/>
  <c r="L559"/>
  <c r="K559"/>
  <c r="L567"/>
  <c r="K567"/>
  <c r="L575"/>
  <c r="K575"/>
  <c r="L583"/>
  <c r="K583"/>
  <c r="L591"/>
  <c r="K591"/>
  <c r="L599"/>
  <c r="K599"/>
  <c r="K607"/>
  <c r="L607"/>
  <c r="L615"/>
  <c r="K615"/>
  <c r="L623"/>
  <c r="K623"/>
  <c r="K631"/>
  <c r="L631"/>
  <c r="L639"/>
  <c r="K639"/>
  <c r="L647"/>
  <c r="K647"/>
  <c r="L655"/>
  <c r="K655"/>
  <c r="L663"/>
  <c r="K663"/>
  <c r="L671"/>
  <c r="K671"/>
  <c r="L679"/>
  <c r="K679"/>
  <c r="K687"/>
  <c r="L687"/>
  <c r="K695"/>
  <c r="L695"/>
  <c r="L703"/>
  <c r="K703"/>
  <c r="L711"/>
  <c r="K711"/>
  <c r="L719"/>
  <c r="K719"/>
  <c r="K727"/>
  <c r="L727"/>
  <c r="L735"/>
  <c r="K735"/>
  <c r="L743"/>
  <c r="K743"/>
  <c r="L751"/>
  <c r="K751"/>
  <c r="K759"/>
  <c r="L759"/>
  <c r="L767"/>
  <c r="K767"/>
  <c r="L775"/>
  <c r="K775"/>
  <c r="L783"/>
  <c r="K783"/>
  <c r="L791"/>
  <c r="K791"/>
  <c r="L799"/>
  <c r="K799"/>
  <c r="L807"/>
  <c r="K807"/>
  <c r="L815"/>
  <c r="K815"/>
  <c r="K823"/>
  <c r="L823"/>
  <c r="L831"/>
  <c r="K831"/>
  <c r="L839"/>
  <c r="K839"/>
  <c r="L847"/>
  <c r="K847"/>
  <c r="L855"/>
  <c r="K855"/>
  <c r="L863"/>
  <c r="K863"/>
  <c r="K871"/>
  <c r="L871"/>
  <c r="L879"/>
  <c r="K879"/>
  <c r="L887"/>
  <c r="K887"/>
  <c r="L895"/>
  <c r="K895"/>
  <c r="K903"/>
  <c r="L903"/>
  <c r="L911"/>
  <c r="K911"/>
  <c r="L919"/>
  <c r="K919"/>
  <c r="L927"/>
  <c r="K927"/>
  <c r="L935"/>
  <c r="K935"/>
  <c r="L943"/>
  <c r="K943"/>
  <c r="K951"/>
  <c r="L951"/>
  <c r="L959"/>
  <c r="K959"/>
  <c r="L967"/>
  <c r="K967"/>
  <c r="L975"/>
  <c r="K975"/>
  <c r="L983"/>
  <c r="K983"/>
  <c r="L991"/>
  <c r="K991"/>
  <c r="G362"/>
  <c r="K18"/>
  <c r="L18"/>
  <c r="K26"/>
  <c r="L26"/>
  <c r="K34"/>
  <c r="L34"/>
  <c r="K42"/>
  <c r="L42"/>
  <c r="L50"/>
  <c r="K50"/>
  <c r="K58"/>
  <c r="L58"/>
  <c r="K66"/>
  <c r="L66"/>
  <c r="K74"/>
  <c r="L74"/>
  <c r="K82"/>
  <c r="L82"/>
  <c r="K90"/>
  <c r="L90"/>
  <c r="K98"/>
  <c r="L98"/>
  <c r="K106"/>
  <c r="L106"/>
  <c r="L114"/>
  <c r="K114"/>
  <c r="K122"/>
  <c r="L122"/>
  <c r="K130"/>
  <c r="L130"/>
  <c r="L138"/>
  <c r="K138"/>
  <c r="K146"/>
  <c r="L146"/>
  <c r="K154"/>
  <c r="L154"/>
  <c r="K162"/>
  <c r="L162"/>
  <c r="K170"/>
  <c r="L170"/>
  <c r="L178"/>
  <c r="K178"/>
  <c r="K186"/>
  <c r="L186"/>
  <c r="K194"/>
  <c r="L194"/>
  <c r="L202"/>
  <c r="K202"/>
  <c r="K210"/>
  <c r="L210"/>
  <c r="K218"/>
  <c r="L218"/>
  <c r="K226"/>
  <c r="L226"/>
  <c r="K234"/>
  <c r="L234"/>
  <c r="L242"/>
  <c r="K242"/>
  <c r="K250"/>
  <c r="L250"/>
  <c r="K258"/>
  <c r="L258"/>
  <c r="L266"/>
  <c r="K266"/>
  <c r="K274"/>
  <c r="L274"/>
  <c r="K282"/>
  <c r="L282"/>
  <c r="K290"/>
  <c r="L290"/>
  <c r="K298"/>
  <c r="L298"/>
  <c r="L306"/>
  <c r="K306"/>
  <c r="K314"/>
  <c r="L314"/>
  <c r="L322"/>
  <c r="K322"/>
  <c r="K330"/>
  <c r="L330"/>
  <c r="K338"/>
  <c r="L338"/>
  <c r="L346"/>
  <c r="K346"/>
  <c r="K354"/>
  <c r="L354"/>
  <c r="K362"/>
  <c r="L362"/>
  <c r="K370"/>
  <c r="L370"/>
  <c r="L378"/>
  <c r="K378"/>
  <c r="K386"/>
  <c r="L386"/>
  <c r="K394"/>
  <c r="L394"/>
  <c r="K402"/>
  <c r="L402"/>
  <c r="L410"/>
  <c r="K410"/>
  <c r="K418"/>
  <c r="L418"/>
  <c r="L426"/>
  <c r="K426"/>
  <c r="K434"/>
  <c r="L434"/>
  <c r="K442"/>
  <c r="L442"/>
  <c r="K450"/>
  <c r="L450"/>
  <c r="L458"/>
  <c r="K458"/>
  <c r="K466"/>
  <c r="L466"/>
  <c r="L474"/>
  <c r="K474"/>
  <c r="L482"/>
  <c r="K482"/>
  <c r="K490"/>
  <c r="L490"/>
  <c r="K498"/>
  <c r="L498"/>
  <c r="K506"/>
  <c r="L506"/>
  <c r="L514"/>
  <c r="K514"/>
  <c r="K522"/>
  <c r="L522"/>
  <c r="K530"/>
  <c r="L530"/>
  <c r="L538"/>
  <c r="K538"/>
  <c r="L546"/>
  <c r="K546"/>
  <c r="K554"/>
  <c r="L554"/>
  <c r="L562"/>
  <c r="K562"/>
  <c r="L570"/>
  <c r="K570"/>
  <c r="K578"/>
  <c r="L578"/>
  <c r="L586"/>
  <c r="K586"/>
  <c r="L594"/>
  <c r="K594"/>
  <c r="L602"/>
  <c r="K602"/>
  <c r="L610"/>
  <c r="K610"/>
  <c r="L618"/>
  <c r="K618"/>
  <c r="L626"/>
  <c r="K626"/>
  <c r="K634"/>
  <c r="L634"/>
  <c r="L642"/>
  <c r="K642"/>
  <c r="L650"/>
  <c r="K650"/>
  <c r="K658"/>
  <c r="L658"/>
  <c r="L666"/>
  <c r="K666"/>
  <c r="L674"/>
  <c r="K674"/>
  <c r="L682"/>
  <c r="K682"/>
  <c r="K690"/>
  <c r="L690"/>
  <c r="L698"/>
  <c r="K698"/>
  <c r="L706"/>
  <c r="K706"/>
  <c r="L714"/>
  <c r="K714"/>
  <c r="K722"/>
  <c r="L722"/>
  <c r="L730"/>
  <c r="K730"/>
  <c r="L738"/>
  <c r="K738"/>
  <c r="L746"/>
  <c r="K746"/>
  <c r="L754"/>
  <c r="K754"/>
  <c r="L762"/>
  <c r="K762"/>
  <c r="K770"/>
  <c r="L770"/>
  <c r="L778"/>
  <c r="K778"/>
  <c r="K786"/>
  <c r="L786"/>
  <c r="L794"/>
  <c r="K794"/>
  <c r="L802"/>
  <c r="K802"/>
  <c r="L810"/>
  <c r="K810"/>
  <c r="L818"/>
  <c r="K818"/>
  <c r="L826"/>
  <c r="K826"/>
  <c r="L834"/>
  <c r="K834"/>
  <c r="L842"/>
  <c r="K842"/>
  <c r="L850"/>
  <c r="K850"/>
  <c r="L858"/>
  <c r="K858"/>
  <c r="K866"/>
  <c r="L866"/>
  <c r="L874"/>
  <c r="K874"/>
  <c r="L882"/>
  <c r="K882"/>
  <c r="L890"/>
  <c r="K890"/>
  <c r="L898"/>
  <c r="K898"/>
  <c r="L906"/>
  <c r="K906"/>
  <c r="K914"/>
  <c r="L914"/>
  <c r="L922"/>
  <c r="K922"/>
  <c r="L930"/>
  <c r="K930"/>
  <c r="K938"/>
  <c r="L938"/>
  <c r="L946"/>
  <c r="K946"/>
  <c r="L954"/>
  <c r="K954"/>
  <c r="L962"/>
  <c r="K962"/>
  <c r="L970"/>
  <c r="K970"/>
  <c r="K978"/>
  <c r="L978"/>
  <c r="L986"/>
  <c r="K986"/>
  <c r="K994"/>
  <c r="L994"/>
  <c r="L20"/>
  <c r="K20"/>
  <c r="L28"/>
  <c r="K28"/>
  <c r="L36"/>
  <c r="K36"/>
  <c r="L44"/>
  <c r="K44"/>
  <c r="L52"/>
  <c r="K52"/>
  <c r="L60"/>
  <c r="K60"/>
  <c r="L68"/>
  <c r="K68"/>
  <c r="L76"/>
  <c r="K76"/>
  <c r="L84"/>
  <c r="K84"/>
  <c r="K92"/>
  <c r="L92"/>
  <c r="L100"/>
  <c r="K100"/>
  <c r="L108"/>
  <c r="K108"/>
  <c r="L116"/>
  <c r="K116"/>
  <c r="L124"/>
  <c r="K124"/>
  <c r="L132"/>
  <c r="K132"/>
  <c r="L140"/>
  <c r="K140"/>
  <c r="L148"/>
  <c r="K148"/>
  <c r="L156"/>
  <c r="K156"/>
  <c r="L164"/>
  <c r="K164"/>
  <c r="L172"/>
  <c r="K172"/>
  <c r="L180"/>
  <c r="K180"/>
  <c r="L188"/>
  <c r="K188"/>
  <c r="L196"/>
  <c r="K196"/>
  <c r="K204"/>
  <c r="L204"/>
  <c r="L212"/>
  <c r="K212"/>
  <c r="L220"/>
  <c r="K220"/>
  <c r="L228"/>
  <c r="K228"/>
  <c r="K236"/>
  <c r="L236"/>
  <c r="L244"/>
  <c r="K244"/>
  <c r="K252"/>
  <c r="L252"/>
  <c r="L260"/>
  <c r="K260"/>
  <c r="K268"/>
  <c r="L268"/>
  <c r="L276"/>
  <c r="K276"/>
  <c r="L284"/>
  <c r="K284"/>
  <c r="L292"/>
  <c r="K292"/>
  <c r="K300"/>
  <c r="L300"/>
  <c r="L308"/>
  <c r="K308"/>
  <c r="L316"/>
  <c r="K316"/>
  <c r="L324"/>
  <c r="K324"/>
  <c r="K332"/>
  <c r="L332"/>
  <c r="L340"/>
  <c r="K340"/>
  <c r="L348"/>
  <c r="K348"/>
  <c r="L356"/>
  <c r="K356"/>
  <c r="L364"/>
  <c r="K364"/>
  <c r="L372"/>
  <c r="K372"/>
  <c r="K380"/>
  <c r="L380"/>
  <c r="L388"/>
  <c r="K388"/>
  <c r="L396"/>
  <c r="K396"/>
  <c r="L404"/>
  <c r="K404"/>
  <c r="L412"/>
  <c r="K412"/>
  <c r="L420"/>
  <c r="K420"/>
  <c r="L428"/>
  <c r="K428"/>
  <c r="L436"/>
  <c r="K436"/>
  <c r="L444"/>
  <c r="K444"/>
  <c r="L452"/>
  <c r="K452"/>
  <c r="L460"/>
  <c r="K460"/>
  <c r="L468"/>
  <c r="K468"/>
  <c r="L476"/>
  <c r="K476"/>
  <c r="L484"/>
  <c r="K484"/>
  <c r="L492"/>
  <c r="K492"/>
  <c r="L500"/>
  <c r="K500"/>
  <c r="L508"/>
  <c r="K508"/>
  <c r="L516"/>
  <c r="K516"/>
  <c r="K524"/>
  <c r="L524"/>
  <c r="L532"/>
  <c r="K532"/>
  <c r="L540"/>
  <c r="K540"/>
  <c r="L548"/>
  <c r="K548"/>
  <c r="L556"/>
  <c r="K556"/>
  <c r="K564"/>
  <c r="L564"/>
  <c r="L572"/>
  <c r="K572"/>
  <c r="L580"/>
  <c r="K580"/>
  <c r="L588"/>
  <c r="K588"/>
  <c r="L596"/>
  <c r="K596"/>
  <c r="L604"/>
  <c r="K604"/>
  <c r="L612"/>
  <c r="K612"/>
  <c r="L620"/>
  <c r="K620"/>
  <c r="L628"/>
  <c r="K628"/>
  <c r="L636"/>
  <c r="K636"/>
  <c r="K644"/>
  <c r="L644"/>
  <c r="L652"/>
  <c r="K652"/>
  <c r="L660"/>
  <c r="K660"/>
  <c r="L668"/>
  <c r="K668"/>
  <c r="L676"/>
  <c r="K676"/>
  <c r="L684"/>
  <c r="K684"/>
  <c r="L692"/>
  <c r="K692"/>
  <c r="K700"/>
  <c r="L700"/>
  <c r="K708"/>
  <c r="L708"/>
  <c r="L716"/>
  <c r="K716"/>
  <c r="L724"/>
  <c r="K724"/>
  <c r="K732"/>
  <c r="L732"/>
  <c r="L740"/>
  <c r="K740"/>
  <c r="K748"/>
  <c r="L748"/>
  <c r="K756"/>
  <c r="L756"/>
  <c r="K764"/>
  <c r="L764"/>
  <c r="L772"/>
  <c r="K772"/>
  <c r="K780"/>
  <c r="L780"/>
  <c r="L788"/>
  <c r="K788"/>
  <c r="K796"/>
  <c r="L796"/>
  <c r="L804"/>
  <c r="K804"/>
  <c r="L812"/>
  <c r="K812"/>
  <c r="L820"/>
  <c r="K820"/>
  <c r="L828"/>
  <c r="K828"/>
  <c r="L836"/>
  <c r="K836"/>
  <c r="L844"/>
  <c r="K844"/>
  <c r="K852"/>
  <c r="L852"/>
  <c r="L860"/>
  <c r="K860"/>
  <c r="L868"/>
  <c r="K868"/>
  <c r="L876"/>
  <c r="K876"/>
  <c r="K884"/>
  <c r="L884"/>
  <c r="L892"/>
  <c r="K892"/>
  <c r="L900"/>
  <c r="K900"/>
  <c r="L908"/>
  <c r="K908"/>
  <c r="K916"/>
  <c r="L916"/>
  <c r="L924"/>
  <c r="K924"/>
  <c r="L932"/>
  <c r="K932"/>
  <c r="L940"/>
  <c r="K940"/>
  <c r="L948"/>
  <c r="K948"/>
  <c r="L956"/>
  <c r="K956"/>
  <c r="L964"/>
  <c r="K964"/>
  <c r="L972"/>
  <c r="K972"/>
  <c r="L980"/>
  <c r="K980"/>
  <c r="L988"/>
  <c r="K988"/>
  <c r="G238"/>
  <c r="L13"/>
  <c r="K13"/>
  <c r="K21"/>
  <c r="L21"/>
  <c r="L29"/>
  <c r="K29"/>
  <c r="L37"/>
  <c r="K37"/>
  <c r="L45"/>
  <c r="K45"/>
  <c r="L53"/>
  <c r="K53"/>
  <c r="L61"/>
  <c r="K61"/>
  <c r="L69"/>
  <c r="K69"/>
  <c r="L77"/>
  <c r="K77"/>
  <c r="K85"/>
  <c r="L85"/>
  <c r="L93"/>
  <c r="K93"/>
  <c r="L101"/>
  <c r="K101"/>
  <c r="L109"/>
  <c r="K109"/>
  <c r="L117"/>
  <c r="K117"/>
  <c r="L125"/>
  <c r="K125"/>
  <c r="L133"/>
  <c r="K133"/>
  <c r="L141"/>
  <c r="K141"/>
  <c r="L149"/>
  <c r="K149"/>
  <c r="L157"/>
  <c r="K157"/>
  <c r="L165"/>
  <c r="K165"/>
  <c r="L173"/>
  <c r="K173"/>
  <c r="L181"/>
  <c r="K181"/>
  <c r="L189"/>
  <c r="K189"/>
  <c r="L197"/>
  <c r="K197"/>
  <c r="L205"/>
  <c r="K205"/>
  <c r="L213"/>
  <c r="K213"/>
  <c r="L221"/>
  <c r="K221"/>
  <c r="L229"/>
  <c r="K229"/>
  <c r="L237"/>
  <c r="K237"/>
  <c r="L245"/>
  <c r="K245"/>
  <c r="L253"/>
  <c r="K253"/>
  <c r="L261"/>
  <c r="K261"/>
  <c r="L269"/>
  <c r="K269"/>
  <c r="K277"/>
  <c r="L277"/>
  <c r="K285"/>
  <c r="L285"/>
  <c r="L293"/>
  <c r="K293"/>
  <c r="L301"/>
  <c r="K301"/>
  <c r="K309"/>
  <c r="L309"/>
  <c r="L317"/>
  <c r="K317"/>
  <c r="L325"/>
  <c r="K325"/>
  <c r="L333"/>
  <c r="K333"/>
  <c r="K341"/>
  <c r="L341"/>
  <c r="L349"/>
  <c r="K349"/>
  <c r="L357"/>
  <c r="K357"/>
  <c r="L365"/>
  <c r="K365"/>
  <c r="L373"/>
  <c r="K373"/>
  <c r="L381"/>
  <c r="K381"/>
  <c r="L389"/>
  <c r="K389"/>
  <c r="L397"/>
  <c r="K397"/>
  <c r="L405"/>
  <c r="K405"/>
  <c r="L413"/>
  <c r="K413"/>
  <c r="L421"/>
  <c r="K421"/>
  <c r="L429"/>
  <c r="K429"/>
  <c r="L437"/>
  <c r="K437"/>
  <c r="L445"/>
  <c r="K445"/>
  <c r="K453"/>
  <c r="L453"/>
  <c r="L461"/>
  <c r="K461"/>
  <c r="L469"/>
  <c r="K469"/>
  <c r="K477"/>
  <c r="L477"/>
  <c r="L485"/>
  <c r="K485"/>
  <c r="L493"/>
  <c r="K493"/>
  <c r="L501"/>
  <c r="K501"/>
  <c r="L509"/>
  <c r="K509"/>
  <c r="L517"/>
  <c r="K517"/>
  <c r="L525"/>
  <c r="K525"/>
  <c r="K533"/>
  <c r="L533"/>
  <c r="K541"/>
  <c r="L541"/>
  <c r="K549"/>
  <c r="L549"/>
  <c r="L557"/>
  <c r="K557"/>
  <c r="K565"/>
  <c r="L565"/>
  <c r="K573"/>
  <c r="L573"/>
  <c r="K581"/>
  <c r="L581"/>
  <c r="K589"/>
  <c r="L589"/>
  <c r="K597"/>
  <c r="L597"/>
  <c r="K605"/>
  <c r="L605"/>
  <c r="K613"/>
  <c r="L613"/>
  <c r="L621"/>
  <c r="K621"/>
  <c r="K629"/>
  <c r="L629"/>
  <c r="K637"/>
  <c r="L637"/>
  <c r="K645"/>
  <c r="L645"/>
  <c r="K653"/>
  <c r="L653"/>
  <c r="K661"/>
  <c r="L661"/>
  <c r="K669"/>
  <c r="L669"/>
  <c r="K677"/>
  <c r="L677"/>
  <c r="L685"/>
  <c r="K685"/>
  <c r="K693"/>
  <c r="L693"/>
  <c r="K701"/>
  <c r="L701"/>
  <c r="K709"/>
  <c r="L709"/>
  <c r="K717"/>
  <c r="L717"/>
  <c r="K725"/>
  <c r="L725"/>
  <c r="K733"/>
  <c r="L733"/>
  <c r="K741"/>
  <c r="L741"/>
  <c r="L749"/>
  <c r="K749"/>
  <c r="K757"/>
  <c r="L757"/>
  <c r="K765"/>
  <c r="L765"/>
  <c r="L773"/>
  <c r="K773"/>
  <c r="K781"/>
  <c r="L781"/>
  <c r="K789"/>
  <c r="L789"/>
  <c r="K797"/>
  <c r="L797"/>
  <c r="K805"/>
  <c r="L805"/>
  <c r="L813"/>
  <c r="K813"/>
  <c r="K821"/>
  <c r="L821"/>
  <c r="K829"/>
  <c r="L829"/>
  <c r="L837"/>
  <c r="K837"/>
  <c r="K845"/>
  <c r="L845"/>
  <c r="K853"/>
  <c r="L853"/>
  <c r="K861"/>
  <c r="L861"/>
  <c r="K869"/>
  <c r="L869"/>
  <c r="L877"/>
  <c r="K877"/>
  <c r="K885"/>
  <c r="L885"/>
  <c r="K893"/>
  <c r="L893"/>
  <c r="L901"/>
  <c r="K901"/>
  <c r="K909"/>
  <c r="L909"/>
  <c r="K917"/>
  <c r="L917"/>
  <c r="K925"/>
  <c r="L925"/>
  <c r="K933"/>
  <c r="L933"/>
  <c r="L941"/>
  <c r="K941"/>
  <c r="K949"/>
  <c r="L949"/>
  <c r="K957"/>
  <c r="L957"/>
  <c r="L965"/>
  <c r="K965"/>
  <c r="K973"/>
  <c r="L973"/>
  <c r="K981"/>
  <c r="L981"/>
  <c r="K989"/>
  <c r="L989"/>
  <c r="Q475"/>
  <c r="Q173"/>
  <c r="S596"/>
  <c r="Q36"/>
  <c r="Q613"/>
  <c r="S87"/>
  <c r="S125"/>
  <c r="Q124"/>
  <c r="S489"/>
  <c r="Q163"/>
  <c r="S844"/>
  <c r="Q86"/>
  <c r="Q518"/>
  <c r="S668"/>
  <c r="S60"/>
  <c r="Q364"/>
  <c r="S881"/>
  <c r="Q781"/>
  <c r="Q301"/>
  <c r="S977"/>
  <c r="Q685"/>
  <c r="Q311"/>
  <c r="Q196"/>
  <c r="S695"/>
  <c r="S131"/>
  <c r="S727"/>
  <c r="Q745"/>
  <c r="S958"/>
  <c r="S197"/>
  <c r="Q507"/>
  <c r="S302"/>
  <c r="Q338"/>
  <c r="S661"/>
  <c r="Q901"/>
  <c r="Q965"/>
  <c r="S66"/>
  <c r="Q318"/>
  <c r="Q383"/>
  <c r="Q457"/>
  <c r="Q617"/>
  <c r="S502"/>
  <c r="Q861"/>
  <c r="Q140"/>
  <c r="S213"/>
  <c r="Q410"/>
  <c r="S793"/>
  <c r="Q460"/>
  <c r="Q105"/>
  <c r="S149"/>
  <c r="S508"/>
  <c r="S100"/>
  <c r="Q647"/>
  <c r="Q373"/>
  <c r="Q333"/>
  <c r="Q555"/>
  <c r="Q226"/>
  <c r="Q671"/>
  <c r="Q38"/>
  <c r="Q749"/>
  <c r="S549"/>
  <c r="S214"/>
  <c r="Q139"/>
  <c r="Q371"/>
  <c r="Q453"/>
  <c r="Q924"/>
  <c r="Q503"/>
  <c r="S306"/>
  <c r="Q187"/>
  <c r="S477"/>
  <c r="Q267"/>
  <c r="Q164"/>
  <c r="Q462"/>
  <c r="Q171"/>
  <c r="Q133"/>
  <c r="S883"/>
  <c r="Q633"/>
  <c r="Q366"/>
  <c r="Q137"/>
  <c r="Q564"/>
  <c r="Q325"/>
  <c r="S652"/>
  <c r="S428"/>
  <c r="Q73"/>
  <c r="S357"/>
  <c r="S479"/>
  <c r="Q907"/>
  <c r="S548"/>
  <c r="Q976"/>
  <c r="Q95"/>
  <c r="S50"/>
  <c r="S771"/>
  <c r="Q771"/>
  <c r="S434"/>
  <c r="Q434"/>
  <c r="Q540"/>
  <c r="S540"/>
  <c r="Q621"/>
  <c r="S621"/>
  <c r="S273"/>
  <c r="S254"/>
  <c r="S925"/>
  <c r="Q925"/>
  <c r="Q295"/>
  <c r="Q365"/>
  <c r="Q628"/>
  <c r="Q836"/>
  <c r="S836"/>
  <c r="S219"/>
  <c r="Q581"/>
  <c r="Q837"/>
  <c r="S837"/>
  <c r="Q756"/>
  <c r="Q875"/>
  <c r="S572"/>
  <c r="S916"/>
  <c r="Q843"/>
  <c r="Q526"/>
  <c r="S853"/>
  <c r="Q900"/>
  <c r="S709"/>
  <c r="Q224"/>
  <c r="S403"/>
  <c r="Q713"/>
  <c r="S444"/>
  <c r="S469"/>
  <c r="S317"/>
  <c r="S101"/>
  <c r="Q201"/>
  <c r="S517"/>
  <c r="Q211"/>
  <c r="Q941"/>
  <c r="Q962"/>
  <c r="S261"/>
  <c r="Q382"/>
  <c r="Q76"/>
  <c r="S927"/>
  <c r="Q700"/>
  <c r="S908"/>
  <c r="S256"/>
  <c r="Q465"/>
  <c r="S37"/>
  <c r="S45"/>
  <c r="Q119"/>
  <c r="Q960"/>
  <c r="S557"/>
  <c r="Q169"/>
  <c r="Q789"/>
  <c r="Q493"/>
  <c r="Q501"/>
  <c r="Q942"/>
  <c r="S573"/>
  <c r="Q367"/>
  <c r="S117"/>
  <c r="Q77"/>
  <c r="S123"/>
  <c r="S166"/>
  <c r="S669"/>
  <c r="Q669"/>
  <c r="Q665"/>
  <c r="S665"/>
  <c r="G34"/>
  <c r="G41"/>
  <c r="S725"/>
  <c r="Q725"/>
  <c r="G489"/>
  <c r="G509"/>
  <c r="G544"/>
  <c r="G550"/>
  <c r="G564"/>
  <c r="S143"/>
  <c r="Q143"/>
  <c r="G397"/>
  <c r="G860"/>
  <c r="G879"/>
  <c r="G921"/>
  <c r="G944"/>
  <c r="S471"/>
  <c r="S418"/>
  <c r="Q418"/>
  <c r="G276"/>
  <c r="G289"/>
  <c r="G310"/>
  <c r="G329"/>
  <c r="G337"/>
  <c r="G821"/>
  <c r="S271"/>
  <c r="G937"/>
  <c r="S550"/>
  <c r="Q550"/>
  <c r="G793"/>
  <c r="G413"/>
  <c r="G854"/>
  <c r="G874"/>
  <c r="G894"/>
  <c r="G914"/>
  <c r="G215"/>
  <c r="S215"/>
  <c r="Q215"/>
  <c r="S198"/>
  <c r="Q198"/>
  <c r="G54"/>
  <c r="G61"/>
  <c r="G76"/>
  <c r="G97"/>
  <c r="G113"/>
  <c r="G200"/>
  <c r="G208"/>
  <c r="G710"/>
  <c r="G731"/>
  <c r="G758"/>
  <c r="G766"/>
  <c r="G344"/>
  <c r="G901"/>
  <c r="Q103"/>
  <c r="G243"/>
  <c r="G786"/>
  <c r="G303"/>
  <c r="G351"/>
  <c r="G295"/>
  <c r="Q892"/>
  <c r="S26"/>
  <c r="Q26"/>
  <c r="G800"/>
  <c r="S959"/>
  <c r="Q959"/>
  <c r="G48"/>
  <c r="G613"/>
  <c r="G641"/>
  <c r="G649"/>
  <c r="S452"/>
  <c r="Q452"/>
  <c r="G142"/>
  <c r="G209"/>
  <c r="G296"/>
  <c r="G414"/>
  <c r="G421"/>
  <c r="G787"/>
  <c r="G829"/>
  <c r="G848"/>
  <c r="G988"/>
  <c r="G12"/>
  <c r="G781"/>
  <c r="S354"/>
  <c r="S130"/>
  <c r="S155"/>
  <c r="Q93"/>
  <c r="G134"/>
  <c r="G352"/>
  <c r="G290"/>
  <c r="G700"/>
  <c r="G62"/>
  <c r="Q259"/>
  <c r="G876"/>
  <c r="G43"/>
  <c r="G270"/>
  <c r="G324"/>
  <c r="G471"/>
  <c r="G581"/>
  <c r="G651"/>
  <c r="G680"/>
  <c r="G802"/>
  <c r="G903"/>
  <c r="G931"/>
  <c r="S346"/>
  <c r="Q346"/>
  <c r="G174"/>
  <c r="G271"/>
  <c r="G298"/>
  <c r="G368"/>
  <c r="G381"/>
  <c r="G438"/>
  <c r="G451"/>
  <c r="G597"/>
  <c r="G673"/>
  <c r="G863"/>
  <c r="G882"/>
  <c r="G968"/>
  <c r="G990"/>
  <c r="S677"/>
  <c r="G71"/>
  <c r="G432"/>
  <c r="G197"/>
  <c r="S305"/>
  <c r="Q644"/>
  <c r="Q21"/>
  <c r="G15"/>
  <c r="G216"/>
  <c r="G151"/>
  <c r="G975"/>
  <c r="G746"/>
  <c r="G869"/>
  <c r="G252"/>
  <c r="G889"/>
  <c r="G258"/>
  <c r="G589"/>
  <c r="G572"/>
  <c r="S397"/>
  <c r="Q337"/>
  <c r="S337"/>
  <c r="G222"/>
  <c r="G232"/>
  <c r="G319"/>
  <c r="G333"/>
  <c r="G347"/>
  <c r="G431"/>
  <c r="G473"/>
  <c r="G540"/>
  <c r="G645"/>
  <c r="G782"/>
  <c r="G962"/>
  <c r="G983"/>
  <c r="G991"/>
  <c r="G102"/>
  <c r="G110"/>
  <c r="G410"/>
  <c r="G440"/>
  <c r="G569"/>
  <c r="G763"/>
  <c r="G791"/>
  <c r="G884"/>
  <c r="G229"/>
  <c r="Q524"/>
  <c r="G444"/>
  <c r="G492"/>
  <c r="G373"/>
  <c r="G203"/>
  <c r="G628"/>
  <c r="G498"/>
  <c r="G525"/>
  <c r="Q181"/>
  <c r="G625"/>
  <c r="G705"/>
  <c r="G161"/>
  <c r="G371"/>
  <c r="G433"/>
  <c r="G513"/>
  <c r="G528"/>
  <c r="G535"/>
  <c r="G556"/>
  <c r="G577"/>
  <c r="G683"/>
  <c r="G690"/>
  <c r="G819"/>
  <c r="G978"/>
  <c r="S250"/>
  <c r="G248"/>
  <c r="G591"/>
  <c r="G756"/>
  <c r="Q492"/>
  <c r="Q558"/>
  <c r="G789"/>
  <c r="G675"/>
  <c r="Q500"/>
  <c r="G686"/>
  <c r="G574"/>
  <c r="G453"/>
  <c r="G233"/>
  <c r="Q486"/>
  <c r="G24"/>
  <c r="G910"/>
  <c r="G520"/>
  <c r="G833"/>
  <c r="G168"/>
  <c r="G545"/>
  <c r="G264"/>
  <c r="Q282"/>
  <c r="G170"/>
  <c r="G178"/>
  <c r="G242"/>
  <c r="G262"/>
  <c r="G336"/>
  <c r="G364"/>
  <c r="G383"/>
  <c r="G419"/>
  <c r="G427"/>
  <c r="G481"/>
  <c r="G508"/>
  <c r="G563"/>
  <c r="G586"/>
  <c r="G778"/>
  <c r="G807"/>
  <c r="G827"/>
  <c r="G259"/>
  <c r="G465"/>
  <c r="G701"/>
  <c r="G955"/>
  <c r="G547"/>
  <c r="G560"/>
  <c r="G822"/>
  <c r="G828"/>
  <c r="G971"/>
  <c r="Q599"/>
  <c r="S388"/>
  <c r="G811"/>
  <c r="G245"/>
  <c r="G443"/>
  <c r="G699"/>
  <c r="G714"/>
  <c r="G762"/>
  <c r="G780"/>
  <c r="G906"/>
  <c r="G987"/>
  <c r="S787"/>
  <c r="S981"/>
  <c r="Q981"/>
  <c r="S964"/>
  <c r="Q964"/>
  <c r="Q928"/>
  <c r="S928"/>
  <c r="S692"/>
  <c r="Q692"/>
  <c r="S636"/>
  <c r="Q636"/>
  <c r="S525"/>
  <c r="Q525"/>
  <c r="Q351"/>
  <c r="Q869"/>
  <c r="Q553"/>
  <c r="Q474"/>
  <c r="Q887"/>
  <c r="S887"/>
  <c r="S831"/>
  <c r="Q831"/>
  <c r="S825"/>
  <c r="Q825"/>
  <c r="S731"/>
  <c r="S701"/>
  <c r="Q701"/>
  <c r="Q389"/>
  <c r="S389"/>
  <c r="Q109"/>
  <c r="S109"/>
  <c r="S52"/>
  <c r="Q41"/>
  <c r="S41"/>
  <c r="Q917"/>
  <c r="S917"/>
  <c r="Q411"/>
  <c r="S411"/>
  <c r="S277"/>
  <c r="Q277"/>
  <c r="Q743"/>
  <c r="Q545"/>
  <c r="S545"/>
  <c r="S538"/>
  <c r="Q538"/>
  <c r="Q443"/>
  <c r="S443"/>
  <c r="S437"/>
  <c r="Q437"/>
  <c r="S436"/>
  <c r="Q436"/>
  <c r="Q430"/>
  <c r="S430"/>
  <c r="Q429"/>
  <c r="S429"/>
  <c r="Q391"/>
  <c r="S391"/>
  <c r="S178"/>
  <c r="Q178"/>
  <c r="Q511"/>
  <c r="S635"/>
  <c r="S405"/>
  <c r="S966"/>
  <c r="S857"/>
  <c r="Q940"/>
  <c r="S940"/>
  <c r="S612"/>
  <c r="Q597"/>
  <c r="S597"/>
  <c r="Q591"/>
  <c r="S591"/>
  <c r="Q381"/>
  <c r="S381"/>
  <c r="S55"/>
  <c r="S157"/>
  <c r="Q157"/>
  <c r="S20"/>
  <c r="Q791"/>
  <c r="S585"/>
  <c r="Q585"/>
  <c r="S461"/>
  <c r="Q461"/>
  <c r="Q413"/>
  <c r="S413"/>
  <c r="S151"/>
  <c r="S974"/>
  <c r="Q805"/>
  <c r="S61"/>
  <c r="S571"/>
  <c r="S285"/>
  <c r="Q189"/>
  <c r="Q567"/>
  <c r="Q947"/>
  <c r="S947"/>
  <c r="S863"/>
  <c r="Q863"/>
  <c r="Q563"/>
  <c r="S563"/>
  <c r="Q481"/>
  <c r="S481"/>
  <c r="Q229"/>
  <c r="S229"/>
  <c r="S228"/>
  <c r="S221"/>
  <c r="Q221"/>
  <c r="S199"/>
  <c r="Q199"/>
  <c r="S127"/>
  <c r="Q107"/>
  <c r="S107"/>
  <c r="S69"/>
  <c r="Q69"/>
  <c r="Q895"/>
  <c r="S895"/>
  <c r="Q292"/>
  <c r="S292"/>
  <c r="S156"/>
  <c r="S931"/>
  <c r="Q931"/>
  <c r="S147"/>
  <c r="Q147"/>
  <c r="Q859"/>
  <c r="Q620"/>
  <c r="S990"/>
  <c r="S989"/>
  <c r="Q988"/>
  <c r="Q804"/>
  <c r="S804"/>
  <c r="S777"/>
  <c r="Q777"/>
  <c r="S565"/>
  <c r="Q565"/>
  <c r="S509"/>
  <c r="Q509"/>
  <c r="S458"/>
  <c r="Q458"/>
  <c r="S269"/>
  <c r="Q269"/>
  <c r="Q227"/>
  <c r="S227"/>
  <c r="G36"/>
  <c r="G125"/>
  <c r="G266"/>
  <c r="G483"/>
  <c r="G317"/>
  <c r="S22"/>
  <c r="G810"/>
  <c r="Q623"/>
  <c r="S623"/>
  <c r="G118"/>
  <c r="G138"/>
  <c r="G246"/>
  <c r="G378"/>
  <c r="G600"/>
  <c r="G612"/>
  <c r="G637"/>
  <c r="G648"/>
  <c r="G783"/>
  <c r="S446"/>
  <c r="G152"/>
  <c r="Q957"/>
  <c r="G202"/>
  <c r="G963"/>
  <c r="G895"/>
  <c r="S697"/>
  <c r="Q697"/>
  <c r="Q637"/>
  <c r="S637"/>
  <c r="Q604"/>
  <c r="S604"/>
  <c r="Q179"/>
  <c r="Q134"/>
  <c r="S134"/>
  <c r="S70"/>
  <c r="Q70"/>
  <c r="G146"/>
  <c r="G240"/>
  <c r="G265"/>
  <c r="G601"/>
  <c r="G684"/>
  <c r="G865"/>
  <c r="G872"/>
  <c r="G989"/>
  <c r="S759"/>
  <c r="Q759"/>
  <c r="Q534"/>
  <c r="S534"/>
  <c r="S445"/>
  <c r="Q445"/>
  <c r="S358"/>
  <c r="Q358"/>
  <c r="G221"/>
  <c r="G253"/>
  <c r="G278"/>
  <c r="G472"/>
  <c r="G969"/>
  <c r="S935"/>
  <c r="Q935"/>
  <c r="S541"/>
  <c r="Q541"/>
  <c r="S491"/>
  <c r="Q491"/>
  <c r="G18"/>
  <c r="G30"/>
  <c r="G44"/>
  <c r="G84"/>
  <c r="G92"/>
  <c r="G466"/>
  <c r="G496"/>
  <c r="G502"/>
  <c r="G515"/>
  <c r="G958"/>
  <c r="G77"/>
  <c r="S629"/>
  <c r="G196"/>
  <c r="G405"/>
  <c r="G91"/>
  <c r="G644"/>
  <c r="Q765"/>
  <c r="S765"/>
  <c r="S115"/>
  <c r="Q115"/>
  <c r="S82"/>
  <c r="Q82"/>
  <c r="G19"/>
  <c r="G31"/>
  <c r="G85"/>
  <c r="G107"/>
  <c r="G420"/>
  <c r="G447"/>
  <c r="G497"/>
  <c r="G503"/>
  <c r="G516"/>
  <c r="G522"/>
  <c r="G338"/>
  <c r="G721"/>
  <c r="Q877"/>
  <c r="G83"/>
  <c r="G650"/>
  <c r="S865"/>
  <c r="Q865"/>
  <c r="Q821"/>
  <c r="S821"/>
  <c r="S348"/>
  <c r="Q348"/>
  <c r="G140"/>
  <c r="G553"/>
  <c r="G585"/>
  <c r="G899"/>
  <c r="G911"/>
  <c r="G932"/>
  <c r="S286"/>
  <c r="G157"/>
  <c r="G736"/>
  <c r="G965"/>
  <c r="G527"/>
  <c r="G658"/>
  <c r="G678"/>
  <c r="Q971"/>
  <c r="S971"/>
  <c r="S909"/>
  <c r="Q909"/>
  <c r="S845"/>
  <c r="Q845"/>
  <c r="Q839"/>
  <c r="S839"/>
  <c r="S733"/>
  <c r="Q733"/>
  <c r="S519"/>
  <c r="Q510"/>
  <c r="S510"/>
  <c r="S379"/>
  <c r="Q379"/>
  <c r="S360"/>
  <c r="Q360"/>
  <c r="S116"/>
  <c r="Q116"/>
  <c r="Q83"/>
  <c r="G136"/>
  <c r="G334"/>
  <c r="S207"/>
  <c r="Q207"/>
  <c r="G105"/>
  <c r="G478"/>
  <c r="G514"/>
  <c r="G17"/>
  <c r="G656"/>
  <c r="S936"/>
  <c r="Q936"/>
  <c r="S141"/>
  <c r="Q141"/>
  <c r="G171"/>
  <c r="G191"/>
  <c r="G237"/>
  <c r="G354"/>
  <c r="G407"/>
  <c r="G652"/>
  <c r="G924"/>
  <c r="G939"/>
  <c r="G972"/>
  <c r="Q478"/>
  <c r="S451"/>
  <c r="S165"/>
  <c r="G750"/>
  <c r="G283"/>
  <c r="G845"/>
  <c r="G565"/>
  <c r="G345"/>
  <c r="G375"/>
  <c r="Q956"/>
  <c r="S949"/>
  <c r="Q949"/>
  <c r="Q885"/>
  <c r="S885"/>
  <c r="G14"/>
  <c r="G40"/>
  <c r="G60"/>
  <c r="G81"/>
  <c r="G308"/>
  <c r="G321"/>
  <c r="G356"/>
  <c r="Q589"/>
  <c r="S589"/>
  <c r="S494"/>
  <c r="G46"/>
  <c r="G350"/>
  <c r="G415"/>
  <c r="G316"/>
  <c r="G579"/>
  <c r="G688"/>
  <c r="G887"/>
  <c r="G396"/>
  <c r="J7" i="15"/>
  <c r="G7"/>
  <c r="I7" s="1"/>
  <c r="L7" s="1"/>
  <c r="I4" i="17"/>
  <c r="Q485" i="1"/>
  <c r="S485"/>
  <c r="Q276"/>
  <c r="Q693"/>
  <c r="S681"/>
  <c r="S554"/>
  <c r="Q237"/>
  <c r="S763"/>
  <c r="S828"/>
  <c r="Q828"/>
  <c r="S663"/>
  <c r="Q663"/>
  <c r="Q603"/>
  <c r="S603"/>
  <c r="Q542"/>
  <c r="S542"/>
  <c r="S801"/>
  <c r="S811"/>
  <c r="S467"/>
  <c r="Q747"/>
  <c r="Q979"/>
  <c r="S955"/>
  <c r="Q829"/>
  <c r="S820"/>
  <c r="S773"/>
  <c r="S757"/>
  <c r="S356"/>
  <c r="S315"/>
  <c r="S53"/>
  <c r="S543"/>
  <c r="Q543"/>
  <c r="Q521"/>
  <c r="S521"/>
  <c r="S309"/>
  <c r="Q309"/>
  <c r="S349"/>
  <c r="Q349"/>
  <c r="S407"/>
  <c r="S425"/>
  <c r="Q263"/>
  <c r="Q423"/>
  <c r="S741"/>
  <c r="Q516"/>
  <c r="S933"/>
  <c r="Q708"/>
  <c r="S708"/>
  <c r="Q893"/>
  <c r="S893"/>
  <c r="Q279"/>
  <c r="Q970"/>
  <c r="Q85"/>
  <c r="S85"/>
  <c r="Q313"/>
  <c r="S684"/>
  <c r="S982"/>
  <c r="S247"/>
  <c r="S15"/>
  <c r="S92"/>
  <c r="Q954"/>
  <c r="S717"/>
  <c r="Q904"/>
  <c r="S245"/>
  <c r="Q99"/>
  <c r="Q653"/>
  <c r="S324"/>
  <c r="Q324"/>
  <c r="Q533"/>
  <c r="Q332"/>
  <c r="S332"/>
  <c r="Q732"/>
  <c r="S529"/>
  <c r="Q529"/>
  <c r="Q396"/>
  <c r="S396"/>
  <c r="S340"/>
  <c r="Q340"/>
  <c r="Q992"/>
  <c r="Q13"/>
  <c r="S605"/>
  <c r="S506"/>
  <c r="Q797"/>
  <c r="S703"/>
  <c r="S205"/>
  <c r="Q205"/>
  <c r="Q539"/>
  <c r="S539"/>
  <c r="S284"/>
  <c r="Q588"/>
  <c r="S588"/>
  <c r="Q30"/>
  <c r="S30"/>
  <c r="S238"/>
  <c r="Q238"/>
  <c r="F3" i="17"/>
  <c r="Q253" i="1"/>
  <c r="S253"/>
  <c r="Q294"/>
  <c r="S294"/>
  <c r="Q929"/>
  <c r="S929"/>
  <c r="Q468"/>
  <c r="S468"/>
  <c r="T43"/>
  <c r="U43" s="1"/>
  <c r="S823"/>
  <c r="Q972"/>
  <c r="Q414"/>
  <c r="S723"/>
  <c r="Q723"/>
  <c r="Q649"/>
  <c r="S649"/>
  <c r="Q562"/>
  <c r="S449"/>
  <c r="Q449"/>
  <c r="G212"/>
  <c r="G260"/>
  <c r="G388"/>
  <c r="G452"/>
  <c r="G531"/>
  <c r="G555"/>
  <c r="G561"/>
  <c r="G566"/>
  <c r="Q25"/>
  <c r="G576"/>
  <c r="S29"/>
  <c r="Q29"/>
  <c r="G224"/>
  <c r="G812"/>
  <c r="G785"/>
  <c r="S889"/>
  <c r="Q889"/>
  <c r="S651"/>
  <c r="G412"/>
  <c r="S369"/>
  <c r="Q369"/>
  <c r="G23"/>
  <c r="G722"/>
  <c r="G748"/>
  <c r="S969"/>
  <c r="Q724"/>
  <c r="G194"/>
  <c r="G441"/>
  <c r="Q683"/>
  <c r="S645"/>
  <c r="Q645"/>
  <c r="S421"/>
  <c r="Q421"/>
  <c r="Q75"/>
  <c r="Q796"/>
  <c r="S796"/>
  <c r="G172"/>
  <c r="Q827"/>
  <c r="S827"/>
  <c r="G536"/>
  <c r="S14"/>
  <c r="Q14"/>
  <c r="Q847"/>
  <c r="S847"/>
  <c r="S812"/>
  <c r="Q812"/>
  <c r="S422"/>
  <c r="Q422"/>
  <c r="I5" i="17"/>
  <c r="S983" i="1"/>
  <c r="Q983"/>
  <c r="G33"/>
  <c r="G902"/>
  <c r="S385"/>
  <c r="S868"/>
  <c r="Q868"/>
  <c r="G291"/>
  <c r="Q973"/>
  <c r="Q876"/>
  <c r="Q372"/>
  <c r="G399"/>
  <c r="S729"/>
  <c r="Q729"/>
  <c r="Q293"/>
  <c r="S293"/>
  <c r="S172"/>
  <c r="Q172"/>
  <c r="Q91"/>
  <c r="S91"/>
  <c r="S68"/>
  <c r="Q68"/>
  <c r="Q420"/>
  <c r="S440"/>
  <c r="S851"/>
  <c r="Q851"/>
  <c r="Q813"/>
  <c r="S813"/>
  <c r="Q523"/>
  <c r="S523"/>
  <c r="G647"/>
  <c r="G667"/>
  <c r="G707"/>
  <c r="Q764"/>
  <c r="S764"/>
  <c r="S615"/>
  <c r="Q615"/>
  <c r="Q547"/>
  <c r="S547"/>
  <c r="Q375"/>
  <c r="Q341"/>
  <c r="S210"/>
  <c r="Q210"/>
  <c r="G35"/>
  <c r="G42"/>
  <c r="G116"/>
  <c r="G798"/>
  <c r="G820"/>
  <c r="G927"/>
  <c r="G945"/>
  <c r="S212"/>
  <c r="Q212"/>
  <c r="Q159"/>
  <c r="S159"/>
  <c r="S150"/>
  <c r="Q150"/>
  <c r="G468"/>
  <c r="G743"/>
  <c r="Q331"/>
  <c r="Q950"/>
  <c r="S950"/>
  <c r="S780"/>
  <c r="Q780"/>
  <c r="Q456"/>
  <c r="S456"/>
  <c r="G653"/>
  <c r="G769"/>
  <c r="G775"/>
  <c r="S17"/>
  <c r="Q17"/>
  <c r="S740"/>
  <c r="Q740"/>
  <c r="Q722"/>
  <c r="S470"/>
  <c r="Q470"/>
  <c r="G627"/>
  <c r="S252"/>
  <c r="Q252"/>
  <c r="G51"/>
  <c r="G725"/>
  <c r="G738"/>
  <c r="G773"/>
  <c r="G799"/>
  <c r="G814"/>
  <c r="G888"/>
  <c r="G154"/>
  <c r="G629"/>
  <c r="G340"/>
  <c r="G930"/>
  <c r="G64"/>
  <c r="G126"/>
  <c r="G559"/>
  <c r="G727"/>
  <c r="G867"/>
  <c r="G98"/>
  <c r="G50"/>
  <c r="G501"/>
  <c r="G88"/>
  <c r="G66"/>
  <c r="G130"/>
  <c r="G403"/>
  <c r="G633"/>
  <c r="G176"/>
  <c r="G80"/>
  <c r="G557"/>
  <c r="S27" l="1"/>
  <c r="S343"/>
  <c r="S625"/>
  <c r="Q616"/>
  <c r="Q255"/>
  <c r="Q431"/>
  <c r="Q943"/>
  <c r="S579"/>
  <c r="S235"/>
  <c r="Q680"/>
  <c r="Q626"/>
  <c r="Q483"/>
  <c r="S939"/>
  <c r="Q335"/>
  <c r="S587"/>
  <c r="S319"/>
  <c r="Q783"/>
  <c r="Q575"/>
  <c r="Q951"/>
  <c r="Q711"/>
  <c r="Q691"/>
  <c r="S195"/>
  <c r="Q532"/>
  <c r="S987"/>
  <c r="Q35"/>
  <c r="Q499"/>
  <c r="Q244"/>
  <c r="S308"/>
  <c r="S395"/>
  <c r="Q31"/>
  <c r="S991"/>
  <c r="Q735"/>
  <c r="S48"/>
  <c r="Q751"/>
  <c r="Q323"/>
  <c r="S807"/>
  <c r="S527"/>
  <c r="S203"/>
  <c r="S659"/>
  <c r="Q643"/>
  <c r="S739"/>
  <c r="Q167"/>
  <c r="Q658"/>
  <c r="S476"/>
  <c r="Q303"/>
  <c r="Q204"/>
  <c r="S679"/>
  <c r="Q932"/>
  <c r="Q183"/>
  <c r="S919"/>
  <c r="S415"/>
  <c r="S487"/>
  <c r="S495"/>
  <c r="Q47"/>
  <c r="Q871"/>
  <c r="S855"/>
  <c r="Q660"/>
  <c r="Q915"/>
  <c r="S556"/>
  <c r="Q699"/>
  <c r="S795"/>
  <c r="Q463"/>
  <c r="Q675"/>
  <c r="S667"/>
  <c r="S715"/>
  <c r="Q719"/>
  <c r="S287"/>
  <c r="Q232"/>
  <c r="Q23"/>
  <c r="S772"/>
  <c r="Q19"/>
  <c r="Q28"/>
  <c r="Q79"/>
  <c r="Q191"/>
  <c r="Q515"/>
  <c r="Q755"/>
  <c r="S223"/>
  <c r="Q903"/>
  <c r="Q239"/>
  <c r="S188"/>
  <c r="S707"/>
  <c r="Q291"/>
  <c r="S359"/>
  <c r="S455"/>
  <c r="S580"/>
  <c r="S339"/>
  <c r="Q531"/>
  <c r="Q51"/>
  <c r="Q419"/>
  <c r="Q611"/>
  <c r="Q559"/>
  <c r="S97"/>
  <c r="S627"/>
  <c r="S682"/>
  <c r="S243"/>
  <c r="S655"/>
  <c r="Q595"/>
  <c r="S132"/>
  <c r="Q43"/>
  <c r="Q231"/>
  <c r="S236"/>
  <c r="Q363"/>
  <c r="Q427"/>
  <c r="Q380"/>
  <c r="S937"/>
  <c r="Q779"/>
  <c r="S967"/>
  <c r="Q387"/>
  <c r="S300"/>
  <c r="S583"/>
  <c r="S439"/>
  <c r="Q327"/>
  <c r="Q283"/>
  <c r="S135"/>
  <c r="Q775"/>
  <c r="Q459"/>
  <c r="S963"/>
  <c r="S316"/>
  <c r="Q111"/>
  <c r="Q748"/>
  <c r="S220"/>
  <c r="S634"/>
  <c r="S447"/>
  <c r="Q161"/>
  <c r="Q914"/>
  <c r="S803"/>
  <c r="S347"/>
  <c r="S435"/>
  <c r="S867"/>
  <c r="Q948"/>
  <c r="Q246"/>
  <c r="Q788"/>
  <c r="S835"/>
  <c r="S852"/>
  <c r="Q59"/>
  <c r="S607"/>
  <c r="S639"/>
  <c r="S148"/>
  <c r="S399"/>
  <c r="S923"/>
  <c r="Q882"/>
  <c r="Q84"/>
  <c r="Q899"/>
  <c r="S71"/>
  <c r="S761"/>
  <c r="Q535"/>
  <c r="Q860"/>
  <c r="S268"/>
  <c r="S63"/>
  <c r="Q879"/>
  <c r="S980"/>
  <c r="S299"/>
  <c r="S108"/>
  <c r="S270"/>
  <c r="Q911"/>
  <c r="Q819"/>
  <c r="S251"/>
  <c r="Q307"/>
  <c r="S175"/>
  <c r="Q786"/>
  <c r="S799"/>
  <c r="S802"/>
  <c r="S975"/>
  <c r="S815"/>
  <c r="S716"/>
  <c r="S687"/>
  <c r="Q275"/>
  <c r="Q736"/>
  <c r="Q234"/>
  <c r="S602"/>
  <c r="Q260"/>
  <c r="Q180"/>
  <c r="Q39"/>
  <c r="S767"/>
  <c r="Q484"/>
  <c r="S631"/>
  <c r="Q619"/>
  <c r="S891"/>
  <c r="S551"/>
  <c r="Q355"/>
  <c r="Q676"/>
  <c r="Q884"/>
  <c r="Q404"/>
  <c r="Q412"/>
  <c r="S610"/>
  <c r="S641"/>
  <c r="Q290"/>
  <c r="S67"/>
  <c r="Q280"/>
  <c r="Q576"/>
  <c r="S910"/>
  <c r="S310"/>
  <c r="S88"/>
  <c r="Q102"/>
  <c r="Q113"/>
  <c r="Q848"/>
  <c r="Q146"/>
  <c r="Q272"/>
  <c r="S128"/>
  <c r="S482"/>
  <c r="S409"/>
  <c r="Q752"/>
  <c r="S552"/>
  <c r="Q454"/>
  <c r="Q441"/>
  <c r="Q144"/>
  <c r="S442"/>
  <c r="S686"/>
  <c r="S782"/>
  <c r="Q72"/>
  <c r="S785"/>
  <c r="Q696"/>
  <c r="Q505"/>
  <c r="Q905"/>
  <c r="S328"/>
  <c r="Q536"/>
  <c r="S689"/>
  <c r="Q878"/>
  <c r="Q926"/>
  <c r="Q622"/>
  <c r="S718"/>
  <c r="S814"/>
  <c r="S590"/>
  <c r="Q632"/>
  <c r="S849"/>
  <c r="S750"/>
  <c r="S654"/>
  <c r="S986"/>
  <c r="S945"/>
  <c r="Q416"/>
  <c r="Q400"/>
  <c r="S817"/>
  <c r="Q162"/>
  <c r="Q138"/>
  <c r="S480"/>
  <c r="S846"/>
  <c r="Q873"/>
  <c r="Q329"/>
  <c r="Q712"/>
  <c r="Q89"/>
  <c r="Q906"/>
  <c r="S720"/>
  <c r="S993"/>
  <c r="Q152"/>
  <c r="Q872"/>
  <c r="Q184"/>
  <c r="Q498"/>
  <c r="Q902"/>
  <c r="Q856"/>
  <c r="S33"/>
  <c r="S726"/>
  <c r="Q566"/>
  <c r="S690"/>
  <c r="S386"/>
  <c r="Q898"/>
  <c r="Q248"/>
  <c r="S630"/>
  <c r="Q106"/>
  <c r="Q424"/>
  <c r="Q58"/>
  <c r="Q394"/>
  <c r="S850"/>
  <c r="Q16"/>
  <c r="Q710"/>
  <c r="Q584"/>
  <c r="S776"/>
  <c r="S120"/>
  <c r="Q438"/>
  <c r="S145"/>
  <c r="S592"/>
  <c r="S656"/>
  <c r="Q706"/>
  <c r="S142"/>
  <c r="S662"/>
  <c r="Q216"/>
  <c r="S377"/>
  <c r="S678"/>
  <c r="S353"/>
  <c r="S297"/>
  <c r="Q504"/>
  <c r="Q350"/>
  <c r="Q833"/>
  <c r="Q74"/>
  <c r="S694"/>
  <c r="S90"/>
  <c r="Q40"/>
  <c r="S334"/>
  <c r="Q753"/>
  <c r="Q810"/>
  <c r="Q598"/>
  <c r="S18"/>
  <c r="Q402"/>
  <c r="S624"/>
  <c r="Q561"/>
  <c r="S742"/>
  <c r="S304"/>
  <c r="Q570"/>
  <c r="Q698"/>
  <c r="Q513"/>
  <c r="S57"/>
  <c r="S370"/>
  <c r="S609"/>
  <c r="Q762"/>
  <c r="Q160"/>
  <c r="Q330"/>
  <c r="S497"/>
  <c r="Q24"/>
  <c r="S262"/>
  <c r="S886"/>
  <c r="S808"/>
  <c r="S322"/>
  <c r="S754"/>
  <c r="S230"/>
  <c r="S288"/>
  <c r="Q714"/>
  <c r="S121"/>
  <c r="S574"/>
  <c r="Q568"/>
  <c r="Q264"/>
  <c r="S586"/>
  <c r="Q768"/>
  <c r="S890"/>
  <c r="Q674"/>
  <c r="S938"/>
  <c r="Q136"/>
  <c r="Q194"/>
  <c r="Q242"/>
  <c r="Q862"/>
  <c r="Q202"/>
  <c r="Q832"/>
  <c r="S200"/>
  <c r="S546"/>
  <c r="S734"/>
  <c r="Q218"/>
  <c r="Q794"/>
  <c r="S490"/>
  <c r="Q601"/>
  <c r="Q834"/>
  <c r="S320"/>
  <c r="Q321"/>
  <c r="Q978"/>
  <c r="Q830"/>
  <c r="Q798"/>
  <c r="S432"/>
  <c r="Q266"/>
  <c r="S822"/>
  <c r="Q826"/>
  <c r="S968"/>
  <c r="S344"/>
  <c r="Q642"/>
  <c r="S336"/>
  <c r="S392"/>
  <c r="Q984"/>
  <c r="Q384"/>
  <c r="S946"/>
  <c r="Q326"/>
  <c r="S393"/>
  <c r="S840"/>
  <c r="Q342"/>
  <c r="S177"/>
  <c r="S818"/>
  <c r="Q265"/>
  <c r="S537"/>
  <c r="S778"/>
  <c r="Q398"/>
  <c r="Q249"/>
  <c r="Q112"/>
  <c r="Q496"/>
  <c r="S368"/>
  <c r="S185"/>
  <c r="S42"/>
  <c r="Q672"/>
  <c r="S648"/>
  <c r="Q376"/>
  <c r="Q638"/>
  <c r="S897"/>
  <c r="Q854"/>
  <c r="Q257"/>
  <c r="Q401"/>
  <c r="S758"/>
  <c r="S448"/>
  <c r="Q281"/>
  <c r="Q657"/>
  <c r="Q512"/>
  <c r="S154"/>
  <c r="Q953"/>
  <c r="Q426"/>
  <c r="S312"/>
  <c r="S274"/>
  <c r="S34"/>
  <c r="Q670"/>
  <c r="S918"/>
  <c r="Q746"/>
  <c r="S790"/>
  <c r="S874"/>
  <c r="S705"/>
  <c r="Q593"/>
  <c r="S784"/>
  <c r="Q704"/>
  <c r="Q640"/>
  <c r="S54"/>
  <c r="Q233"/>
  <c r="Q81"/>
  <c r="Q488"/>
  <c r="Q56"/>
  <c r="S225"/>
  <c r="S114"/>
  <c r="S666"/>
  <c r="S190"/>
  <c r="S222"/>
  <c r="S193"/>
  <c r="Q514"/>
  <c r="Q870"/>
  <c r="Q646"/>
  <c r="Q934"/>
  <c r="Q78"/>
  <c r="Q560"/>
  <c r="Q744"/>
  <c r="S94"/>
  <c r="S792"/>
  <c r="S110"/>
  <c r="Q816"/>
  <c r="Q930"/>
  <c r="S577"/>
  <c r="Q258"/>
  <c r="Q170"/>
  <c r="Q528"/>
  <c r="Q608"/>
  <c r="Q472"/>
  <c r="Q766"/>
  <c r="S738"/>
  <c r="S65"/>
  <c r="Q520"/>
  <c r="S737"/>
  <c r="Q806"/>
  <c r="S841"/>
  <c r="S894"/>
  <c r="Q866"/>
  <c r="S760"/>
  <c r="S824"/>
  <c r="Q721"/>
  <c r="Q606"/>
  <c r="S544"/>
  <c r="S406"/>
  <c r="S618"/>
  <c r="S126"/>
  <c r="S361"/>
  <c r="S168"/>
  <c r="Q809"/>
  <c r="Q314"/>
  <c r="S176"/>
  <c r="S800"/>
  <c r="Q673"/>
  <c r="Q688"/>
  <c r="S192"/>
  <c r="S466"/>
  <c r="Q913"/>
  <c r="S952"/>
  <c r="Q770"/>
  <c r="S730"/>
  <c r="Q374"/>
  <c r="S664"/>
  <c r="Q578"/>
  <c r="S49"/>
  <c r="S920"/>
  <c r="Q769"/>
  <c r="Q408"/>
  <c r="Q728"/>
  <c r="S104"/>
  <c r="Q118"/>
  <c r="S289"/>
  <c r="Q390"/>
  <c r="Q433"/>
  <c r="Q352"/>
  <c r="S650"/>
  <c r="Q864"/>
  <c r="S209"/>
  <c r="Q912"/>
  <c r="S985"/>
  <c r="Q298"/>
  <c r="S702"/>
  <c r="S888"/>
  <c r="S153"/>
  <c r="Q96"/>
  <c r="S46"/>
  <c r="S158"/>
  <c r="S450"/>
  <c r="Q530"/>
  <c r="Q522"/>
  <c r="Q98"/>
  <c r="Q922"/>
  <c r="S880"/>
  <c r="Q174"/>
  <c r="Q614"/>
  <c r="S600"/>
  <c r="S464"/>
  <c r="S594"/>
  <c r="Q569"/>
  <c r="Q278"/>
  <c r="Q240"/>
  <c r="S182"/>
  <c r="S129"/>
  <c r="S838"/>
  <c r="Q32"/>
  <c r="S64"/>
  <c r="S961"/>
  <c r="S944"/>
  <c r="S896"/>
  <c r="S217"/>
  <c r="Q62"/>
  <c r="Q378"/>
  <c r="Q345"/>
  <c r="S296"/>
  <c r="S858"/>
  <c r="S582"/>
  <c r="Q994"/>
  <c r="S921"/>
  <c r="S774"/>
  <c r="Q122"/>
  <c r="S362"/>
  <c r="Q473"/>
  <c r="Q206"/>
  <c r="Q417"/>
  <c r="S208"/>
  <c r="S241"/>
  <c r="S80"/>
  <c r="Q186"/>
  <c r="Q842"/>
  <c r="D7" i="17"/>
  <c r="E7" s="1"/>
  <c r="H9"/>
  <c r="B9"/>
  <c r="K12" i="1"/>
  <c r="X997"/>
  <c r="N5" s="1"/>
  <c r="N7"/>
  <c r="Q7"/>
  <c r="X996"/>
  <c r="N4" s="1"/>
  <c r="X995"/>
  <c r="N6" s="1"/>
  <c r="N8"/>
  <c r="W12"/>
  <c r="V12"/>
  <c r="V995" s="1"/>
  <c r="F7" i="15"/>
  <c r="K7" s="1"/>
  <c r="I6" i="17"/>
  <c r="U20" i="1"/>
  <c r="F5" i="17"/>
  <c r="Q8" i="1" l="1"/>
  <c r="W995"/>
  <c r="P5" s="1"/>
  <c r="D8" i="17"/>
  <c r="E8" s="1"/>
  <c r="H10"/>
  <c r="B10"/>
  <c r="F4"/>
  <c r="I7"/>
  <c r="P6" i="1" l="1"/>
  <c r="H11" i="17"/>
  <c r="D9"/>
  <c r="E9" s="1"/>
  <c r="B11"/>
  <c r="I8"/>
  <c r="F6"/>
  <c r="F7"/>
  <c r="H12" l="1"/>
  <c r="D10"/>
  <c r="E10" s="1"/>
  <c r="B12"/>
  <c r="I9"/>
  <c r="F8"/>
  <c r="H13" l="1"/>
  <c r="D11"/>
  <c r="E11" s="1"/>
  <c r="B13"/>
  <c r="I10"/>
  <c r="F9"/>
  <c r="H14" l="1"/>
  <c r="D12"/>
  <c r="E12" s="1"/>
  <c r="B14"/>
  <c r="I11"/>
  <c r="H15" l="1"/>
  <c r="D13"/>
  <c r="E13" s="1"/>
  <c r="B15"/>
  <c r="F10"/>
  <c r="I12"/>
  <c r="F11"/>
  <c r="D14" l="1"/>
  <c r="E14" s="1"/>
  <c r="H16"/>
  <c r="B16"/>
  <c r="F12"/>
  <c r="I13"/>
  <c r="D15" l="1"/>
  <c r="E15" s="1"/>
  <c r="H17"/>
  <c r="B17"/>
  <c r="F13"/>
  <c r="I14"/>
  <c r="D16" l="1"/>
  <c r="E16" s="1"/>
  <c r="H18"/>
  <c r="B18"/>
  <c r="F14"/>
  <c r="I15"/>
  <c r="D17" l="1"/>
  <c r="E17" s="1"/>
  <c r="H19"/>
  <c r="B19"/>
  <c r="F15"/>
  <c r="I16"/>
  <c r="D18" l="1"/>
  <c r="E18" s="1"/>
  <c r="H20"/>
  <c r="B20"/>
  <c r="F16"/>
  <c r="I17"/>
  <c r="H21" l="1"/>
  <c r="D19"/>
  <c r="E19" s="1"/>
  <c r="B21"/>
  <c r="I18"/>
  <c r="F17"/>
  <c r="H22" l="1"/>
  <c r="D20"/>
  <c r="E20" s="1"/>
  <c r="B22"/>
  <c r="I19"/>
  <c r="H23" l="1"/>
  <c r="D21"/>
  <c r="E21" s="1"/>
  <c r="B23"/>
  <c r="F18"/>
  <c r="I20"/>
  <c r="D22" l="1"/>
  <c r="E22" s="1"/>
  <c r="H24"/>
  <c r="B24"/>
  <c r="F19"/>
  <c r="I21"/>
  <c r="H25" l="1"/>
  <c r="D23"/>
  <c r="E23" s="1"/>
  <c r="B25"/>
  <c r="F20"/>
  <c r="I22"/>
  <c r="D24" l="1"/>
  <c r="E24" s="1"/>
  <c r="H26"/>
  <c r="B26"/>
  <c r="F22"/>
  <c r="F21"/>
  <c r="I23"/>
  <c r="D25" l="1"/>
  <c r="E25" s="1"/>
  <c r="H27"/>
  <c r="B27"/>
  <c r="I24"/>
  <c r="D26" l="1"/>
  <c r="E26" s="1"/>
  <c r="H28"/>
  <c r="B28"/>
  <c r="I25"/>
  <c r="F23"/>
  <c r="D27" l="1"/>
  <c r="E27" s="1"/>
  <c r="H29"/>
  <c r="B29"/>
  <c r="F24"/>
  <c r="I26"/>
  <c r="F25"/>
  <c r="H30" l="1"/>
  <c r="D28"/>
  <c r="E28" s="1"/>
  <c r="B30"/>
  <c r="I27"/>
  <c r="H31" l="1"/>
  <c r="D29"/>
  <c r="E29" s="1"/>
  <c r="B31"/>
  <c r="I28"/>
  <c r="F26"/>
  <c r="D30" l="1"/>
  <c r="E30" s="1"/>
  <c r="H32"/>
  <c r="B32"/>
  <c r="I29"/>
  <c r="F27"/>
  <c r="H33" l="1"/>
  <c r="D31"/>
  <c r="E31" s="1"/>
  <c r="B33"/>
  <c r="F28"/>
  <c r="I30"/>
  <c r="H34" l="1"/>
  <c r="D32"/>
  <c r="E32" s="1"/>
  <c r="B34"/>
  <c r="F29"/>
  <c r="I31"/>
  <c r="H35" l="1"/>
  <c r="D33"/>
  <c r="E33" s="1"/>
  <c r="B35"/>
  <c r="I32"/>
  <c r="F30"/>
  <c r="D34" l="1"/>
  <c r="E34" s="1"/>
  <c r="H36"/>
  <c r="B36"/>
  <c r="I33"/>
  <c r="F31"/>
  <c r="D35" l="1"/>
  <c r="E35" s="1"/>
  <c r="H37"/>
  <c r="B37"/>
  <c r="F32"/>
  <c r="I34"/>
  <c r="H38" l="1"/>
  <c r="D36"/>
  <c r="E36" s="1"/>
  <c r="B38"/>
  <c r="F33"/>
  <c r="I35"/>
  <c r="H39" l="1"/>
  <c r="D37"/>
  <c r="E37" s="1"/>
  <c r="B39"/>
  <c r="F34"/>
  <c r="I36"/>
  <c r="F35"/>
  <c r="D38" l="1"/>
  <c r="E38" s="1"/>
  <c r="H40"/>
  <c r="B40"/>
  <c r="I37"/>
  <c r="D39" l="1"/>
  <c r="E39" s="1"/>
  <c r="H41"/>
  <c r="B41"/>
  <c r="I38"/>
  <c r="F36"/>
  <c r="D40" l="1"/>
  <c r="E40" s="1"/>
  <c r="H42"/>
  <c r="B42"/>
  <c r="F37"/>
  <c r="I39"/>
  <c r="H43" l="1"/>
  <c r="D41"/>
  <c r="E41" s="1"/>
  <c r="B43"/>
  <c r="I40"/>
  <c r="F38"/>
  <c r="H44" l="1"/>
  <c r="D42"/>
  <c r="E42" s="1"/>
  <c r="B44"/>
  <c r="F39"/>
  <c r="I41"/>
  <c r="H45" l="1"/>
  <c r="D43"/>
  <c r="E43" s="1"/>
  <c r="B45"/>
  <c r="F40"/>
  <c r="I42"/>
  <c r="H46" l="1"/>
  <c r="D44"/>
  <c r="E44" s="1"/>
  <c r="B46"/>
  <c r="I43"/>
  <c r="F41"/>
  <c r="H47" l="1"/>
  <c r="D45"/>
  <c r="E45" s="1"/>
  <c r="B47"/>
  <c r="I44"/>
  <c r="F42"/>
  <c r="D46" l="1"/>
  <c r="E46" s="1"/>
  <c r="H48"/>
  <c r="B48"/>
  <c r="F43"/>
  <c r="I45"/>
  <c r="D47" l="1"/>
  <c r="E47" s="1"/>
  <c r="H49"/>
  <c r="B49"/>
  <c r="F44"/>
  <c r="I46"/>
  <c r="D48" l="1"/>
  <c r="E48" s="1"/>
  <c r="H50"/>
  <c r="B50"/>
  <c r="F45"/>
  <c r="I47"/>
  <c r="D49" l="1"/>
  <c r="E49" s="1"/>
  <c r="H51"/>
  <c r="B51"/>
  <c r="I48"/>
  <c r="F46"/>
  <c r="D50" l="1"/>
  <c r="E50" s="1"/>
  <c r="H52"/>
  <c r="B52"/>
  <c r="I49"/>
  <c r="F47"/>
  <c r="F48"/>
  <c r="H53" l="1"/>
  <c r="D51"/>
  <c r="E51" s="1"/>
  <c r="B53"/>
  <c r="F49"/>
  <c r="I50"/>
  <c r="H54" l="1"/>
  <c r="D52"/>
  <c r="E52" s="1"/>
  <c r="B54"/>
  <c r="I51"/>
  <c r="H55" l="1"/>
  <c r="D53"/>
  <c r="E53" s="1"/>
  <c r="B55"/>
  <c r="F50"/>
  <c r="I52"/>
  <c r="D54" l="1"/>
  <c r="E54" s="1"/>
  <c r="H56"/>
  <c r="B56"/>
  <c r="F51"/>
  <c r="F52"/>
  <c r="I53"/>
  <c r="H57" l="1"/>
  <c r="D55"/>
  <c r="E55" s="1"/>
  <c r="B57"/>
  <c r="I54"/>
  <c r="D56" l="1"/>
  <c r="E56" s="1"/>
  <c r="H58"/>
  <c r="B58"/>
  <c r="F53"/>
  <c r="I55"/>
  <c r="D57" l="1"/>
  <c r="E57" s="1"/>
  <c r="H59"/>
  <c r="B59"/>
  <c r="F54"/>
  <c r="I56"/>
  <c r="D58" l="1"/>
  <c r="E58" s="1"/>
  <c r="H60"/>
  <c r="B60"/>
  <c r="F55"/>
  <c r="I57"/>
  <c r="D59" l="1"/>
  <c r="E59" s="1"/>
  <c r="H61"/>
  <c r="B61"/>
  <c r="F56"/>
  <c r="I58"/>
  <c r="F57"/>
  <c r="H62" l="1"/>
  <c r="D60"/>
  <c r="E60" s="1"/>
  <c r="B62"/>
  <c r="I59"/>
  <c r="H63" l="1"/>
  <c r="D61"/>
  <c r="E61" s="1"/>
  <c r="B63"/>
  <c r="F58"/>
  <c r="I60"/>
  <c r="D62" l="1"/>
  <c r="E62" s="1"/>
  <c r="H64"/>
  <c r="B64"/>
  <c r="F59"/>
  <c r="F60"/>
  <c r="I61"/>
  <c r="H65" l="1"/>
  <c r="D63"/>
  <c r="E63" s="1"/>
  <c r="B65"/>
  <c r="I62"/>
  <c r="H66" l="1"/>
  <c r="D64"/>
  <c r="E64" s="1"/>
  <c r="B66"/>
  <c r="F61"/>
  <c r="I63"/>
  <c r="H67" l="1"/>
  <c r="D65"/>
  <c r="E65" s="1"/>
  <c r="B67"/>
  <c r="I64"/>
  <c r="F62"/>
  <c r="D66" l="1"/>
  <c r="E66" s="1"/>
  <c r="H68"/>
  <c r="B68"/>
  <c r="F63"/>
  <c r="I65"/>
  <c r="D67" l="1"/>
  <c r="E67" s="1"/>
  <c r="H69"/>
  <c r="B69"/>
  <c r="F64"/>
  <c r="I66"/>
  <c r="H70" l="1"/>
  <c r="D68"/>
  <c r="E68" s="1"/>
  <c r="B70"/>
  <c r="F65"/>
  <c r="I67"/>
  <c r="H71" l="1"/>
  <c r="D69"/>
  <c r="E69" s="1"/>
  <c r="B71"/>
  <c r="F67"/>
  <c r="F66"/>
  <c r="I68"/>
  <c r="D70" l="1"/>
  <c r="E70" s="1"/>
  <c r="H72"/>
  <c r="B72"/>
  <c r="I69"/>
  <c r="F68"/>
  <c r="D71" l="1"/>
  <c r="E71" s="1"/>
  <c r="H73"/>
  <c r="B73"/>
  <c r="I70"/>
  <c r="F69"/>
  <c r="D72" l="1"/>
  <c r="E72" s="1"/>
  <c r="H74"/>
  <c r="B74"/>
  <c r="I71"/>
  <c r="F70"/>
  <c r="H75" l="1"/>
  <c r="D73"/>
  <c r="E73" s="1"/>
  <c r="B75"/>
  <c r="F71"/>
  <c r="I72"/>
  <c r="H76" l="1"/>
  <c r="D74"/>
  <c r="E74" s="1"/>
  <c r="B76"/>
  <c r="I73"/>
  <c r="F72"/>
  <c r="H77" l="1"/>
  <c r="D75"/>
  <c r="E75" s="1"/>
  <c r="B77"/>
  <c r="I74"/>
  <c r="H78" l="1"/>
  <c r="D76"/>
  <c r="E76" s="1"/>
  <c r="B78"/>
  <c r="F73"/>
  <c r="I75"/>
  <c r="H79" l="1"/>
  <c r="D77"/>
  <c r="E77" s="1"/>
  <c r="B79"/>
  <c r="I76"/>
  <c r="F74"/>
  <c r="D78" l="1"/>
  <c r="E78" s="1"/>
  <c r="H80"/>
  <c r="B80"/>
  <c r="F76"/>
  <c r="I77"/>
  <c r="F75"/>
  <c r="D79" l="1"/>
  <c r="E79" s="1"/>
  <c r="H81"/>
  <c r="B81"/>
  <c r="F77"/>
  <c r="I78"/>
  <c r="D80" l="1"/>
  <c r="E80" s="1"/>
  <c r="H82"/>
  <c r="B82"/>
  <c r="I79"/>
  <c r="D81" l="1"/>
  <c r="E81" s="1"/>
  <c r="H83"/>
  <c r="B83"/>
  <c r="F78"/>
  <c r="I80"/>
  <c r="D82" l="1"/>
  <c r="E82" s="1"/>
  <c r="H84"/>
  <c r="B84"/>
  <c r="I81"/>
  <c r="F79"/>
  <c r="F80"/>
  <c r="H85" l="1"/>
  <c r="D83"/>
  <c r="E83" s="1"/>
  <c r="B85"/>
  <c r="I82"/>
  <c r="F81"/>
  <c r="H86" l="1"/>
  <c r="D84"/>
  <c r="E84" s="1"/>
  <c r="B86"/>
  <c r="F82"/>
  <c r="I83"/>
  <c r="H87" l="1"/>
  <c r="D85"/>
  <c r="E85" s="1"/>
  <c r="B87"/>
  <c r="F83"/>
  <c r="I84"/>
  <c r="D86" l="1"/>
  <c r="E86" s="1"/>
  <c r="H88"/>
  <c r="B88"/>
  <c r="I85"/>
  <c r="H89" l="1"/>
  <c r="D87"/>
  <c r="E87" s="1"/>
  <c r="B89"/>
  <c r="I86"/>
  <c r="F84"/>
  <c r="D88" l="1"/>
  <c r="E88" s="1"/>
  <c r="H90"/>
  <c r="B90"/>
  <c r="F85"/>
  <c r="I87"/>
  <c r="F86"/>
  <c r="D89" l="1"/>
  <c r="E89" s="1"/>
  <c r="H91"/>
  <c r="B91"/>
  <c r="I88"/>
  <c r="D90" l="1"/>
  <c r="E90" s="1"/>
  <c r="H92"/>
  <c r="B92"/>
  <c r="I89"/>
  <c r="F88"/>
  <c r="F87"/>
  <c r="D91" l="1"/>
  <c r="E91" s="1"/>
  <c r="H93"/>
  <c r="B93"/>
  <c r="F89"/>
  <c r="I90"/>
  <c r="H94" l="1"/>
  <c r="D92"/>
  <c r="E92" s="1"/>
  <c r="B94"/>
  <c r="I91"/>
  <c r="H95" l="1"/>
  <c r="D93"/>
  <c r="E93" s="1"/>
  <c r="B95"/>
  <c r="F91"/>
  <c r="I92"/>
  <c r="F90"/>
  <c r="D94" l="1"/>
  <c r="E94" s="1"/>
  <c r="H96"/>
  <c r="B96"/>
  <c r="I93"/>
  <c r="H97" l="1"/>
  <c r="D95"/>
  <c r="E95" s="1"/>
  <c r="B97"/>
  <c r="I94"/>
  <c r="F92"/>
  <c r="H98" l="1"/>
  <c r="D96"/>
  <c r="E96" s="1"/>
  <c r="B98"/>
  <c r="F93"/>
  <c r="I95"/>
  <c r="H99" l="1"/>
  <c r="D97"/>
  <c r="E97" s="1"/>
  <c r="B99"/>
  <c r="F94"/>
  <c r="I96"/>
  <c r="D98" l="1"/>
  <c r="E98" s="1"/>
  <c r="H100"/>
  <c r="B100"/>
  <c r="I97"/>
  <c r="F95"/>
  <c r="D99" l="1"/>
  <c r="E99" s="1"/>
  <c r="H101"/>
  <c r="B101"/>
  <c r="I98"/>
  <c r="F97"/>
  <c r="F96"/>
  <c r="H102" l="1"/>
  <c r="D100"/>
  <c r="E100" s="1"/>
  <c r="B102"/>
  <c r="F98"/>
  <c r="I99"/>
  <c r="H103" l="1"/>
  <c r="D101"/>
  <c r="E101" s="1"/>
  <c r="B103"/>
  <c r="I100"/>
  <c r="F99"/>
  <c r="D102" l="1"/>
  <c r="E102" s="1"/>
  <c r="H104"/>
  <c r="B104"/>
  <c r="F100"/>
  <c r="I101"/>
  <c r="D103" l="1"/>
  <c r="E103" s="1"/>
  <c r="H105"/>
  <c r="B105"/>
  <c r="F101"/>
  <c r="I102"/>
  <c r="D104" l="1"/>
  <c r="E104" s="1"/>
  <c r="H106"/>
  <c r="B106"/>
  <c r="F102"/>
  <c r="I103"/>
  <c r="H107" l="1"/>
  <c r="D105"/>
  <c r="E105" s="1"/>
  <c r="B107"/>
  <c r="I104"/>
  <c r="F103"/>
  <c r="H108" l="1"/>
  <c r="D106"/>
  <c r="E106" s="1"/>
  <c r="B108"/>
  <c r="I105"/>
  <c r="F104"/>
  <c r="H109" l="1"/>
  <c r="D107"/>
  <c r="E107" s="1"/>
  <c r="B109"/>
  <c r="F105"/>
  <c r="I106"/>
  <c r="H110" l="1"/>
  <c r="D108"/>
  <c r="E108" s="1"/>
  <c r="B110"/>
  <c r="I107"/>
  <c r="F106"/>
  <c r="H111" l="1"/>
  <c r="D109"/>
  <c r="E109" s="1"/>
  <c r="B111"/>
  <c r="I108"/>
  <c r="F107"/>
  <c r="D110" l="1"/>
  <c r="E110" s="1"/>
  <c r="H112"/>
  <c r="B112"/>
  <c r="I109"/>
  <c r="F108"/>
  <c r="D111" l="1"/>
  <c r="E111" s="1"/>
  <c r="H113"/>
  <c r="B113"/>
  <c r="F109"/>
  <c r="I110"/>
  <c r="D112" l="1"/>
  <c r="E112" s="1"/>
  <c r="H114"/>
  <c r="B114"/>
  <c r="F110"/>
  <c r="I111"/>
  <c r="D113" l="1"/>
  <c r="E113" s="1"/>
  <c r="H115"/>
  <c r="B115"/>
  <c r="I112"/>
  <c r="D114" l="1"/>
  <c r="E114" s="1"/>
  <c r="H116"/>
  <c r="B116"/>
  <c r="F112"/>
  <c r="I113"/>
  <c r="F111"/>
  <c r="H117" l="1"/>
  <c r="D115"/>
  <c r="E115" s="1"/>
  <c r="B117"/>
  <c r="I114"/>
  <c r="H118" l="1"/>
  <c r="D116"/>
  <c r="E116" s="1"/>
  <c r="B118"/>
  <c r="F114"/>
  <c r="I115"/>
  <c r="F113"/>
  <c r="H119" l="1"/>
  <c r="D117"/>
  <c r="E117" s="1"/>
  <c r="B119"/>
  <c r="I116"/>
  <c r="F115"/>
  <c r="D118" l="1"/>
  <c r="E118" s="1"/>
  <c r="H120"/>
  <c r="B120"/>
  <c r="I117"/>
  <c r="H121" l="1"/>
  <c r="D119"/>
  <c r="E119" s="1"/>
  <c r="B121"/>
  <c r="F116"/>
  <c r="I118"/>
  <c r="F117"/>
  <c r="D120" l="1"/>
  <c r="E120" s="1"/>
  <c r="H122"/>
  <c r="B122"/>
  <c r="I119"/>
  <c r="D121" l="1"/>
  <c r="E121" s="1"/>
  <c r="H123"/>
  <c r="B123"/>
  <c r="F118"/>
  <c r="I120"/>
  <c r="D122" l="1"/>
  <c r="E122" s="1"/>
  <c r="H124"/>
  <c r="B124"/>
  <c r="F119"/>
  <c r="I121"/>
  <c r="D123" l="1"/>
  <c r="E123" s="1"/>
  <c r="H125"/>
  <c r="B125"/>
  <c r="F120"/>
  <c r="F121"/>
  <c r="I122"/>
  <c r="H126" l="1"/>
  <c r="D124"/>
  <c r="E124" s="1"/>
  <c r="B126"/>
  <c r="F122"/>
  <c r="I123"/>
  <c r="H127" l="1"/>
  <c r="D125"/>
  <c r="E125" s="1"/>
  <c r="B127"/>
  <c r="F123"/>
  <c r="I124"/>
  <c r="D126" l="1"/>
  <c r="E126" s="1"/>
  <c r="H128"/>
  <c r="B128"/>
  <c r="F124"/>
  <c r="I125"/>
  <c r="H129" l="1"/>
  <c r="D127"/>
  <c r="E127" s="1"/>
  <c r="B129"/>
  <c r="I126"/>
  <c r="H130" l="1"/>
  <c r="D128"/>
  <c r="E128" s="1"/>
  <c r="B130"/>
  <c r="I127"/>
  <c r="F126"/>
  <c r="F125"/>
  <c r="H131" l="1"/>
  <c r="D129"/>
  <c r="E129" s="1"/>
  <c r="B131"/>
  <c r="I128"/>
  <c r="D130" l="1"/>
  <c r="E130" s="1"/>
  <c r="H132"/>
  <c r="B132"/>
  <c r="I129"/>
  <c r="F127"/>
  <c r="D131" l="1"/>
  <c r="E131" s="1"/>
  <c r="H133"/>
  <c r="B133"/>
  <c r="F128"/>
  <c r="I130"/>
  <c r="F129"/>
  <c r="H134" l="1"/>
  <c r="D132"/>
  <c r="E132" s="1"/>
  <c r="B134"/>
  <c r="I131"/>
  <c r="H135" l="1"/>
  <c r="D133"/>
  <c r="E133" s="1"/>
  <c r="B135"/>
  <c r="I132"/>
  <c r="F131"/>
  <c r="F130"/>
  <c r="D134" l="1"/>
  <c r="E134" s="1"/>
  <c r="H136"/>
  <c r="B136"/>
  <c r="I133"/>
  <c r="D135" l="1"/>
  <c r="E135" s="1"/>
  <c r="H137"/>
  <c r="B137"/>
  <c r="F132"/>
  <c r="I134"/>
  <c r="D136" l="1"/>
  <c r="E136" s="1"/>
  <c r="H138"/>
  <c r="B138"/>
  <c r="F133"/>
  <c r="I135"/>
  <c r="H139" l="1"/>
  <c r="D137"/>
  <c r="E137" s="1"/>
  <c r="B139"/>
  <c r="F134"/>
  <c r="I136"/>
  <c r="F135"/>
  <c r="H140" l="1"/>
  <c r="D138"/>
  <c r="E138" s="1"/>
  <c r="B140"/>
  <c r="I137"/>
  <c r="H141" l="1"/>
  <c r="D139"/>
  <c r="E139" s="1"/>
  <c r="B141"/>
  <c r="I138"/>
  <c r="F136"/>
  <c r="H142" l="1"/>
  <c r="D140"/>
  <c r="E140" s="1"/>
  <c r="B142"/>
  <c r="I139"/>
  <c r="F137"/>
  <c r="H143" l="1"/>
  <c r="D141"/>
  <c r="E141" s="1"/>
  <c r="B143"/>
  <c r="F138"/>
  <c r="I140"/>
  <c r="D142" l="1"/>
  <c r="E142" s="1"/>
  <c r="H144"/>
  <c r="B144"/>
  <c r="F140"/>
  <c r="I141"/>
  <c r="F139"/>
  <c r="D143" l="1"/>
  <c r="E143" s="1"/>
  <c r="H145"/>
  <c r="B145"/>
  <c r="I142"/>
  <c r="F141"/>
  <c r="D144" l="1"/>
  <c r="I143"/>
  <c r="D145" l="1"/>
  <c r="E145" s="1"/>
  <c r="E144"/>
  <c r="I144"/>
  <c r="F142"/>
  <c r="F143" l="1"/>
  <c r="I145"/>
  <c r="F144" l="1"/>
  <c r="F145" l="1"/>
  <c r="R12" i="1"/>
  <c r="P12"/>
  <c r="T12"/>
  <c r="Y12" s="1"/>
  <c r="Y13" s="1"/>
  <c r="Y14" s="1"/>
  <c r="Y15" s="1"/>
  <c r="Y16" s="1"/>
  <c r="Y17" s="1"/>
  <c r="Y18" s="1"/>
  <c r="Y19" s="1"/>
  <c r="Y20" s="1"/>
  <c r="Y21" s="1"/>
  <c r="Y22" s="1"/>
  <c r="Y23" s="1"/>
  <c r="Y24" s="1"/>
  <c r="Y25" s="1"/>
  <c r="Y26" s="1"/>
  <c r="Y27" s="1"/>
  <c r="Y28" s="1"/>
  <c r="Y29" s="1"/>
  <c r="Y30" s="1"/>
  <c r="Y31" s="1"/>
  <c r="Y32" s="1"/>
  <c r="Y33" s="1"/>
  <c r="Y34" s="1"/>
  <c r="Y35" s="1"/>
  <c r="Y36" s="1"/>
  <c r="Y37" s="1"/>
  <c r="Y38" s="1"/>
  <c r="Y39" s="1"/>
  <c r="Y40" s="1"/>
  <c r="Y41" s="1"/>
  <c r="Y42" s="1"/>
  <c r="Y43" s="1"/>
  <c r="Y44" s="1"/>
  <c r="Y45" s="1"/>
  <c r="Y46" s="1"/>
  <c r="Y47" s="1"/>
  <c r="Y48" s="1"/>
  <c r="Y49" s="1"/>
  <c r="Y50" s="1"/>
  <c r="Y51" s="1"/>
  <c r="Y52" s="1"/>
  <c r="Y53" s="1"/>
  <c r="Y54" s="1"/>
  <c r="Y55" s="1"/>
  <c r="Y56" s="1"/>
  <c r="Y57" s="1"/>
  <c r="Y58" s="1"/>
  <c r="Y59" s="1"/>
  <c r="Y60" s="1"/>
  <c r="Y61" s="1"/>
  <c r="Y62" s="1"/>
  <c r="Y63" s="1"/>
  <c r="Y64" s="1"/>
  <c r="Y65" s="1"/>
  <c r="Y66" s="1"/>
  <c r="Y67" s="1"/>
  <c r="Y68" s="1"/>
  <c r="Y69" s="1"/>
  <c r="Y70" s="1"/>
  <c r="Y71" s="1"/>
  <c r="Y72" s="1"/>
  <c r="Y73" s="1"/>
  <c r="Y74" s="1"/>
  <c r="Y75" s="1"/>
  <c r="Y76" s="1"/>
  <c r="Y77" s="1"/>
  <c r="Y78" s="1"/>
  <c r="Y79" s="1"/>
  <c r="Y80" s="1"/>
  <c r="Y81" s="1"/>
  <c r="Y82" s="1"/>
  <c r="Y83" s="1"/>
  <c r="Y84" s="1"/>
  <c r="Y85" s="1"/>
  <c r="Y86" s="1"/>
  <c r="Y87" s="1"/>
  <c r="Y88" s="1"/>
  <c r="Y89" s="1"/>
  <c r="Y90" s="1"/>
  <c r="Y91" s="1"/>
  <c r="Y92" s="1"/>
  <c r="Y93" s="1"/>
  <c r="Y94" s="1"/>
  <c r="Y95" s="1"/>
  <c r="Y96" s="1"/>
  <c r="Y97" s="1"/>
  <c r="Y98" s="1"/>
  <c r="Y99" s="1"/>
  <c r="Y100" s="1"/>
  <c r="Y101" s="1"/>
  <c r="Y102" s="1"/>
  <c r="Y103" s="1"/>
  <c r="Y104" s="1"/>
  <c r="Y105" s="1"/>
  <c r="Y106" s="1"/>
  <c r="Y107" s="1"/>
  <c r="Y108" s="1"/>
  <c r="Y109" s="1"/>
  <c r="Y110" s="1"/>
  <c r="Y111" s="1"/>
  <c r="Y112" s="1"/>
  <c r="Y113" s="1"/>
  <c r="Y114" s="1"/>
  <c r="Y115" s="1"/>
  <c r="Y116" s="1"/>
  <c r="Y117" s="1"/>
  <c r="Y118" s="1"/>
  <c r="Y119" s="1"/>
  <c r="Y120" s="1"/>
  <c r="Y121" s="1"/>
  <c r="Y122" s="1"/>
  <c r="Y123" s="1"/>
  <c r="Y124" s="1"/>
  <c r="Y125" s="1"/>
  <c r="Y126" s="1"/>
  <c r="Y127" s="1"/>
  <c r="Y128" s="1"/>
  <c r="Y129" s="1"/>
  <c r="Y130" s="1"/>
  <c r="Y131" s="1"/>
  <c r="Y132" s="1"/>
  <c r="Y133" s="1"/>
  <c r="Y134" s="1"/>
  <c r="Y135" s="1"/>
  <c r="Y136" s="1"/>
  <c r="Y137" s="1"/>
  <c r="Y138" s="1"/>
  <c r="Y139" s="1"/>
  <c r="Y140" s="1"/>
  <c r="Y141" s="1"/>
  <c r="Y142" s="1"/>
  <c r="Y143" s="1"/>
  <c r="Y144" s="1"/>
  <c r="Y145" s="1"/>
  <c r="Y146" s="1"/>
  <c r="Y147" s="1"/>
  <c r="Y148" s="1"/>
  <c r="Y149" s="1"/>
  <c r="Y150" s="1"/>
  <c r="Y151" s="1"/>
  <c r="Y152" s="1"/>
  <c r="Y153" s="1"/>
  <c r="Y154" s="1"/>
  <c r="Y155" s="1"/>
  <c r="Y156" s="1"/>
  <c r="Y157" s="1"/>
  <c r="Y158" s="1"/>
  <c r="Y159" s="1"/>
  <c r="Y160" s="1"/>
  <c r="Y161" s="1"/>
  <c r="Y162" s="1"/>
  <c r="Y163" s="1"/>
  <c r="Y164" s="1"/>
  <c r="Y165" s="1"/>
  <c r="Y166" s="1"/>
  <c r="Y167" s="1"/>
  <c r="Y168" s="1"/>
  <c r="Y169" s="1"/>
  <c r="Y170" s="1"/>
  <c r="Y171" s="1"/>
  <c r="Y172" s="1"/>
  <c r="Y173" s="1"/>
  <c r="Y174" s="1"/>
  <c r="Y175" s="1"/>
  <c r="Y176" s="1"/>
  <c r="Y177" s="1"/>
  <c r="Y178" s="1"/>
  <c r="Y179" s="1"/>
  <c r="Y180" s="1"/>
  <c r="Y181" s="1"/>
  <c r="Y182" s="1"/>
  <c r="Y183" s="1"/>
  <c r="Y184" s="1"/>
  <c r="Y185" s="1"/>
  <c r="Y186" s="1"/>
  <c r="Y187" s="1"/>
  <c r="Y188" s="1"/>
  <c r="Y189" s="1"/>
  <c r="Y190" s="1"/>
  <c r="Y191" s="1"/>
  <c r="Y192" s="1"/>
  <c r="Y193" s="1"/>
  <c r="Y194" s="1"/>
  <c r="Y195" s="1"/>
  <c r="Y196" s="1"/>
  <c r="Y197" s="1"/>
  <c r="Y198" s="1"/>
  <c r="Y199" s="1"/>
  <c r="Y200" s="1"/>
  <c r="Y201" s="1"/>
  <c r="Y202" s="1"/>
  <c r="Y203" s="1"/>
  <c r="Y204" s="1"/>
  <c r="Y205" s="1"/>
  <c r="Y206" s="1"/>
  <c r="Y207" s="1"/>
  <c r="Y208" s="1"/>
  <c r="Y209" s="1"/>
  <c r="Y210" s="1"/>
  <c r="Y211" s="1"/>
  <c r="Y212" s="1"/>
  <c r="Y213" s="1"/>
  <c r="Y214" s="1"/>
  <c r="Y215" s="1"/>
  <c r="Y216" s="1"/>
  <c r="Y217" s="1"/>
  <c r="Y218" s="1"/>
  <c r="Y219" s="1"/>
  <c r="Y220" s="1"/>
  <c r="Y221" s="1"/>
  <c r="Y222" s="1"/>
  <c r="Y223" s="1"/>
  <c r="Y224" s="1"/>
  <c r="Y225" s="1"/>
  <c r="Y226" s="1"/>
  <c r="Y227" s="1"/>
  <c r="Y228" s="1"/>
  <c r="Y229" s="1"/>
  <c r="Y230" s="1"/>
  <c r="Y231" s="1"/>
  <c r="Y232" s="1"/>
  <c r="Y233" s="1"/>
  <c r="Y234" s="1"/>
  <c r="Y235" s="1"/>
  <c r="Y236" s="1"/>
  <c r="Y237" s="1"/>
  <c r="Y238" s="1"/>
  <c r="Y239" s="1"/>
  <c r="Y240" s="1"/>
  <c r="Y241" s="1"/>
  <c r="Y242" s="1"/>
  <c r="Y243" s="1"/>
  <c r="Y244" s="1"/>
  <c r="Y245" s="1"/>
  <c r="Y246" s="1"/>
  <c r="Y247" s="1"/>
  <c r="Y248" s="1"/>
  <c r="Y249" s="1"/>
  <c r="Y250" s="1"/>
  <c r="Y251" s="1"/>
  <c r="Y252" s="1"/>
  <c r="Y253" s="1"/>
  <c r="Y254" s="1"/>
  <c r="Y255" s="1"/>
  <c r="Y256" s="1"/>
  <c r="Y257" s="1"/>
  <c r="Y258" s="1"/>
  <c r="Y259" s="1"/>
  <c r="Y260" s="1"/>
  <c r="Y261" s="1"/>
  <c r="Y262" s="1"/>
  <c r="Y263" s="1"/>
  <c r="Y264" s="1"/>
  <c r="Y265" s="1"/>
  <c r="Y266" s="1"/>
  <c r="Y267" s="1"/>
  <c r="Y268" s="1"/>
  <c r="Y269" s="1"/>
  <c r="Y270" s="1"/>
  <c r="Y271" s="1"/>
  <c r="Y272" s="1"/>
  <c r="Y273" s="1"/>
  <c r="Y274" s="1"/>
  <c r="Y275" s="1"/>
  <c r="Y276" s="1"/>
  <c r="Y277" s="1"/>
  <c r="Y278" s="1"/>
  <c r="Y279" s="1"/>
  <c r="Y280" s="1"/>
  <c r="Y281" s="1"/>
  <c r="Y282" s="1"/>
  <c r="Y283" s="1"/>
  <c r="Y284" s="1"/>
  <c r="Y285" s="1"/>
  <c r="Y286" s="1"/>
  <c r="Y287" s="1"/>
  <c r="Y288" s="1"/>
  <c r="Y289" s="1"/>
  <c r="Y290" s="1"/>
  <c r="Y291" s="1"/>
  <c r="Y292" s="1"/>
  <c r="Y293" s="1"/>
  <c r="Y294" s="1"/>
  <c r="Y295" s="1"/>
  <c r="Y296" s="1"/>
  <c r="Y297" s="1"/>
  <c r="Y298" s="1"/>
  <c r="Y299" s="1"/>
  <c r="Y300" s="1"/>
  <c r="Y301" s="1"/>
  <c r="Y302" s="1"/>
  <c r="Y303" s="1"/>
  <c r="Y304" s="1"/>
  <c r="Y305" s="1"/>
  <c r="Y306" s="1"/>
  <c r="Y307" s="1"/>
  <c r="Y308" s="1"/>
  <c r="Y309" s="1"/>
  <c r="Y310" s="1"/>
  <c r="Y311" s="1"/>
  <c r="Y312" s="1"/>
  <c r="Y313" s="1"/>
  <c r="Y314" s="1"/>
  <c r="Y315" s="1"/>
  <c r="Y316" s="1"/>
  <c r="Y317" s="1"/>
  <c r="Y318" s="1"/>
  <c r="Y319" s="1"/>
  <c r="Y320" s="1"/>
  <c r="Y321" s="1"/>
  <c r="Y322" s="1"/>
  <c r="Y323" s="1"/>
  <c r="Y324" s="1"/>
  <c r="Y325" s="1"/>
  <c r="Y326" s="1"/>
  <c r="Y327" s="1"/>
  <c r="Y328" s="1"/>
  <c r="Y329" s="1"/>
  <c r="Y330" s="1"/>
  <c r="Y331" s="1"/>
  <c r="Y332" s="1"/>
  <c r="Y333" s="1"/>
  <c r="Y334" s="1"/>
  <c r="Y335" s="1"/>
  <c r="Y336" s="1"/>
  <c r="Y337" s="1"/>
  <c r="Y338" s="1"/>
  <c r="Y339" s="1"/>
  <c r="Y340" s="1"/>
  <c r="Y341" s="1"/>
  <c r="Y342" s="1"/>
  <c r="Y343" s="1"/>
  <c r="Y344" s="1"/>
  <c r="Y345" s="1"/>
  <c r="Y346" s="1"/>
  <c r="Y347" s="1"/>
  <c r="Y348" s="1"/>
  <c r="Y349" s="1"/>
  <c r="Y350" s="1"/>
  <c r="Y351" s="1"/>
  <c r="Y352" s="1"/>
  <c r="Y353" s="1"/>
  <c r="Y354" s="1"/>
  <c r="Y355" s="1"/>
  <c r="Y356" s="1"/>
  <c r="Y357" s="1"/>
  <c r="Y358" s="1"/>
  <c r="Y359" s="1"/>
  <c r="Y360" s="1"/>
  <c r="Y361" s="1"/>
  <c r="Y362" s="1"/>
  <c r="Y363" s="1"/>
  <c r="Y364" s="1"/>
  <c r="Y365" s="1"/>
  <c r="Y366" s="1"/>
  <c r="Y367" s="1"/>
  <c r="Y368" s="1"/>
  <c r="Y369" s="1"/>
  <c r="Y370" s="1"/>
  <c r="Y371" s="1"/>
  <c r="Y372" s="1"/>
  <c r="Y373" s="1"/>
  <c r="Y374" s="1"/>
  <c r="Y375" s="1"/>
  <c r="Y376" s="1"/>
  <c r="Y377" s="1"/>
  <c r="Y378" s="1"/>
  <c r="Y379" s="1"/>
  <c r="Y380" s="1"/>
  <c r="Y381" s="1"/>
  <c r="Y382" s="1"/>
  <c r="Y383" s="1"/>
  <c r="Y384" s="1"/>
  <c r="Y385" s="1"/>
  <c r="Y386" s="1"/>
  <c r="Y387" s="1"/>
  <c r="Y388" s="1"/>
  <c r="Y389" s="1"/>
  <c r="Y390" s="1"/>
  <c r="Y391" s="1"/>
  <c r="Y392" s="1"/>
  <c r="Y393" s="1"/>
  <c r="Y394" s="1"/>
  <c r="Y395" s="1"/>
  <c r="Y396" s="1"/>
  <c r="Y397" s="1"/>
  <c r="Y398" s="1"/>
  <c r="Y399" s="1"/>
  <c r="Y400" s="1"/>
  <c r="Y401" s="1"/>
  <c r="Y402" s="1"/>
  <c r="Y403" s="1"/>
  <c r="Y404" s="1"/>
  <c r="Y405" s="1"/>
  <c r="Y406" s="1"/>
  <c r="Y407" s="1"/>
  <c r="Y408" s="1"/>
  <c r="Y409" s="1"/>
  <c r="Y410" s="1"/>
  <c r="Y411" s="1"/>
  <c r="Y412" s="1"/>
  <c r="Y413" s="1"/>
  <c r="Y414" s="1"/>
  <c r="Y415" s="1"/>
  <c r="Y416" s="1"/>
  <c r="Y417" s="1"/>
  <c r="Y418" s="1"/>
  <c r="Y419" s="1"/>
  <c r="Y420" s="1"/>
  <c r="Y421" s="1"/>
  <c r="Y422" s="1"/>
  <c r="Y423" s="1"/>
  <c r="Y424" s="1"/>
  <c r="Y425" s="1"/>
  <c r="Y426" s="1"/>
  <c r="Y427" s="1"/>
  <c r="Y428" s="1"/>
  <c r="Y429" s="1"/>
  <c r="Y430" s="1"/>
  <c r="Y431" s="1"/>
  <c r="Y432" s="1"/>
  <c r="Y433" s="1"/>
  <c r="Y434" s="1"/>
  <c r="Y435" s="1"/>
  <c r="Y436" s="1"/>
  <c r="Y437" s="1"/>
  <c r="Y438" s="1"/>
  <c r="Y439" s="1"/>
  <c r="Y440" s="1"/>
  <c r="Y441" s="1"/>
  <c r="Y442" s="1"/>
  <c r="Y443" s="1"/>
  <c r="Y444" s="1"/>
  <c r="Y445" s="1"/>
  <c r="Y446" s="1"/>
  <c r="Y447" s="1"/>
  <c r="Y448" s="1"/>
  <c r="Y449" s="1"/>
  <c r="Y450" s="1"/>
  <c r="Y451" s="1"/>
  <c r="Y452" s="1"/>
  <c r="Y453" s="1"/>
  <c r="Y454" s="1"/>
  <c r="Y455" s="1"/>
  <c r="Y456" s="1"/>
  <c r="Y457" s="1"/>
  <c r="Y458" s="1"/>
  <c r="Y459" s="1"/>
  <c r="Y460" s="1"/>
  <c r="Y461" s="1"/>
  <c r="Y462" s="1"/>
  <c r="Y463" s="1"/>
  <c r="Y464" s="1"/>
  <c r="Y465" s="1"/>
  <c r="Y466" s="1"/>
  <c r="Y467" s="1"/>
  <c r="Y468" s="1"/>
  <c r="Y469" s="1"/>
  <c r="Y470" s="1"/>
  <c r="Y471" s="1"/>
  <c r="Y472" s="1"/>
  <c r="Y473" s="1"/>
  <c r="Y474" s="1"/>
  <c r="Y475" s="1"/>
  <c r="Y476" s="1"/>
  <c r="Y477" s="1"/>
  <c r="Y478" s="1"/>
  <c r="Y479" s="1"/>
  <c r="Y480" s="1"/>
  <c r="Y481" s="1"/>
  <c r="Y482" s="1"/>
  <c r="Y483" s="1"/>
  <c r="Y484" s="1"/>
  <c r="Y485" s="1"/>
  <c r="Y486" s="1"/>
  <c r="Y487" s="1"/>
  <c r="Y488" s="1"/>
  <c r="Y489" s="1"/>
  <c r="Y490" s="1"/>
  <c r="Y491" s="1"/>
  <c r="Y492" s="1"/>
  <c r="Y493" s="1"/>
  <c r="Y494" s="1"/>
  <c r="Y495" s="1"/>
  <c r="Y496" s="1"/>
  <c r="Y497" s="1"/>
  <c r="Y498" s="1"/>
  <c r="Y499" s="1"/>
  <c r="Y500" s="1"/>
  <c r="Y501" s="1"/>
  <c r="Y502" s="1"/>
  <c r="Y503" s="1"/>
  <c r="Y504" s="1"/>
  <c r="Y505" s="1"/>
  <c r="Y506" s="1"/>
  <c r="Y507" s="1"/>
  <c r="Y508" s="1"/>
  <c r="Y509" s="1"/>
  <c r="Y510" s="1"/>
  <c r="Y511" s="1"/>
  <c r="Y512" s="1"/>
  <c r="Y513" s="1"/>
  <c r="Y514" s="1"/>
  <c r="Y515" s="1"/>
  <c r="Y516" s="1"/>
  <c r="Y517" s="1"/>
  <c r="Y518" s="1"/>
  <c r="Y519" s="1"/>
  <c r="Y520" s="1"/>
  <c r="Y521" s="1"/>
  <c r="Y522" s="1"/>
  <c r="Y523" s="1"/>
  <c r="Y524" s="1"/>
  <c r="Y525" s="1"/>
  <c r="Y526" s="1"/>
  <c r="Y527" s="1"/>
  <c r="Y528" s="1"/>
  <c r="Y529" s="1"/>
  <c r="Y530" s="1"/>
  <c r="Y531" s="1"/>
  <c r="Y532" s="1"/>
  <c r="Y533" s="1"/>
  <c r="Y534" s="1"/>
  <c r="Y535" s="1"/>
  <c r="Y536" s="1"/>
  <c r="Y537" s="1"/>
  <c r="Y538" s="1"/>
  <c r="Y539" s="1"/>
  <c r="Y540" s="1"/>
  <c r="Y541" s="1"/>
  <c r="Y542" s="1"/>
  <c r="Y543" s="1"/>
  <c r="Y544" s="1"/>
  <c r="Y545" s="1"/>
  <c r="Y546" s="1"/>
  <c r="Y547" s="1"/>
  <c r="Y548" s="1"/>
  <c r="Y549" s="1"/>
  <c r="Y550" s="1"/>
  <c r="Y551" s="1"/>
  <c r="Y552" s="1"/>
  <c r="Y553" s="1"/>
  <c r="Y554" s="1"/>
  <c r="Y555" s="1"/>
  <c r="Y556" s="1"/>
  <c r="Y557" s="1"/>
  <c r="Y558" s="1"/>
  <c r="Y559" s="1"/>
  <c r="Y560" s="1"/>
  <c r="Y561" s="1"/>
  <c r="Y562" s="1"/>
  <c r="Y563" s="1"/>
  <c r="Y564" s="1"/>
  <c r="Y565" s="1"/>
  <c r="Y566" s="1"/>
  <c r="Y567" s="1"/>
  <c r="Y568" s="1"/>
  <c r="Y569" s="1"/>
  <c r="Y570" s="1"/>
  <c r="Y571" s="1"/>
  <c r="Y572" s="1"/>
  <c r="Y573" s="1"/>
  <c r="Y574" s="1"/>
  <c r="Y575" s="1"/>
  <c r="Y576" s="1"/>
  <c r="Y577" s="1"/>
  <c r="Y578" s="1"/>
  <c r="Y579" s="1"/>
  <c r="Y580" s="1"/>
  <c r="Y581" s="1"/>
  <c r="Y582" s="1"/>
  <c r="Y583" s="1"/>
  <c r="Y584" s="1"/>
  <c r="Y585" s="1"/>
  <c r="Y586" s="1"/>
  <c r="Y587" s="1"/>
  <c r="Y588" s="1"/>
  <c r="Y589" s="1"/>
  <c r="Y590" s="1"/>
  <c r="Y591" s="1"/>
  <c r="Y592" s="1"/>
  <c r="Y593" s="1"/>
  <c r="Y594" s="1"/>
  <c r="Y595" s="1"/>
  <c r="Y596" s="1"/>
  <c r="Y597" s="1"/>
  <c r="Y598" s="1"/>
  <c r="Y599" s="1"/>
  <c r="Y600" s="1"/>
  <c r="Y601" s="1"/>
  <c r="Y602" s="1"/>
  <c r="Y603" s="1"/>
  <c r="Y604" s="1"/>
  <c r="Y605" s="1"/>
  <c r="Y606" s="1"/>
  <c r="Y607" s="1"/>
  <c r="Y608" s="1"/>
  <c r="Y609" s="1"/>
  <c r="Y610" s="1"/>
  <c r="Y611" s="1"/>
  <c r="Y612" s="1"/>
  <c r="Y613" s="1"/>
  <c r="Y614" s="1"/>
  <c r="Y615" s="1"/>
  <c r="Y616" s="1"/>
  <c r="Y617" s="1"/>
  <c r="Y618" s="1"/>
  <c r="Y619" s="1"/>
  <c r="Y620" s="1"/>
  <c r="Y621" s="1"/>
  <c r="Y622" s="1"/>
  <c r="Y623" s="1"/>
  <c r="Y624" s="1"/>
  <c r="Y625" s="1"/>
  <c r="Y626" s="1"/>
  <c r="Y627" s="1"/>
  <c r="Y628" s="1"/>
  <c r="Y629" s="1"/>
  <c r="Y630" s="1"/>
  <c r="Y631" s="1"/>
  <c r="Y632" s="1"/>
  <c r="Y633" s="1"/>
  <c r="Y634" s="1"/>
  <c r="Y635" s="1"/>
  <c r="Y636" s="1"/>
  <c r="Y637" s="1"/>
  <c r="Y638" s="1"/>
  <c r="Y639" s="1"/>
  <c r="Y640" s="1"/>
  <c r="Y641" s="1"/>
  <c r="Y642" s="1"/>
  <c r="Y643" s="1"/>
  <c r="Y644" s="1"/>
  <c r="Y645" s="1"/>
  <c r="Y646" s="1"/>
  <c r="Y647" s="1"/>
  <c r="Y648" s="1"/>
  <c r="Y649" s="1"/>
  <c r="Y650" s="1"/>
  <c r="Y651" s="1"/>
  <c r="Y652" s="1"/>
  <c r="Y653" s="1"/>
  <c r="Y654" s="1"/>
  <c r="Y655" s="1"/>
  <c r="Y656" s="1"/>
  <c r="Y657" s="1"/>
  <c r="Y658" s="1"/>
  <c r="Y659" s="1"/>
  <c r="Y660" s="1"/>
  <c r="Y661" s="1"/>
  <c r="Y662" s="1"/>
  <c r="Y663" s="1"/>
  <c r="Y664" s="1"/>
  <c r="Y665" s="1"/>
  <c r="Y666" s="1"/>
  <c r="Y667" s="1"/>
  <c r="Y668" s="1"/>
  <c r="Y669" s="1"/>
  <c r="Y670" s="1"/>
  <c r="Y671" s="1"/>
  <c r="Y672" s="1"/>
  <c r="Y673" s="1"/>
  <c r="Y674" s="1"/>
  <c r="Y675" s="1"/>
  <c r="Y676" s="1"/>
  <c r="Y677" s="1"/>
  <c r="Y678" s="1"/>
  <c r="Y679" s="1"/>
  <c r="Y680" s="1"/>
  <c r="Y681" s="1"/>
  <c r="Y682" s="1"/>
  <c r="Y683" s="1"/>
  <c r="Y684" s="1"/>
  <c r="Y685" s="1"/>
  <c r="Y686" s="1"/>
  <c r="Y687" s="1"/>
  <c r="Y688" s="1"/>
  <c r="Y689" s="1"/>
  <c r="Y690" s="1"/>
  <c r="Y691" s="1"/>
  <c r="Y692" s="1"/>
  <c r="Y693" s="1"/>
  <c r="Y694" s="1"/>
  <c r="Y695" s="1"/>
  <c r="Y696" s="1"/>
  <c r="Y697" s="1"/>
  <c r="Y698" s="1"/>
  <c r="Y699" s="1"/>
  <c r="Y700" s="1"/>
  <c r="Y701" s="1"/>
  <c r="Y702" s="1"/>
  <c r="Y703" s="1"/>
  <c r="Y704" s="1"/>
  <c r="Y705" s="1"/>
  <c r="Y706" s="1"/>
  <c r="Y707" s="1"/>
  <c r="Y708" s="1"/>
  <c r="Y709" s="1"/>
  <c r="Y710" s="1"/>
  <c r="Y711" s="1"/>
  <c r="Y712" s="1"/>
  <c r="Y713" s="1"/>
  <c r="Y714" s="1"/>
  <c r="Y715" s="1"/>
  <c r="Y716" s="1"/>
  <c r="Y717" s="1"/>
  <c r="Y718" s="1"/>
  <c r="Y719" s="1"/>
  <c r="Y720" s="1"/>
  <c r="Y721" s="1"/>
  <c r="Y722" s="1"/>
  <c r="Y723" s="1"/>
  <c r="Y724" s="1"/>
  <c r="Y725" s="1"/>
  <c r="Y726" s="1"/>
  <c r="Y727" s="1"/>
  <c r="Y728" s="1"/>
  <c r="Y729" s="1"/>
  <c r="Y730" s="1"/>
  <c r="Y731" s="1"/>
  <c r="Y732" s="1"/>
  <c r="Y733" s="1"/>
  <c r="Y734" s="1"/>
  <c r="Y735" s="1"/>
  <c r="Y736" s="1"/>
  <c r="Y737" s="1"/>
  <c r="Y738" s="1"/>
  <c r="Y739" s="1"/>
  <c r="Y740" s="1"/>
  <c r="Y741" s="1"/>
  <c r="Y742" s="1"/>
  <c r="Y743" s="1"/>
  <c r="Y744" s="1"/>
  <c r="Y745" s="1"/>
  <c r="Y746" s="1"/>
  <c r="Y747" s="1"/>
  <c r="Y748" s="1"/>
  <c r="Y749" s="1"/>
  <c r="Y750" s="1"/>
  <c r="Y751" s="1"/>
  <c r="Y752" s="1"/>
  <c r="Y753" s="1"/>
  <c r="Y754" s="1"/>
  <c r="Y755" s="1"/>
  <c r="Y756" s="1"/>
  <c r="Y757" s="1"/>
  <c r="Y758" s="1"/>
  <c r="Y759" s="1"/>
  <c r="Y760" s="1"/>
  <c r="Y761" s="1"/>
  <c r="Y762" s="1"/>
  <c r="Y763" s="1"/>
  <c r="Y764" s="1"/>
  <c r="Y765" s="1"/>
  <c r="Y766" s="1"/>
  <c r="Y767" s="1"/>
  <c r="Y768" s="1"/>
  <c r="Y769" s="1"/>
  <c r="Y770" s="1"/>
  <c r="Y771" s="1"/>
  <c r="Y772" s="1"/>
  <c r="Y773" s="1"/>
  <c r="Y774" s="1"/>
  <c r="Y775" s="1"/>
  <c r="Y776" s="1"/>
  <c r="Y777" s="1"/>
  <c r="Y778" s="1"/>
  <c r="Y779" s="1"/>
  <c r="Y780" s="1"/>
  <c r="Y781" s="1"/>
  <c r="Y782" s="1"/>
  <c r="Y783" s="1"/>
  <c r="Y784" s="1"/>
  <c r="Y785" s="1"/>
  <c r="Y786" s="1"/>
  <c r="Y787" s="1"/>
  <c r="Y788" s="1"/>
  <c r="Y789" s="1"/>
  <c r="Y790" s="1"/>
  <c r="Y791" s="1"/>
  <c r="Y792" s="1"/>
  <c r="Y793" s="1"/>
  <c r="Y794" s="1"/>
  <c r="Y795" s="1"/>
  <c r="Y796" s="1"/>
  <c r="Y797" s="1"/>
  <c r="Y798" s="1"/>
  <c r="Y799" s="1"/>
  <c r="Y800" s="1"/>
  <c r="Y801" s="1"/>
  <c r="Y802" s="1"/>
  <c r="Y803" s="1"/>
  <c r="Y804" s="1"/>
  <c r="Y805" s="1"/>
  <c r="Y806" s="1"/>
  <c r="Y807" s="1"/>
  <c r="Y808" s="1"/>
  <c r="Y809" s="1"/>
  <c r="Y810" s="1"/>
  <c r="Y811" s="1"/>
  <c r="Y812" s="1"/>
  <c r="Y813" s="1"/>
  <c r="Y814" s="1"/>
  <c r="Y815" s="1"/>
  <c r="Y816" s="1"/>
  <c r="Y817" s="1"/>
  <c r="Y818" s="1"/>
  <c r="Y819" s="1"/>
  <c r="Y820" s="1"/>
  <c r="Y821" s="1"/>
  <c r="Y822" s="1"/>
  <c r="Y823" s="1"/>
  <c r="Y824" s="1"/>
  <c r="Y825" s="1"/>
  <c r="Y826" s="1"/>
  <c r="Y827" s="1"/>
  <c r="Y828" s="1"/>
  <c r="Y829" s="1"/>
  <c r="Y830" s="1"/>
  <c r="Y831" s="1"/>
  <c r="Y832" s="1"/>
  <c r="Y833" s="1"/>
  <c r="Y834" s="1"/>
  <c r="Y835" s="1"/>
  <c r="Y836" s="1"/>
  <c r="Y837" s="1"/>
  <c r="Y838" s="1"/>
  <c r="Y839" s="1"/>
  <c r="Y840" s="1"/>
  <c r="Y841" s="1"/>
  <c r="Y842" s="1"/>
  <c r="Y843" s="1"/>
  <c r="Y844" s="1"/>
  <c r="Y845" s="1"/>
  <c r="Y846" s="1"/>
  <c r="Y847" s="1"/>
  <c r="Y848" s="1"/>
  <c r="Y849" s="1"/>
  <c r="Y850" s="1"/>
  <c r="Y851" s="1"/>
  <c r="Y852" s="1"/>
  <c r="Y853" s="1"/>
  <c r="Y854" s="1"/>
  <c r="Y855" s="1"/>
  <c r="Y856" s="1"/>
  <c r="Y857" s="1"/>
  <c r="Y858" s="1"/>
  <c r="Y859" s="1"/>
  <c r="Y860" s="1"/>
  <c r="Y861" s="1"/>
  <c r="Y862" s="1"/>
  <c r="Y863" s="1"/>
  <c r="Y864" s="1"/>
  <c r="Y865" s="1"/>
  <c r="Y866" s="1"/>
  <c r="Y867" s="1"/>
  <c r="Y868" s="1"/>
  <c r="Y869" s="1"/>
  <c r="Y870" s="1"/>
  <c r="Y871" s="1"/>
  <c r="Y872" s="1"/>
  <c r="Y873" s="1"/>
  <c r="Y874" s="1"/>
  <c r="Y875" s="1"/>
  <c r="Y876" s="1"/>
  <c r="Y877" s="1"/>
  <c r="Y878" s="1"/>
  <c r="Y879" s="1"/>
  <c r="Y880" s="1"/>
  <c r="Y881" s="1"/>
  <c r="Y882" s="1"/>
  <c r="Y883" s="1"/>
  <c r="Y884" s="1"/>
  <c r="Y885" s="1"/>
  <c r="Y886" s="1"/>
  <c r="Y887" s="1"/>
  <c r="Y888" s="1"/>
  <c r="Y889" s="1"/>
  <c r="Y890" s="1"/>
  <c r="Y891" s="1"/>
  <c r="Y892" s="1"/>
  <c r="Y893" s="1"/>
  <c r="Y894" s="1"/>
  <c r="Y895" s="1"/>
  <c r="Y896" s="1"/>
  <c r="Y897" s="1"/>
  <c r="Y898" s="1"/>
  <c r="Y899" s="1"/>
  <c r="Y900" s="1"/>
  <c r="Y901" s="1"/>
  <c r="Y902" s="1"/>
  <c r="Y903" s="1"/>
  <c r="Y904" s="1"/>
  <c r="Y905" s="1"/>
  <c r="Y906" s="1"/>
  <c r="Y907" s="1"/>
  <c r="Y908" s="1"/>
  <c r="Y909" s="1"/>
  <c r="Y910" s="1"/>
  <c r="Y911" s="1"/>
  <c r="Y912" s="1"/>
  <c r="Y913" s="1"/>
  <c r="Y914" s="1"/>
  <c r="Y915" s="1"/>
  <c r="Y916" s="1"/>
  <c r="Y917" s="1"/>
  <c r="Y918" s="1"/>
  <c r="Y919" s="1"/>
  <c r="Y920" s="1"/>
  <c r="Y921" s="1"/>
  <c r="Y922" s="1"/>
  <c r="Y923" s="1"/>
  <c r="Y924" s="1"/>
  <c r="Y925" s="1"/>
  <c r="Y926" s="1"/>
  <c r="Y927" s="1"/>
  <c r="Y928" s="1"/>
  <c r="Y929" s="1"/>
  <c r="Y930" s="1"/>
  <c r="Y931" s="1"/>
  <c r="Y932" s="1"/>
  <c r="Y933" s="1"/>
  <c r="Y934" s="1"/>
  <c r="Y935" s="1"/>
  <c r="Y936" s="1"/>
  <c r="Y937" s="1"/>
  <c r="Y938" s="1"/>
  <c r="Y939" s="1"/>
  <c r="Y940" s="1"/>
  <c r="Y941" s="1"/>
  <c r="Y942" s="1"/>
  <c r="Y943" s="1"/>
  <c r="Y944" s="1"/>
  <c r="Y945" s="1"/>
  <c r="Y946" s="1"/>
  <c r="Y947" s="1"/>
  <c r="Y948" s="1"/>
  <c r="Y949" s="1"/>
  <c r="Y950" s="1"/>
  <c r="Y951" s="1"/>
  <c r="Y952" s="1"/>
  <c r="Y953" s="1"/>
  <c r="Y954" s="1"/>
  <c r="Y955" s="1"/>
  <c r="Y956" s="1"/>
  <c r="Y957" s="1"/>
  <c r="Y958" s="1"/>
  <c r="Y959" s="1"/>
  <c r="Y960" s="1"/>
  <c r="Y961" s="1"/>
  <c r="Y962" s="1"/>
  <c r="Y963" s="1"/>
  <c r="Y964" s="1"/>
  <c r="Y965" s="1"/>
  <c r="Y966" s="1"/>
  <c r="Y967" s="1"/>
  <c r="Y968" s="1"/>
  <c r="Y969" s="1"/>
  <c r="Y970" s="1"/>
  <c r="Y971" s="1"/>
  <c r="Y972" s="1"/>
  <c r="Y973" s="1"/>
  <c r="Y974" s="1"/>
  <c r="Y975" s="1"/>
  <c r="Y976" s="1"/>
  <c r="Y977" s="1"/>
  <c r="Y978" s="1"/>
  <c r="Y979" s="1"/>
  <c r="Y980" s="1"/>
  <c r="Y981" s="1"/>
  <c r="Y982" s="1"/>
  <c r="Y983" s="1"/>
  <c r="Y984" s="1"/>
  <c r="Y985" s="1"/>
  <c r="Y986" s="1"/>
  <c r="Y987" s="1"/>
  <c r="Y988" s="1"/>
  <c r="Y989" s="1"/>
  <c r="Y990" s="1"/>
  <c r="Y991" s="1"/>
  <c r="Y992" s="1"/>
  <c r="Y993" s="1"/>
  <c r="Y994" s="1"/>
  <c r="S12" l="1"/>
  <c r="Q12"/>
  <c r="U12"/>
  <c r="T995"/>
  <c r="T996"/>
  <c r="I6" s="1"/>
  <c r="T997"/>
  <c r="I7" s="1"/>
  <c r="I8" l="1"/>
  <c r="P4" s="1"/>
  <c r="I5"/>
  <c r="D6" s="1"/>
  <c r="D2" s="1"/>
</calcChain>
</file>

<file path=xl/sharedStrings.xml><?xml version="1.0" encoding="utf-8"?>
<sst xmlns="http://schemas.openxmlformats.org/spreadsheetml/2006/main" count="183" uniqueCount="159">
  <si>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</si>
  <si>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</si>
  <si>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</si>
  <si>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</si>
  <si>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</si>
  <si>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</si>
  <si>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</si>
  <si>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</si>
  <si>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</si>
  <si>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</si>
  <si>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</si>
  <si>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</si>
  <si>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</si>
  <si>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</si>
  <si>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</si>
  <si>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</si>
  <si>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</si>
  <si>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</si>
  <si>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</si>
  <si>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</si>
  <si>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</si>
  <si>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</si>
  <si>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</si>
  <si>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</si>
  <si>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</si>
  <si>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</si>
  <si>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</si>
  <si>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</si>
  <si>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</si>
  <si>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</si>
  <si>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</si>
  <si>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</si>
  <si>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</si>
  <si>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</si>
  <si>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</si>
  <si>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</si>
  <si>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</si>
  <si>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</si>
  <si>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</si>
  <si>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</si>
  <si>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</si>
  <si>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</si>
  <si>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</si>
  <si>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</si>
  <si>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</si>
  <si>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</si>
  <si>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</si>
  <si>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</si>
  <si>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</si>
  <si>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</si>
  <si>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</si>
  <si>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</si>
  <si>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</si>
  <si>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</si>
  <si>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</si>
  <si>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</si>
  <si>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</si>
  <si>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</si>
  <si>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</si>
  <si>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</si>
  <si>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</si>
  <si>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</si>
  <si>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</si>
  <si>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</si>
  <si>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</si>
  <si>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</si>
  <si>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</si>
  <si>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</si>
  <si>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</si>
  <si>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</si>
  <si>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</si>
  <si>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</si>
  <si>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</si>
  <si>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</si>
  <si>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</si>
  <si>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</si>
  <si>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</si>
  <si>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</si>
  <si>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</si>
  <si>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</si>
  <si>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</si>
  <si>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</si>
  <si>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</si>
  <si>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</si>
  <si>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</si>
  <si>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</si>
  <si>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</si>
  <si>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</si>
  <si>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</si>
  <si>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</si>
  <si>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</si>
  <si>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</si>
  <si>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</si>
  <si>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</si>
  <si>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</si>
  <si>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</si>
  <si>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</si>
  <si>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</si>
  <si>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</si>
  <si>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</si>
  <si>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</si>
  <si>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</si>
  <si>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</si>
  <si>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</si>
  <si>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</si>
  <si>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</si>
  <si>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</si>
  <si>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</si>
  <si>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</si>
  <si>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</si>
  <si>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</si>
  <si>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</si>
  <si>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</si>
  <si>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</si>
  <si>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</si>
  <si>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Pips / Day</t>
  </si>
  <si>
    <t>$ / Day</t>
  </si>
  <si>
    <t>Milestones</t>
  </si>
  <si>
    <t>Largest Profit Pips</t>
    <phoneticPr fontId="1" type="noConversion"/>
  </si>
  <si>
    <t>Largest Loss Pips</t>
    <phoneticPr fontId="1" type="noConversion"/>
  </si>
  <si>
    <t xml:space="preserve">Date/Time Open  </t>
  </si>
  <si>
    <t>Date/Time Close</t>
  </si>
  <si>
    <t>Take Profits</t>
  </si>
  <si>
    <t>Capital Balance</t>
  </si>
  <si>
    <t>Pair</t>
  </si>
  <si>
    <r>
      <t>Tip:</t>
    </r>
    <r>
      <rPr>
        <b/>
        <sz val="10"/>
        <color indexed="18"/>
        <rFont val="Arial"/>
        <family val="2"/>
      </rPr>
      <t xml:space="preserve"> when you deposit or withdraw funds take a record on this log</t>
    </r>
  </si>
  <si>
    <t>GBPUSD</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</si>
  <si>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</si>
  <si>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</si>
  <si>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</si>
  <si>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</si>
  <si>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</si>
  <si>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</si>
  <si>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</si>
  <si>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</si>
  <si>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</si>
  <si>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累计犯错次数</t>
  </si>
  <si>
    <t>智慧宝石</t>
  </si>
  <si>
    <t>Pips S/L</t>
  </si>
  <si>
    <t>财经日历</t>
  </si>
  <si>
    <t>定法！定心！善输！小错！</t>
  </si>
  <si>
    <t>下降趋势</t>
  </si>
  <si>
    <t>战胜心魔</t>
  </si>
  <si>
    <t>Trend</t>
  </si>
  <si>
    <t>上升趋势</t>
  </si>
  <si>
    <t>横向整理</t>
  </si>
  <si>
    <t>操作总结</t>
  </si>
  <si>
    <t/>
  </si>
  <si>
    <t>M15 Trend</t>
  </si>
  <si>
    <t>% of Capital at Risk</t>
  </si>
  <si>
    <t xml:space="preserve">Rate of Return </t>
  </si>
  <si>
    <t>Lot</t>
  </si>
  <si>
    <t>Oanada  #</t>
  </si>
  <si>
    <t>Trade #</t>
  </si>
  <si>
    <r>
      <rPr>
        <b/>
        <sz val="10"/>
        <rFont val="宋体"/>
        <charset val="134"/>
      </rPr>
      <t>求和项</t>
    </r>
    <r>
      <rPr>
        <b/>
        <sz val="10"/>
        <rFont val="Arial"/>
        <family val="2"/>
      </rPr>
      <t>:Actual Profit/Loss</t>
    </r>
  </si>
  <si>
    <t>Days</t>
    <phoneticPr fontId="1" type="noConversion"/>
  </si>
  <si>
    <t>纪律：均线之上不做空，均线之下不做多；120均线等入场点，240均线辨别趋势。</t>
    <phoneticPr fontId="1" type="noConversion"/>
  </si>
  <si>
    <t>GBPJPY</t>
    <phoneticPr fontId="0" type="noConversion"/>
  </si>
  <si>
    <t>USDJPY</t>
    <phoneticPr fontId="0" type="noConversion"/>
  </si>
</sst>
</file>

<file path=xl/styles.xml><?xml version="1.0" encoding="utf-8"?>
<styleSheet xmlns="http://schemas.openxmlformats.org/spreadsheetml/2006/main">
  <numFmts count="15">
    <numFmt numFmtId="176" formatCode="m/d/yy;@"/>
    <numFmt numFmtId="177" formatCode="\$#,##0.00;\-\$#,##0.00"/>
    <numFmt numFmtId="178" formatCode="0.00_ "/>
    <numFmt numFmtId="179" formatCode="0.000%"/>
    <numFmt numFmtId="180" formatCode="0.0_ "/>
    <numFmt numFmtId="181" formatCode="0.0_ ;[Red]\-0.0\ "/>
    <numFmt numFmtId="182" formatCode="\$#,##0.00;[Red]\-\$#,##0.00"/>
    <numFmt numFmtId="183" formatCode="#,##0.0_ ;[Red]\-#,##0.0\ "/>
    <numFmt numFmtId="184" formatCode="&quot;$&quot;#,##0.00"/>
    <numFmt numFmtId="185" formatCode="0.00000"/>
    <numFmt numFmtId="186" formatCode="#,##0.00_ ;[Red]\-#,##0.00\ "/>
    <numFmt numFmtId="187" formatCode="0.0"/>
    <numFmt numFmtId="188" formatCode="[$-409]mmmm\ d\,\ yyyy;@"/>
    <numFmt numFmtId="189" formatCode="[$-1009]mmmm\ d\,\ yyyy;@"/>
    <numFmt numFmtId="190" formatCode="[$-409]m/d/yy\ h:mm\ AM/PM;@"/>
  </numFmts>
  <fonts count="51">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sz val="9"/>
      <color indexed="12"/>
      <name val="宋体"/>
      <charset val="134"/>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
      <b/>
      <sz val="10"/>
      <color indexed="9"/>
      <name val="Arial"/>
    </font>
    <font>
      <b/>
      <sz val="10"/>
      <name val="宋体"/>
      <charset val="134"/>
    </font>
    <font>
      <sz val="9"/>
      <color theme="9" tint="-0.499984740745262"/>
      <name val="宋体"/>
      <family val="3"/>
      <charset val="134"/>
    </font>
  </fonts>
  <fills count="15">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CCCCFF"/>
        <bgColor indexed="64"/>
      </patternFill>
    </fill>
    <fill>
      <patternFill patternType="solid">
        <fgColor rgb="FF66CCFF"/>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277">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79" fontId="3" fillId="3" borderId="0" xfId="0" applyNumberFormat="1" applyFont="1" applyFill="1" applyAlignment="1">
      <alignment horizontal="center" wrapText="1"/>
    </xf>
    <xf numFmtId="0" fontId="3" fillId="4" borderId="0" xfId="0" applyFont="1" applyFill="1" applyAlignment="1">
      <alignment horizontal="center"/>
    </xf>
    <xf numFmtId="176" fontId="3" fillId="4" borderId="0" xfId="0" applyNumberFormat="1" applyFont="1" applyFill="1" applyAlignment="1">
      <alignment horizontal="center"/>
    </xf>
    <xf numFmtId="0" fontId="7" fillId="5" borderId="0" xfId="0" applyFont="1" applyFill="1" applyAlignment="1">
      <alignment horizontal="left"/>
    </xf>
    <xf numFmtId="176"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81" fontId="3" fillId="3" borderId="0" xfId="0" applyNumberFormat="1" applyFont="1" applyFill="1" applyAlignment="1">
      <alignment horizontal="center" wrapText="1"/>
    </xf>
    <xf numFmtId="182" fontId="3" fillId="3" borderId="0" xfId="0" applyNumberFormat="1" applyFont="1" applyFill="1" applyAlignment="1">
      <alignment horizontal="center" wrapText="1"/>
    </xf>
    <xf numFmtId="0" fontId="4" fillId="5" borderId="0" xfId="0" applyFont="1" applyFill="1" applyAlignment="1">
      <alignment horizontal="left"/>
    </xf>
    <xf numFmtId="176" fontId="11" fillId="5" borderId="0" xfId="0" applyNumberFormat="1" applyFont="1" applyFill="1" applyAlignment="1">
      <alignment horizontal="left"/>
    </xf>
    <xf numFmtId="182" fontId="7" fillId="5" borderId="0" xfId="0" applyNumberFormat="1" applyFont="1" applyFill="1" applyAlignment="1">
      <alignment horizontal="left"/>
    </xf>
    <xf numFmtId="0" fontId="11" fillId="5" borderId="0" xfId="0" applyFont="1" applyFill="1" applyAlignment="1">
      <alignment horizontal="left" vertical="center"/>
    </xf>
    <xf numFmtId="177" fontId="11" fillId="5" borderId="0" xfId="0" applyNumberFormat="1" applyFont="1" applyFill="1" applyAlignment="1">
      <alignment horizontal="left" vertical="center"/>
    </xf>
    <xf numFmtId="179" fontId="11" fillId="5" borderId="0" xfId="0" applyNumberFormat="1" applyFont="1" applyFill="1" applyAlignment="1">
      <alignment horizontal="left"/>
    </xf>
    <xf numFmtId="177" fontId="7" fillId="5" borderId="0" xfId="0" applyNumberFormat="1" applyFont="1" applyFill="1" applyAlignment="1">
      <alignment horizontal="left"/>
    </xf>
    <xf numFmtId="178" fontId="7" fillId="5" borderId="0" xfId="0" applyNumberFormat="1" applyFont="1" applyFill="1" applyAlignment="1">
      <alignment horizontal="left"/>
    </xf>
    <xf numFmtId="179" fontId="7" fillId="5" borderId="0" xfId="0" applyNumberFormat="1" applyFont="1" applyFill="1" applyAlignment="1">
      <alignment horizontal="left"/>
    </xf>
    <xf numFmtId="0" fontId="11" fillId="5" borderId="0" xfId="0" applyNumberFormat="1" applyFont="1" applyFill="1" applyAlignment="1">
      <alignment horizontal="left" vertical="center"/>
    </xf>
    <xf numFmtId="180" fontId="11" fillId="5" borderId="0" xfId="0" applyNumberFormat="1" applyFont="1" applyFill="1" applyAlignment="1">
      <alignment horizontal="right" vertical="center"/>
    </xf>
    <xf numFmtId="0" fontId="11" fillId="5" borderId="0" xfId="0" applyFont="1" applyFill="1" applyAlignment="1">
      <alignment horizontal="right" vertical="center"/>
    </xf>
    <xf numFmtId="181"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79"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81" fontId="7" fillId="5" borderId="0" xfId="0" applyNumberFormat="1" applyFont="1" applyFill="1" applyAlignment="1">
      <alignment horizontal="left"/>
    </xf>
    <xf numFmtId="177"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82" fontId="3" fillId="2" borderId="0" xfId="0" applyNumberFormat="1" applyFont="1" applyFill="1" applyAlignment="1">
      <alignment horizontal="center" wrapText="1"/>
    </xf>
    <xf numFmtId="182"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82" fontId="6" fillId="8" borderId="0" xfId="0" applyNumberFormat="1" applyFont="1" applyFill="1" applyAlignment="1">
      <alignment horizontal="center"/>
    </xf>
    <xf numFmtId="181" fontId="6" fillId="8" borderId="0" xfId="0" applyNumberFormat="1" applyFont="1" applyFill="1" applyAlignment="1">
      <alignment horizontal="center"/>
    </xf>
    <xf numFmtId="179" fontId="6" fillId="8" borderId="0" xfId="0" applyNumberFormat="1" applyFont="1" applyFill="1" applyAlignment="1">
      <alignment horizontal="center"/>
    </xf>
    <xf numFmtId="182" fontId="6" fillId="5" borderId="0" xfId="0" applyNumberFormat="1" applyFont="1" applyFill="1" applyAlignment="1">
      <alignment horizontal="center"/>
    </xf>
    <xf numFmtId="181" fontId="6" fillId="5" borderId="0" xfId="0" applyNumberFormat="1" applyFont="1" applyFill="1" applyAlignment="1">
      <alignment horizontal="center"/>
    </xf>
    <xf numFmtId="179"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76"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82"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77"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76"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77" fontId="7" fillId="5" borderId="0" xfId="0" applyNumberFormat="1" applyFont="1" applyFill="1" applyAlignment="1" applyProtection="1">
      <alignment horizontal="left"/>
    </xf>
    <xf numFmtId="179" fontId="7" fillId="5" borderId="0" xfId="0" applyNumberFormat="1" applyFont="1" applyFill="1" applyAlignment="1" applyProtection="1">
      <alignment horizontal="left"/>
    </xf>
    <xf numFmtId="178" fontId="7" fillId="5" borderId="0" xfId="0" applyNumberFormat="1" applyFont="1" applyFill="1" applyAlignment="1" applyProtection="1">
      <alignment horizontal="left"/>
    </xf>
    <xf numFmtId="182" fontId="7" fillId="5" borderId="0" xfId="0" applyNumberFormat="1" applyFont="1" applyFill="1" applyAlignment="1" applyProtection="1">
      <alignment horizontal="left"/>
    </xf>
    <xf numFmtId="181"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77"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77" fontId="7" fillId="5" borderId="0" xfId="0" applyNumberFormat="1" applyFont="1" applyFill="1" applyAlignment="1" applyProtection="1">
      <alignment horizontal="left" vertical="center" wrapText="1"/>
    </xf>
    <xf numFmtId="177"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81" fontId="11" fillId="5" borderId="0" xfId="0" applyNumberFormat="1" applyFont="1" applyFill="1" applyAlignment="1" applyProtection="1">
      <alignment horizontal="center" vertical="center"/>
    </xf>
    <xf numFmtId="179" fontId="11" fillId="5" borderId="0" xfId="0" applyNumberFormat="1" applyFont="1" applyFill="1" applyAlignment="1" applyProtection="1">
      <alignment horizontal="right"/>
    </xf>
    <xf numFmtId="179" fontId="11" fillId="5" borderId="0" xfId="0" applyNumberFormat="1" applyFont="1" applyFill="1" applyAlignment="1" applyProtection="1">
      <alignment horizontal="left"/>
    </xf>
    <xf numFmtId="177" fontId="11" fillId="5" borderId="0" xfId="0" applyNumberFormat="1" applyFont="1" applyFill="1" applyAlignment="1" applyProtection="1">
      <alignment horizontal="left"/>
    </xf>
    <xf numFmtId="176" fontId="7" fillId="9" borderId="0" xfId="0" applyNumberFormat="1" applyFont="1" applyFill="1" applyBorder="1" applyAlignment="1" applyProtection="1">
      <alignment horizontal="left" vertical="center"/>
    </xf>
    <xf numFmtId="177" fontId="11" fillId="5" borderId="0" xfId="0" applyNumberFormat="1" applyFont="1" applyFill="1" applyAlignment="1" applyProtection="1">
      <alignment horizontal="left" vertical="center" wrapText="1"/>
    </xf>
    <xf numFmtId="176"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76"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77"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76"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77" fontId="2" fillId="3" borderId="0" xfId="0" applyNumberFormat="1" applyFont="1" applyFill="1" applyAlignment="1" applyProtection="1">
      <alignment horizontal="right"/>
    </xf>
    <xf numFmtId="179" fontId="2" fillId="3" borderId="0" xfId="0" applyNumberFormat="1" applyFont="1" applyFill="1" applyAlignment="1" applyProtection="1">
      <alignment horizontal="right"/>
    </xf>
    <xf numFmtId="177" fontId="2" fillId="3" borderId="0" xfId="0" applyNumberFormat="1" applyFont="1" applyFill="1" applyAlignment="1" applyProtection="1">
      <alignment horizontal="center"/>
    </xf>
    <xf numFmtId="178" fontId="2" fillId="3" borderId="0" xfId="0" applyNumberFormat="1" applyFont="1" applyFill="1" applyAlignment="1" applyProtection="1">
      <alignment horizontal="center"/>
    </xf>
    <xf numFmtId="182" fontId="2" fillId="3" borderId="0" xfId="0" applyNumberFormat="1" applyFont="1" applyFill="1" applyAlignment="1" applyProtection="1">
      <alignment horizontal="right"/>
    </xf>
    <xf numFmtId="0" fontId="2" fillId="3" borderId="0" xfId="0" applyFont="1" applyFill="1" applyAlignment="1" applyProtection="1">
      <alignment horizontal="right"/>
    </xf>
    <xf numFmtId="181"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76"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77"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76" fontId="3" fillId="2" borderId="0" xfId="0" applyNumberFormat="1" applyFont="1" applyFill="1" applyAlignment="1" applyProtection="1">
      <alignment horizontal="center"/>
    </xf>
    <xf numFmtId="177" fontId="3" fillId="3" borderId="0" xfId="0" applyNumberFormat="1" applyFont="1" applyFill="1" applyAlignment="1" applyProtection="1">
      <alignment horizontal="center" wrapText="1"/>
    </xf>
    <xf numFmtId="179" fontId="3" fillId="3" borderId="0" xfId="0" applyNumberFormat="1" applyFont="1" applyFill="1" applyAlignment="1" applyProtection="1">
      <alignment horizontal="center" wrapText="1"/>
    </xf>
    <xf numFmtId="178" fontId="3" fillId="3" borderId="0" xfId="0" applyNumberFormat="1" applyFont="1" applyFill="1" applyAlignment="1" applyProtection="1">
      <alignment horizontal="center" wrapText="1"/>
    </xf>
    <xf numFmtId="182"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81" fontId="3" fillId="3" borderId="0" xfId="0" applyNumberFormat="1" applyFont="1" applyFill="1" applyAlignment="1" applyProtection="1">
      <alignment horizontal="center" wrapText="1"/>
    </xf>
    <xf numFmtId="177"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76" fontId="3" fillId="4" borderId="0" xfId="0" applyNumberFormat="1" applyFont="1" applyFill="1" applyAlignment="1" applyProtection="1">
      <alignment horizontal="center"/>
    </xf>
    <xf numFmtId="0" fontId="3" fillId="4" borderId="0" xfId="0" applyFont="1" applyFill="1" applyAlignment="1" applyProtection="1">
      <alignment horizontal="center"/>
    </xf>
    <xf numFmtId="177"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77" fontId="6" fillId="8" borderId="0" xfId="0" applyNumberFormat="1" applyFont="1" applyFill="1" applyAlignment="1" applyProtection="1">
      <alignment horizontal="right"/>
    </xf>
    <xf numFmtId="179" fontId="6" fillId="8" borderId="0" xfId="0" applyNumberFormat="1" applyFont="1" applyFill="1" applyAlignment="1" applyProtection="1">
      <alignment horizontal="right"/>
    </xf>
    <xf numFmtId="178" fontId="6" fillId="8" borderId="0" xfId="0" applyNumberFormat="1" applyFont="1" applyFill="1" applyAlignment="1" applyProtection="1">
      <alignment horizontal="right"/>
    </xf>
    <xf numFmtId="182" fontId="6" fillId="8" borderId="0" xfId="0" applyNumberFormat="1" applyFont="1" applyFill="1" applyAlignment="1" applyProtection="1">
      <alignment horizontal="right"/>
    </xf>
    <xf numFmtId="0" fontId="6" fillId="8" borderId="0" xfId="0" applyFont="1" applyFill="1" applyAlignment="1" applyProtection="1">
      <alignment horizontal="right"/>
    </xf>
    <xf numFmtId="181"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76"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77"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77" fontId="6" fillId="10" borderId="0" xfId="0" applyNumberFormat="1" applyFont="1" applyFill="1" applyAlignment="1" applyProtection="1">
      <alignment horizontal="right"/>
    </xf>
    <xf numFmtId="179" fontId="6" fillId="10" borderId="0" xfId="0" applyNumberFormat="1" applyFont="1" applyFill="1" applyAlignment="1" applyProtection="1">
      <alignment horizontal="right"/>
    </xf>
    <xf numFmtId="178" fontId="6" fillId="10" borderId="0" xfId="0" applyNumberFormat="1" applyFont="1" applyFill="1" applyAlignment="1" applyProtection="1">
      <alignment horizontal="right"/>
    </xf>
    <xf numFmtId="182" fontId="6" fillId="10" borderId="0" xfId="0" applyNumberFormat="1" applyFont="1" applyFill="1" applyAlignment="1" applyProtection="1">
      <alignment horizontal="right"/>
    </xf>
    <xf numFmtId="0" fontId="6" fillId="10" borderId="0" xfId="0" applyFont="1" applyFill="1" applyAlignment="1" applyProtection="1">
      <alignment horizontal="right"/>
    </xf>
    <xf numFmtId="181"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76"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84" fontId="13" fillId="11" borderId="1" xfId="0" applyNumberFormat="1" applyFont="1" applyFill="1" applyBorder="1" applyAlignment="1">
      <alignment horizontal="center"/>
    </xf>
    <xf numFmtId="184" fontId="0" fillId="0" borderId="0" xfId="0" applyNumberFormat="1" applyAlignment="1">
      <alignment horizontal="center"/>
    </xf>
    <xf numFmtId="187" fontId="0" fillId="0" borderId="0" xfId="0" applyNumberFormat="1" applyAlignment="1">
      <alignment horizontal="center"/>
    </xf>
    <xf numFmtId="189" fontId="0" fillId="0" borderId="0" xfId="0" applyNumberFormat="1"/>
    <xf numFmtId="184"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86"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183" fontId="39" fillId="5" borderId="0" xfId="0" applyNumberFormat="1" applyFont="1" applyFill="1" applyAlignment="1" applyProtection="1">
      <alignment horizontal="center" vertical="center"/>
    </xf>
    <xf numFmtId="183" fontId="40" fillId="5" borderId="0" xfId="0" applyNumberFormat="1" applyFont="1" applyFill="1" applyAlignment="1" applyProtection="1">
      <alignment horizontal="center" vertical="center"/>
    </xf>
    <xf numFmtId="0" fontId="42" fillId="2" borderId="0" xfId="0" applyFont="1" applyFill="1" applyBorder="1" applyProtection="1"/>
    <xf numFmtId="0" fontId="43" fillId="5" borderId="0" xfId="0" applyNumberFormat="1" applyFont="1" applyFill="1" applyAlignment="1" applyProtection="1">
      <alignment horizontal="left"/>
    </xf>
    <xf numFmtId="0" fontId="45" fillId="5" borderId="0" xfId="1" applyFont="1" applyFill="1" applyAlignment="1" applyProtection="1">
      <alignment horizontal="left"/>
    </xf>
    <xf numFmtId="0" fontId="46" fillId="4" borderId="0" xfId="0" applyFont="1" applyFill="1" applyAlignment="1" applyProtection="1">
      <alignment horizontal="center" vertical="center"/>
    </xf>
    <xf numFmtId="2" fontId="46" fillId="4" borderId="0" xfId="0" applyNumberFormat="1" applyFont="1" applyFill="1" applyAlignment="1" applyProtection="1">
      <alignment horizontal="center"/>
    </xf>
    <xf numFmtId="177" fontId="46" fillId="4" borderId="0" xfId="0" applyNumberFormat="1" applyFont="1" applyFill="1" applyAlignment="1" applyProtection="1">
      <alignment horizontal="center" wrapText="1"/>
    </xf>
    <xf numFmtId="185" fontId="46" fillId="4" borderId="0" xfId="0" applyNumberFormat="1" applyFont="1" applyFill="1" applyAlignment="1" applyProtection="1">
      <alignment horizontal="center" wrapText="1"/>
    </xf>
    <xf numFmtId="185" fontId="46" fillId="4" borderId="0" xfId="0" applyNumberFormat="1" applyFont="1" applyFill="1" applyAlignment="1" applyProtection="1">
      <alignment horizontal="center"/>
    </xf>
    <xf numFmtId="0" fontId="46" fillId="4" borderId="0" xfId="0" applyNumberFormat="1" applyFont="1" applyFill="1" applyAlignment="1" applyProtection="1">
      <alignment horizontal="center"/>
    </xf>
    <xf numFmtId="190" fontId="46" fillId="4" borderId="0" xfId="0" applyNumberFormat="1" applyFont="1" applyFill="1" applyAlignment="1" applyProtection="1">
      <alignment horizontal="center"/>
    </xf>
    <xf numFmtId="177" fontId="4" fillId="8" borderId="0" xfId="0" applyNumberFormat="1" applyFont="1" applyFill="1" applyAlignment="1" applyProtection="1">
      <alignment horizontal="right"/>
    </xf>
    <xf numFmtId="179" fontId="4" fillId="8" borderId="0" xfId="0" applyNumberFormat="1" applyFont="1" applyFill="1" applyAlignment="1" applyProtection="1">
      <alignment horizontal="right"/>
    </xf>
    <xf numFmtId="178" fontId="4" fillId="8" borderId="0" xfId="0" applyNumberFormat="1" applyFont="1" applyFill="1" applyAlignment="1" applyProtection="1">
      <alignment horizontal="right"/>
    </xf>
    <xf numFmtId="182" fontId="4" fillId="8" borderId="0" xfId="0" applyNumberFormat="1" applyFont="1" applyFill="1" applyAlignment="1" applyProtection="1">
      <alignment horizontal="right"/>
    </xf>
    <xf numFmtId="0" fontId="4" fillId="8" borderId="0" xfId="0" applyFont="1" applyFill="1" applyAlignment="1" applyProtection="1">
      <alignment horizontal="right"/>
    </xf>
    <xf numFmtId="181"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22" fontId="46" fillId="4" borderId="0" xfId="0" applyNumberFormat="1" applyFont="1" applyFill="1" applyAlignment="1" applyProtection="1">
      <alignment horizontal="center"/>
    </xf>
    <xf numFmtId="0" fontId="16" fillId="0" borderId="0" xfId="0" applyFont="1"/>
    <xf numFmtId="0" fontId="16" fillId="0" borderId="0" xfId="0" applyFont="1" applyAlignment="1">
      <alignment horizontal="center"/>
    </xf>
    <xf numFmtId="0" fontId="47"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0" fontId="4" fillId="9" borderId="0" xfId="0" applyFont="1" applyFill="1" applyProtection="1"/>
    <xf numFmtId="180" fontId="11" fillId="5" borderId="0" xfId="0" applyNumberFormat="1" applyFont="1" applyFill="1" applyAlignment="1" applyProtection="1">
      <alignment horizontal="left" vertical="center"/>
    </xf>
    <xf numFmtId="0" fontId="48" fillId="12" borderId="0" xfId="0" applyFont="1" applyFill="1" applyBorder="1"/>
    <xf numFmtId="0" fontId="0" fillId="0" borderId="0" xfId="0" applyFont="1" applyFill="1" applyAlignment="1">
      <alignment horizontal="center"/>
    </xf>
    <xf numFmtId="187" fontId="0" fillId="0" borderId="0" xfId="0" applyNumberFormat="1" applyFont="1" applyFill="1" applyAlignment="1">
      <alignment horizontal="center"/>
    </xf>
    <xf numFmtId="184" fontId="0" fillId="0" borderId="0" xfId="0" applyNumberFormat="1" applyFont="1" applyAlignment="1">
      <alignment horizontal="center"/>
    </xf>
    <xf numFmtId="189" fontId="0" fillId="0" borderId="0" xfId="0" applyNumberFormat="1" applyFont="1"/>
    <xf numFmtId="184" fontId="0" fillId="0" borderId="0" xfId="0" applyNumberFormat="1" applyFont="1"/>
    <xf numFmtId="184" fontId="0" fillId="13" borderId="0" xfId="0" applyNumberFormat="1" applyFont="1" applyFill="1" applyAlignment="1">
      <alignment horizontal="center"/>
    </xf>
    <xf numFmtId="0" fontId="0" fillId="13" borderId="0" xfId="0" applyFont="1" applyFill="1" applyAlignment="1">
      <alignment horizontal="center"/>
    </xf>
    <xf numFmtId="187" fontId="0" fillId="13" borderId="0" xfId="0" applyNumberFormat="1" applyFont="1" applyFill="1" applyAlignment="1">
      <alignment horizontal="center"/>
    </xf>
    <xf numFmtId="188" fontId="0" fillId="13" borderId="0" xfId="0" applyNumberFormat="1" applyFont="1" applyFill="1"/>
    <xf numFmtId="184" fontId="0" fillId="13" borderId="0" xfId="0" applyNumberFormat="1" applyFont="1" applyFill="1"/>
    <xf numFmtId="0" fontId="38" fillId="14" borderId="0" xfId="0" applyFont="1" applyFill="1" applyProtection="1"/>
    <xf numFmtId="0" fontId="46" fillId="2" borderId="0" xfId="0" applyFont="1" applyFill="1" applyAlignment="1" applyProtection="1">
      <alignment horizontal="left"/>
    </xf>
    <xf numFmtId="0" fontId="3" fillId="2" borderId="0" xfId="0" applyFont="1" applyFill="1" applyBorder="1" applyAlignment="1" applyProtection="1">
      <alignment horizontal="center"/>
    </xf>
    <xf numFmtId="0" fontId="14" fillId="12" borderId="0" xfId="0" applyFont="1" applyFill="1" applyBorder="1"/>
    <xf numFmtId="0" fontId="13" fillId="5" borderId="0" xfId="0" applyFont="1" applyFill="1" applyBorder="1" applyAlignment="1">
      <alignment horizontal="right"/>
    </xf>
    <xf numFmtId="0" fontId="13" fillId="11" borderId="0" xfId="0" applyFont="1" applyFill="1" applyAlignment="1">
      <alignment horizontal="left"/>
    </xf>
    <xf numFmtId="0" fontId="16" fillId="11" borderId="0" xfId="0" applyFont="1" applyFill="1" applyAlignment="1">
      <alignment horizontal="left"/>
    </xf>
    <xf numFmtId="182" fontId="16" fillId="5" borderId="0" xfId="0" applyNumberFormat="1" applyFont="1" applyFill="1"/>
    <xf numFmtId="0" fontId="16" fillId="5" borderId="0" xfId="0" applyFont="1" applyFill="1" applyAlignment="1">
      <alignment horizontal="left"/>
    </xf>
    <xf numFmtId="0" fontId="14" fillId="12" borderId="0" xfId="0" applyFont="1" applyFill="1" applyAlignment="1">
      <alignment horizontal="left"/>
    </xf>
    <xf numFmtId="182" fontId="14" fillId="12" borderId="0" xfId="0" applyNumberFormat="1" applyFont="1" applyFill="1"/>
    <xf numFmtId="0" fontId="16" fillId="5" borderId="0" xfId="0" applyNumberFormat="1" applyFont="1" applyFill="1"/>
    <xf numFmtId="0" fontId="14" fillId="12" borderId="0" xfId="0" applyNumberFormat="1" applyFont="1" applyFill="1"/>
    <xf numFmtId="0" fontId="50" fillId="5" borderId="0" xfId="0" applyFont="1" applyFill="1" applyAlignment="1" applyProtection="1">
      <alignment horizontal="left"/>
    </xf>
    <xf numFmtId="0" fontId="11" fillId="5" borderId="0" xfId="0" applyFont="1" applyFill="1" applyAlignment="1">
      <alignment horizontal="center" vertical="center"/>
    </xf>
    <xf numFmtId="182"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82" fontId="11" fillId="5" borderId="0" xfId="0" applyNumberFormat="1" applyFont="1" applyFill="1" applyAlignment="1">
      <alignment horizontal="left" vertical="center"/>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1" fillId="9" borderId="2" xfId="0" applyFont="1" applyFill="1" applyBorder="1" applyAlignment="1" applyProtection="1">
      <alignment horizontal="left" vertical="center"/>
    </xf>
    <xf numFmtId="0" fontId="41"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82" fontId="11" fillId="5" borderId="0" xfId="0" applyNumberFormat="1" applyFont="1" applyFill="1" applyAlignment="1" applyProtection="1">
      <alignment horizontal="left" vertical="center"/>
    </xf>
    <xf numFmtId="182" fontId="0" fillId="5" borderId="0" xfId="0" applyNumberFormat="1" applyFill="1" applyAlignment="1" applyProtection="1">
      <alignment horizontal="left" vertical="center"/>
    </xf>
    <xf numFmtId="176" fontId="10" fillId="5" borderId="0" xfId="0" applyNumberFormat="1" applyFont="1" applyFill="1" applyAlignment="1" applyProtection="1">
      <alignment horizontal="center" vertical="top"/>
    </xf>
    <xf numFmtId="0" fontId="0" fillId="5" borderId="0" xfId="0" applyFill="1" applyAlignment="1" applyProtection="1">
      <alignment horizontal="center" vertical="top"/>
    </xf>
    <xf numFmtId="0" fontId="41" fillId="9" borderId="3" xfId="0" applyFont="1" applyFill="1" applyBorder="1" applyAlignment="1" applyProtection="1">
      <alignment horizontal="left" vertical="center"/>
    </xf>
    <xf numFmtId="0" fontId="41"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77"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0" fontId="2" fillId="7" borderId="0" xfId="0" applyFont="1" applyFill="1" applyAlignment="1" applyProtection="1">
      <alignment horizontal="center"/>
    </xf>
    <xf numFmtId="0" fontId="0" fillId="0" borderId="0" xfId="0" applyAlignment="1">
      <alignment horizontal="center"/>
    </xf>
    <xf numFmtId="0" fontId="28" fillId="5" borderId="0" xfId="0" applyFont="1" applyFill="1" applyAlignment="1" applyProtection="1">
      <alignment horizontal="center" vertical="top"/>
    </xf>
    <xf numFmtId="178" fontId="11" fillId="5" borderId="0" xfId="0" applyNumberFormat="1" applyFont="1" applyFill="1" applyAlignment="1" applyProtection="1">
      <alignment horizontal="center"/>
    </xf>
    <xf numFmtId="0" fontId="21" fillId="0" borderId="0" xfId="0" applyFont="1" applyAlignment="1" applyProtection="1">
      <alignment horizontal="center"/>
    </xf>
    <xf numFmtId="182" fontId="7" fillId="5" borderId="0" xfId="0" applyNumberFormat="1" applyFont="1" applyFill="1" applyAlignment="1" applyProtection="1">
      <alignment horizontal="left"/>
    </xf>
    <xf numFmtId="182" fontId="0" fillId="0" borderId="0" xfId="0" applyNumberFormat="1" applyAlignment="1" applyProtection="1">
      <alignment horizontal="left"/>
    </xf>
    <xf numFmtId="182"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cellXfs>
  <cellStyles count="2">
    <cellStyle name="Hyperlink" xfId="1" builtinId="8"/>
    <cellStyle name="Normal" xfId="0" builtinId="0"/>
  </cellStyles>
  <dxfs count="196">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numFmt numFmtId="182" formatCode="\$#,##0.00;[Red]\-\$#,##0.00"/>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ont>
        <color indexed="9"/>
      </font>
    </dxf>
    <dxf>
      <font>
        <color indexed="9"/>
      </font>
    </dxf>
    <dxf>
      <fill>
        <patternFill>
          <bgColor indexed="8"/>
        </patternFill>
      </fill>
    </dxf>
    <dxf>
      <fill>
        <patternFill>
          <bgColor indexed="8"/>
        </patternFill>
      </fill>
    </dxf>
    <dxf>
      <font>
        <name val="Arial"/>
        <scheme val="none"/>
      </font>
    </dxf>
    <dxf>
      <font>
        <color auto="1"/>
      </font>
    </dxf>
    <dxf>
      <font>
        <color indexed="9"/>
      </font>
    </dxf>
    <dxf>
      <numFmt numFmtId="182" formatCode="\$#,##0.00;[Red]\-\$#,##0.00"/>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ont>
        <color auto="1"/>
      </font>
    </dxf>
    <dxf>
      <font>
        <sz val="10"/>
      </font>
    </dxf>
    <dxf>
      <font>
        <color auto="1"/>
      </font>
    </dxf>
    <dxf>
      <font>
        <color indexed="9"/>
      </font>
    </dxf>
    <dxf>
      <font>
        <color indexed="9"/>
      </font>
    </dxf>
    <dxf>
      <font>
        <color indexed="9"/>
      </font>
    </dxf>
    <dxf>
      <font>
        <name val="Arial"/>
        <scheme val="none"/>
      </font>
    </dxf>
    <dxf>
      <font>
        <color auto="1"/>
      </font>
    </dxf>
    <dxf>
      <font>
        <color indexed="9"/>
      </font>
    </dxf>
    <dxf>
      <numFmt numFmtId="182" formatCode="\$#,##0.00;[Red]\-\$#,##0.00"/>
    </dxf>
    <dxf>
      <fill>
        <patternFill patternType="none">
          <bgColor indexed="65"/>
        </patternFill>
      </fill>
    </dxf>
    <dxf>
      <fill>
        <patternFill patternType="solid">
          <bgColor indexed="22"/>
        </patternFill>
      </fill>
    </dxf>
    <dxf>
      <fill>
        <patternFill>
          <bgColor indexed="9"/>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82"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82"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82"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333399"/>
      <color rgb="FF66CCFF"/>
      <color rgb="FFCC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1217295</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Maverick" refreshedDate="41609.714335416669" missingItemsLimit="0" createdVersion="4" refreshedVersion="3"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NonDate="0" containsString="0" containsBlank="1"/>
    </cacheField>
    <cacheField name="L/S" numFmtId="2">
      <sharedItems/>
    </cacheField>
    <cacheField name="Lots" numFmtId="2">
      <sharedItems containsBlank="1"/>
    </cacheField>
    <cacheField name="Pip Values(1 lots) " numFmtId="177">
      <sharedItems/>
    </cacheField>
    <cacheField name="S/L Price" numFmtId="185">
      <sharedItems containsNonDate="0" containsString="0" containsBlank="1"/>
    </cacheField>
    <cacheField name="Open Price" numFmtId="185">
      <sharedItems containsBlank="1"/>
    </cacheField>
    <cacheField name="S/W Price" numFmtId="185">
      <sharedItems/>
    </cacheField>
    <cacheField name="Pips TP " numFmtId="0">
      <sharedItems/>
    </cacheField>
    <cacheField name="Pips S/L" numFmtId="0">
      <sharedItems/>
    </cacheField>
    <cacheField name="Date/Time Open  " numFmtId="190">
      <sharedItems containsNonDate="0" containsString="0" containsBlank="1"/>
    </cacheField>
    <cacheField name="Date/Time Close" numFmtId="0">
      <sharedItems containsNonDate="0" containsString="0" containsBlank="1"/>
    </cacheField>
    <cacheField name="Close  Price" numFmtId="185">
      <sharedItems containsBlank="1"/>
    </cacheField>
    <cacheField name="Account Risk" numFmtId="177">
      <sharedItems/>
    </cacheField>
    <cacheField name="% of Capital at Risk" numFmtId="179">
      <sharedItems/>
    </cacheField>
    <cacheField name="Price Objective Profit" numFmtId="177">
      <sharedItems/>
    </cacheField>
    <cacheField name="Risk     Reward   Ratio  " numFmtId="178">
      <sharedItems/>
    </cacheField>
    <cacheField name="Actual Profit/Loss" numFmtId="182">
      <sharedItems/>
    </cacheField>
    <cacheField name="% of Capital Profit/Loss" numFmtId="179">
      <sharedItems/>
    </cacheField>
    <cacheField name="Win" numFmtId="0">
      <sharedItems/>
    </cacheField>
    <cacheField name="Loss" numFmtId="0">
      <sharedItems/>
    </cacheField>
    <cacheField name="WinPips" numFmtId="181">
      <sharedItems/>
    </cacheField>
    <cacheField name="Capital" numFmtId="177">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Maverick" refreshedDate="41609.714336921294" missingItemsLimit="0" createdVersion="4" refreshedVersion="3"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NonDate="0" containsString="0" containsBlank="1"/>
    </cacheField>
    <cacheField name="L/S" numFmtId="2">
      <sharedItems/>
    </cacheField>
    <cacheField name="Lots" numFmtId="2">
      <sharedItems containsBlank="1"/>
    </cacheField>
    <cacheField name="Pip Values(1 lots) " numFmtId="177">
      <sharedItems/>
    </cacheField>
    <cacheField name="S/L Price" numFmtId="185">
      <sharedItems containsNonDate="0" containsString="0" containsBlank="1"/>
    </cacheField>
    <cacheField name="Open Price" numFmtId="185">
      <sharedItems containsBlank="1"/>
    </cacheField>
    <cacheField name="S/W Price" numFmtId="185">
      <sharedItems/>
    </cacheField>
    <cacheField name="Pips TP " numFmtId="0">
      <sharedItems/>
    </cacheField>
    <cacheField name="Pips S/L" numFmtId="0">
      <sharedItems/>
    </cacheField>
    <cacheField name="Date/Time Open  " numFmtId="190">
      <sharedItems containsNonDate="0" containsString="0" containsBlank="1"/>
    </cacheField>
    <cacheField name="Date/Time Close" numFmtId="0">
      <sharedItems containsNonDate="0" containsString="0" containsBlank="1"/>
    </cacheField>
    <cacheField name="Close  Price" numFmtId="185">
      <sharedItems containsBlank="1"/>
    </cacheField>
    <cacheField name="Account Risk" numFmtId="177">
      <sharedItems/>
    </cacheField>
    <cacheField name="% of Capital at Risk" numFmtId="179">
      <sharedItems/>
    </cacheField>
    <cacheField name="Price Objective Profit" numFmtId="177">
      <sharedItems/>
    </cacheField>
    <cacheField name="Risk     Reward   Ratio  " numFmtId="178">
      <sharedItems/>
    </cacheField>
    <cacheField name="Actual Profit/Loss" numFmtId="182">
      <sharedItems/>
    </cacheField>
    <cacheField name="% of Capital Profit/Loss" numFmtId="179">
      <sharedItems/>
    </cacheField>
    <cacheField name="Win" numFmtId="0">
      <sharedItems/>
    </cacheField>
    <cacheField name="Loss" numFmtId="0">
      <sharedItems/>
    </cacheField>
    <cacheField name="WinPips" numFmtId="181">
      <sharedItems/>
    </cacheField>
    <cacheField name="Capital" numFmtId="177">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Maverick" refreshedDate="41609.714337268517" missingItemsLimit="0" createdVersion="4" refreshedVersion="3"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NonDate="0" containsString="0" containsBlank="1"/>
    </cacheField>
    <cacheField name="L/S" numFmtId="2">
      <sharedItems/>
    </cacheField>
    <cacheField name="Lots" numFmtId="2">
      <sharedItems containsBlank="1"/>
    </cacheField>
    <cacheField name="Pip Values(1 lots) " numFmtId="177">
      <sharedItems/>
    </cacheField>
    <cacheField name="S/L Price" numFmtId="185">
      <sharedItems containsNonDate="0" containsString="0" containsBlank="1"/>
    </cacheField>
    <cacheField name="Open Price" numFmtId="185">
      <sharedItems containsBlank="1"/>
    </cacheField>
    <cacheField name="S/W Price" numFmtId="185">
      <sharedItems/>
    </cacheField>
    <cacheField name="Pips TP " numFmtId="0">
      <sharedItems/>
    </cacheField>
    <cacheField name="Pips S/L" numFmtId="0">
      <sharedItems/>
    </cacheField>
    <cacheField name="Date/Time Open  " numFmtId="190">
      <sharedItems containsNonDate="0" containsString="0" containsBlank="1"/>
    </cacheField>
    <cacheField name="Date/Time Close" numFmtId="0">
      <sharedItems containsNonDate="0" containsString="0" containsBlank="1"/>
    </cacheField>
    <cacheField name="Close  Price" numFmtId="185">
      <sharedItems containsBlank="1"/>
    </cacheField>
    <cacheField name="Account Risk" numFmtId="177">
      <sharedItems/>
    </cacheField>
    <cacheField name="% of Capital at Risk" numFmtId="179">
      <sharedItems/>
    </cacheField>
    <cacheField name="Price Objective Profit" numFmtId="177">
      <sharedItems/>
    </cacheField>
    <cacheField name="Risk     Reward   Ratio  " numFmtId="178">
      <sharedItems/>
    </cacheField>
    <cacheField name="Actual Profit/Loss" numFmtId="182">
      <sharedItems/>
    </cacheField>
    <cacheField name="% of Capital Profit/Loss" numFmtId="179">
      <sharedItems/>
    </cacheField>
    <cacheField name="Win" numFmtId="0">
      <sharedItems/>
    </cacheField>
    <cacheField name="Loss" numFmtId="0">
      <sharedItems/>
    </cacheField>
    <cacheField name="WinPips" numFmtId="181">
      <sharedItems/>
    </cacheField>
    <cacheField name="Capital" numFmtId="177">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Maverick" refreshedDate="41609.71433761574" missingItemsLimit="0" createdVersion="4" refreshedVersion="3"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NonDate="0" containsString="0" containsBlank="1"/>
    </cacheField>
    <cacheField name="L/S" numFmtId="2">
      <sharedItems/>
    </cacheField>
    <cacheField name="Lots" numFmtId="2">
      <sharedItems containsBlank="1"/>
    </cacheField>
    <cacheField name="Pip Values(1 lots) " numFmtId="177">
      <sharedItems/>
    </cacheField>
    <cacheField name="S/L Price" numFmtId="185">
      <sharedItems containsNonDate="0" containsString="0" containsBlank="1"/>
    </cacheField>
    <cacheField name="Open Price" numFmtId="185">
      <sharedItems containsBlank="1"/>
    </cacheField>
    <cacheField name="S/W Price" numFmtId="185">
      <sharedItems/>
    </cacheField>
    <cacheField name="Pips TP " numFmtId="0">
      <sharedItems/>
    </cacheField>
    <cacheField name="Pips S/L" numFmtId="0">
      <sharedItems/>
    </cacheField>
    <cacheField name="Date/Time Open  " numFmtId="190">
      <sharedItems containsNonDate="0" containsString="0" containsBlank="1"/>
    </cacheField>
    <cacheField name="Date/Time Close" numFmtId="0">
      <sharedItems containsNonDate="0" containsString="0" containsBlank="1"/>
    </cacheField>
    <cacheField name="Close  Price" numFmtId="185">
      <sharedItems containsBlank="1"/>
    </cacheField>
    <cacheField name="Account Risk" numFmtId="177">
      <sharedItems/>
    </cacheField>
    <cacheField name="% of Capital at Risk" numFmtId="179">
      <sharedItems/>
    </cacheField>
    <cacheField name="Price Objective Profit" numFmtId="177">
      <sharedItems/>
    </cacheField>
    <cacheField name="Risk     Reward   Ratio  " numFmtId="178">
      <sharedItems/>
    </cacheField>
    <cacheField name="Actual Profit/Loss" numFmtId="182">
      <sharedItems/>
    </cacheField>
    <cacheField name="% of Capital Profit/Loss" numFmtId="179">
      <sharedItems/>
    </cacheField>
    <cacheField name="Win" numFmtId="0">
      <sharedItems/>
    </cacheField>
    <cacheField name="Loss" numFmtId="0">
      <sharedItems/>
    </cacheField>
    <cacheField name="WinPips" numFmtId="181">
      <sharedItems/>
    </cacheField>
    <cacheField name="Capital" numFmtId="177">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Maverick" refreshedDate="41609.714338078702" missingItemsLimit="0" createdVersion="4" refreshedVersion="3"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NonDate="0" containsString="0" containsBlank="1"/>
    </cacheField>
    <cacheField name="L/S" numFmtId="2">
      <sharedItems/>
    </cacheField>
    <cacheField name="Lots" numFmtId="2">
      <sharedItems containsBlank="1"/>
    </cacheField>
    <cacheField name="Pip Values(1 lots) " numFmtId="177">
      <sharedItems/>
    </cacheField>
    <cacheField name="S/L Price" numFmtId="185">
      <sharedItems containsNonDate="0" containsString="0" containsBlank="1"/>
    </cacheField>
    <cacheField name="Open Price" numFmtId="185">
      <sharedItems containsBlank="1"/>
    </cacheField>
    <cacheField name="S/W Price" numFmtId="185">
      <sharedItems/>
    </cacheField>
    <cacheField name="Pips TP " numFmtId="0">
      <sharedItems/>
    </cacheField>
    <cacheField name="Pips S/L" numFmtId="0">
      <sharedItems/>
    </cacheField>
    <cacheField name="Date/Time Open  " numFmtId="190">
      <sharedItems containsNonDate="0" containsString="0" containsBlank="1"/>
    </cacheField>
    <cacheField name="Date/Time Close" numFmtId="0">
      <sharedItems containsNonDate="0" containsString="0" containsBlank="1"/>
    </cacheField>
    <cacheField name="Close  Price" numFmtId="185">
      <sharedItems containsBlank="1"/>
    </cacheField>
    <cacheField name="Account Risk" numFmtId="177">
      <sharedItems/>
    </cacheField>
    <cacheField name="% of Capital at Risk" numFmtId="179">
      <sharedItems/>
    </cacheField>
    <cacheField name="Price Objective Profit" numFmtId="177">
      <sharedItems/>
    </cacheField>
    <cacheField name="Risk     Reward   Ratio  " numFmtId="178">
      <sharedItems/>
    </cacheField>
    <cacheField name="Actual Profit/Loss" numFmtId="182">
      <sharedItems/>
    </cacheField>
    <cacheField name="% of Capital Profit/Loss" numFmtId="179">
      <sharedItems/>
    </cacheField>
    <cacheField name="Win" numFmtId="0">
      <sharedItems/>
    </cacheField>
    <cacheField name="Loss" numFmtId="0">
      <sharedItems/>
    </cacheField>
    <cacheField name="WinPips" numFmtId="181">
      <sharedItems/>
    </cacheField>
    <cacheField name="Capital" numFmtId="177">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Maverick" refreshedDate="41609.714338425925" missingItemsLimit="0" createdVersion="4" refreshedVersion="3"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NonDate="0" containsString="0" containsBlank="1"/>
    </cacheField>
    <cacheField name="L/S" numFmtId="2">
      <sharedItems/>
    </cacheField>
    <cacheField name="Lots" numFmtId="2">
      <sharedItems containsBlank="1"/>
    </cacheField>
    <cacheField name="Pip Values(1 lots) " numFmtId="177">
      <sharedItems/>
    </cacheField>
    <cacheField name="S/L Price" numFmtId="185">
      <sharedItems containsNonDate="0" containsString="0" containsBlank="1"/>
    </cacheField>
    <cacheField name="Open Price" numFmtId="185">
      <sharedItems containsBlank="1"/>
    </cacheField>
    <cacheField name="S/W Price" numFmtId="185">
      <sharedItems/>
    </cacheField>
    <cacheField name="Pips TP " numFmtId="0">
      <sharedItems/>
    </cacheField>
    <cacheField name="Pips S/L" numFmtId="0">
      <sharedItems/>
    </cacheField>
    <cacheField name="Date/Time Open  " numFmtId="190">
      <sharedItems containsNonDate="0" containsString="0" containsBlank="1"/>
    </cacheField>
    <cacheField name="Date/Time Close" numFmtId="0">
      <sharedItems containsNonDate="0" containsString="0" containsBlank="1"/>
    </cacheField>
    <cacheField name="Close  Price" numFmtId="185">
      <sharedItems containsBlank="1"/>
    </cacheField>
    <cacheField name="Account Risk" numFmtId="177">
      <sharedItems/>
    </cacheField>
    <cacheField name="% of Capital at Risk" numFmtId="179">
      <sharedItems/>
    </cacheField>
    <cacheField name="Price Objective Profit" numFmtId="177">
      <sharedItems/>
    </cacheField>
    <cacheField name="Risk     Reward   Ratio  " numFmtId="178">
      <sharedItems/>
    </cacheField>
    <cacheField name="Actual Profit/Loss" numFmtId="182">
      <sharedItems/>
    </cacheField>
    <cacheField name="% of Capital Profit/Loss" numFmtId="179">
      <sharedItems/>
    </cacheField>
    <cacheField name="Win" numFmtId="0">
      <sharedItems/>
    </cacheField>
    <cacheField name="Loss" numFmtId="0">
      <sharedItems/>
    </cacheField>
    <cacheField name="WinPips" numFmtId="181">
      <sharedItems/>
    </cacheField>
    <cacheField name="Capital" numFmtId="177">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数据透视表10" cacheId="13" autoFormatId="4100" applyNumberFormats="1" applyBorderFormats="1" applyFontFormats="1" applyPatternFormats="1" applyAlignmentFormats="1" applyWidthHeightFormats="1" dataCaption="Data" updatedVersion="3" minRefreshableVersion="3" asteriskTotals="1" showMemberPropertyTips="0" useAutoFormatting="1" itemPrintTitles="1" createdVersion="4" indent="0" compact="0" compactData="0" gridDropZones="1">
  <location ref="E7:G11"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9" subtotalTop="0" showAll="0" insertBlankRow="1" includeNewItemsInFilter="1"/>
    <pivotField compact="0" subtotalTop="0" showAll="0" insertBlankRow="1" includeNewItemsInFilter="1"/>
    <pivotField compact="0" subtotalTop="0" showAll="0" insertBlankRow="1" includeNewItemsInFilter="1"/>
    <pivotField dataField="1" compact="0" numFmtId="184"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84" subtotalTop="0" showAll="0" insertBlankRow="1" includeNewItemsInFilter="1"/>
    <pivotField axis="axisRow" compact="0" subtotalTop="0" showAll="0" insertBlankRow="1" includeNewItemsInFilter="1" sortType="ascending" defaultSubtotal="0">
      <items count="2">
        <item x="0"/>
        <item h="1"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i>
    <i t="blank">
      <x/>
    </i>
    <i t="grand">
      <x/>
    </i>
  </rowItems>
  <colItems count="1">
    <i/>
  </colItems>
  <dataFields count="1">
    <dataField name="求和项:Actual Profit/Loss" fld="19" baseField="0" baseItem="0" numFmtId="182"/>
  </dataFields>
  <formats count="18">
    <format dxfId="179">
      <pivotArea type="all" dataOnly="0" outline="0" fieldPosition="0"/>
    </format>
    <format dxfId="178">
      <pivotArea type="all" dataOnly="0" outline="0" fieldPosition="0"/>
    </format>
    <format dxfId="177">
      <pivotArea outline="0" fieldPosition="0"/>
    </format>
    <format dxfId="176">
      <pivotArea dataOnly="0" labelOnly="1" grandRow="1" fieldPosition="0"/>
    </format>
    <format dxfId="175">
      <pivotArea field="26" type="button" dataOnly="0" labelOnly="1" outline="0" axis="axisRow" fieldPosition="0"/>
    </format>
    <format dxfId="174">
      <pivotArea field="25" type="button" dataOnly="0" labelOnly="1" outline="0" axis="axisRow" fieldPosition="1"/>
    </format>
    <format dxfId="173">
      <pivotArea type="all" dataOnly="0" outline="0" fieldPosition="0"/>
    </format>
    <format dxfId="172">
      <pivotArea dataOnly="0" grandCol="1" outline="0" axis="axisCol" fieldPosition="0"/>
    </format>
    <format dxfId="171">
      <pivotArea grandRow="1" outline="0" fieldPosition="0"/>
    </format>
    <format dxfId="170">
      <pivotArea outline="0" fieldPosition="0">
        <references count="1">
          <reference field="4294967294" count="1">
            <x v="0"/>
          </reference>
        </references>
      </pivotArea>
    </format>
    <format dxfId="169">
      <pivotArea type="all" dataOnly="0" outline="0" fieldPosition="0"/>
    </format>
    <format dxfId="168">
      <pivotArea type="all" dataOnly="0" outline="0" fieldPosition="0"/>
    </format>
    <format dxfId="167">
      <pivotArea type="all" dataOnly="0" outline="0" fieldPosition="0"/>
    </format>
    <format dxfId="166">
      <pivotArea dataOnly="0" grandRow="1" fieldPosition="0"/>
    </format>
    <format dxfId="165">
      <pivotArea dataOnly="0" fieldPosition="0">
        <references count="1">
          <reference field="26" count="0" defaultSubtotal="1"/>
        </references>
      </pivotArea>
    </format>
    <format dxfId="164">
      <pivotArea field="25" type="button" dataOnly="0" labelOnly="1" outline="0" axis="axisRow" fieldPosition="1"/>
    </format>
    <format dxfId="163">
      <pivotArea dataOnly="0" labelOnly="1" fieldPosition="0">
        <references count="1">
          <reference field="26" count="0"/>
        </references>
      </pivotArea>
    </format>
    <format dxfId="162">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17" autoFormatId="4100" applyNumberFormats="1" applyBorderFormats="1" applyFontFormats="1" applyPatternFormats="1" applyAlignmentFormats="1" applyWidthHeightFormats="1" dataCaption="Data" updatedVersion="3" minRefreshableVersion="3" asteriskTotals="1" showMemberPropertyTips="0" useAutoFormatting="1" itemPrintTitles="1" createdVersion="4" indent="0" compact="0" compactData="0" gridDropZones="1">
  <location ref="A7:C8"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9" subtotalTop="0" showAll="0" insertBlankRow="1" includeNewItemsInFilter="1"/>
    <pivotField compact="0" subtotalTop="0" showAll="0" insertBlankRow="1" includeNewItemsInFilter="1"/>
    <pivotField compact="0" subtotalTop="0" showAll="0" insertBlankRow="1" includeNewItemsInFilter="1"/>
    <pivotField compact="0" numFmtId="184"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84" subtotalTop="0" showAll="0" insertBlankRow="1" includeNewItemsInFilter="1"/>
    <pivotField axis="axisRow" compact="0" subtotalTop="0" showAll="0" insertBlankRow="1" includeNewItemsInFilter="1" sortType="ascending" defaultSubtotal="0">
      <items count="2">
        <item h="1" x="0"/>
        <item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1">
    <i t="grand">
      <x/>
    </i>
  </rowItems>
  <colItems count="1">
    <i/>
  </colItems>
  <dataFields count="1">
    <dataField name="Actual Profit/Loss By Pips" fld="23" baseField="0" baseItem="0"/>
  </dataFields>
  <formats count="16">
    <format dxfId="195">
      <pivotArea type="all" dataOnly="0" outline="0" fieldPosition="0"/>
    </format>
    <format dxfId="194">
      <pivotArea type="all" dataOnly="0" outline="0" fieldPosition="0"/>
    </format>
    <format dxfId="193">
      <pivotArea type="all" dataOnly="0" outline="0" fieldPosition="0"/>
    </format>
    <format dxfId="192">
      <pivotArea outline="0" fieldPosition="0"/>
    </format>
    <format dxfId="191">
      <pivotArea type="all" dataOnly="0" outline="0" fieldPosition="0"/>
    </format>
    <format dxfId="190">
      <pivotArea dataOnly="0" grandRow="1" fieldPosition="0"/>
    </format>
    <format dxfId="189">
      <pivotArea dataOnly="0" labelOnly="1" grandRow="1" fieldPosition="0"/>
    </format>
    <format dxfId="188">
      <pivotArea dataOnly="0" fieldPosition="0">
        <references count="1">
          <reference field="26" count="0" defaultSubtotal="1"/>
        </references>
      </pivotArea>
    </format>
    <format dxfId="187">
      <pivotArea field="26" type="button" dataOnly="0" labelOnly="1" outline="0" axis="axisRow" fieldPosition="0"/>
    </format>
    <format dxfId="186">
      <pivotArea field="25" type="button" dataOnly="0" labelOnly="1" outline="0" axis="axisRow" fieldPosition="1"/>
    </format>
    <format dxfId="185">
      <pivotArea field="25" type="button" dataOnly="0" labelOnly="1" outline="0" axis="axisRow" fieldPosition="1"/>
    </format>
    <format dxfId="184">
      <pivotArea dataOnly="0" labelOnly="1" fieldPosition="0">
        <references count="1">
          <reference field="26" count="0"/>
        </references>
      </pivotArea>
    </format>
    <format dxfId="183">
      <pivotArea field="26" type="button" dataOnly="0" labelOnly="1" outline="0" axis="axisRow" fieldPosition="0"/>
    </format>
    <format dxfId="182">
      <pivotArea type="all" dataOnly="0" outline="0" fieldPosition="0"/>
    </format>
    <format dxfId="181">
      <pivotArea dataOnly="0" grandCol="1" outline="0" axis="axisCol" fieldPosition="0"/>
    </format>
    <format dxfId="180">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29" autoFormatId="4100" applyNumberFormats="1" applyBorderFormats="1" applyFontFormats="1" applyPatternFormats="1" applyAlignmentFormats="1" applyWidthHeightFormats="1" dataCaption="Data" updatedVersion="3" minRefreshableVersion="3" asteriskTotals="1" showMemberPropertyTips="0" useAutoFormatting="1" itemPrintTitles="1" createdVersion="4" indent="0" compact="0" compactData="0" gridDropZones="1">
  <location ref="F8:H12"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9" subtotalTop="0" showAll="0" insertBlankRow="1" includeNewItemsInFilter="1"/>
    <pivotField compact="0" subtotalTop="0" showAll="0" insertBlankRow="1" includeNewItemsInFilter="1"/>
    <pivotField compact="0" subtotalTop="0" showAll="0" insertBlankRow="1" includeNewItemsInFilter="1"/>
    <pivotField dataField="1" compact="0" numFmtId="184"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84" subtotalTop="0" showAll="0" insertBlankRow="1" includeNewItemsInFilter="1"/>
    <pivotField axis="axisRow" compact="0" subtotalTop="0" showAll="0" insertBlankRow="1" includeNewItemsInFilter="1" sortType="ascending" defaultSubtotal="0">
      <items count="2">
        <item x="0"/>
        <item h="1"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i>
    <i t="blank">
      <x/>
    </i>
    <i t="grand">
      <x/>
    </i>
  </rowItems>
  <colItems count="1">
    <i/>
  </colItems>
  <dataFields count="1">
    <dataField name="求和项:Actual Profit/Loss" fld="19" baseField="0" baseItem="0" numFmtId="182"/>
  </dataFields>
  <formats count="17">
    <format dxfId="145">
      <pivotArea type="all" dataOnly="0" outline="0" fieldPosition="0"/>
    </format>
    <format dxfId="144">
      <pivotArea type="all" dataOnly="0" outline="0" fieldPosition="0"/>
    </format>
    <format dxfId="143">
      <pivotArea type="all" dataOnly="0" outline="0" fieldPosition="0"/>
    </format>
    <format dxfId="142">
      <pivotArea outline="0" fieldPosition="0"/>
    </format>
    <format dxfId="141">
      <pivotArea type="all" dataOnly="0" outline="0" fieldPosition="0"/>
    </format>
    <format dxfId="140">
      <pivotArea dataOnly="0" grandRow="1" fieldPosition="0"/>
    </format>
    <format dxfId="139">
      <pivotArea dataOnly="0" labelOnly="1" grandRow="1" fieldPosition="0"/>
    </format>
    <format dxfId="138">
      <pivotArea dataOnly="0" fieldPosition="0">
        <references count="1">
          <reference field="26" count="0" defaultSubtotal="1"/>
        </references>
      </pivotArea>
    </format>
    <format dxfId="137">
      <pivotArea field="26" type="button" dataOnly="0" labelOnly="1" outline="0" axis="axisRow" fieldPosition="0"/>
    </format>
    <format dxfId="136">
      <pivotArea field="25" type="button" dataOnly="0" labelOnly="1" outline="0" axis="axisRow" fieldPosition="1"/>
    </format>
    <format dxfId="135">
      <pivotArea field="25" type="button" dataOnly="0" labelOnly="1" outline="0" axis="axisRow" fieldPosition="1"/>
    </format>
    <format dxfId="134">
      <pivotArea dataOnly="0" labelOnly="1" fieldPosition="0">
        <references count="1">
          <reference field="26" count="0"/>
        </references>
      </pivotArea>
    </format>
    <format dxfId="133">
      <pivotArea field="26" type="button" dataOnly="0" labelOnly="1" outline="0" axis="axisRow" fieldPosition="0"/>
    </format>
    <format dxfId="132">
      <pivotArea type="all" dataOnly="0" outline="0" fieldPosition="0"/>
    </format>
    <format dxfId="131">
      <pivotArea dataOnly="0" grandCol="1" outline="0" axis="axisCol" fieldPosition="0"/>
    </format>
    <format dxfId="130">
      <pivotArea grandRow="1" outline="0" fieldPosition="0"/>
    </format>
    <format dxfId="129">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9" autoFormatId="4100" applyNumberFormats="1" applyBorderFormats="1" applyFontFormats="1" applyPatternFormats="1" applyAlignmentFormats="1" applyWidthHeightFormats="1" dataCaption="Data" updatedVersion="3" minRefreshableVersion="3" asteriskTotals="1" showMemberPropertyTips="0" useAutoFormatting="1" itemPrintTitles="1" createdVersion="4" indent="0" compact="0" compactData="0" gridDropZones="1">
  <location ref="A8:C9"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9" subtotalTop="0" showAll="0" insertBlankRow="1" includeNewItemsInFilter="1"/>
    <pivotField compact="0" subtotalTop="0" showAll="0" insertBlankRow="1" includeNewItemsInFilter="1"/>
    <pivotField compact="0" subtotalTop="0" showAll="0" insertBlankRow="1" includeNewItemsInFilter="1"/>
    <pivotField compact="0" numFmtId="184"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84" subtotalTop="0" showAll="0" insertBlankRow="1" includeNewItemsInFilter="1"/>
    <pivotField axis="axisRow" compact="0" subtotalTop="0" showAll="0" insertBlankRow="1" includeNewItemsInFilter="1" sortType="ascending" defaultSubtotal="0">
      <items count="2">
        <item h="1" x="0"/>
        <item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1">
    <i t="grand">
      <x/>
    </i>
  </rowItems>
  <colItems count="1">
    <i/>
  </colItems>
  <dataFields count="1">
    <dataField name="Actual Profit/Loss By Pips" fld="23" baseField="0" baseItem="0"/>
  </dataFields>
  <formats count="16">
    <format dxfId="161">
      <pivotArea type="all" dataOnly="0" outline="0" fieldPosition="0"/>
    </format>
    <format dxfId="160">
      <pivotArea type="all" dataOnly="0" outline="0" fieldPosition="0"/>
    </format>
    <format dxfId="159">
      <pivotArea type="all" dataOnly="0" outline="0" fieldPosition="0"/>
    </format>
    <format dxfId="158">
      <pivotArea outline="0" fieldPosition="0"/>
    </format>
    <format dxfId="157">
      <pivotArea type="all" dataOnly="0" outline="0" fieldPosition="0"/>
    </format>
    <format dxfId="156">
      <pivotArea dataOnly="0" grandRow="1" fieldPosition="0"/>
    </format>
    <format dxfId="155">
      <pivotArea dataOnly="0" labelOnly="1" grandRow="1" fieldPosition="0"/>
    </format>
    <format dxfId="154">
      <pivotArea dataOnly="0" fieldPosition="0">
        <references count="1">
          <reference field="26" count="0" defaultSubtotal="1"/>
        </references>
      </pivotArea>
    </format>
    <format dxfId="153">
      <pivotArea field="26" type="button" dataOnly="0" labelOnly="1" outline="0" axis="axisRow" fieldPosition="0"/>
    </format>
    <format dxfId="152">
      <pivotArea field="25" type="button" dataOnly="0" labelOnly="1" outline="0" axis="axisRow" fieldPosition="1"/>
    </format>
    <format dxfId="151">
      <pivotArea field="25" type="button" dataOnly="0" labelOnly="1" outline="0" axis="axisRow" fieldPosition="1"/>
    </format>
    <format dxfId="150">
      <pivotArea dataOnly="0" labelOnly="1" fieldPosition="0">
        <references count="1">
          <reference field="26" count="0"/>
        </references>
      </pivotArea>
    </format>
    <format dxfId="149">
      <pivotArea field="26" type="button" dataOnly="0" labelOnly="1" outline="0" axis="axisRow" fieldPosition="0"/>
    </format>
    <format dxfId="148">
      <pivotArea type="all" dataOnly="0" outline="0" fieldPosition="0"/>
    </format>
    <format dxfId="147">
      <pivotArea dataOnly="0" grandCol="1" outline="0" axis="axisCol" fieldPosition="0"/>
    </format>
    <format dxfId="146">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21" autoFormatId="4100" applyNumberFormats="1" applyBorderFormats="1" applyFontFormats="1" applyPatternFormats="1" applyAlignmentFormats="1" applyWidthHeightFormats="1" dataCaption="Data" updatedVersion="3" minRefreshableVersion="3" asteriskTotals="1" showMemberPropertyTips="0" useAutoFormatting="1" itemPrintTitles="1" createdVersion="4" indent="0" compact="0" compactData="0" gridDropZones="1">
  <location ref="A8:B10"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9" subtotalTop="0" showAll="0" insertBlankRow="1" includeNewItemsInFilter="1"/>
    <pivotField compact="0" subtotalTop="0" showAll="0" insertBlankRow="1" includeNewItemsInFilter="1"/>
    <pivotField compact="0" subtotalTop="0" showAll="0" insertBlankRow="1" includeNewItemsInFilter="1"/>
    <pivotField compact="0" numFmtId="184"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84" subtotalTop="0" showAll="0" insertBlankRow="1" includeNewItemsInFilter="1"/>
    <pivotField compact="0" subtotalTop="0" showAll="0" insertBlankRow="1" includeNewItemsInFilter="1" sortType="ascending">
      <items count="3">
        <item x="0"/>
        <item x="1"/>
        <item t="default"/>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2">
    <i>
      <x/>
    </i>
    <i t="grand">
      <x/>
    </i>
  </rowItems>
  <colItems count="1">
    <i/>
  </colItems>
  <dataFields count="1">
    <dataField name="Actual Profit/Loss By Pips" fld="23" baseField="0" baseItem="0"/>
  </dataFields>
  <formats count="16">
    <format dxfId="113">
      <pivotArea type="all" dataOnly="0" outline="0" fieldPosition="0"/>
    </format>
    <format dxfId="112">
      <pivotArea type="all" dataOnly="0" outline="0" fieldPosition="0"/>
    </format>
    <format dxfId="111">
      <pivotArea type="all" dataOnly="0" outline="0" fieldPosition="0"/>
    </format>
    <format dxfId="110">
      <pivotArea outline="0" fieldPosition="0"/>
    </format>
    <format dxfId="109">
      <pivotArea type="all" dataOnly="0" outline="0" fieldPosition="0"/>
    </format>
    <format dxfId="108">
      <pivotArea dataOnly="0" grandRow="1" fieldPosition="0"/>
    </format>
    <format dxfId="107">
      <pivotArea dataOnly="0" labelOnly="1" grandRow="1" fieldPosition="0"/>
    </format>
    <format dxfId="106">
      <pivotArea dataOnly="0" fieldPosition="0">
        <references count="1">
          <reference field="26" count="0" defaultSubtotal="1"/>
        </references>
      </pivotArea>
    </format>
    <format dxfId="105">
      <pivotArea field="26" type="button" dataOnly="0" labelOnly="1" outline="0" axis="axisRow" fieldPosition="0"/>
    </format>
    <format dxfId="104">
      <pivotArea field="25" type="button" dataOnly="0" labelOnly="1" outline="0" fieldPosition="24"/>
    </format>
    <format dxfId="103">
      <pivotArea field="25" type="button" dataOnly="0" labelOnly="1" outline="0" fieldPosition="24"/>
    </format>
    <format dxfId="102">
      <pivotArea dataOnly="0" labelOnly="1" fieldPosition="0">
        <references count="1">
          <reference field="26" count="0"/>
        </references>
      </pivotArea>
    </format>
    <format dxfId="101">
      <pivotArea field="26" type="button" dataOnly="0" labelOnly="1" outline="0" axis="axisRow" fieldPosition="0"/>
    </format>
    <format dxfId="100">
      <pivotArea type="all" dataOnly="0" outline="0" fieldPosition="0"/>
    </format>
    <format dxfId="99">
      <pivotArea dataOnly="0" grandCol="1" outline="0" axis="axisCol" fieldPosition="0"/>
    </format>
    <format dxfId="98">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25" autoFormatId="4100" applyNumberFormats="1" applyBorderFormats="1" applyFontFormats="1" applyPatternFormats="1" applyAlignmentFormats="1" applyWidthHeightFormats="1" dataCaption="Data" updatedVersion="3" minRefreshableVersion="3" asteriskTotals="1" showMemberPropertyTips="0" useAutoFormatting="1" itemPrintTitles="1" createdVersion="4" indent="0" compact="0" compactData="0" gridDropZones="1">
  <location ref="E8:F10"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9" subtotalTop="0" showAll="0" insertBlankRow="1" includeNewItemsInFilter="1"/>
    <pivotField compact="0" subtotalTop="0" showAll="0" insertBlankRow="1" includeNewItemsInFilter="1"/>
    <pivotField compact="0" subtotalTop="0" showAll="0" insertBlankRow="1" includeNewItemsInFilter="1"/>
    <pivotField dataField="1" compact="0" numFmtId="184"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84" subtotalTop="0" showAll="0" insertBlankRow="1" includeNewItemsInFilter="1"/>
    <pivotField compact="0" subtotalTop="0" showAll="0" insertBlankRow="1" includeNewItemsInFilter="1" sortType="ascending">
      <items count="3">
        <item x="0"/>
        <item x="1"/>
        <item t="default"/>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2">
    <i>
      <x/>
    </i>
    <i t="grand">
      <x/>
    </i>
  </rowItems>
  <colItems count="1">
    <i/>
  </colItems>
  <dataFields count="1">
    <dataField name="求和项:Actual Profit/Loss" fld="19" baseField="0" baseItem="0" numFmtId="182"/>
  </dataFields>
  <formats count="15">
    <format dxfId="128">
      <pivotArea type="all" dataOnly="0" outline="0" fieldPosition="0"/>
    </format>
    <format dxfId="127">
      <pivotArea type="all" dataOnly="0" outline="0" fieldPosition="0"/>
    </format>
    <format dxfId="126">
      <pivotArea type="all" dataOnly="0" outline="0" fieldPosition="0"/>
    </format>
    <format dxfId="125">
      <pivotArea outline="0" fieldPosition="0"/>
    </format>
    <format dxfId="124">
      <pivotArea type="all" dataOnly="0" outline="0" fieldPosition="0"/>
    </format>
    <format dxfId="123">
      <pivotArea dataOnly="0" grandRow="1" fieldPosition="0"/>
    </format>
    <format dxfId="122">
      <pivotArea dataOnly="0" labelOnly="1" grandRow="1" fieldPosition="0"/>
    </format>
    <format dxfId="121">
      <pivotArea field="26" type="button" dataOnly="0" labelOnly="1" outline="0" axis="axisRow" fieldPosition="0"/>
    </format>
    <format dxfId="120">
      <pivotArea field="25" type="button" dataOnly="0" labelOnly="1" outline="0" fieldPosition="24"/>
    </format>
    <format dxfId="119">
      <pivotArea field="25" type="button" dataOnly="0" labelOnly="1" outline="0" fieldPosition="24"/>
    </format>
    <format dxfId="118">
      <pivotArea field="26" type="button" dataOnly="0" labelOnly="1" outline="0" axis="axisRow" fieldPosition="0"/>
    </format>
    <format dxfId="117">
      <pivotArea type="all" dataOnly="0" outline="0" fieldPosition="0"/>
    </format>
    <format dxfId="116">
      <pivotArea dataOnly="0" grandCol="1" outline="0" axis="axisCol" fieldPosition="0"/>
    </format>
    <format dxfId="115">
      <pivotArea grandRow="1" outline="0" fieldPosition="0"/>
    </format>
    <format dxfId="114">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www.dailyfx.com.hk/calendar/index.html"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2.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2.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2.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2" enableFormatConditionsCalculation="0">
    <tabColor indexed="62"/>
  </sheetPr>
  <dimension ref="A1:D39"/>
  <sheetViews>
    <sheetView topLeftCell="A4" workbookViewId="0">
      <selection activeCell="A4" sqref="A4"/>
    </sheetView>
  </sheetViews>
  <sheetFormatPr defaultColWidth="38.125" defaultRowHeight="15"/>
  <cols>
    <col min="1" max="1" width="33.375" style="57" customWidth="1"/>
    <col min="2" max="2" width="91.875" style="58" customWidth="1"/>
    <col min="3" max="3" width="25.875" style="37" customWidth="1"/>
    <col min="4" max="4" width="38.125" style="37" customWidth="1"/>
    <col min="5" max="16384" width="38.1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5.75">
      <c r="A7" s="69" t="s">
        <v>93</v>
      </c>
      <c r="B7" s="60" t="s">
        <v>68</v>
      </c>
    </row>
    <row r="9" spans="1:3" ht="15.75">
      <c r="A9" s="69" t="s">
        <v>94</v>
      </c>
      <c r="B9" s="62" t="s">
        <v>98</v>
      </c>
      <c r="C9" s="70"/>
    </row>
    <row r="10" spans="1:3" ht="14.25">
      <c r="B10" s="64" t="s">
        <v>99</v>
      </c>
      <c r="C10" s="71"/>
    </row>
    <row r="11" spans="1:3" ht="14.25">
      <c r="B11" s="64" t="s">
        <v>100</v>
      </c>
      <c r="C11" s="71"/>
    </row>
    <row r="12" spans="1:3">
      <c r="B12" s="63"/>
      <c r="C12" s="70"/>
    </row>
    <row r="13" spans="1:3" ht="14.25">
      <c r="B13" s="64" t="s">
        <v>78</v>
      </c>
      <c r="C13" s="71"/>
    </row>
    <row r="14" spans="1:3" ht="14.25">
      <c r="B14" s="64" t="s">
        <v>101</v>
      </c>
      <c r="C14" s="71"/>
    </row>
    <row r="15" spans="1:3" ht="14.25">
      <c r="B15" s="64" t="s">
        <v>102</v>
      </c>
      <c r="C15" s="71"/>
    </row>
    <row r="16" spans="1:3" ht="14.25">
      <c r="B16" s="64" t="s">
        <v>76</v>
      </c>
      <c r="C16" s="71"/>
    </row>
    <row r="17" spans="2:3">
      <c r="B17" s="63"/>
      <c r="C17" s="70"/>
    </row>
    <row r="18" spans="2:3" ht="14.25">
      <c r="B18" s="64" t="s">
        <v>103</v>
      </c>
      <c r="C18" s="71"/>
    </row>
    <row r="19" spans="2:3" ht="14.25">
      <c r="B19" s="64" t="s">
        <v>104</v>
      </c>
      <c r="C19" s="71"/>
    </row>
    <row r="20" spans="2:3" ht="14.25">
      <c r="B20" s="64" t="s">
        <v>105</v>
      </c>
      <c r="C20" s="71"/>
    </row>
    <row r="21" spans="2:3" ht="14.25">
      <c r="B21" s="64" t="s">
        <v>106</v>
      </c>
      <c r="C21" s="71"/>
    </row>
    <row r="23" spans="2:3" ht="14.25">
      <c r="B23" s="62" t="s">
        <v>70</v>
      </c>
    </row>
    <row r="24" spans="2:3" ht="14.25">
      <c r="B24" s="64"/>
    </row>
    <row r="25" spans="2:3" ht="14.25">
      <c r="B25" s="64"/>
    </row>
    <row r="26" spans="2:3" ht="14.25">
      <c r="B26" s="64"/>
    </row>
    <row r="27" spans="2:3" ht="14.25">
      <c r="B27" s="64"/>
    </row>
    <row r="28" spans="2:3" ht="14.25">
      <c r="B28" s="64"/>
    </row>
    <row r="29" spans="2:3" ht="14.25">
      <c r="B29" s="65"/>
    </row>
    <row r="30" spans="2:3" ht="14.25">
      <c r="B30" s="65"/>
    </row>
    <row r="31" spans="2:3" ht="14.25">
      <c r="B31" s="65"/>
    </row>
    <row r="32" spans="2:3" ht="14.25">
      <c r="B32" s="65"/>
    </row>
    <row r="33" spans="2:2" ht="14.25">
      <c r="B33" s="65"/>
    </row>
    <row r="34" spans="2:2" ht="14.25">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activeCell="A9" sqref="A9"/>
    </sheetView>
  </sheetViews>
  <sheetFormatPr defaultColWidth="9" defaultRowHeight="12"/>
  <cols>
    <col min="1" max="1" width="7.75" style="1" customWidth="1"/>
    <col min="2" max="2" width="4.75" style="1" customWidth="1"/>
    <col min="3" max="3" width="7.875" style="1" customWidth="1"/>
    <col min="4" max="4" width="10.375" style="5" customWidth="1"/>
    <col min="5" max="5" width="11.5" style="39" customWidth="1"/>
    <col min="6" max="6" width="10.75" style="39" customWidth="1"/>
    <col min="7" max="7" width="11.75" style="39" customWidth="1"/>
    <col min="8" max="13" width="9" style="40"/>
    <col min="14" max="15" width="0" style="40" hidden="1" customWidth="1"/>
    <col min="16" max="16384" width="9" style="40"/>
  </cols>
  <sheetData>
    <row r="1" spans="1:15" s="52" customFormat="1" ht="14.25" customHeight="1">
      <c r="A1" s="235" t="s">
        <v>125</v>
      </c>
      <c r="B1" s="236"/>
      <c r="C1" s="236"/>
      <c r="D1" s="232" t="s">
        <v>79</v>
      </c>
      <c r="E1" s="232"/>
      <c r="F1" s="233">
        <v>100</v>
      </c>
      <c r="G1" s="234"/>
      <c r="N1" s="52" t="s">
        <v>65</v>
      </c>
      <c r="O1" s="52" t="s">
        <v>66</v>
      </c>
    </row>
    <row r="2" spans="1:15" s="52" customFormat="1" ht="15" customHeight="1">
      <c r="A2" s="236"/>
      <c r="B2" s="236"/>
      <c r="C2" s="236"/>
      <c r="D2" s="239"/>
      <c r="E2" s="240"/>
      <c r="F2" s="241"/>
      <c r="G2" s="239"/>
    </row>
    <row r="3" spans="1:15" s="52" customFormat="1" ht="13.5" customHeight="1">
      <c r="A3" s="236"/>
      <c r="B3" s="236"/>
      <c r="C3" s="236"/>
      <c r="D3" s="239" t="s">
        <v>80</v>
      </c>
      <c r="E3" s="239"/>
      <c r="F3" s="241">
        <f>SUM(F9:F502)+F1</f>
        <v>100</v>
      </c>
      <c r="G3" s="241"/>
    </row>
    <row r="4" spans="1:15" s="52" customFormat="1" ht="15.75" customHeight="1">
      <c r="A4" s="236"/>
      <c r="B4" s="236"/>
      <c r="C4" s="236"/>
      <c r="D4" s="239" t="s">
        <v>67</v>
      </c>
      <c r="E4" s="239"/>
      <c r="F4" s="241">
        <f>SUM(G9:G502)</f>
        <v>0</v>
      </c>
      <c r="G4" s="241"/>
    </row>
    <row r="5" spans="1:15" s="52" customFormat="1" ht="14.25" customHeight="1">
      <c r="A5" s="236"/>
      <c r="B5" s="236"/>
      <c r="C5" s="236"/>
      <c r="D5" s="16"/>
      <c r="E5" s="16"/>
      <c r="F5" s="56"/>
      <c r="G5" s="56"/>
    </row>
    <row r="6" spans="1:15" s="52" customFormat="1" ht="13.5" hidden="1" customHeight="1">
      <c r="A6" s="54"/>
      <c r="B6" s="54"/>
      <c r="C6" s="54"/>
      <c r="D6" s="55"/>
      <c r="E6" s="53"/>
      <c r="F6" s="55"/>
      <c r="G6" s="55"/>
    </row>
    <row r="7" spans="1:15" s="50" customFormat="1" ht="27" customHeight="1">
      <c r="A7" s="237" t="s">
        <v>64</v>
      </c>
      <c r="B7" s="238"/>
      <c r="C7" s="238"/>
      <c r="D7" s="238"/>
      <c r="E7" s="238"/>
      <c r="F7" s="238"/>
      <c r="G7" s="238"/>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sheetPr codeName="Sheet8">
    <tabColor indexed="62"/>
  </sheetPr>
  <dimension ref="A1:I1001"/>
  <sheetViews>
    <sheetView workbookViewId="0">
      <selection activeCell="A2" sqref="A2"/>
    </sheetView>
  </sheetViews>
  <sheetFormatPr defaultRowHeight="14.25"/>
  <cols>
    <col min="1" max="1" width="14" bestFit="1" customWidth="1"/>
    <col min="2" max="2" width="7.25" bestFit="1" customWidth="1"/>
    <col min="3" max="3" width="4.75" bestFit="1" customWidth="1"/>
    <col min="4" max="4" width="5.875" customWidth="1"/>
    <col min="5" max="5" width="8.75" bestFit="1" customWidth="1"/>
    <col min="6" max="6" width="10.875" bestFit="1" customWidth="1"/>
    <col min="7" max="7" width="19.125" bestFit="1" customWidth="1"/>
    <col min="8" max="8" width="11.875" bestFit="1" customWidth="1"/>
    <col min="9" max="9" width="14" bestFit="1" customWidth="1"/>
    <col min="10" max="10" width="6.5" bestFit="1" customWidth="1"/>
    <col min="11" max="11" width="8.25" bestFit="1" customWidth="1"/>
    <col min="13" max="13" width="10.875" bestFit="1" customWidth="1"/>
    <col min="14" max="14" width="8.625" bestFit="1" customWidth="1"/>
    <col min="15" max="16" width="7" bestFit="1" customWidth="1"/>
    <col min="17" max="17" width="8.75" bestFit="1" customWidth="1"/>
    <col min="18" max="18" width="7.875" bestFit="1" customWidth="1"/>
  </cols>
  <sheetData>
    <row r="1" spans="1:9" ht="15">
      <c r="A1" s="168" t="s">
        <v>113</v>
      </c>
      <c r="B1" s="168" t="s">
        <v>112</v>
      </c>
      <c r="C1" s="168" t="s">
        <v>155</v>
      </c>
      <c r="D1" s="168" t="s">
        <v>114</v>
      </c>
      <c r="E1" s="168" t="s">
        <v>115</v>
      </c>
      <c r="F1" s="168" t="s">
        <v>116</v>
      </c>
      <c r="G1" s="168" t="s">
        <v>117</v>
      </c>
      <c r="H1" s="168" t="s">
        <v>122</v>
      </c>
      <c r="I1" s="168" t="s">
        <v>123</v>
      </c>
    </row>
    <row r="2" spans="1:9">
      <c r="A2" s="213">
        <v>100</v>
      </c>
      <c r="B2" s="214">
        <f>ROUNDDOWN(A2/100*0.01,2)</f>
        <v>0.01</v>
      </c>
      <c r="C2" s="214">
        <v>5</v>
      </c>
      <c r="D2" s="215">
        <f>IF(A3&lt;&gt;"",(A3-A2)/B2/10,D2)</f>
        <v>90.000000000000142</v>
      </c>
      <c r="E2" s="215">
        <f t="shared" ref="E2:E33" si="0">D2/C2</f>
        <v>18.000000000000028</v>
      </c>
      <c r="F2" s="213">
        <f t="shared" ref="F2:F33" si="1">E2*B2*10</f>
        <v>1.8000000000000029</v>
      </c>
      <c r="G2" s="216">
        <v>41640</v>
      </c>
      <c r="H2" s="217">
        <v>0</v>
      </c>
      <c r="I2" s="217">
        <f t="shared" ref="I2:I33" si="2">A2-H2</f>
        <v>100</v>
      </c>
    </row>
    <row r="3" spans="1:9">
      <c r="A3" s="210">
        <f>A2*1.09</f>
        <v>109.00000000000001</v>
      </c>
      <c r="B3" s="208">
        <f t="shared" ref="B3:B66" si="3">ROUNDDOWN(A3/100*0.01,2)</f>
        <v>0.01</v>
      </c>
      <c r="C3" s="208">
        <v>5</v>
      </c>
      <c r="D3" s="209">
        <f>IF(A4&lt;&gt;"",(A4-A3)/B3/10,D2)</f>
        <v>98.100000000000165</v>
      </c>
      <c r="E3" s="209">
        <f t="shared" si="0"/>
        <v>19.620000000000033</v>
      </c>
      <c r="F3" s="210">
        <f t="shared" si="1"/>
        <v>1.9620000000000035</v>
      </c>
      <c r="G3" s="211">
        <f t="shared" ref="G3:G34" si="4">DATE(YEAR(G2),MONTH(G2),DAY(G2)+2+C3)</f>
        <v>41647</v>
      </c>
      <c r="H3" s="212">
        <f>A2/9</f>
        <v>11.111111111111111</v>
      </c>
      <c r="I3" s="212">
        <f t="shared" si="2"/>
        <v>97.8888888888889</v>
      </c>
    </row>
    <row r="4" spans="1:9">
      <c r="A4" s="210">
        <f t="shared" ref="A4:A67" si="5">A3*1.09</f>
        <v>118.81000000000003</v>
      </c>
      <c r="B4" s="208">
        <f t="shared" si="3"/>
        <v>0.01</v>
      </c>
      <c r="C4" s="208">
        <v>5</v>
      </c>
      <c r="D4" s="209">
        <f t="shared" ref="D4:D67" si="6">IF(A5&lt;&gt;"",(A5-A4)/B4/10,D3)</f>
        <v>106.92900000000009</v>
      </c>
      <c r="E4" s="209">
        <f t="shared" si="0"/>
        <v>21.385800000000017</v>
      </c>
      <c r="F4" s="210">
        <f t="shared" si="1"/>
        <v>2.1385800000000019</v>
      </c>
      <c r="G4" s="211">
        <f t="shared" si="4"/>
        <v>41654</v>
      </c>
      <c r="H4" s="212">
        <f t="shared" ref="H4:H67" si="7">A3/9</f>
        <v>12.111111111111112</v>
      </c>
      <c r="I4" s="212">
        <f t="shared" si="2"/>
        <v>106.69888888888892</v>
      </c>
    </row>
    <row r="5" spans="1:9">
      <c r="A5" s="210">
        <f t="shared" si="5"/>
        <v>129.50290000000004</v>
      </c>
      <c r="B5" s="208">
        <f t="shared" si="3"/>
        <v>0.01</v>
      </c>
      <c r="C5" s="208">
        <v>5</v>
      </c>
      <c r="D5" s="209">
        <f t="shared" si="6"/>
        <v>116.55261000000023</v>
      </c>
      <c r="E5" s="209">
        <f t="shared" si="0"/>
        <v>23.310522000000045</v>
      </c>
      <c r="F5" s="210">
        <f t="shared" si="1"/>
        <v>2.3310522000000047</v>
      </c>
      <c r="G5" s="211">
        <f t="shared" si="4"/>
        <v>41661</v>
      </c>
      <c r="H5" s="212">
        <f t="shared" si="7"/>
        <v>13.201111111111114</v>
      </c>
      <c r="I5" s="212">
        <f t="shared" si="2"/>
        <v>116.30178888888892</v>
      </c>
    </row>
    <row r="6" spans="1:9">
      <c r="A6" s="210">
        <f t="shared" si="5"/>
        <v>141.15816100000006</v>
      </c>
      <c r="B6" s="208">
        <f t="shared" si="3"/>
        <v>0.01</v>
      </c>
      <c r="C6" s="208">
        <v>5</v>
      </c>
      <c r="D6" s="209">
        <f t="shared" si="6"/>
        <v>127.04234490000003</v>
      </c>
      <c r="E6" s="209">
        <f t="shared" si="0"/>
        <v>25.408468980000006</v>
      </c>
      <c r="F6" s="210">
        <f t="shared" si="1"/>
        <v>2.5408468980000003</v>
      </c>
      <c r="G6" s="211">
        <f t="shared" si="4"/>
        <v>41668</v>
      </c>
      <c r="H6" s="212">
        <f t="shared" si="7"/>
        <v>14.389211111111116</v>
      </c>
      <c r="I6" s="212">
        <f t="shared" si="2"/>
        <v>126.76894988888895</v>
      </c>
    </row>
    <row r="7" spans="1:9">
      <c r="A7" s="210">
        <f t="shared" si="5"/>
        <v>153.86239549000007</v>
      </c>
      <c r="B7" s="208">
        <f t="shared" si="3"/>
        <v>0.01</v>
      </c>
      <c r="C7" s="208">
        <v>5</v>
      </c>
      <c r="D7" s="209">
        <f t="shared" si="6"/>
        <v>138.47615594100006</v>
      </c>
      <c r="E7" s="209">
        <f t="shared" si="0"/>
        <v>27.695231188200012</v>
      </c>
      <c r="F7" s="210">
        <f t="shared" si="1"/>
        <v>2.7695231188200014</v>
      </c>
      <c r="G7" s="211">
        <f t="shared" si="4"/>
        <v>41675</v>
      </c>
      <c r="H7" s="212">
        <f t="shared" si="7"/>
        <v>15.684240111111118</v>
      </c>
      <c r="I7" s="212">
        <f t="shared" si="2"/>
        <v>138.17815537888896</v>
      </c>
    </row>
    <row r="8" spans="1:9">
      <c r="A8" s="210">
        <f t="shared" si="5"/>
        <v>167.71001108410007</v>
      </c>
      <c r="B8" s="208">
        <f t="shared" si="3"/>
        <v>0.01</v>
      </c>
      <c r="C8" s="208">
        <v>5</v>
      </c>
      <c r="D8" s="209">
        <f t="shared" si="6"/>
        <v>150.93900997569023</v>
      </c>
      <c r="E8" s="209">
        <f t="shared" si="0"/>
        <v>30.187801995138045</v>
      </c>
      <c r="F8" s="210">
        <f t="shared" si="1"/>
        <v>3.0187801995138046</v>
      </c>
      <c r="G8" s="211">
        <f t="shared" si="4"/>
        <v>41682</v>
      </c>
      <c r="H8" s="212">
        <f t="shared" si="7"/>
        <v>17.095821721111118</v>
      </c>
      <c r="I8" s="212">
        <f t="shared" si="2"/>
        <v>150.61418936298895</v>
      </c>
    </row>
    <row r="9" spans="1:9">
      <c r="A9" s="210">
        <f t="shared" si="5"/>
        <v>182.8039120816691</v>
      </c>
      <c r="B9" s="208">
        <f t="shared" si="3"/>
        <v>0.01</v>
      </c>
      <c r="C9" s="208">
        <v>5</v>
      </c>
      <c r="D9" s="209">
        <f t="shared" si="6"/>
        <v>164.52352087350221</v>
      </c>
      <c r="E9" s="209">
        <f t="shared" si="0"/>
        <v>32.904704174700441</v>
      </c>
      <c r="F9" s="210">
        <f t="shared" si="1"/>
        <v>3.2904704174700443</v>
      </c>
      <c r="G9" s="211">
        <f t="shared" si="4"/>
        <v>41689</v>
      </c>
      <c r="H9" s="212">
        <f t="shared" si="7"/>
        <v>18.634445676011119</v>
      </c>
      <c r="I9" s="212">
        <f t="shared" si="2"/>
        <v>164.16946640565797</v>
      </c>
    </row>
    <row r="10" spans="1:9">
      <c r="A10" s="210">
        <f t="shared" si="5"/>
        <v>199.25626416901932</v>
      </c>
      <c r="B10" s="208">
        <f t="shared" si="3"/>
        <v>0.01</v>
      </c>
      <c r="C10" s="208">
        <v>5</v>
      </c>
      <c r="D10" s="209">
        <f t="shared" si="6"/>
        <v>179.33063775211764</v>
      </c>
      <c r="E10" s="209">
        <f t="shared" si="0"/>
        <v>35.866127550423528</v>
      </c>
      <c r="F10" s="210">
        <f t="shared" si="1"/>
        <v>3.5866127550423528</v>
      </c>
      <c r="G10" s="211">
        <f t="shared" si="4"/>
        <v>41696</v>
      </c>
      <c r="H10" s="212">
        <f t="shared" si="7"/>
        <v>20.311545786852122</v>
      </c>
      <c r="I10" s="212">
        <f t="shared" si="2"/>
        <v>178.9447183821672</v>
      </c>
    </row>
    <row r="11" spans="1:9">
      <c r="A11" s="210">
        <f t="shared" si="5"/>
        <v>217.18932794423108</v>
      </c>
      <c r="B11" s="208">
        <f t="shared" si="3"/>
        <v>0.02</v>
      </c>
      <c r="C11" s="208">
        <v>5</v>
      </c>
      <c r="D11" s="209">
        <f t="shared" si="6"/>
        <v>97.735197574904049</v>
      </c>
      <c r="E11" s="209">
        <f t="shared" si="0"/>
        <v>19.54703951498081</v>
      </c>
      <c r="F11" s="210">
        <f t="shared" si="1"/>
        <v>3.9094079029961621</v>
      </c>
      <c r="G11" s="211">
        <f t="shared" si="4"/>
        <v>41703</v>
      </c>
      <c r="H11" s="212">
        <f t="shared" si="7"/>
        <v>22.139584907668812</v>
      </c>
      <c r="I11" s="212">
        <f t="shared" si="2"/>
        <v>195.04974303656226</v>
      </c>
    </row>
    <row r="12" spans="1:9">
      <c r="A12" s="210">
        <f t="shared" si="5"/>
        <v>236.73636745921189</v>
      </c>
      <c r="B12" s="208">
        <f t="shared" si="3"/>
        <v>0.02</v>
      </c>
      <c r="C12" s="208">
        <v>5</v>
      </c>
      <c r="D12" s="209">
        <f t="shared" si="6"/>
        <v>106.53136535664558</v>
      </c>
      <c r="E12" s="209">
        <f t="shared" si="0"/>
        <v>21.306273071329116</v>
      </c>
      <c r="F12" s="210">
        <f t="shared" si="1"/>
        <v>4.2612546142658232</v>
      </c>
      <c r="G12" s="211">
        <f t="shared" si="4"/>
        <v>41710</v>
      </c>
      <c r="H12" s="212">
        <f t="shared" si="7"/>
        <v>24.132147549359008</v>
      </c>
      <c r="I12" s="212">
        <f t="shared" si="2"/>
        <v>212.60421990985287</v>
      </c>
    </row>
    <row r="13" spans="1:9">
      <c r="A13" s="210">
        <f t="shared" si="5"/>
        <v>258.04264053054101</v>
      </c>
      <c r="B13" s="208">
        <f t="shared" si="3"/>
        <v>0.02</v>
      </c>
      <c r="C13" s="208">
        <v>5</v>
      </c>
      <c r="D13" s="209">
        <f t="shared" si="6"/>
        <v>116.11918823874362</v>
      </c>
      <c r="E13" s="209">
        <f t="shared" si="0"/>
        <v>23.223837647748724</v>
      </c>
      <c r="F13" s="210">
        <f t="shared" si="1"/>
        <v>4.6447675295497444</v>
      </c>
      <c r="G13" s="211">
        <f t="shared" si="4"/>
        <v>41717</v>
      </c>
      <c r="H13" s="212">
        <f t="shared" si="7"/>
        <v>26.30404082880132</v>
      </c>
      <c r="I13" s="212">
        <f t="shared" si="2"/>
        <v>231.7385997017397</v>
      </c>
    </row>
    <row r="14" spans="1:9">
      <c r="A14" s="210">
        <f t="shared" si="5"/>
        <v>281.26647817828973</v>
      </c>
      <c r="B14" s="208">
        <f t="shared" si="3"/>
        <v>0.02</v>
      </c>
      <c r="C14" s="208">
        <v>5</v>
      </c>
      <c r="D14" s="209">
        <f t="shared" si="6"/>
        <v>126.56991518023062</v>
      </c>
      <c r="E14" s="209">
        <f t="shared" si="0"/>
        <v>25.313983036046125</v>
      </c>
      <c r="F14" s="210">
        <f t="shared" si="1"/>
        <v>5.0627966072092248</v>
      </c>
      <c r="G14" s="211">
        <f t="shared" si="4"/>
        <v>41724</v>
      </c>
      <c r="H14" s="212">
        <f t="shared" si="7"/>
        <v>28.671404503393447</v>
      </c>
      <c r="I14" s="212">
        <f t="shared" si="2"/>
        <v>252.5950736748963</v>
      </c>
    </row>
    <row r="15" spans="1:9">
      <c r="A15" s="210">
        <f t="shared" si="5"/>
        <v>306.58046121433586</v>
      </c>
      <c r="B15" s="208">
        <f t="shared" si="3"/>
        <v>0.03</v>
      </c>
      <c r="C15" s="208">
        <v>5</v>
      </c>
      <c r="D15" s="209">
        <f t="shared" si="6"/>
        <v>91.97413836430087</v>
      </c>
      <c r="E15" s="209">
        <f t="shared" si="0"/>
        <v>18.394827672860174</v>
      </c>
      <c r="F15" s="210">
        <f t="shared" si="1"/>
        <v>5.5184483018580526</v>
      </c>
      <c r="G15" s="211">
        <f t="shared" si="4"/>
        <v>41731</v>
      </c>
      <c r="H15" s="212">
        <f t="shared" si="7"/>
        <v>31.25183090869886</v>
      </c>
      <c r="I15" s="212">
        <f t="shared" si="2"/>
        <v>275.32863030563698</v>
      </c>
    </row>
    <row r="16" spans="1:9">
      <c r="A16" s="210">
        <f t="shared" si="5"/>
        <v>334.17270272362612</v>
      </c>
      <c r="B16" s="208">
        <f t="shared" si="3"/>
        <v>0.03</v>
      </c>
      <c r="C16" s="208">
        <v>5</v>
      </c>
      <c r="D16" s="209">
        <f t="shared" si="6"/>
        <v>100.2518108170879</v>
      </c>
      <c r="E16" s="209">
        <f t="shared" si="0"/>
        <v>20.050362163417581</v>
      </c>
      <c r="F16" s="210">
        <f t="shared" si="1"/>
        <v>6.015108649025275</v>
      </c>
      <c r="G16" s="211">
        <f t="shared" si="4"/>
        <v>41738</v>
      </c>
      <c r="H16" s="212">
        <f t="shared" si="7"/>
        <v>34.064495690481763</v>
      </c>
      <c r="I16" s="212">
        <f t="shared" si="2"/>
        <v>300.10820703314437</v>
      </c>
    </row>
    <row r="17" spans="1:9">
      <c r="A17" s="210">
        <f t="shared" si="5"/>
        <v>364.24824596875249</v>
      </c>
      <c r="B17" s="208">
        <f t="shared" si="3"/>
        <v>0.03</v>
      </c>
      <c r="C17" s="208">
        <v>5</v>
      </c>
      <c r="D17" s="209">
        <f t="shared" si="6"/>
        <v>109.27447379062585</v>
      </c>
      <c r="E17" s="209">
        <f t="shared" si="0"/>
        <v>21.85489475812517</v>
      </c>
      <c r="F17" s="210">
        <f t="shared" si="1"/>
        <v>6.5564684274375509</v>
      </c>
      <c r="G17" s="211">
        <f t="shared" si="4"/>
        <v>41745</v>
      </c>
      <c r="H17" s="212">
        <f t="shared" si="7"/>
        <v>37.130300302625123</v>
      </c>
      <c r="I17" s="212">
        <f t="shared" si="2"/>
        <v>327.11794566612735</v>
      </c>
    </row>
    <row r="18" spans="1:9">
      <c r="A18" s="210">
        <f t="shared" si="5"/>
        <v>397.03058810594024</v>
      </c>
      <c r="B18" s="208">
        <f t="shared" si="3"/>
        <v>0.03</v>
      </c>
      <c r="C18" s="208">
        <v>5</v>
      </c>
      <c r="D18" s="209">
        <f t="shared" si="6"/>
        <v>119.10917643178209</v>
      </c>
      <c r="E18" s="209">
        <f t="shared" si="0"/>
        <v>23.821835286356418</v>
      </c>
      <c r="F18" s="210">
        <f t="shared" si="1"/>
        <v>7.146550585906926</v>
      </c>
      <c r="G18" s="211">
        <f t="shared" si="4"/>
        <v>41752</v>
      </c>
      <c r="H18" s="212">
        <f t="shared" si="7"/>
        <v>40.47202732986139</v>
      </c>
      <c r="I18" s="212">
        <f t="shared" si="2"/>
        <v>356.55856077607882</v>
      </c>
    </row>
    <row r="19" spans="1:9">
      <c r="A19" s="210">
        <f t="shared" si="5"/>
        <v>432.76334103547487</v>
      </c>
      <c r="B19" s="208">
        <f t="shared" si="3"/>
        <v>0.04</v>
      </c>
      <c r="C19" s="208">
        <v>5</v>
      </c>
      <c r="D19" s="209">
        <f t="shared" si="6"/>
        <v>97.371751732981977</v>
      </c>
      <c r="E19" s="209">
        <f t="shared" si="0"/>
        <v>19.474350346596395</v>
      </c>
      <c r="F19" s="210">
        <f t="shared" si="1"/>
        <v>7.7897401386385576</v>
      </c>
      <c r="G19" s="211">
        <f t="shared" si="4"/>
        <v>41759</v>
      </c>
      <c r="H19" s="212">
        <f t="shared" si="7"/>
        <v>44.114509789548919</v>
      </c>
      <c r="I19" s="212">
        <f t="shared" si="2"/>
        <v>388.64883124592598</v>
      </c>
    </row>
    <row r="20" spans="1:9">
      <c r="A20" s="210">
        <f t="shared" si="5"/>
        <v>471.71204172866766</v>
      </c>
      <c r="B20" s="208">
        <f t="shared" si="3"/>
        <v>0.04</v>
      </c>
      <c r="C20" s="208">
        <v>5</v>
      </c>
      <c r="D20" s="209">
        <f t="shared" si="6"/>
        <v>106.13520938895036</v>
      </c>
      <c r="E20" s="209">
        <f t="shared" si="0"/>
        <v>21.227041877790072</v>
      </c>
      <c r="F20" s="210">
        <f t="shared" si="1"/>
        <v>8.4908167511160286</v>
      </c>
      <c r="G20" s="211">
        <f t="shared" si="4"/>
        <v>41766</v>
      </c>
      <c r="H20" s="212">
        <f t="shared" si="7"/>
        <v>48.084815670608322</v>
      </c>
      <c r="I20" s="212">
        <f t="shared" si="2"/>
        <v>423.62722605805936</v>
      </c>
    </row>
    <row r="21" spans="1:9">
      <c r="A21" s="210">
        <f t="shared" si="5"/>
        <v>514.1661254842478</v>
      </c>
      <c r="B21" s="208">
        <f t="shared" si="3"/>
        <v>0.05</v>
      </c>
      <c r="C21" s="208">
        <v>5</v>
      </c>
      <c r="D21" s="209">
        <f t="shared" si="6"/>
        <v>92.549902587164752</v>
      </c>
      <c r="E21" s="209">
        <f t="shared" si="0"/>
        <v>18.50998051743295</v>
      </c>
      <c r="F21" s="210">
        <f t="shared" si="1"/>
        <v>9.2549902587164752</v>
      </c>
      <c r="G21" s="211">
        <f t="shared" si="4"/>
        <v>41773</v>
      </c>
      <c r="H21" s="212">
        <f t="shared" si="7"/>
        <v>52.412449080963071</v>
      </c>
      <c r="I21" s="212">
        <f t="shared" si="2"/>
        <v>461.75367640328471</v>
      </c>
    </row>
    <row r="22" spans="1:9">
      <c r="A22" s="210">
        <f t="shared" si="5"/>
        <v>560.44107677783018</v>
      </c>
      <c r="B22" s="208">
        <f t="shared" si="3"/>
        <v>0.05</v>
      </c>
      <c r="C22" s="208">
        <v>5</v>
      </c>
      <c r="D22" s="209">
        <f t="shared" si="6"/>
        <v>100.87939382000945</v>
      </c>
      <c r="E22" s="209">
        <f t="shared" si="0"/>
        <v>20.17587876400189</v>
      </c>
      <c r="F22" s="210">
        <f t="shared" si="1"/>
        <v>10.087939382000945</v>
      </c>
      <c r="G22" s="211">
        <f t="shared" si="4"/>
        <v>41780</v>
      </c>
      <c r="H22" s="212">
        <f t="shared" si="7"/>
        <v>57.129569498249758</v>
      </c>
      <c r="I22" s="212">
        <f t="shared" si="2"/>
        <v>503.31150727958044</v>
      </c>
    </row>
    <row r="23" spans="1:9">
      <c r="A23" s="210">
        <f t="shared" si="5"/>
        <v>610.8807736878349</v>
      </c>
      <c r="B23" s="208">
        <f t="shared" si="3"/>
        <v>0.06</v>
      </c>
      <c r="C23" s="208">
        <v>5</v>
      </c>
      <c r="D23" s="209">
        <f t="shared" si="6"/>
        <v>91.632116053175238</v>
      </c>
      <c r="E23" s="209">
        <f t="shared" si="0"/>
        <v>18.326423210635049</v>
      </c>
      <c r="F23" s="210">
        <f t="shared" si="1"/>
        <v>10.995853926381029</v>
      </c>
      <c r="G23" s="211">
        <f t="shared" si="4"/>
        <v>41787</v>
      </c>
      <c r="H23" s="212">
        <f t="shared" si="7"/>
        <v>62.27123075309224</v>
      </c>
      <c r="I23" s="212">
        <f t="shared" si="2"/>
        <v>548.60954293474265</v>
      </c>
    </row>
    <row r="24" spans="1:9">
      <c r="A24" s="210">
        <f t="shared" si="5"/>
        <v>665.86004331974004</v>
      </c>
      <c r="B24" s="208">
        <f t="shared" si="3"/>
        <v>0.06</v>
      </c>
      <c r="C24" s="208">
        <v>5</v>
      </c>
      <c r="D24" s="209">
        <f t="shared" si="6"/>
        <v>99.879006497961129</v>
      </c>
      <c r="E24" s="209">
        <f t="shared" si="0"/>
        <v>19.975801299592227</v>
      </c>
      <c r="F24" s="210">
        <f t="shared" si="1"/>
        <v>11.985480779755335</v>
      </c>
      <c r="G24" s="211">
        <f t="shared" si="4"/>
        <v>41794</v>
      </c>
      <c r="H24" s="212">
        <f t="shared" si="7"/>
        <v>67.875641520870545</v>
      </c>
      <c r="I24" s="212">
        <f t="shared" si="2"/>
        <v>597.9844017988695</v>
      </c>
    </row>
    <row r="25" spans="1:9">
      <c r="A25" s="210">
        <f t="shared" si="5"/>
        <v>725.78744721851672</v>
      </c>
      <c r="B25" s="208">
        <f t="shared" si="3"/>
        <v>7.0000000000000007E-2</v>
      </c>
      <c r="C25" s="208">
        <v>5</v>
      </c>
      <c r="D25" s="209">
        <f t="shared" si="6"/>
        <v>93.315528928095048</v>
      </c>
      <c r="E25" s="209">
        <f t="shared" si="0"/>
        <v>18.66310578561901</v>
      </c>
      <c r="F25" s="210">
        <f t="shared" si="1"/>
        <v>13.064174049933309</v>
      </c>
      <c r="G25" s="211">
        <f t="shared" si="4"/>
        <v>41801</v>
      </c>
      <c r="H25" s="212">
        <f t="shared" si="7"/>
        <v>73.984449257748892</v>
      </c>
      <c r="I25" s="212">
        <f t="shared" si="2"/>
        <v>651.80299796076781</v>
      </c>
    </row>
    <row r="26" spans="1:9">
      <c r="A26" s="210">
        <f t="shared" si="5"/>
        <v>791.10831746818326</v>
      </c>
      <c r="B26" s="208">
        <f t="shared" si="3"/>
        <v>7.0000000000000007E-2</v>
      </c>
      <c r="C26" s="208">
        <v>5</v>
      </c>
      <c r="D26" s="209">
        <f t="shared" si="6"/>
        <v>101.71392653162357</v>
      </c>
      <c r="E26" s="209">
        <f t="shared" si="0"/>
        <v>20.342785306324714</v>
      </c>
      <c r="F26" s="210">
        <f t="shared" si="1"/>
        <v>14.239949714427301</v>
      </c>
      <c r="G26" s="211">
        <f t="shared" si="4"/>
        <v>41808</v>
      </c>
      <c r="H26" s="212">
        <f t="shared" si="7"/>
        <v>80.643049690946299</v>
      </c>
      <c r="I26" s="212">
        <f t="shared" si="2"/>
        <v>710.46526777723693</v>
      </c>
    </row>
    <row r="27" spans="1:9">
      <c r="A27" s="210">
        <f t="shared" si="5"/>
        <v>862.30806604031977</v>
      </c>
      <c r="B27" s="208">
        <f t="shared" si="3"/>
        <v>0.08</v>
      </c>
      <c r="C27" s="208">
        <v>5</v>
      </c>
      <c r="D27" s="209">
        <f t="shared" si="6"/>
        <v>97.009657429535991</v>
      </c>
      <c r="E27" s="209">
        <f t="shared" si="0"/>
        <v>19.401931485907198</v>
      </c>
      <c r="F27" s="210">
        <f t="shared" si="1"/>
        <v>15.521545188725758</v>
      </c>
      <c r="G27" s="211">
        <f t="shared" si="4"/>
        <v>41815</v>
      </c>
      <c r="H27" s="212">
        <f t="shared" si="7"/>
        <v>87.900924163131478</v>
      </c>
      <c r="I27" s="212">
        <f t="shared" si="2"/>
        <v>774.40714187718834</v>
      </c>
    </row>
    <row r="28" spans="1:9">
      <c r="A28" s="210">
        <f t="shared" si="5"/>
        <v>939.91579198394857</v>
      </c>
      <c r="B28" s="208">
        <f t="shared" si="3"/>
        <v>0.09</v>
      </c>
      <c r="C28" s="208">
        <v>5</v>
      </c>
      <c r="D28" s="209">
        <f t="shared" si="6"/>
        <v>93.991579198395058</v>
      </c>
      <c r="E28" s="209">
        <f t="shared" si="0"/>
        <v>18.798315839679013</v>
      </c>
      <c r="F28" s="210">
        <f t="shared" si="1"/>
        <v>16.91848425571111</v>
      </c>
      <c r="G28" s="211">
        <f t="shared" si="4"/>
        <v>41822</v>
      </c>
      <c r="H28" s="212">
        <f t="shared" si="7"/>
        <v>95.812007337813313</v>
      </c>
      <c r="I28" s="212">
        <f t="shared" si="2"/>
        <v>844.1037846461353</v>
      </c>
    </row>
    <row r="29" spans="1:9">
      <c r="A29" s="210">
        <f t="shared" si="5"/>
        <v>1024.5082132625041</v>
      </c>
      <c r="B29" s="208">
        <f t="shared" si="3"/>
        <v>0.1</v>
      </c>
      <c r="C29" s="208">
        <v>5</v>
      </c>
      <c r="D29" s="209">
        <f t="shared" si="6"/>
        <v>92.205739193625504</v>
      </c>
      <c r="E29" s="209">
        <f t="shared" si="0"/>
        <v>18.441147838725101</v>
      </c>
      <c r="F29" s="210">
        <f t="shared" si="1"/>
        <v>18.441147838725101</v>
      </c>
      <c r="G29" s="211">
        <f t="shared" si="4"/>
        <v>41829</v>
      </c>
      <c r="H29" s="212">
        <f t="shared" si="7"/>
        <v>104.4350879982165</v>
      </c>
      <c r="I29" s="212">
        <f t="shared" si="2"/>
        <v>920.07312526428757</v>
      </c>
    </row>
    <row r="30" spans="1:9">
      <c r="A30" s="210">
        <f t="shared" si="5"/>
        <v>1116.7139524561296</v>
      </c>
      <c r="B30" s="208">
        <f t="shared" si="3"/>
        <v>0.11</v>
      </c>
      <c r="C30" s="208">
        <v>5</v>
      </c>
      <c r="D30" s="209">
        <f t="shared" si="6"/>
        <v>91.36750520095616</v>
      </c>
      <c r="E30" s="209">
        <f t="shared" si="0"/>
        <v>18.273501040191231</v>
      </c>
      <c r="F30" s="210">
        <f t="shared" si="1"/>
        <v>20.100851144210353</v>
      </c>
      <c r="G30" s="211">
        <f t="shared" si="4"/>
        <v>41836</v>
      </c>
      <c r="H30" s="212">
        <f t="shared" si="7"/>
        <v>113.83424591805601</v>
      </c>
      <c r="I30" s="212">
        <f t="shared" si="2"/>
        <v>1002.8797065380736</v>
      </c>
    </row>
    <row r="31" spans="1:9">
      <c r="A31" s="210">
        <f t="shared" si="5"/>
        <v>1217.2182081771814</v>
      </c>
      <c r="B31" s="208">
        <f t="shared" si="3"/>
        <v>0.12</v>
      </c>
      <c r="C31" s="208">
        <v>5</v>
      </c>
      <c r="D31" s="209">
        <f t="shared" si="6"/>
        <v>91.291365613288733</v>
      </c>
      <c r="E31" s="209">
        <f t="shared" si="0"/>
        <v>18.258273122657748</v>
      </c>
      <c r="F31" s="210">
        <f t="shared" si="1"/>
        <v>21.909927747189293</v>
      </c>
      <c r="G31" s="211">
        <f t="shared" si="4"/>
        <v>41843</v>
      </c>
      <c r="H31" s="212">
        <f t="shared" si="7"/>
        <v>124.07932805068107</v>
      </c>
      <c r="I31" s="212">
        <f t="shared" si="2"/>
        <v>1093.1388801265002</v>
      </c>
    </row>
    <row r="32" spans="1:9">
      <c r="A32" s="210">
        <f t="shared" si="5"/>
        <v>1326.7678469131279</v>
      </c>
      <c r="B32" s="208">
        <f t="shared" si="3"/>
        <v>0.13</v>
      </c>
      <c r="C32" s="208">
        <v>5</v>
      </c>
      <c r="D32" s="209">
        <f t="shared" si="6"/>
        <v>91.853158632447432</v>
      </c>
      <c r="E32" s="209">
        <f t="shared" si="0"/>
        <v>18.370631726489485</v>
      </c>
      <c r="F32" s="210">
        <f t="shared" si="1"/>
        <v>23.881821244436331</v>
      </c>
      <c r="G32" s="211">
        <f t="shared" si="4"/>
        <v>41850</v>
      </c>
      <c r="H32" s="212">
        <f t="shared" si="7"/>
        <v>135.24646757524238</v>
      </c>
      <c r="I32" s="212">
        <f t="shared" si="2"/>
        <v>1191.5213793378855</v>
      </c>
    </row>
    <row r="33" spans="1:9">
      <c r="A33" s="210">
        <f t="shared" si="5"/>
        <v>1446.1769531353095</v>
      </c>
      <c r="B33" s="208">
        <f t="shared" si="3"/>
        <v>0.14000000000000001</v>
      </c>
      <c r="C33" s="208">
        <v>5</v>
      </c>
      <c r="D33" s="209">
        <f t="shared" si="6"/>
        <v>92.968518415841402</v>
      </c>
      <c r="E33" s="209">
        <f t="shared" si="0"/>
        <v>18.593703683168279</v>
      </c>
      <c r="F33" s="210">
        <f t="shared" si="1"/>
        <v>26.03118515643559</v>
      </c>
      <c r="G33" s="211">
        <f t="shared" si="4"/>
        <v>41857</v>
      </c>
      <c r="H33" s="212">
        <f t="shared" si="7"/>
        <v>147.41864965701421</v>
      </c>
      <c r="I33" s="212">
        <f t="shared" si="2"/>
        <v>1298.7583034782954</v>
      </c>
    </row>
    <row r="34" spans="1:9">
      <c r="A34" s="210">
        <f t="shared" si="5"/>
        <v>1576.3328789174875</v>
      </c>
      <c r="B34" s="208">
        <f t="shared" si="3"/>
        <v>0.15</v>
      </c>
      <c r="C34" s="208">
        <v>5</v>
      </c>
      <c r="D34" s="209">
        <f t="shared" si="6"/>
        <v>94.579972735049381</v>
      </c>
      <c r="E34" s="209">
        <f t="shared" ref="E34:E65" si="8">D34/C34</f>
        <v>18.915994547009877</v>
      </c>
      <c r="F34" s="210">
        <f t="shared" ref="F34:F65" si="9">E34*B34*10</f>
        <v>28.373991820514814</v>
      </c>
      <c r="G34" s="211">
        <f t="shared" si="4"/>
        <v>41864</v>
      </c>
      <c r="H34" s="212">
        <f t="shared" si="7"/>
        <v>160.6863281261455</v>
      </c>
      <c r="I34" s="212">
        <f t="shared" ref="I34:I65" si="10">A34-H34</f>
        <v>1415.646550791342</v>
      </c>
    </row>
    <row r="35" spans="1:9">
      <c r="A35" s="210">
        <f t="shared" si="5"/>
        <v>1718.2028380200616</v>
      </c>
      <c r="B35" s="208">
        <f t="shared" si="3"/>
        <v>0.17</v>
      </c>
      <c r="C35" s="208">
        <v>5</v>
      </c>
      <c r="D35" s="209">
        <f t="shared" si="6"/>
        <v>90.963679659885727</v>
      </c>
      <c r="E35" s="209">
        <f t="shared" si="8"/>
        <v>18.192735931977147</v>
      </c>
      <c r="F35" s="210">
        <f t="shared" si="9"/>
        <v>30.927651084361152</v>
      </c>
      <c r="G35" s="211">
        <f t="shared" ref="G35:G66" si="11">DATE(YEAR(G34),MONTH(G34),DAY(G34)+2+C35)</f>
        <v>41871</v>
      </c>
      <c r="H35" s="212">
        <f t="shared" si="7"/>
        <v>175.14809765749862</v>
      </c>
      <c r="I35" s="212">
        <f t="shared" si="10"/>
        <v>1543.0547403625628</v>
      </c>
    </row>
    <row r="36" spans="1:9">
      <c r="A36" s="210">
        <f t="shared" si="5"/>
        <v>1872.8410934418673</v>
      </c>
      <c r="B36" s="208">
        <f t="shared" si="3"/>
        <v>0.18</v>
      </c>
      <c r="C36" s="208">
        <v>5</v>
      </c>
      <c r="D36" s="209">
        <f t="shared" si="6"/>
        <v>93.642054672093437</v>
      </c>
      <c r="E36" s="209">
        <f t="shared" si="8"/>
        <v>18.728410934418687</v>
      </c>
      <c r="F36" s="210">
        <f t="shared" si="9"/>
        <v>33.71113968195364</v>
      </c>
      <c r="G36" s="211">
        <f t="shared" si="11"/>
        <v>41878</v>
      </c>
      <c r="H36" s="212">
        <f t="shared" si="7"/>
        <v>190.91142644667352</v>
      </c>
      <c r="I36" s="212">
        <f t="shared" si="10"/>
        <v>1681.9296669951939</v>
      </c>
    </row>
    <row r="37" spans="1:9">
      <c r="A37" s="210">
        <f t="shared" si="5"/>
        <v>2041.3967918516355</v>
      </c>
      <c r="B37" s="208">
        <f t="shared" si="3"/>
        <v>0.2</v>
      </c>
      <c r="C37" s="208">
        <v>5</v>
      </c>
      <c r="D37" s="209">
        <f t="shared" si="6"/>
        <v>91.862855633323761</v>
      </c>
      <c r="E37" s="209">
        <f t="shared" si="8"/>
        <v>18.372571126664752</v>
      </c>
      <c r="F37" s="210">
        <f t="shared" si="9"/>
        <v>36.745142253329504</v>
      </c>
      <c r="G37" s="211">
        <f t="shared" si="11"/>
        <v>41885</v>
      </c>
      <c r="H37" s="212">
        <f t="shared" si="7"/>
        <v>208.09345482687414</v>
      </c>
      <c r="I37" s="212">
        <f t="shared" si="10"/>
        <v>1833.3033370247613</v>
      </c>
    </row>
    <row r="38" spans="1:9">
      <c r="A38" s="210">
        <f t="shared" si="5"/>
        <v>2225.122503118283</v>
      </c>
      <c r="B38" s="208">
        <f t="shared" si="3"/>
        <v>0.22</v>
      </c>
      <c r="C38" s="208">
        <v>5</v>
      </c>
      <c r="D38" s="209">
        <f t="shared" si="6"/>
        <v>91.027738763929889</v>
      </c>
      <c r="E38" s="209">
        <f t="shared" si="8"/>
        <v>18.205547752785979</v>
      </c>
      <c r="F38" s="210">
        <f t="shared" si="9"/>
        <v>40.052205056129154</v>
      </c>
      <c r="G38" s="211">
        <f t="shared" si="11"/>
        <v>41892</v>
      </c>
      <c r="H38" s="212">
        <f t="shared" si="7"/>
        <v>226.82186576129283</v>
      </c>
      <c r="I38" s="212">
        <f t="shared" si="10"/>
        <v>1998.3006373569901</v>
      </c>
    </row>
    <row r="39" spans="1:9">
      <c r="A39" s="210">
        <f t="shared" si="5"/>
        <v>2425.3835283989288</v>
      </c>
      <c r="B39" s="208">
        <f t="shared" si="3"/>
        <v>0.24</v>
      </c>
      <c r="C39" s="208">
        <v>5</v>
      </c>
      <c r="D39" s="209">
        <f t="shared" si="6"/>
        <v>90.951882314959875</v>
      </c>
      <c r="E39" s="209">
        <f t="shared" si="8"/>
        <v>18.190376462991974</v>
      </c>
      <c r="F39" s="210">
        <f t="shared" si="9"/>
        <v>43.656903511180744</v>
      </c>
      <c r="G39" s="211">
        <f t="shared" si="11"/>
        <v>41899</v>
      </c>
      <c r="H39" s="212">
        <f t="shared" si="7"/>
        <v>247.23583367980922</v>
      </c>
      <c r="I39" s="212">
        <f t="shared" si="10"/>
        <v>2178.1476947191195</v>
      </c>
    </row>
    <row r="40" spans="1:9">
      <c r="A40" s="210">
        <f t="shared" si="5"/>
        <v>2643.6680459548325</v>
      </c>
      <c r="B40" s="208">
        <f t="shared" si="3"/>
        <v>0.26</v>
      </c>
      <c r="C40" s="208">
        <v>5</v>
      </c>
      <c r="D40" s="209">
        <f t="shared" si="6"/>
        <v>91.511586206128968</v>
      </c>
      <c r="E40" s="209">
        <f t="shared" si="8"/>
        <v>18.302317241225794</v>
      </c>
      <c r="F40" s="210">
        <f t="shared" si="9"/>
        <v>47.586024827187067</v>
      </c>
      <c r="G40" s="211">
        <f t="shared" si="11"/>
        <v>41906</v>
      </c>
      <c r="H40" s="212">
        <f t="shared" si="7"/>
        <v>269.48705871099207</v>
      </c>
      <c r="I40" s="212">
        <f t="shared" si="10"/>
        <v>2374.1809872438403</v>
      </c>
    </row>
    <row r="41" spans="1:9">
      <c r="A41" s="210">
        <f t="shared" si="5"/>
        <v>2881.5981700907678</v>
      </c>
      <c r="B41" s="208">
        <f t="shared" si="3"/>
        <v>0.28000000000000003</v>
      </c>
      <c r="C41" s="208">
        <v>5</v>
      </c>
      <c r="D41" s="209">
        <f t="shared" si="6"/>
        <v>92.622798324346135</v>
      </c>
      <c r="E41" s="209">
        <f t="shared" si="8"/>
        <v>18.524559664869226</v>
      </c>
      <c r="F41" s="210">
        <f t="shared" si="9"/>
        <v>51.868767061633832</v>
      </c>
      <c r="G41" s="211">
        <f t="shared" si="11"/>
        <v>41913</v>
      </c>
      <c r="H41" s="212">
        <f t="shared" si="7"/>
        <v>293.74089399498138</v>
      </c>
      <c r="I41" s="212">
        <f t="shared" si="10"/>
        <v>2587.8572760957863</v>
      </c>
    </row>
    <row r="42" spans="1:9">
      <c r="A42" s="210">
        <f t="shared" si="5"/>
        <v>3140.942005398937</v>
      </c>
      <c r="B42" s="208">
        <f t="shared" si="3"/>
        <v>0.31</v>
      </c>
      <c r="C42" s="208">
        <v>5</v>
      </c>
      <c r="D42" s="209">
        <f t="shared" si="6"/>
        <v>91.188638866420774</v>
      </c>
      <c r="E42" s="209">
        <f t="shared" si="8"/>
        <v>18.237727773284156</v>
      </c>
      <c r="F42" s="210">
        <f t="shared" si="9"/>
        <v>56.536956097180884</v>
      </c>
      <c r="G42" s="211">
        <f t="shared" si="11"/>
        <v>41920</v>
      </c>
      <c r="H42" s="212">
        <f t="shared" si="7"/>
        <v>320.17757445452975</v>
      </c>
      <c r="I42" s="212">
        <f t="shared" si="10"/>
        <v>2820.7644309444072</v>
      </c>
    </row>
    <row r="43" spans="1:9">
      <c r="A43" s="210">
        <f t="shared" si="5"/>
        <v>3423.6267858848414</v>
      </c>
      <c r="B43" s="208">
        <f t="shared" si="3"/>
        <v>0.34</v>
      </c>
      <c r="C43" s="208">
        <v>5</v>
      </c>
      <c r="D43" s="209">
        <f t="shared" si="6"/>
        <v>90.625414920481191</v>
      </c>
      <c r="E43" s="209">
        <f t="shared" si="8"/>
        <v>18.125082984096238</v>
      </c>
      <c r="F43" s="210">
        <f t="shared" si="9"/>
        <v>61.625282145927216</v>
      </c>
      <c r="G43" s="211">
        <f t="shared" si="11"/>
        <v>41927</v>
      </c>
      <c r="H43" s="212">
        <f t="shared" si="7"/>
        <v>348.99355615543743</v>
      </c>
      <c r="I43" s="212">
        <f t="shared" si="10"/>
        <v>3074.6332297294039</v>
      </c>
    </row>
    <row r="44" spans="1:9">
      <c r="A44" s="210">
        <f t="shared" si="5"/>
        <v>3731.7531966144775</v>
      </c>
      <c r="B44" s="208">
        <f t="shared" si="3"/>
        <v>0.37</v>
      </c>
      <c r="C44" s="208">
        <v>5</v>
      </c>
      <c r="D44" s="209">
        <f t="shared" si="6"/>
        <v>90.772375052784639</v>
      </c>
      <c r="E44" s="209">
        <f t="shared" si="8"/>
        <v>18.154475010556929</v>
      </c>
      <c r="F44" s="210">
        <f t="shared" si="9"/>
        <v>67.171557539060643</v>
      </c>
      <c r="G44" s="211">
        <f t="shared" si="11"/>
        <v>41934</v>
      </c>
      <c r="H44" s="212">
        <f t="shared" si="7"/>
        <v>380.40297620942681</v>
      </c>
      <c r="I44" s="212">
        <f t="shared" si="10"/>
        <v>3351.3502204050505</v>
      </c>
    </row>
    <row r="45" spans="1:9">
      <c r="A45" s="210">
        <f t="shared" si="5"/>
        <v>4067.6109843097806</v>
      </c>
      <c r="B45" s="208">
        <f t="shared" si="3"/>
        <v>0.4</v>
      </c>
      <c r="C45" s="208">
        <v>5</v>
      </c>
      <c r="D45" s="209">
        <f t="shared" si="6"/>
        <v>91.52124714697004</v>
      </c>
      <c r="E45" s="209">
        <f t="shared" si="8"/>
        <v>18.304249429394009</v>
      </c>
      <c r="F45" s="210">
        <f t="shared" si="9"/>
        <v>73.216997717576049</v>
      </c>
      <c r="G45" s="211">
        <f t="shared" si="11"/>
        <v>41941</v>
      </c>
      <c r="H45" s="212">
        <f t="shared" si="7"/>
        <v>414.63924406827527</v>
      </c>
      <c r="I45" s="212">
        <f t="shared" si="10"/>
        <v>3652.9717402415054</v>
      </c>
    </row>
    <row r="46" spans="1:9">
      <c r="A46" s="210">
        <f t="shared" si="5"/>
        <v>4433.6959728976608</v>
      </c>
      <c r="B46" s="208">
        <f t="shared" si="3"/>
        <v>0.44</v>
      </c>
      <c r="C46" s="208">
        <v>5</v>
      </c>
      <c r="D46" s="209">
        <f t="shared" si="6"/>
        <v>90.689235809270485</v>
      </c>
      <c r="E46" s="209">
        <f t="shared" si="8"/>
        <v>18.137847161854097</v>
      </c>
      <c r="F46" s="210">
        <f t="shared" si="9"/>
        <v>79.806527512158027</v>
      </c>
      <c r="G46" s="211">
        <f t="shared" si="11"/>
        <v>41948</v>
      </c>
      <c r="H46" s="212">
        <f t="shared" si="7"/>
        <v>451.95677603442005</v>
      </c>
      <c r="I46" s="212">
        <f t="shared" si="10"/>
        <v>3981.739196863241</v>
      </c>
    </row>
    <row r="47" spans="1:9">
      <c r="A47" s="210">
        <f t="shared" si="5"/>
        <v>4832.7286104584509</v>
      </c>
      <c r="B47" s="208">
        <f t="shared" si="3"/>
        <v>0.48</v>
      </c>
      <c r="C47" s="208">
        <v>5</v>
      </c>
      <c r="D47" s="209">
        <f t="shared" si="6"/>
        <v>90.613661446096032</v>
      </c>
      <c r="E47" s="209">
        <f t="shared" si="8"/>
        <v>18.122732289219208</v>
      </c>
      <c r="F47" s="210">
        <f t="shared" si="9"/>
        <v>86.989114988252197</v>
      </c>
      <c r="G47" s="211">
        <f t="shared" si="11"/>
        <v>41955</v>
      </c>
      <c r="H47" s="212">
        <f t="shared" si="7"/>
        <v>492.63288587751788</v>
      </c>
      <c r="I47" s="212">
        <f t="shared" si="10"/>
        <v>4340.0957245809332</v>
      </c>
    </row>
    <row r="48" spans="1:9">
      <c r="A48" s="210">
        <f t="shared" si="5"/>
        <v>5267.6741853997119</v>
      </c>
      <c r="B48" s="208">
        <f t="shared" si="3"/>
        <v>0.52</v>
      </c>
      <c r="C48" s="208">
        <v>5</v>
      </c>
      <c r="D48" s="209">
        <f t="shared" si="6"/>
        <v>91.171283978071983</v>
      </c>
      <c r="E48" s="209">
        <f t="shared" si="8"/>
        <v>18.234256795614396</v>
      </c>
      <c r="F48" s="210">
        <f t="shared" si="9"/>
        <v>94.818135337194875</v>
      </c>
      <c r="G48" s="211">
        <f t="shared" si="11"/>
        <v>41962</v>
      </c>
      <c r="H48" s="212">
        <f t="shared" si="7"/>
        <v>536.96984560649457</v>
      </c>
      <c r="I48" s="212">
        <f t="shared" si="10"/>
        <v>4730.7043397932175</v>
      </c>
    </row>
    <row r="49" spans="1:9">
      <c r="A49" s="210">
        <f t="shared" si="5"/>
        <v>5741.7648620856862</v>
      </c>
      <c r="B49" s="208">
        <f t="shared" si="3"/>
        <v>0.56999999999999995</v>
      </c>
      <c r="C49" s="208">
        <v>5</v>
      </c>
      <c r="D49" s="209">
        <f t="shared" si="6"/>
        <v>90.659445190826702</v>
      </c>
      <c r="E49" s="209">
        <f t="shared" si="8"/>
        <v>18.13188903816534</v>
      </c>
      <c r="F49" s="210">
        <f t="shared" si="9"/>
        <v>103.35176751754244</v>
      </c>
      <c r="G49" s="211">
        <f t="shared" si="11"/>
        <v>41969</v>
      </c>
      <c r="H49" s="212">
        <f t="shared" si="7"/>
        <v>585.29713171107915</v>
      </c>
      <c r="I49" s="212">
        <f t="shared" si="10"/>
        <v>5156.4677303746066</v>
      </c>
    </row>
    <row r="50" spans="1:9">
      <c r="A50" s="210">
        <f t="shared" si="5"/>
        <v>6258.5236996733984</v>
      </c>
      <c r="B50" s="208">
        <f t="shared" si="3"/>
        <v>0.62</v>
      </c>
      <c r="C50" s="208">
        <v>5</v>
      </c>
      <c r="D50" s="209">
        <f t="shared" si="6"/>
        <v>90.849537575904236</v>
      </c>
      <c r="E50" s="209">
        <f t="shared" si="8"/>
        <v>18.169907515180846</v>
      </c>
      <c r="F50" s="210">
        <f t="shared" si="9"/>
        <v>112.65342659412124</v>
      </c>
      <c r="G50" s="211">
        <f t="shared" si="11"/>
        <v>41976</v>
      </c>
      <c r="H50" s="212">
        <f t="shared" si="7"/>
        <v>637.97387356507625</v>
      </c>
      <c r="I50" s="212">
        <f t="shared" si="10"/>
        <v>5620.5498261083221</v>
      </c>
    </row>
    <row r="51" spans="1:9">
      <c r="A51" s="210">
        <f t="shared" si="5"/>
        <v>6821.7908326440047</v>
      </c>
      <c r="B51" s="208">
        <f t="shared" si="3"/>
        <v>0.68</v>
      </c>
      <c r="C51" s="208">
        <v>5</v>
      </c>
      <c r="D51" s="209">
        <f t="shared" si="6"/>
        <v>90.288408079111903</v>
      </c>
      <c r="E51" s="209">
        <f t="shared" si="8"/>
        <v>18.057681615822382</v>
      </c>
      <c r="F51" s="210">
        <f t="shared" si="9"/>
        <v>122.79223498759221</v>
      </c>
      <c r="G51" s="211">
        <f t="shared" si="11"/>
        <v>41983</v>
      </c>
      <c r="H51" s="212">
        <f t="shared" si="7"/>
        <v>695.39152218593313</v>
      </c>
      <c r="I51" s="212">
        <f t="shared" si="10"/>
        <v>6126.3993104580713</v>
      </c>
    </row>
    <row r="52" spans="1:9">
      <c r="A52" s="210">
        <f t="shared" si="5"/>
        <v>7435.7520075819657</v>
      </c>
      <c r="B52" s="208">
        <f t="shared" si="3"/>
        <v>0.74</v>
      </c>
      <c r="C52" s="208">
        <v>5</v>
      </c>
      <c r="D52" s="209">
        <f t="shared" si="6"/>
        <v>90.434821713834765</v>
      </c>
      <c r="E52" s="209">
        <f t="shared" si="8"/>
        <v>18.086964342766954</v>
      </c>
      <c r="F52" s="210">
        <f t="shared" si="9"/>
        <v>133.84353613647545</v>
      </c>
      <c r="G52" s="211">
        <f t="shared" si="11"/>
        <v>41990</v>
      </c>
      <c r="H52" s="212">
        <f t="shared" si="7"/>
        <v>757.97675918266714</v>
      </c>
      <c r="I52" s="212">
        <f t="shared" si="10"/>
        <v>6677.775248399299</v>
      </c>
    </row>
    <row r="53" spans="1:9">
      <c r="A53" s="210">
        <f t="shared" si="5"/>
        <v>8104.9696882643429</v>
      </c>
      <c r="B53" s="208">
        <f t="shared" si="3"/>
        <v>0.81</v>
      </c>
      <c r="C53" s="208">
        <v>5</v>
      </c>
      <c r="D53" s="209">
        <f t="shared" si="6"/>
        <v>90.055218758492799</v>
      </c>
      <c r="E53" s="209">
        <f t="shared" si="8"/>
        <v>18.011043751698558</v>
      </c>
      <c r="F53" s="210">
        <f t="shared" si="9"/>
        <v>145.88945438875834</v>
      </c>
      <c r="G53" s="211">
        <f t="shared" si="11"/>
        <v>41997</v>
      </c>
      <c r="H53" s="212">
        <f t="shared" si="7"/>
        <v>826.19466750910726</v>
      </c>
      <c r="I53" s="212">
        <f t="shared" si="10"/>
        <v>7278.7750207552353</v>
      </c>
    </row>
    <row r="54" spans="1:9">
      <c r="A54" s="210">
        <f t="shared" si="5"/>
        <v>8834.4169602081347</v>
      </c>
      <c r="B54" s="208">
        <f t="shared" si="3"/>
        <v>0.88</v>
      </c>
      <c r="C54" s="208">
        <v>5</v>
      </c>
      <c r="D54" s="209">
        <f t="shared" si="6"/>
        <v>90.351991638492365</v>
      </c>
      <c r="E54" s="209">
        <f t="shared" si="8"/>
        <v>18.070398327698474</v>
      </c>
      <c r="F54" s="210">
        <f t="shared" si="9"/>
        <v>159.01950528374658</v>
      </c>
      <c r="G54" s="211">
        <f t="shared" si="11"/>
        <v>42004</v>
      </c>
      <c r="H54" s="212">
        <f t="shared" si="7"/>
        <v>900.55218758492697</v>
      </c>
      <c r="I54" s="212">
        <f t="shared" si="10"/>
        <v>7933.8647726232075</v>
      </c>
    </row>
    <row r="55" spans="1:9">
      <c r="A55" s="210">
        <f t="shared" si="5"/>
        <v>9629.5144866268674</v>
      </c>
      <c r="B55" s="208">
        <f t="shared" si="3"/>
        <v>0.96</v>
      </c>
      <c r="C55" s="208">
        <v>5</v>
      </c>
      <c r="D55" s="209">
        <f t="shared" si="6"/>
        <v>90.276698312126967</v>
      </c>
      <c r="E55" s="209">
        <f t="shared" si="8"/>
        <v>18.055339662425393</v>
      </c>
      <c r="F55" s="210">
        <f t="shared" si="9"/>
        <v>173.33126075928377</v>
      </c>
      <c r="G55" s="211">
        <f t="shared" si="11"/>
        <v>42011</v>
      </c>
      <c r="H55" s="212">
        <f t="shared" si="7"/>
        <v>981.60188446757047</v>
      </c>
      <c r="I55" s="212">
        <f t="shared" si="10"/>
        <v>8647.9126021592965</v>
      </c>
    </row>
    <row r="56" spans="1:9">
      <c r="A56" s="210">
        <f t="shared" si="5"/>
        <v>10496.170790423286</v>
      </c>
      <c r="B56" s="208">
        <f t="shared" si="3"/>
        <v>1.04</v>
      </c>
      <c r="C56" s="208">
        <v>5</v>
      </c>
      <c r="D56" s="209">
        <f t="shared" si="6"/>
        <v>90.832247224816982</v>
      </c>
      <c r="E56" s="209">
        <f t="shared" si="8"/>
        <v>18.166449444963398</v>
      </c>
      <c r="F56" s="210">
        <f t="shared" si="9"/>
        <v>188.93107422761932</v>
      </c>
      <c r="G56" s="211">
        <f t="shared" si="11"/>
        <v>42018</v>
      </c>
      <c r="H56" s="212">
        <f t="shared" si="7"/>
        <v>1069.9460540696518</v>
      </c>
      <c r="I56" s="212">
        <f t="shared" si="10"/>
        <v>9426.2247363536335</v>
      </c>
    </row>
    <row r="57" spans="1:9">
      <c r="A57" s="210">
        <f t="shared" si="5"/>
        <v>11440.826161561383</v>
      </c>
      <c r="B57" s="208">
        <f t="shared" si="3"/>
        <v>1.1399999999999999</v>
      </c>
      <c r="C57" s="208">
        <v>5</v>
      </c>
      <c r="D57" s="209">
        <f t="shared" si="6"/>
        <v>90.322311801800552</v>
      </c>
      <c r="E57" s="209">
        <f t="shared" si="8"/>
        <v>18.06446236036011</v>
      </c>
      <c r="F57" s="210">
        <f t="shared" si="9"/>
        <v>205.93487090810524</v>
      </c>
      <c r="G57" s="211">
        <f t="shared" si="11"/>
        <v>42025</v>
      </c>
      <c r="H57" s="212">
        <f t="shared" si="7"/>
        <v>1166.2411989359207</v>
      </c>
      <c r="I57" s="212">
        <f t="shared" si="10"/>
        <v>10274.584962625462</v>
      </c>
    </row>
    <row r="58" spans="1:9">
      <c r="A58" s="210">
        <f t="shared" si="5"/>
        <v>12470.500516101909</v>
      </c>
      <c r="B58" s="208">
        <f t="shared" si="3"/>
        <v>1.24</v>
      </c>
      <c r="C58" s="208">
        <v>5</v>
      </c>
      <c r="D58" s="209">
        <f t="shared" si="6"/>
        <v>90.511697294288098</v>
      </c>
      <c r="E58" s="209">
        <f t="shared" si="8"/>
        <v>18.102339458857621</v>
      </c>
      <c r="F58" s="210">
        <f t="shared" si="9"/>
        <v>224.4690092898345</v>
      </c>
      <c r="G58" s="211">
        <f t="shared" si="11"/>
        <v>42032</v>
      </c>
      <c r="H58" s="212">
        <f t="shared" si="7"/>
        <v>1271.2029068401537</v>
      </c>
      <c r="I58" s="212">
        <f t="shared" si="10"/>
        <v>11199.297609261755</v>
      </c>
    </row>
    <row r="59" spans="1:9">
      <c r="A59" s="210">
        <f t="shared" si="5"/>
        <v>13592.845562551081</v>
      </c>
      <c r="B59" s="208">
        <f t="shared" si="3"/>
        <v>1.35</v>
      </c>
      <c r="C59" s="208">
        <v>5</v>
      </c>
      <c r="D59" s="209">
        <f t="shared" si="6"/>
        <v>90.618970417007304</v>
      </c>
      <c r="E59" s="209">
        <f t="shared" si="8"/>
        <v>18.12379408340146</v>
      </c>
      <c r="F59" s="210">
        <f t="shared" si="9"/>
        <v>244.67122012591972</v>
      </c>
      <c r="G59" s="211">
        <f t="shared" si="11"/>
        <v>42039</v>
      </c>
      <c r="H59" s="212">
        <f t="shared" si="7"/>
        <v>1385.6111684557677</v>
      </c>
      <c r="I59" s="212">
        <f t="shared" si="10"/>
        <v>12207.234394095314</v>
      </c>
    </row>
    <row r="60" spans="1:9">
      <c r="A60" s="210">
        <f t="shared" si="5"/>
        <v>14816.20166318068</v>
      </c>
      <c r="B60" s="208">
        <f t="shared" si="3"/>
        <v>1.48</v>
      </c>
      <c r="C60" s="208">
        <v>5</v>
      </c>
      <c r="D60" s="209">
        <f t="shared" si="6"/>
        <v>90.098523627450191</v>
      </c>
      <c r="E60" s="209">
        <f t="shared" si="8"/>
        <v>18.019704725490037</v>
      </c>
      <c r="F60" s="210">
        <f t="shared" si="9"/>
        <v>266.69162993725257</v>
      </c>
      <c r="G60" s="211">
        <f t="shared" si="11"/>
        <v>42046</v>
      </c>
      <c r="H60" s="212">
        <f t="shared" si="7"/>
        <v>1510.3161736167867</v>
      </c>
      <c r="I60" s="212">
        <f t="shared" si="10"/>
        <v>13305.885489563894</v>
      </c>
    </row>
    <row r="61" spans="1:9">
      <c r="A61" s="210">
        <f t="shared" si="5"/>
        <v>16149.659812866943</v>
      </c>
      <c r="B61" s="208">
        <f t="shared" si="3"/>
        <v>1.61</v>
      </c>
      <c r="C61" s="208">
        <v>5</v>
      </c>
      <c r="D61" s="209">
        <f t="shared" si="6"/>
        <v>90.277601438386711</v>
      </c>
      <c r="E61" s="209">
        <f t="shared" si="8"/>
        <v>18.055520287677343</v>
      </c>
      <c r="F61" s="210">
        <f t="shared" si="9"/>
        <v>290.69387663160524</v>
      </c>
      <c r="G61" s="211">
        <f t="shared" si="11"/>
        <v>42053</v>
      </c>
      <c r="H61" s="212">
        <f t="shared" si="7"/>
        <v>1646.2446292422978</v>
      </c>
      <c r="I61" s="212">
        <f t="shared" si="10"/>
        <v>14503.415183624646</v>
      </c>
    </row>
    <row r="62" spans="1:9">
      <c r="A62" s="210">
        <f t="shared" si="5"/>
        <v>17603.129196024969</v>
      </c>
      <c r="B62" s="208">
        <f t="shared" si="3"/>
        <v>1.76</v>
      </c>
      <c r="C62" s="208">
        <v>5</v>
      </c>
      <c r="D62" s="209">
        <f t="shared" si="6"/>
        <v>90.016001570582333</v>
      </c>
      <c r="E62" s="209">
        <f t="shared" si="8"/>
        <v>18.003200314116466</v>
      </c>
      <c r="F62" s="210">
        <f t="shared" si="9"/>
        <v>316.85632552844982</v>
      </c>
      <c r="G62" s="211">
        <f t="shared" si="11"/>
        <v>42060</v>
      </c>
      <c r="H62" s="212">
        <f t="shared" si="7"/>
        <v>1794.4066458741047</v>
      </c>
      <c r="I62" s="212">
        <f t="shared" si="10"/>
        <v>15808.722550150864</v>
      </c>
    </row>
    <row r="63" spans="1:9">
      <c r="A63" s="210">
        <f t="shared" si="5"/>
        <v>19187.410823667218</v>
      </c>
      <c r="B63" s="208">
        <f t="shared" si="3"/>
        <v>1.91</v>
      </c>
      <c r="C63" s="208">
        <v>5</v>
      </c>
      <c r="D63" s="209">
        <f t="shared" si="6"/>
        <v>90.411883462306335</v>
      </c>
      <c r="E63" s="209">
        <f t="shared" si="8"/>
        <v>18.082376692461267</v>
      </c>
      <c r="F63" s="210">
        <f t="shared" si="9"/>
        <v>345.37339482601021</v>
      </c>
      <c r="G63" s="211">
        <f t="shared" si="11"/>
        <v>42067</v>
      </c>
      <c r="H63" s="212">
        <f t="shared" si="7"/>
        <v>1955.9032440027743</v>
      </c>
      <c r="I63" s="212">
        <f t="shared" si="10"/>
        <v>17231.507579664445</v>
      </c>
    </row>
    <row r="64" spans="1:9">
      <c r="A64" s="210">
        <f t="shared" si="5"/>
        <v>20914.277797797269</v>
      </c>
      <c r="B64" s="208">
        <f t="shared" si="3"/>
        <v>2.09</v>
      </c>
      <c r="C64" s="208">
        <v>5</v>
      </c>
      <c r="D64" s="209">
        <f t="shared" si="6"/>
        <v>90.061483339796951</v>
      </c>
      <c r="E64" s="209">
        <f t="shared" si="8"/>
        <v>18.01229666795939</v>
      </c>
      <c r="F64" s="210">
        <f t="shared" si="9"/>
        <v>376.45700036035123</v>
      </c>
      <c r="G64" s="211">
        <f t="shared" si="11"/>
        <v>42074</v>
      </c>
      <c r="H64" s="212">
        <f t="shared" si="7"/>
        <v>2131.9345359630242</v>
      </c>
      <c r="I64" s="212">
        <f t="shared" si="10"/>
        <v>18782.343261834245</v>
      </c>
    </row>
    <row r="65" spans="1:9">
      <c r="A65" s="210">
        <f t="shared" si="5"/>
        <v>22796.562799599025</v>
      </c>
      <c r="B65" s="208">
        <f t="shared" si="3"/>
        <v>2.27</v>
      </c>
      <c r="C65" s="208">
        <v>5</v>
      </c>
      <c r="D65" s="209">
        <f t="shared" si="6"/>
        <v>90.382848104137111</v>
      </c>
      <c r="E65" s="209">
        <f t="shared" si="8"/>
        <v>18.076569620827421</v>
      </c>
      <c r="F65" s="210">
        <f t="shared" si="9"/>
        <v>410.33813039278243</v>
      </c>
      <c r="G65" s="211">
        <f t="shared" si="11"/>
        <v>42081</v>
      </c>
      <c r="H65" s="212">
        <f t="shared" si="7"/>
        <v>2323.8086441996966</v>
      </c>
      <c r="I65" s="212">
        <f t="shared" si="10"/>
        <v>20472.754155399329</v>
      </c>
    </row>
    <row r="66" spans="1:9">
      <c r="A66" s="210">
        <f t="shared" si="5"/>
        <v>24848.253451562938</v>
      </c>
      <c r="B66" s="208">
        <f t="shared" si="3"/>
        <v>2.48</v>
      </c>
      <c r="C66" s="208">
        <v>5</v>
      </c>
      <c r="D66" s="209">
        <f t="shared" si="6"/>
        <v>90.175113332285008</v>
      </c>
      <c r="E66" s="209">
        <f t="shared" ref="E66:E97" si="12">D66/C66</f>
        <v>18.035022666457003</v>
      </c>
      <c r="F66" s="210">
        <f t="shared" ref="F66:F97" si="13">E66*B66*10</f>
        <v>447.26856212813368</v>
      </c>
      <c r="G66" s="211">
        <f t="shared" si="11"/>
        <v>42088</v>
      </c>
      <c r="H66" s="212">
        <f t="shared" si="7"/>
        <v>2532.9514221776694</v>
      </c>
      <c r="I66" s="212">
        <f t="shared" ref="I66:I97" si="14">A66-H66</f>
        <v>22315.302029385268</v>
      </c>
    </row>
    <row r="67" spans="1:9">
      <c r="A67" s="210">
        <f t="shared" si="5"/>
        <v>27084.596262203606</v>
      </c>
      <c r="B67" s="208">
        <f t="shared" ref="B67:B130" si="15">ROUNDDOWN(A67/100*0.01,2)</f>
        <v>2.7</v>
      </c>
      <c r="C67" s="208">
        <v>5</v>
      </c>
      <c r="D67" s="209">
        <f t="shared" si="6"/>
        <v>90.281987540678784</v>
      </c>
      <c r="E67" s="209">
        <f t="shared" si="12"/>
        <v>18.056397508135756</v>
      </c>
      <c r="F67" s="210">
        <f t="shared" si="13"/>
        <v>487.52273271966544</v>
      </c>
      <c r="G67" s="211">
        <f t="shared" ref="G67:G98" si="16">DATE(YEAR(G66),MONTH(G66),DAY(G66)+2+C67)</f>
        <v>42095</v>
      </c>
      <c r="H67" s="212">
        <f t="shared" si="7"/>
        <v>2760.9170501736598</v>
      </c>
      <c r="I67" s="212">
        <f t="shared" si="14"/>
        <v>24323.679212029947</v>
      </c>
    </row>
    <row r="68" spans="1:9">
      <c r="A68" s="210">
        <f t="shared" ref="A68:A131" si="17">A67*1.09</f>
        <v>29522.209925801933</v>
      </c>
      <c r="B68" s="208">
        <f t="shared" si="15"/>
        <v>2.95</v>
      </c>
      <c r="C68" s="208">
        <v>5</v>
      </c>
      <c r="D68" s="209">
        <f t="shared" ref="D68:D131" si="18">IF(A69&lt;&gt;"",(A69-A68)/B68/10,D67)</f>
        <v>90.067759095666958</v>
      </c>
      <c r="E68" s="209">
        <f t="shared" si="12"/>
        <v>18.01355181913339</v>
      </c>
      <c r="F68" s="210">
        <f t="shared" si="13"/>
        <v>531.39977866443496</v>
      </c>
      <c r="G68" s="211">
        <f t="shared" si="16"/>
        <v>42102</v>
      </c>
      <c r="H68" s="212">
        <f t="shared" ref="H68:H131" si="19">A67/9</f>
        <v>3009.3995846892894</v>
      </c>
      <c r="I68" s="212">
        <f t="shared" si="14"/>
        <v>26512.810341112643</v>
      </c>
    </row>
    <row r="69" spans="1:9">
      <c r="A69" s="210">
        <f t="shared" si="17"/>
        <v>32179.208819124109</v>
      </c>
      <c r="B69" s="208">
        <f t="shared" si="15"/>
        <v>3.21</v>
      </c>
      <c r="C69" s="208">
        <v>5</v>
      </c>
      <c r="D69" s="209">
        <f t="shared" si="18"/>
        <v>90.222080801282587</v>
      </c>
      <c r="E69" s="209">
        <f t="shared" si="12"/>
        <v>18.044416160256517</v>
      </c>
      <c r="F69" s="210">
        <f t="shared" si="13"/>
        <v>579.22575874423421</v>
      </c>
      <c r="G69" s="211">
        <f t="shared" si="16"/>
        <v>42109</v>
      </c>
      <c r="H69" s="212">
        <f t="shared" si="19"/>
        <v>3280.2455473113259</v>
      </c>
      <c r="I69" s="212">
        <f t="shared" si="14"/>
        <v>28898.963271812783</v>
      </c>
    </row>
    <row r="70" spans="1:9">
      <c r="A70" s="210">
        <f t="shared" si="17"/>
        <v>35075.33761284528</v>
      </c>
      <c r="B70" s="208">
        <f t="shared" si="15"/>
        <v>3.5</v>
      </c>
      <c r="C70" s="208">
        <v>5</v>
      </c>
      <c r="D70" s="209">
        <f t="shared" si="18"/>
        <v>90.19372529017356</v>
      </c>
      <c r="E70" s="209">
        <f t="shared" si="12"/>
        <v>18.038745058034714</v>
      </c>
      <c r="F70" s="210">
        <f t="shared" si="13"/>
        <v>631.35607703121491</v>
      </c>
      <c r="G70" s="211">
        <f t="shared" si="16"/>
        <v>42116</v>
      </c>
      <c r="H70" s="212">
        <f t="shared" si="19"/>
        <v>3575.4676465693456</v>
      </c>
      <c r="I70" s="212">
        <f t="shared" si="14"/>
        <v>31499.869966275935</v>
      </c>
    </row>
    <row r="71" spans="1:9">
      <c r="A71" s="210">
        <f t="shared" si="17"/>
        <v>38232.117998001355</v>
      </c>
      <c r="B71" s="208">
        <f t="shared" si="15"/>
        <v>3.82</v>
      </c>
      <c r="C71" s="208">
        <v>5</v>
      </c>
      <c r="D71" s="209">
        <f t="shared" si="18"/>
        <v>90.07567067591944</v>
      </c>
      <c r="E71" s="209">
        <f t="shared" si="12"/>
        <v>18.015134135183889</v>
      </c>
      <c r="F71" s="210">
        <f t="shared" si="13"/>
        <v>688.17812396402451</v>
      </c>
      <c r="G71" s="211">
        <f t="shared" si="16"/>
        <v>42123</v>
      </c>
      <c r="H71" s="212">
        <f t="shared" si="19"/>
        <v>3897.2597347605865</v>
      </c>
      <c r="I71" s="212">
        <f t="shared" si="14"/>
        <v>34334.858263240771</v>
      </c>
    </row>
    <row r="72" spans="1:9">
      <c r="A72" s="210">
        <f t="shared" si="17"/>
        <v>41673.008617821477</v>
      </c>
      <c r="B72" s="208">
        <f t="shared" si="15"/>
        <v>4.16</v>
      </c>
      <c r="C72" s="208">
        <v>5</v>
      </c>
      <c r="D72" s="209">
        <f t="shared" si="18"/>
        <v>90.157951336633019</v>
      </c>
      <c r="E72" s="209">
        <f t="shared" si="12"/>
        <v>18.031590267326603</v>
      </c>
      <c r="F72" s="210">
        <f t="shared" si="13"/>
        <v>750.11415512078668</v>
      </c>
      <c r="G72" s="211">
        <f t="shared" si="16"/>
        <v>42130</v>
      </c>
      <c r="H72" s="212">
        <f t="shared" si="19"/>
        <v>4248.0131108890391</v>
      </c>
      <c r="I72" s="212">
        <f t="shared" si="14"/>
        <v>37424.995506932435</v>
      </c>
    </row>
    <row r="73" spans="1:9">
      <c r="A73" s="210">
        <f t="shared" si="17"/>
        <v>45423.579393425411</v>
      </c>
      <c r="B73" s="208">
        <f t="shared" si="15"/>
        <v>4.54</v>
      </c>
      <c r="C73" s="208">
        <v>5</v>
      </c>
      <c r="D73" s="209">
        <f t="shared" si="18"/>
        <v>90.046743290931531</v>
      </c>
      <c r="E73" s="209">
        <f t="shared" si="12"/>
        <v>18.009348658186305</v>
      </c>
      <c r="F73" s="210">
        <f t="shared" si="13"/>
        <v>817.62442908165826</v>
      </c>
      <c r="G73" s="211">
        <f t="shared" si="16"/>
        <v>42137</v>
      </c>
      <c r="H73" s="212">
        <f t="shared" si="19"/>
        <v>4630.3342908690529</v>
      </c>
      <c r="I73" s="212">
        <f t="shared" si="14"/>
        <v>40793.245102556357</v>
      </c>
    </row>
    <row r="74" spans="1:9">
      <c r="A74" s="210">
        <f t="shared" si="17"/>
        <v>49511.701538833702</v>
      </c>
      <c r="B74" s="208">
        <f t="shared" si="15"/>
        <v>4.95</v>
      </c>
      <c r="C74" s="208">
        <v>5</v>
      </c>
      <c r="D74" s="209">
        <f t="shared" si="18"/>
        <v>90.021275525152262</v>
      </c>
      <c r="E74" s="209">
        <f t="shared" si="12"/>
        <v>18.004255105030452</v>
      </c>
      <c r="F74" s="210">
        <f t="shared" si="13"/>
        <v>891.21062769900743</v>
      </c>
      <c r="G74" s="211">
        <f t="shared" si="16"/>
        <v>42144</v>
      </c>
      <c r="H74" s="212">
        <f t="shared" si="19"/>
        <v>5047.064377047268</v>
      </c>
      <c r="I74" s="212">
        <f t="shared" si="14"/>
        <v>44464.637161786435</v>
      </c>
    </row>
    <row r="75" spans="1:9">
      <c r="A75" s="210">
        <f t="shared" si="17"/>
        <v>53967.754677328739</v>
      </c>
      <c r="B75" s="208">
        <f t="shared" si="15"/>
        <v>5.39</v>
      </c>
      <c r="C75" s="208">
        <v>5</v>
      </c>
      <c r="D75" s="209">
        <f t="shared" si="18"/>
        <v>90.113133969565681</v>
      </c>
      <c r="E75" s="209">
        <f t="shared" si="12"/>
        <v>18.022626793913137</v>
      </c>
      <c r="F75" s="210">
        <f t="shared" si="13"/>
        <v>971.41958419191792</v>
      </c>
      <c r="G75" s="211">
        <f t="shared" si="16"/>
        <v>42151</v>
      </c>
      <c r="H75" s="212">
        <f t="shared" si="19"/>
        <v>5501.3001709815226</v>
      </c>
      <c r="I75" s="212">
        <f t="shared" si="14"/>
        <v>48466.454506347218</v>
      </c>
    </row>
    <row r="76" spans="1:9">
      <c r="A76" s="210">
        <f t="shared" si="17"/>
        <v>58824.852598288329</v>
      </c>
      <c r="B76" s="208">
        <f t="shared" si="15"/>
        <v>5.88</v>
      </c>
      <c r="C76" s="208">
        <v>5</v>
      </c>
      <c r="D76" s="209">
        <f t="shared" si="18"/>
        <v>90.038039691257694</v>
      </c>
      <c r="E76" s="209">
        <f t="shared" si="12"/>
        <v>18.007607938251539</v>
      </c>
      <c r="F76" s="210">
        <f t="shared" si="13"/>
        <v>1058.8473467691906</v>
      </c>
      <c r="G76" s="211">
        <f t="shared" si="16"/>
        <v>42158</v>
      </c>
      <c r="H76" s="212">
        <f t="shared" si="19"/>
        <v>5996.4171863698602</v>
      </c>
      <c r="I76" s="212">
        <f t="shared" si="14"/>
        <v>52828.435411918472</v>
      </c>
    </row>
    <row r="77" spans="1:9">
      <c r="A77" s="210">
        <f t="shared" si="17"/>
        <v>64119.089332134281</v>
      </c>
      <c r="B77" s="208">
        <f t="shared" si="15"/>
        <v>6.41</v>
      </c>
      <c r="C77" s="208">
        <v>5</v>
      </c>
      <c r="D77" s="209">
        <f t="shared" si="18"/>
        <v>90.026802494416501</v>
      </c>
      <c r="E77" s="209">
        <f t="shared" si="12"/>
        <v>18.005360498883299</v>
      </c>
      <c r="F77" s="210">
        <f t="shared" si="13"/>
        <v>1154.1436079784196</v>
      </c>
      <c r="G77" s="211">
        <f t="shared" si="16"/>
        <v>42165</v>
      </c>
      <c r="H77" s="212">
        <f t="shared" si="19"/>
        <v>6536.094733143148</v>
      </c>
      <c r="I77" s="212">
        <f t="shared" si="14"/>
        <v>57582.994598991136</v>
      </c>
    </row>
    <row r="78" spans="1:9">
      <c r="A78" s="210">
        <f t="shared" si="17"/>
        <v>69889.807372026378</v>
      </c>
      <c r="B78" s="208">
        <f t="shared" si="15"/>
        <v>6.98</v>
      </c>
      <c r="C78" s="208">
        <v>5</v>
      </c>
      <c r="D78" s="209">
        <f t="shared" si="18"/>
        <v>90.115797471094197</v>
      </c>
      <c r="E78" s="209">
        <f t="shared" si="12"/>
        <v>18.023159494218838</v>
      </c>
      <c r="F78" s="210">
        <f t="shared" si="13"/>
        <v>1258.016532696475</v>
      </c>
      <c r="G78" s="211">
        <f t="shared" si="16"/>
        <v>42172</v>
      </c>
      <c r="H78" s="212">
        <f t="shared" si="19"/>
        <v>7124.3432591260316</v>
      </c>
      <c r="I78" s="212">
        <f t="shared" si="14"/>
        <v>62765.464112900343</v>
      </c>
    </row>
    <row r="79" spans="1:9">
      <c r="A79" s="210">
        <f t="shared" si="17"/>
        <v>76179.890035508753</v>
      </c>
      <c r="B79" s="208">
        <f t="shared" si="15"/>
        <v>7.61</v>
      </c>
      <c r="C79" s="208">
        <v>5</v>
      </c>
      <c r="D79" s="209">
        <f t="shared" si="18"/>
        <v>90.094482302178662</v>
      </c>
      <c r="E79" s="209">
        <f t="shared" si="12"/>
        <v>18.018896460435734</v>
      </c>
      <c r="F79" s="210">
        <f t="shared" si="13"/>
        <v>1371.2380206391595</v>
      </c>
      <c r="G79" s="211">
        <f t="shared" si="16"/>
        <v>42179</v>
      </c>
      <c r="H79" s="212">
        <f t="shared" si="19"/>
        <v>7765.5341524473752</v>
      </c>
      <c r="I79" s="212">
        <f t="shared" si="14"/>
        <v>68414.355883061377</v>
      </c>
    </row>
    <row r="80" spans="1:9">
      <c r="A80" s="210">
        <f t="shared" si="17"/>
        <v>83036.08013870455</v>
      </c>
      <c r="B80" s="208">
        <f t="shared" si="15"/>
        <v>8.3000000000000007</v>
      </c>
      <c r="C80" s="208">
        <v>5</v>
      </c>
      <c r="D80" s="209">
        <f t="shared" si="18"/>
        <v>90.039123041968864</v>
      </c>
      <c r="E80" s="209">
        <f t="shared" si="12"/>
        <v>18.007824608393772</v>
      </c>
      <c r="F80" s="210">
        <f t="shared" si="13"/>
        <v>1494.6494424966832</v>
      </c>
      <c r="G80" s="211">
        <f t="shared" si="16"/>
        <v>42186</v>
      </c>
      <c r="H80" s="212">
        <f t="shared" si="19"/>
        <v>8464.4322261676389</v>
      </c>
      <c r="I80" s="212">
        <f t="shared" si="14"/>
        <v>74571.647912536908</v>
      </c>
    </row>
    <row r="81" spans="1:9">
      <c r="A81" s="210">
        <f t="shared" si="17"/>
        <v>90509.327351187967</v>
      </c>
      <c r="B81" s="208">
        <f t="shared" si="15"/>
        <v>9.0500000000000007</v>
      </c>
      <c r="C81" s="208">
        <v>5</v>
      </c>
      <c r="D81" s="209">
        <f t="shared" si="18"/>
        <v>90.00927581886107</v>
      </c>
      <c r="E81" s="209">
        <f t="shared" si="12"/>
        <v>18.001855163772213</v>
      </c>
      <c r="F81" s="210">
        <f t="shared" si="13"/>
        <v>1629.1678923213854</v>
      </c>
      <c r="G81" s="211">
        <f t="shared" si="16"/>
        <v>42193</v>
      </c>
      <c r="H81" s="212">
        <f t="shared" si="19"/>
        <v>9226.2311265227272</v>
      </c>
      <c r="I81" s="212">
        <f t="shared" si="14"/>
        <v>81283.096224665234</v>
      </c>
    </row>
    <row r="82" spans="1:9">
      <c r="A82" s="210">
        <f t="shared" si="17"/>
        <v>98655.166812794894</v>
      </c>
      <c r="B82" s="208">
        <f t="shared" si="15"/>
        <v>9.86</v>
      </c>
      <c r="C82" s="208">
        <v>5</v>
      </c>
      <c r="D82" s="209">
        <f t="shared" si="18"/>
        <v>90.050355102956914</v>
      </c>
      <c r="E82" s="209">
        <f t="shared" si="12"/>
        <v>18.010071020591383</v>
      </c>
      <c r="F82" s="210">
        <f t="shared" si="13"/>
        <v>1775.7930026303102</v>
      </c>
      <c r="G82" s="211">
        <f t="shared" si="16"/>
        <v>42200</v>
      </c>
      <c r="H82" s="212">
        <f t="shared" si="19"/>
        <v>10056.591927909774</v>
      </c>
      <c r="I82" s="212">
        <f t="shared" si="14"/>
        <v>88598.574884885122</v>
      </c>
    </row>
    <row r="83" spans="1:9">
      <c r="A83" s="210">
        <f t="shared" si="17"/>
        <v>107534.13182594645</v>
      </c>
      <c r="B83" s="208">
        <f t="shared" si="15"/>
        <v>10.75</v>
      </c>
      <c r="C83" s="208">
        <v>5</v>
      </c>
      <c r="D83" s="209">
        <f t="shared" si="18"/>
        <v>90.02857548218779</v>
      </c>
      <c r="E83" s="209">
        <f t="shared" si="12"/>
        <v>18.005715096437559</v>
      </c>
      <c r="F83" s="210">
        <f t="shared" si="13"/>
        <v>1935.6143728670374</v>
      </c>
      <c r="G83" s="211">
        <f t="shared" si="16"/>
        <v>42207</v>
      </c>
      <c r="H83" s="212">
        <f t="shared" si="19"/>
        <v>10961.685201421655</v>
      </c>
      <c r="I83" s="212">
        <f t="shared" si="14"/>
        <v>96572.44662452479</v>
      </c>
    </row>
    <row r="84" spans="1:9">
      <c r="A84" s="210">
        <f t="shared" si="17"/>
        <v>117212.20369028163</v>
      </c>
      <c r="B84" s="208">
        <f t="shared" si="15"/>
        <v>11.72</v>
      </c>
      <c r="C84" s="208">
        <v>5</v>
      </c>
      <c r="D84" s="209">
        <f t="shared" si="18"/>
        <v>90.009371434516709</v>
      </c>
      <c r="E84" s="209">
        <f t="shared" si="12"/>
        <v>18.001874286903341</v>
      </c>
      <c r="F84" s="210">
        <f t="shared" si="13"/>
        <v>2109.8196664250718</v>
      </c>
      <c r="G84" s="211">
        <f t="shared" si="16"/>
        <v>42214</v>
      </c>
      <c r="H84" s="212">
        <f t="shared" si="19"/>
        <v>11948.236869549604</v>
      </c>
      <c r="I84" s="212">
        <f t="shared" si="14"/>
        <v>105263.96682073202</v>
      </c>
    </row>
    <row r="85" spans="1:9">
      <c r="A85" s="210">
        <f t="shared" si="17"/>
        <v>127761.30202240699</v>
      </c>
      <c r="B85" s="208">
        <f t="shared" si="15"/>
        <v>12.77</v>
      </c>
      <c r="C85" s="208">
        <v>5</v>
      </c>
      <c r="D85" s="209">
        <f t="shared" si="18"/>
        <v>90.043204244452966</v>
      </c>
      <c r="E85" s="209">
        <f t="shared" si="12"/>
        <v>18.008640848890593</v>
      </c>
      <c r="F85" s="210">
        <f t="shared" si="13"/>
        <v>2299.7034364033284</v>
      </c>
      <c r="G85" s="211">
        <f t="shared" si="16"/>
        <v>42221</v>
      </c>
      <c r="H85" s="212">
        <f t="shared" si="19"/>
        <v>13023.578187809071</v>
      </c>
      <c r="I85" s="212">
        <f t="shared" si="14"/>
        <v>114737.72383459791</v>
      </c>
    </row>
    <row r="86" spans="1:9">
      <c r="A86" s="210">
        <f t="shared" si="17"/>
        <v>139259.81920442363</v>
      </c>
      <c r="B86" s="208">
        <f t="shared" si="15"/>
        <v>13.92</v>
      </c>
      <c r="C86" s="208">
        <v>5</v>
      </c>
      <c r="D86" s="209">
        <f t="shared" si="18"/>
        <v>90.038676209756659</v>
      </c>
      <c r="E86" s="209">
        <f t="shared" si="12"/>
        <v>18.00773524195133</v>
      </c>
      <c r="F86" s="210">
        <f t="shared" si="13"/>
        <v>2506.6767456796251</v>
      </c>
      <c r="G86" s="211">
        <f t="shared" si="16"/>
        <v>42228</v>
      </c>
      <c r="H86" s="212">
        <f t="shared" si="19"/>
        <v>14195.700224711887</v>
      </c>
      <c r="I86" s="212">
        <f t="shared" si="14"/>
        <v>125064.11897971175</v>
      </c>
    </row>
    <row r="87" spans="1:9">
      <c r="A87" s="210">
        <f t="shared" si="17"/>
        <v>151793.20293282176</v>
      </c>
      <c r="B87" s="208">
        <f t="shared" si="15"/>
        <v>15.17</v>
      </c>
      <c r="C87" s="208">
        <v>5</v>
      </c>
      <c r="D87" s="209">
        <f t="shared" si="18"/>
        <v>90.055295082096023</v>
      </c>
      <c r="E87" s="209">
        <f t="shared" si="12"/>
        <v>18.011059016419203</v>
      </c>
      <c r="F87" s="210">
        <f t="shared" si="13"/>
        <v>2732.2776527907936</v>
      </c>
      <c r="G87" s="211">
        <f t="shared" si="16"/>
        <v>42235</v>
      </c>
      <c r="H87" s="212">
        <f t="shared" si="19"/>
        <v>15473.31324493596</v>
      </c>
      <c r="I87" s="212">
        <f t="shared" si="14"/>
        <v>136319.88968788579</v>
      </c>
    </row>
    <row r="88" spans="1:9">
      <c r="A88" s="210">
        <f t="shared" si="17"/>
        <v>165454.59119677573</v>
      </c>
      <c r="B88" s="208">
        <f t="shared" si="15"/>
        <v>16.54</v>
      </c>
      <c r="C88" s="208">
        <v>5</v>
      </c>
      <c r="D88" s="209">
        <f t="shared" si="18"/>
        <v>90.029705004291529</v>
      </c>
      <c r="E88" s="209">
        <f t="shared" si="12"/>
        <v>18.005941000858307</v>
      </c>
      <c r="F88" s="210">
        <f t="shared" si="13"/>
        <v>2978.1826415419641</v>
      </c>
      <c r="G88" s="211">
        <f t="shared" si="16"/>
        <v>42242</v>
      </c>
      <c r="H88" s="212">
        <f t="shared" si="19"/>
        <v>16865.911436980197</v>
      </c>
      <c r="I88" s="212">
        <f t="shared" si="14"/>
        <v>148588.67975979554</v>
      </c>
    </row>
    <row r="89" spans="1:9">
      <c r="A89" s="210">
        <f t="shared" si="17"/>
        <v>180345.50440448555</v>
      </c>
      <c r="B89" s="208">
        <f t="shared" si="15"/>
        <v>18.03</v>
      </c>
      <c r="C89" s="208">
        <v>5</v>
      </c>
      <c r="D89" s="209">
        <f t="shared" si="18"/>
        <v>90.022714345001205</v>
      </c>
      <c r="E89" s="209">
        <f t="shared" si="12"/>
        <v>18.00454286900024</v>
      </c>
      <c r="F89" s="210">
        <f t="shared" si="13"/>
        <v>3246.2190792807432</v>
      </c>
      <c r="G89" s="211">
        <f t="shared" si="16"/>
        <v>42249</v>
      </c>
      <c r="H89" s="212">
        <f t="shared" si="19"/>
        <v>18383.843466308415</v>
      </c>
      <c r="I89" s="212">
        <f t="shared" si="14"/>
        <v>161961.66093817714</v>
      </c>
    </row>
    <row r="90" spans="1:9">
      <c r="A90" s="210">
        <f t="shared" si="17"/>
        <v>196576.59980088926</v>
      </c>
      <c r="B90" s="208">
        <f t="shared" si="15"/>
        <v>19.649999999999999</v>
      </c>
      <c r="C90" s="208">
        <v>5</v>
      </c>
      <c r="D90" s="209">
        <f t="shared" si="18"/>
        <v>90.035083878269944</v>
      </c>
      <c r="E90" s="209">
        <f t="shared" si="12"/>
        <v>18.007016775653987</v>
      </c>
      <c r="F90" s="210">
        <f t="shared" si="13"/>
        <v>3538.3787964160083</v>
      </c>
      <c r="G90" s="211">
        <f t="shared" si="16"/>
        <v>42256</v>
      </c>
      <c r="H90" s="212">
        <f t="shared" si="19"/>
        <v>20038.389378276173</v>
      </c>
      <c r="I90" s="212">
        <f t="shared" si="14"/>
        <v>176538.21042261308</v>
      </c>
    </row>
    <row r="91" spans="1:9">
      <c r="A91" s="210">
        <f t="shared" si="17"/>
        <v>214268.49378296931</v>
      </c>
      <c r="B91" s="208">
        <f t="shared" si="15"/>
        <v>21.42</v>
      </c>
      <c r="C91" s="208">
        <v>5</v>
      </c>
      <c r="D91" s="209">
        <f t="shared" si="18"/>
        <v>90.028778900407346</v>
      </c>
      <c r="E91" s="209">
        <f t="shared" si="12"/>
        <v>18.005755780081468</v>
      </c>
      <c r="F91" s="210">
        <f t="shared" si="13"/>
        <v>3856.8328880934505</v>
      </c>
      <c r="G91" s="211">
        <f t="shared" si="16"/>
        <v>42263</v>
      </c>
      <c r="H91" s="212">
        <f t="shared" si="19"/>
        <v>21841.844422321028</v>
      </c>
      <c r="I91" s="212">
        <f t="shared" si="14"/>
        <v>192426.64936064827</v>
      </c>
    </row>
    <row r="92" spans="1:9">
      <c r="A92" s="210">
        <f t="shared" si="17"/>
        <v>233552.65822343656</v>
      </c>
      <c r="B92" s="208">
        <f t="shared" si="15"/>
        <v>23.35</v>
      </c>
      <c r="C92" s="208">
        <v>5</v>
      </c>
      <c r="D92" s="209">
        <f t="shared" si="18"/>
        <v>90.020296531517374</v>
      </c>
      <c r="E92" s="209">
        <f t="shared" si="12"/>
        <v>18.004059306303475</v>
      </c>
      <c r="F92" s="210">
        <f t="shared" si="13"/>
        <v>4203.9478480218613</v>
      </c>
      <c r="G92" s="211">
        <f t="shared" si="16"/>
        <v>42270</v>
      </c>
      <c r="H92" s="212">
        <f t="shared" si="19"/>
        <v>23807.610420329922</v>
      </c>
      <c r="I92" s="212">
        <f t="shared" si="14"/>
        <v>209745.04780310663</v>
      </c>
    </row>
    <row r="93" spans="1:9">
      <c r="A93" s="210">
        <f t="shared" si="17"/>
        <v>254572.39746354587</v>
      </c>
      <c r="B93" s="208">
        <f t="shared" si="15"/>
        <v>25.45</v>
      </c>
      <c r="C93" s="208">
        <v>5</v>
      </c>
      <c r="D93" s="209">
        <f t="shared" si="18"/>
        <v>90.025602246440599</v>
      </c>
      <c r="E93" s="209">
        <f t="shared" si="12"/>
        <v>18.005120449288121</v>
      </c>
      <c r="F93" s="210">
        <f t="shared" si="13"/>
        <v>4582.3031543438265</v>
      </c>
      <c r="G93" s="211">
        <f t="shared" si="16"/>
        <v>42277</v>
      </c>
      <c r="H93" s="212">
        <f t="shared" si="19"/>
        <v>25950.295358159619</v>
      </c>
      <c r="I93" s="212">
        <f t="shared" si="14"/>
        <v>228622.10210538626</v>
      </c>
    </row>
    <row r="94" spans="1:9">
      <c r="A94" s="210">
        <f t="shared" si="17"/>
        <v>277483.913235265</v>
      </c>
      <c r="B94" s="208">
        <f t="shared" si="15"/>
        <v>27.74</v>
      </c>
      <c r="C94" s="208">
        <v>5</v>
      </c>
      <c r="D94" s="209">
        <f t="shared" si="18"/>
        <v>90.027224914109198</v>
      </c>
      <c r="E94" s="209">
        <f t="shared" si="12"/>
        <v>18.005444982821839</v>
      </c>
      <c r="F94" s="210">
        <f t="shared" si="13"/>
        <v>4994.7104382347779</v>
      </c>
      <c r="G94" s="211">
        <f t="shared" si="16"/>
        <v>42284</v>
      </c>
      <c r="H94" s="212">
        <f t="shared" si="19"/>
        <v>28285.821940393987</v>
      </c>
      <c r="I94" s="212">
        <f t="shared" si="14"/>
        <v>249198.091294871</v>
      </c>
    </row>
    <row r="95" spans="1:9">
      <c r="A95" s="210">
        <f t="shared" si="17"/>
        <v>302457.4654264389</v>
      </c>
      <c r="B95" s="208">
        <f t="shared" si="15"/>
        <v>30.24</v>
      </c>
      <c r="C95" s="208">
        <v>5</v>
      </c>
      <c r="D95" s="209">
        <f t="shared" si="18"/>
        <v>90.017102805487752</v>
      </c>
      <c r="E95" s="209">
        <f t="shared" si="12"/>
        <v>18.003420561097549</v>
      </c>
      <c r="F95" s="210">
        <f t="shared" si="13"/>
        <v>5444.234377675898</v>
      </c>
      <c r="G95" s="211">
        <f t="shared" si="16"/>
        <v>42291</v>
      </c>
      <c r="H95" s="212">
        <f t="shared" si="19"/>
        <v>30831.545915029445</v>
      </c>
      <c r="I95" s="212">
        <f t="shared" si="14"/>
        <v>271625.91951140948</v>
      </c>
    </row>
    <row r="96" spans="1:9">
      <c r="A96" s="210">
        <f t="shared" si="17"/>
        <v>329678.63731481839</v>
      </c>
      <c r="B96" s="208">
        <f t="shared" si="15"/>
        <v>32.96</v>
      </c>
      <c r="C96" s="208">
        <v>5</v>
      </c>
      <c r="D96" s="209">
        <f t="shared" si="18"/>
        <v>90.021472567759957</v>
      </c>
      <c r="E96" s="209">
        <f t="shared" si="12"/>
        <v>18.00429451355199</v>
      </c>
      <c r="F96" s="210">
        <f t="shared" si="13"/>
        <v>5934.2154716667355</v>
      </c>
      <c r="G96" s="211">
        <f t="shared" si="16"/>
        <v>42298</v>
      </c>
      <c r="H96" s="212">
        <f t="shared" si="19"/>
        <v>33606.3850473821</v>
      </c>
      <c r="I96" s="212">
        <f t="shared" si="14"/>
        <v>296072.2522674363</v>
      </c>
    </row>
    <row r="97" spans="1:9">
      <c r="A97" s="210">
        <f t="shared" si="17"/>
        <v>359349.71467315208</v>
      </c>
      <c r="B97" s="208">
        <f t="shared" si="15"/>
        <v>35.93</v>
      </c>
      <c r="C97" s="208">
        <v>5</v>
      </c>
      <c r="D97" s="209">
        <f t="shared" si="18"/>
        <v>90.012452882225844</v>
      </c>
      <c r="E97" s="209">
        <f t="shared" si="12"/>
        <v>18.002490576445169</v>
      </c>
      <c r="F97" s="210">
        <f t="shared" si="13"/>
        <v>6468.2948641167495</v>
      </c>
      <c r="G97" s="211">
        <f t="shared" si="16"/>
        <v>42305</v>
      </c>
      <c r="H97" s="212">
        <f t="shared" si="19"/>
        <v>36630.95970164649</v>
      </c>
      <c r="I97" s="212">
        <f t="shared" si="14"/>
        <v>322718.75497150561</v>
      </c>
    </row>
    <row r="98" spans="1:9">
      <c r="A98" s="210">
        <f t="shared" si="17"/>
        <v>391691.18899373582</v>
      </c>
      <c r="B98" s="208">
        <f t="shared" si="15"/>
        <v>39.159999999999997</v>
      </c>
      <c r="C98" s="208">
        <v>5</v>
      </c>
      <c r="D98" s="209">
        <f t="shared" si="18"/>
        <v>90.02095763390264</v>
      </c>
      <c r="E98" s="209">
        <f t="shared" ref="E98:E129" si="20">D98/C98</f>
        <v>18.004191526780527</v>
      </c>
      <c r="F98" s="210">
        <f t="shared" ref="F98:F129" si="21">E98*B98*10</f>
        <v>7050.441401887254</v>
      </c>
      <c r="G98" s="211">
        <f t="shared" si="16"/>
        <v>42312</v>
      </c>
      <c r="H98" s="212">
        <f t="shared" si="19"/>
        <v>39927.746074794675</v>
      </c>
      <c r="I98" s="212">
        <f t="shared" ref="I98:I129" si="22">A98-H98</f>
        <v>351763.44291894115</v>
      </c>
    </row>
    <row r="99" spans="1:9">
      <c r="A99" s="210">
        <f t="shared" si="17"/>
        <v>426943.39600317209</v>
      </c>
      <c r="B99" s="208">
        <f t="shared" si="15"/>
        <v>42.69</v>
      </c>
      <c r="C99" s="208">
        <v>5</v>
      </c>
      <c r="D99" s="209">
        <f t="shared" si="18"/>
        <v>90.009148841146697</v>
      </c>
      <c r="E99" s="209">
        <f t="shared" si="20"/>
        <v>18.001829768229339</v>
      </c>
      <c r="F99" s="210">
        <f t="shared" si="21"/>
        <v>7684.9811280571048</v>
      </c>
      <c r="G99" s="211">
        <f t="shared" ref="G99:G130" si="23">DATE(YEAR(G98),MONTH(G98),DAY(G98)+2+C99)</f>
        <v>42319</v>
      </c>
      <c r="H99" s="212">
        <f t="shared" si="19"/>
        <v>43521.243221526202</v>
      </c>
      <c r="I99" s="212">
        <f t="shared" si="22"/>
        <v>383422.15278164588</v>
      </c>
    </row>
    <row r="100" spans="1:9">
      <c r="A100" s="210">
        <f t="shared" si="17"/>
        <v>465368.30164345761</v>
      </c>
      <c r="B100" s="208">
        <f t="shared" si="15"/>
        <v>46.53</v>
      </c>
      <c r="C100" s="208">
        <v>5</v>
      </c>
      <c r="D100" s="209">
        <f t="shared" si="18"/>
        <v>90.01321114960497</v>
      </c>
      <c r="E100" s="209">
        <f t="shared" si="20"/>
        <v>18.002642229920994</v>
      </c>
      <c r="F100" s="210">
        <f t="shared" si="21"/>
        <v>8376.629429582239</v>
      </c>
      <c r="G100" s="211">
        <f t="shared" si="23"/>
        <v>42326</v>
      </c>
      <c r="H100" s="212">
        <f t="shared" si="19"/>
        <v>47438.155111463566</v>
      </c>
      <c r="I100" s="212">
        <f t="shared" si="22"/>
        <v>417930.14653199405</v>
      </c>
    </row>
    <row r="101" spans="1:9">
      <c r="A101" s="210">
        <f t="shared" si="17"/>
        <v>507251.44879136881</v>
      </c>
      <c r="B101" s="208">
        <f t="shared" si="15"/>
        <v>50.72</v>
      </c>
      <c r="C101" s="208">
        <v>5</v>
      </c>
      <c r="D101" s="209">
        <f t="shared" si="18"/>
        <v>90.009129320234976</v>
      </c>
      <c r="E101" s="209">
        <f t="shared" si="20"/>
        <v>18.001825864046996</v>
      </c>
      <c r="F101" s="210">
        <f t="shared" si="21"/>
        <v>9130.5260782446367</v>
      </c>
      <c r="G101" s="211">
        <f t="shared" si="23"/>
        <v>42333</v>
      </c>
      <c r="H101" s="212">
        <f t="shared" si="19"/>
        <v>51707.589071495291</v>
      </c>
      <c r="I101" s="212">
        <f t="shared" si="22"/>
        <v>455543.85971987352</v>
      </c>
    </row>
    <row r="102" spans="1:9">
      <c r="A102" s="210">
        <f t="shared" si="17"/>
        <v>552904.07918259199</v>
      </c>
      <c r="B102" s="208">
        <f t="shared" si="15"/>
        <v>55.29</v>
      </c>
      <c r="C102" s="208">
        <v>5</v>
      </c>
      <c r="D102" s="209">
        <f t="shared" si="18"/>
        <v>90.000664001507147</v>
      </c>
      <c r="E102" s="209">
        <f t="shared" si="20"/>
        <v>18.000132800301429</v>
      </c>
      <c r="F102" s="210">
        <f t="shared" si="21"/>
        <v>9952.2734252866594</v>
      </c>
      <c r="G102" s="211">
        <f t="shared" si="23"/>
        <v>42340</v>
      </c>
      <c r="H102" s="212">
        <f t="shared" si="19"/>
        <v>56361.272087929865</v>
      </c>
      <c r="I102" s="212">
        <f t="shared" si="22"/>
        <v>496542.8070946621</v>
      </c>
    </row>
    <row r="103" spans="1:9">
      <c r="A103" s="210">
        <f t="shared" si="17"/>
        <v>602665.44630902528</v>
      </c>
      <c r="B103" s="208">
        <f t="shared" si="15"/>
        <v>60.26</v>
      </c>
      <c r="C103" s="208">
        <v>5</v>
      </c>
      <c r="D103" s="209">
        <f t="shared" si="18"/>
        <v>90.009774589798127</v>
      </c>
      <c r="E103" s="209">
        <f t="shared" si="20"/>
        <v>18.001954917959626</v>
      </c>
      <c r="F103" s="210">
        <f t="shared" si="21"/>
        <v>10847.978033562469</v>
      </c>
      <c r="G103" s="211">
        <f t="shared" si="23"/>
        <v>42347</v>
      </c>
      <c r="H103" s="212">
        <f t="shared" si="19"/>
        <v>61433.786575843551</v>
      </c>
      <c r="I103" s="212">
        <f t="shared" si="22"/>
        <v>541231.6597331817</v>
      </c>
    </row>
    <row r="104" spans="1:9">
      <c r="A104" s="210">
        <f t="shared" si="17"/>
        <v>656905.33647683763</v>
      </c>
      <c r="B104" s="208">
        <f t="shared" si="15"/>
        <v>65.69</v>
      </c>
      <c r="C104" s="208">
        <v>5</v>
      </c>
      <c r="D104" s="209">
        <f t="shared" si="18"/>
        <v>90.000731135508303</v>
      </c>
      <c r="E104" s="209">
        <f t="shared" si="20"/>
        <v>18.000146227101659</v>
      </c>
      <c r="F104" s="210">
        <f t="shared" si="21"/>
        <v>11824.29605658308</v>
      </c>
      <c r="G104" s="211">
        <f t="shared" si="23"/>
        <v>42354</v>
      </c>
      <c r="H104" s="212">
        <f t="shared" si="19"/>
        <v>66962.827367669481</v>
      </c>
      <c r="I104" s="212">
        <f t="shared" si="22"/>
        <v>589942.5091091682</v>
      </c>
    </row>
    <row r="105" spans="1:9">
      <c r="A105" s="210">
        <f t="shared" si="17"/>
        <v>716026.81675975304</v>
      </c>
      <c r="B105" s="208">
        <f t="shared" si="15"/>
        <v>71.599999999999994</v>
      </c>
      <c r="C105" s="208">
        <v>5</v>
      </c>
      <c r="D105" s="209">
        <f t="shared" si="18"/>
        <v>90.003370821756789</v>
      </c>
      <c r="E105" s="209">
        <f t="shared" si="20"/>
        <v>18.000674164351359</v>
      </c>
      <c r="F105" s="210">
        <f t="shared" si="21"/>
        <v>12888.482701675573</v>
      </c>
      <c r="G105" s="211">
        <f t="shared" si="23"/>
        <v>42361</v>
      </c>
      <c r="H105" s="212">
        <f t="shared" si="19"/>
        <v>72989.481830759731</v>
      </c>
      <c r="I105" s="212">
        <f t="shared" si="22"/>
        <v>643037.33492899337</v>
      </c>
    </row>
    <row r="106" spans="1:9">
      <c r="A106" s="210">
        <f t="shared" si="17"/>
        <v>780469.23026813089</v>
      </c>
      <c r="B106" s="208">
        <f t="shared" si="15"/>
        <v>78.040000000000006</v>
      </c>
      <c r="C106" s="208">
        <v>5</v>
      </c>
      <c r="D106" s="209">
        <f t="shared" si="18"/>
        <v>90.007984013495388</v>
      </c>
      <c r="E106" s="209">
        <f t="shared" si="20"/>
        <v>18.001596802699076</v>
      </c>
      <c r="F106" s="210">
        <f t="shared" si="21"/>
        <v>14048.446144826359</v>
      </c>
      <c r="G106" s="211">
        <f t="shared" si="23"/>
        <v>42368</v>
      </c>
      <c r="H106" s="212">
        <f t="shared" si="19"/>
        <v>79558.535195528122</v>
      </c>
      <c r="I106" s="212">
        <f t="shared" si="22"/>
        <v>700910.69507260271</v>
      </c>
    </row>
    <row r="107" spans="1:9">
      <c r="A107" s="210">
        <f t="shared" si="17"/>
        <v>850711.4609922627</v>
      </c>
      <c r="B107" s="208">
        <f t="shared" si="15"/>
        <v>85.07</v>
      </c>
      <c r="C107" s="208">
        <v>5</v>
      </c>
      <c r="D107" s="209">
        <f t="shared" si="18"/>
        <v>90.001212518283396</v>
      </c>
      <c r="E107" s="209">
        <f t="shared" si="20"/>
        <v>18.000242503656679</v>
      </c>
      <c r="F107" s="210">
        <f t="shared" si="21"/>
        <v>15312.806297860736</v>
      </c>
      <c r="G107" s="211">
        <f t="shared" si="23"/>
        <v>42375</v>
      </c>
      <c r="H107" s="212">
        <f t="shared" si="19"/>
        <v>86718.803363125655</v>
      </c>
      <c r="I107" s="212">
        <f t="shared" si="22"/>
        <v>763992.65762913704</v>
      </c>
    </row>
    <row r="108" spans="1:9">
      <c r="A108" s="210">
        <f t="shared" si="17"/>
        <v>927275.49248156638</v>
      </c>
      <c r="B108" s="208">
        <f t="shared" si="15"/>
        <v>92.72</v>
      </c>
      <c r="C108" s="208">
        <v>5</v>
      </c>
      <c r="D108" s="209">
        <f t="shared" si="18"/>
        <v>90.007327786174613</v>
      </c>
      <c r="E108" s="209">
        <f t="shared" si="20"/>
        <v>18.001465557234923</v>
      </c>
      <c r="F108" s="210">
        <f t="shared" si="21"/>
        <v>16690.95886466822</v>
      </c>
      <c r="G108" s="211">
        <f t="shared" si="23"/>
        <v>42382</v>
      </c>
      <c r="H108" s="212">
        <f t="shared" si="19"/>
        <v>94523.495665806971</v>
      </c>
      <c r="I108" s="212">
        <f t="shared" si="22"/>
        <v>832751.99681575946</v>
      </c>
    </row>
    <row r="109" spans="1:9">
      <c r="A109" s="210">
        <f t="shared" si="17"/>
        <v>1010730.2868049075</v>
      </c>
      <c r="B109" s="208">
        <f t="shared" si="15"/>
        <v>101.07</v>
      </c>
      <c r="C109" s="208">
        <v>5</v>
      </c>
      <c r="D109" s="209">
        <f t="shared" si="18"/>
        <v>90.002696955022927</v>
      </c>
      <c r="E109" s="209">
        <f t="shared" si="20"/>
        <v>18.000539391004587</v>
      </c>
      <c r="F109" s="210">
        <f t="shared" si="21"/>
        <v>18193.145162488334</v>
      </c>
      <c r="G109" s="211">
        <f t="shared" si="23"/>
        <v>42389</v>
      </c>
      <c r="H109" s="212">
        <f t="shared" si="19"/>
        <v>103030.6102757296</v>
      </c>
      <c r="I109" s="212">
        <f t="shared" si="22"/>
        <v>907699.67652917793</v>
      </c>
    </row>
    <row r="110" spans="1:9">
      <c r="A110" s="210">
        <f t="shared" si="17"/>
        <v>1101696.0126173492</v>
      </c>
      <c r="B110" s="208">
        <f t="shared" si="15"/>
        <v>110.16</v>
      </c>
      <c r="C110" s="208">
        <v>5</v>
      </c>
      <c r="D110" s="209">
        <f t="shared" si="18"/>
        <v>90.007844168084162</v>
      </c>
      <c r="E110" s="209">
        <f t="shared" si="20"/>
        <v>18.001568833616833</v>
      </c>
      <c r="F110" s="210">
        <f t="shared" si="21"/>
        <v>19830.528227112303</v>
      </c>
      <c r="G110" s="211">
        <f t="shared" si="23"/>
        <v>42396</v>
      </c>
      <c r="H110" s="212">
        <f t="shared" si="19"/>
        <v>112303.36520054528</v>
      </c>
      <c r="I110" s="212">
        <f t="shared" si="22"/>
        <v>989392.64741680387</v>
      </c>
    </row>
    <row r="111" spans="1:9">
      <c r="A111" s="210">
        <f t="shared" si="17"/>
        <v>1200848.6537529107</v>
      </c>
      <c r="B111" s="208">
        <f t="shared" si="15"/>
        <v>120.08</v>
      </c>
      <c r="C111" s="208">
        <v>5</v>
      </c>
      <c r="D111" s="209">
        <f t="shared" si="18"/>
        <v>90.003646600401538</v>
      </c>
      <c r="E111" s="209">
        <f t="shared" si="20"/>
        <v>18.000729320080307</v>
      </c>
      <c r="F111" s="210">
        <f t="shared" si="21"/>
        <v>21615.275767552434</v>
      </c>
      <c r="G111" s="211">
        <f t="shared" si="23"/>
        <v>42403</v>
      </c>
      <c r="H111" s="212">
        <f t="shared" si="19"/>
        <v>122410.66806859436</v>
      </c>
      <c r="I111" s="212">
        <f t="shared" si="22"/>
        <v>1078437.9856843164</v>
      </c>
    </row>
    <row r="112" spans="1:9">
      <c r="A112" s="210">
        <f t="shared" si="17"/>
        <v>1308925.0325906728</v>
      </c>
      <c r="B112" s="208">
        <f t="shared" si="15"/>
        <v>130.88999999999999</v>
      </c>
      <c r="C112" s="208">
        <v>5</v>
      </c>
      <c r="D112" s="209">
        <f t="shared" si="18"/>
        <v>90.00172124162323</v>
      </c>
      <c r="E112" s="209">
        <f t="shared" si="20"/>
        <v>18.000344248324645</v>
      </c>
      <c r="F112" s="210">
        <f t="shared" si="21"/>
        <v>23560.650586632124</v>
      </c>
      <c r="G112" s="211">
        <f t="shared" si="23"/>
        <v>42410</v>
      </c>
      <c r="H112" s="212">
        <f t="shared" si="19"/>
        <v>133427.62819476787</v>
      </c>
      <c r="I112" s="212">
        <f t="shared" si="22"/>
        <v>1175497.4043959049</v>
      </c>
    </row>
    <row r="113" spans="1:9">
      <c r="A113" s="210">
        <f t="shared" si="17"/>
        <v>1426728.2855238335</v>
      </c>
      <c r="B113" s="208">
        <f t="shared" si="15"/>
        <v>142.66999999999999</v>
      </c>
      <c r="C113" s="208">
        <v>5</v>
      </c>
      <c r="D113" s="209">
        <f t="shared" si="18"/>
        <v>90.00178432546798</v>
      </c>
      <c r="E113" s="209">
        <f t="shared" si="20"/>
        <v>18.000356865093597</v>
      </c>
      <c r="F113" s="210">
        <f t="shared" si="21"/>
        <v>25681.109139429031</v>
      </c>
      <c r="G113" s="211">
        <f t="shared" si="23"/>
        <v>42417</v>
      </c>
      <c r="H113" s="212">
        <f t="shared" si="19"/>
        <v>145436.11473229699</v>
      </c>
      <c r="I113" s="212">
        <f t="shared" si="22"/>
        <v>1281292.1707915366</v>
      </c>
    </row>
    <row r="114" spans="1:9">
      <c r="A114" s="210">
        <f t="shared" si="17"/>
        <v>1555133.8312209786</v>
      </c>
      <c r="B114" s="208">
        <f t="shared" si="15"/>
        <v>155.51</v>
      </c>
      <c r="C114" s="208">
        <v>5</v>
      </c>
      <c r="D114" s="209">
        <f t="shared" si="18"/>
        <v>90.001957951185219</v>
      </c>
      <c r="E114" s="209">
        <f t="shared" si="20"/>
        <v>18.000391590237044</v>
      </c>
      <c r="F114" s="210">
        <f t="shared" si="21"/>
        <v>27992.408961977628</v>
      </c>
      <c r="G114" s="211">
        <f t="shared" si="23"/>
        <v>42424</v>
      </c>
      <c r="H114" s="212">
        <f t="shared" si="19"/>
        <v>158525.36505820372</v>
      </c>
      <c r="I114" s="212">
        <f t="shared" si="22"/>
        <v>1396608.4661627749</v>
      </c>
    </row>
    <row r="115" spans="1:9">
      <c r="A115" s="210">
        <f t="shared" si="17"/>
        <v>1695095.8760308668</v>
      </c>
      <c r="B115" s="208">
        <f t="shared" si="15"/>
        <v>169.5</v>
      </c>
      <c r="C115" s="208">
        <v>5</v>
      </c>
      <c r="D115" s="209">
        <f t="shared" si="18"/>
        <v>90.005090762700917</v>
      </c>
      <c r="E115" s="209">
        <f t="shared" si="20"/>
        <v>18.001018152540183</v>
      </c>
      <c r="F115" s="210">
        <f t="shared" si="21"/>
        <v>30511.725768555611</v>
      </c>
      <c r="G115" s="211">
        <f t="shared" si="23"/>
        <v>42431</v>
      </c>
      <c r="H115" s="212">
        <f t="shared" si="19"/>
        <v>172792.64791344208</v>
      </c>
      <c r="I115" s="212">
        <f t="shared" si="22"/>
        <v>1522303.2281174248</v>
      </c>
    </row>
    <row r="116" spans="1:9">
      <c r="A116" s="210">
        <f t="shared" si="17"/>
        <v>1847654.5048736448</v>
      </c>
      <c r="B116" s="208">
        <f t="shared" si="15"/>
        <v>184.76</v>
      </c>
      <c r="C116" s="208">
        <v>5</v>
      </c>
      <c r="D116" s="209">
        <f t="shared" si="18"/>
        <v>90.002655032814616</v>
      </c>
      <c r="E116" s="209">
        <f t="shared" si="20"/>
        <v>18.000531006562923</v>
      </c>
      <c r="F116" s="210">
        <f t="shared" si="21"/>
        <v>33257.781087725656</v>
      </c>
      <c r="G116" s="211">
        <f t="shared" si="23"/>
        <v>42438</v>
      </c>
      <c r="H116" s="212">
        <f t="shared" si="19"/>
        <v>188343.98622565187</v>
      </c>
      <c r="I116" s="212">
        <f t="shared" si="22"/>
        <v>1659310.518647993</v>
      </c>
    </row>
    <row r="117" spans="1:9">
      <c r="A117" s="210">
        <f t="shared" si="17"/>
        <v>2013943.4103122731</v>
      </c>
      <c r="B117" s="208">
        <f t="shared" si="15"/>
        <v>201.39</v>
      </c>
      <c r="C117" s="208">
        <v>5</v>
      </c>
      <c r="D117" s="209">
        <f t="shared" si="18"/>
        <v>90.001939981183199</v>
      </c>
      <c r="E117" s="209">
        <f t="shared" si="20"/>
        <v>18.00038799623664</v>
      </c>
      <c r="F117" s="210">
        <f t="shared" si="21"/>
        <v>36250.981385620966</v>
      </c>
      <c r="G117" s="211">
        <f t="shared" si="23"/>
        <v>42445</v>
      </c>
      <c r="H117" s="212">
        <f t="shared" si="19"/>
        <v>205294.94498596052</v>
      </c>
      <c r="I117" s="212">
        <f t="shared" si="22"/>
        <v>1808648.4653263125</v>
      </c>
    </row>
    <row r="118" spans="1:9">
      <c r="A118" s="210">
        <f t="shared" si="17"/>
        <v>2195198.3172403779</v>
      </c>
      <c r="B118" s="208">
        <f t="shared" si="15"/>
        <v>219.51</v>
      </c>
      <c r="C118" s="208">
        <v>5</v>
      </c>
      <c r="D118" s="209">
        <f t="shared" si="18"/>
        <v>90.00403104716608</v>
      </c>
      <c r="E118" s="209">
        <f t="shared" si="20"/>
        <v>18.000806209433215</v>
      </c>
      <c r="F118" s="210">
        <f t="shared" si="21"/>
        <v>39513.569710326847</v>
      </c>
      <c r="G118" s="211">
        <f t="shared" si="23"/>
        <v>42452</v>
      </c>
      <c r="H118" s="212">
        <f t="shared" si="19"/>
        <v>223771.490034697</v>
      </c>
      <c r="I118" s="212">
        <f t="shared" si="22"/>
        <v>1971426.8272056808</v>
      </c>
    </row>
    <row r="119" spans="1:9">
      <c r="A119" s="210">
        <f t="shared" si="17"/>
        <v>2392766.1657920121</v>
      </c>
      <c r="B119" s="208">
        <f t="shared" si="15"/>
        <v>239.27</v>
      </c>
      <c r="C119" s="208">
        <v>5</v>
      </c>
      <c r="D119" s="209">
        <f t="shared" si="18"/>
        <v>90.002488787261854</v>
      </c>
      <c r="E119" s="209">
        <f t="shared" si="20"/>
        <v>18.000497757452372</v>
      </c>
      <c r="F119" s="210">
        <f t="shared" si="21"/>
        <v>43069.790984256295</v>
      </c>
      <c r="G119" s="211">
        <f t="shared" si="23"/>
        <v>42459</v>
      </c>
      <c r="H119" s="212">
        <f t="shared" si="19"/>
        <v>243910.92413781976</v>
      </c>
      <c r="I119" s="212">
        <f t="shared" si="22"/>
        <v>2148855.2416541926</v>
      </c>
    </row>
    <row r="120" spans="1:9">
      <c r="A120" s="210">
        <f t="shared" si="17"/>
        <v>2608115.1207132936</v>
      </c>
      <c r="B120" s="208">
        <f t="shared" si="15"/>
        <v>260.81</v>
      </c>
      <c r="C120" s="208">
        <v>5</v>
      </c>
      <c r="D120" s="209">
        <f t="shared" si="18"/>
        <v>90.000521783749249</v>
      </c>
      <c r="E120" s="209">
        <f t="shared" si="20"/>
        <v>18.000104356749851</v>
      </c>
      <c r="F120" s="210">
        <f t="shared" si="21"/>
        <v>46946.072172839282</v>
      </c>
      <c r="G120" s="211">
        <f t="shared" si="23"/>
        <v>42466</v>
      </c>
      <c r="H120" s="212">
        <f t="shared" si="19"/>
        <v>265862.90731022356</v>
      </c>
      <c r="I120" s="212">
        <f t="shared" si="22"/>
        <v>2342252.2134030699</v>
      </c>
    </row>
    <row r="121" spans="1:9">
      <c r="A121" s="210">
        <f t="shared" si="17"/>
        <v>2842845.48157749</v>
      </c>
      <c r="B121" s="208">
        <f t="shared" si="15"/>
        <v>284.27999999999997</v>
      </c>
      <c r="C121" s="208">
        <v>5</v>
      </c>
      <c r="D121" s="209">
        <f t="shared" si="18"/>
        <v>90.001439897978955</v>
      </c>
      <c r="E121" s="209">
        <f t="shared" si="20"/>
        <v>18.00028797959579</v>
      </c>
      <c r="F121" s="210">
        <f t="shared" si="21"/>
        <v>51171.218668394904</v>
      </c>
      <c r="G121" s="211">
        <f t="shared" si="23"/>
        <v>42473</v>
      </c>
      <c r="H121" s="212">
        <f t="shared" si="19"/>
        <v>289790.56896814372</v>
      </c>
      <c r="I121" s="212">
        <f t="shared" si="22"/>
        <v>2553054.9126093462</v>
      </c>
    </row>
    <row r="122" spans="1:9">
      <c r="A122" s="210">
        <f t="shared" si="17"/>
        <v>3098701.5749194645</v>
      </c>
      <c r="B122" s="208">
        <f t="shared" si="15"/>
        <v>309.87</v>
      </c>
      <c r="C122" s="208">
        <v>5</v>
      </c>
      <c r="D122" s="209">
        <f t="shared" si="18"/>
        <v>90.000045742650769</v>
      </c>
      <c r="E122" s="209">
        <f t="shared" si="20"/>
        <v>18.000009148530154</v>
      </c>
      <c r="F122" s="210">
        <f t="shared" si="21"/>
        <v>55776.628348550381</v>
      </c>
      <c r="G122" s="211">
        <f t="shared" si="23"/>
        <v>42480</v>
      </c>
      <c r="H122" s="212">
        <f t="shared" si="19"/>
        <v>315871.72017527669</v>
      </c>
      <c r="I122" s="212">
        <f t="shared" si="22"/>
        <v>2782829.854744188</v>
      </c>
    </row>
    <row r="123" spans="1:9">
      <c r="A123" s="210">
        <f t="shared" si="17"/>
        <v>3377584.7166622165</v>
      </c>
      <c r="B123" s="208">
        <f t="shared" si="15"/>
        <v>337.75</v>
      </c>
      <c r="C123" s="208">
        <v>5</v>
      </c>
      <c r="D123" s="209">
        <f t="shared" si="18"/>
        <v>90.002257438815661</v>
      </c>
      <c r="E123" s="209">
        <f t="shared" si="20"/>
        <v>18.000451487763133</v>
      </c>
      <c r="F123" s="210">
        <f t="shared" si="21"/>
        <v>60796.524899919976</v>
      </c>
      <c r="G123" s="211">
        <f t="shared" si="23"/>
        <v>42487</v>
      </c>
      <c r="H123" s="212">
        <f t="shared" si="19"/>
        <v>344300.17499105161</v>
      </c>
      <c r="I123" s="212">
        <f t="shared" si="22"/>
        <v>3033284.5416711648</v>
      </c>
    </row>
    <row r="124" spans="1:9">
      <c r="A124" s="210">
        <f t="shared" si="17"/>
        <v>3681567.3411618164</v>
      </c>
      <c r="B124" s="208">
        <f t="shared" si="15"/>
        <v>368.15</v>
      </c>
      <c r="C124" s="208">
        <v>5</v>
      </c>
      <c r="D124" s="209">
        <f t="shared" si="18"/>
        <v>90.001646259558271</v>
      </c>
      <c r="E124" s="209">
        <f t="shared" si="20"/>
        <v>18.000329251911655</v>
      </c>
      <c r="F124" s="210">
        <f t="shared" si="21"/>
        <v>66268.212140912758</v>
      </c>
      <c r="G124" s="211">
        <f t="shared" si="23"/>
        <v>42494</v>
      </c>
      <c r="H124" s="212">
        <f t="shared" si="19"/>
        <v>375287.19074024627</v>
      </c>
      <c r="I124" s="212">
        <f t="shared" si="22"/>
        <v>3306280.1504215701</v>
      </c>
    </row>
    <row r="125" spans="1:9">
      <c r="A125" s="210">
        <f t="shared" si="17"/>
        <v>4012908.4018663801</v>
      </c>
      <c r="B125" s="208">
        <f t="shared" si="15"/>
        <v>401.29</v>
      </c>
      <c r="C125" s="208">
        <v>5</v>
      </c>
      <c r="D125" s="209">
        <f t="shared" si="18"/>
        <v>90.00018843429298</v>
      </c>
      <c r="E125" s="209">
        <f t="shared" si="20"/>
        <v>18.000037686858597</v>
      </c>
      <c r="F125" s="210">
        <f t="shared" si="21"/>
        <v>72232.351233594876</v>
      </c>
      <c r="G125" s="211">
        <f t="shared" si="23"/>
        <v>42501</v>
      </c>
      <c r="H125" s="212">
        <f t="shared" si="19"/>
        <v>409063.0379068685</v>
      </c>
      <c r="I125" s="212">
        <f t="shared" si="22"/>
        <v>3603845.3639595117</v>
      </c>
    </row>
    <row r="126" spans="1:9">
      <c r="A126" s="210">
        <f t="shared" si="17"/>
        <v>4374070.1580343544</v>
      </c>
      <c r="B126" s="208">
        <f t="shared" si="15"/>
        <v>437.4</v>
      </c>
      <c r="C126" s="208">
        <v>5</v>
      </c>
      <c r="D126" s="209">
        <f t="shared" si="18"/>
        <v>90.001443580953833</v>
      </c>
      <c r="E126" s="209">
        <f t="shared" si="20"/>
        <v>18.000288716190767</v>
      </c>
      <c r="F126" s="210">
        <f t="shared" si="21"/>
        <v>78733.26284461841</v>
      </c>
      <c r="G126" s="211">
        <f t="shared" si="23"/>
        <v>42508</v>
      </c>
      <c r="H126" s="212">
        <f t="shared" si="19"/>
        <v>445878.71131848666</v>
      </c>
      <c r="I126" s="212">
        <f t="shared" si="22"/>
        <v>3928191.4467158676</v>
      </c>
    </row>
    <row r="127" spans="1:9">
      <c r="A127" s="210">
        <f t="shared" si="17"/>
        <v>4767736.4722574465</v>
      </c>
      <c r="B127" s="208">
        <f t="shared" si="15"/>
        <v>476.77</v>
      </c>
      <c r="C127" s="208">
        <v>5</v>
      </c>
      <c r="D127" s="209">
        <f t="shared" si="18"/>
        <v>90.000688487776273</v>
      </c>
      <c r="E127" s="209">
        <f t="shared" si="20"/>
        <v>18.000137697555253</v>
      </c>
      <c r="F127" s="210">
        <f t="shared" si="21"/>
        <v>85819.25650063419</v>
      </c>
      <c r="G127" s="211">
        <f t="shared" si="23"/>
        <v>42515</v>
      </c>
      <c r="H127" s="212">
        <f t="shared" si="19"/>
        <v>486007.79533715051</v>
      </c>
      <c r="I127" s="212">
        <f t="shared" si="22"/>
        <v>4281728.6769202957</v>
      </c>
    </row>
    <row r="128" spans="1:9">
      <c r="A128" s="210">
        <f t="shared" si="17"/>
        <v>5196832.7547606174</v>
      </c>
      <c r="B128" s="208">
        <f t="shared" si="15"/>
        <v>519.67999999999995</v>
      </c>
      <c r="C128" s="208">
        <v>5</v>
      </c>
      <c r="D128" s="209">
        <f t="shared" si="18"/>
        <v>90.000567258400494</v>
      </c>
      <c r="E128" s="209">
        <f t="shared" si="20"/>
        <v>18.0001134516801</v>
      </c>
      <c r="F128" s="210">
        <f t="shared" si="21"/>
        <v>93542.989585691132</v>
      </c>
      <c r="G128" s="211">
        <f t="shared" si="23"/>
        <v>42522</v>
      </c>
      <c r="H128" s="212">
        <f t="shared" si="19"/>
        <v>529748.49691749411</v>
      </c>
      <c r="I128" s="212">
        <f t="shared" si="22"/>
        <v>4667084.2578431237</v>
      </c>
    </row>
    <row r="129" spans="1:9">
      <c r="A129" s="210">
        <f t="shared" si="17"/>
        <v>5664547.702689073</v>
      </c>
      <c r="B129" s="208">
        <f t="shared" si="15"/>
        <v>566.45000000000005</v>
      </c>
      <c r="C129" s="208">
        <v>5</v>
      </c>
      <c r="D129" s="209">
        <f t="shared" si="18"/>
        <v>90.000757920737357</v>
      </c>
      <c r="E129" s="209">
        <f t="shared" si="20"/>
        <v>18.000151584147471</v>
      </c>
      <c r="F129" s="210">
        <f t="shared" si="21"/>
        <v>101961.85864840336</v>
      </c>
      <c r="G129" s="211">
        <f t="shared" si="23"/>
        <v>42529</v>
      </c>
      <c r="H129" s="212">
        <f t="shared" si="19"/>
        <v>577425.86164006859</v>
      </c>
      <c r="I129" s="212">
        <f t="shared" si="22"/>
        <v>5087121.8410490043</v>
      </c>
    </row>
    <row r="130" spans="1:9">
      <c r="A130" s="210">
        <f t="shared" si="17"/>
        <v>6174356.9959310899</v>
      </c>
      <c r="B130" s="208">
        <f t="shared" si="15"/>
        <v>617.42999999999995</v>
      </c>
      <c r="C130" s="208">
        <v>5</v>
      </c>
      <c r="D130" s="209">
        <f t="shared" si="18"/>
        <v>90.000830804107082</v>
      </c>
      <c r="E130" s="209">
        <f t="shared" ref="E130:E145" si="24">D130/C130</f>
        <v>18.000166160821415</v>
      </c>
      <c r="F130" s="210">
        <f t="shared" ref="F130:F145" si="25">E130*B130*10</f>
        <v>111138.42592675965</v>
      </c>
      <c r="G130" s="211">
        <f t="shared" si="23"/>
        <v>42536</v>
      </c>
      <c r="H130" s="212">
        <f t="shared" si="19"/>
        <v>629394.18918767478</v>
      </c>
      <c r="I130" s="212">
        <f t="shared" ref="I130:I145" si="26">A130-H130</f>
        <v>5544962.8067434151</v>
      </c>
    </row>
    <row r="131" spans="1:9">
      <c r="A131" s="210">
        <f t="shared" si="17"/>
        <v>6730049.1255648881</v>
      </c>
      <c r="B131" s="208">
        <f t="shared" ref="B131:B145" si="27">ROUNDDOWN(A131/100*0.01,2)</f>
        <v>673</v>
      </c>
      <c r="C131" s="208">
        <v>5</v>
      </c>
      <c r="D131" s="209">
        <f t="shared" si="18"/>
        <v>90.000656954062492</v>
      </c>
      <c r="E131" s="209">
        <f t="shared" si="24"/>
        <v>18.000131390812498</v>
      </c>
      <c r="F131" s="210">
        <f t="shared" si="25"/>
        <v>121140.88426016811</v>
      </c>
      <c r="G131" s="211">
        <f t="shared" ref="G131:G145" si="28">DATE(YEAR(G130),MONTH(G130),DAY(G130)+2+C131)</f>
        <v>42543</v>
      </c>
      <c r="H131" s="212">
        <f t="shared" si="19"/>
        <v>686039.66621456551</v>
      </c>
      <c r="I131" s="212">
        <f t="shared" si="26"/>
        <v>6044009.4593503224</v>
      </c>
    </row>
    <row r="132" spans="1:9">
      <c r="A132" s="210">
        <f t="shared" ref="A132:A145" si="29">A131*1.09</f>
        <v>7335753.5468657287</v>
      </c>
      <c r="B132" s="208">
        <f t="shared" si="27"/>
        <v>733.57</v>
      </c>
      <c r="C132" s="208">
        <v>5</v>
      </c>
      <c r="D132" s="209">
        <f t="shared" ref="D132:D145" si="30">IF(A133&lt;&gt;"",(A133-A132)/B132/10,D131)</f>
        <v>90.000656954062535</v>
      </c>
      <c r="E132" s="209">
        <f t="shared" si="24"/>
        <v>18.000131390812506</v>
      </c>
      <c r="F132" s="210">
        <f t="shared" si="25"/>
        <v>132043.56384358331</v>
      </c>
      <c r="G132" s="211">
        <f t="shared" si="28"/>
        <v>42550</v>
      </c>
      <c r="H132" s="212">
        <f t="shared" ref="H132:H145" si="31">A131/9</f>
        <v>747783.23617387644</v>
      </c>
      <c r="I132" s="212">
        <f t="shared" si="26"/>
        <v>6587970.3106918521</v>
      </c>
    </row>
    <row r="133" spans="1:9">
      <c r="A133" s="210">
        <f t="shared" si="29"/>
        <v>7995971.3660836453</v>
      </c>
      <c r="B133" s="208">
        <f t="shared" si="27"/>
        <v>799.59</v>
      </c>
      <c r="C133" s="208">
        <v>5</v>
      </c>
      <c r="D133" s="209">
        <f t="shared" si="30"/>
        <v>90.000803280122156</v>
      </c>
      <c r="E133" s="209">
        <f t="shared" si="24"/>
        <v>18.00016065602443</v>
      </c>
      <c r="F133" s="210">
        <f t="shared" si="25"/>
        <v>143927.48458950574</v>
      </c>
      <c r="G133" s="211">
        <f t="shared" si="28"/>
        <v>42557</v>
      </c>
      <c r="H133" s="212">
        <f t="shared" si="31"/>
        <v>815083.72742952546</v>
      </c>
      <c r="I133" s="212">
        <f t="shared" si="26"/>
        <v>7180887.6386541203</v>
      </c>
    </row>
    <row r="134" spans="1:9">
      <c r="A134" s="210">
        <f t="shared" si="29"/>
        <v>8715608.789031174</v>
      </c>
      <c r="B134" s="208">
        <f t="shared" si="27"/>
        <v>871.56</v>
      </c>
      <c r="C134" s="208">
        <v>5</v>
      </c>
      <c r="D134" s="209">
        <f t="shared" si="30"/>
        <v>90.000090758273316</v>
      </c>
      <c r="E134" s="209">
        <f t="shared" si="24"/>
        <v>18.000018151654665</v>
      </c>
      <c r="F134" s="210">
        <f t="shared" si="25"/>
        <v>156880.95820256136</v>
      </c>
      <c r="G134" s="211">
        <f t="shared" si="28"/>
        <v>42564</v>
      </c>
      <c r="H134" s="212">
        <f t="shared" si="31"/>
        <v>888441.26289818285</v>
      </c>
      <c r="I134" s="212">
        <f t="shared" si="26"/>
        <v>7827167.5261329915</v>
      </c>
    </row>
    <row r="135" spans="1:9">
      <c r="A135" s="210">
        <f t="shared" si="29"/>
        <v>9500013.5800439809</v>
      </c>
      <c r="B135" s="208">
        <f t="shared" si="27"/>
        <v>950</v>
      </c>
      <c r="C135" s="208">
        <v>5</v>
      </c>
      <c r="D135" s="209">
        <f t="shared" si="30"/>
        <v>90.000128653048293</v>
      </c>
      <c r="E135" s="209">
        <f t="shared" si="24"/>
        <v>18.000025730609657</v>
      </c>
      <c r="F135" s="210">
        <f t="shared" si="25"/>
        <v>171000.24444079175</v>
      </c>
      <c r="G135" s="211">
        <f t="shared" si="28"/>
        <v>42571</v>
      </c>
      <c r="H135" s="212">
        <f t="shared" si="31"/>
        <v>968400.9765590193</v>
      </c>
      <c r="I135" s="212">
        <f t="shared" si="26"/>
        <v>8531612.6034849621</v>
      </c>
    </row>
    <row r="136" spans="1:9">
      <c r="A136" s="210">
        <f t="shared" si="29"/>
        <v>10355014.80224794</v>
      </c>
      <c r="B136" s="208">
        <f t="shared" si="27"/>
        <v>1035.5</v>
      </c>
      <c r="C136" s="208">
        <v>5</v>
      </c>
      <c r="D136" s="209">
        <f t="shared" si="30"/>
        <v>90.000128653048321</v>
      </c>
      <c r="E136" s="209">
        <f t="shared" si="24"/>
        <v>18.000025730609664</v>
      </c>
      <c r="F136" s="210">
        <f t="shared" si="25"/>
        <v>186390.26644046305</v>
      </c>
      <c r="G136" s="211">
        <f t="shared" si="28"/>
        <v>42578</v>
      </c>
      <c r="H136" s="212">
        <f t="shared" si="31"/>
        <v>1055557.0644493313</v>
      </c>
      <c r="I136" s="212">
        <f t="shared" si="26"/>
        <v>9299457.7377986088</v>
      </c>
    </row>
    <row r="137" spans="1:9">
      <c r="A137" s="210">
        <f t="shared" si="29"/>
        <v>11286966.134450255</v>
      </c>
      <c r="B137" s="208">
        <f t="shared" si="27"/>
        <v>1128.69</v>
      </c>
      <c r="C137" s="208">
        <v>5</v>
      </c>
      <c r="D137" s="209">
        <f t="shared" si="30"/>
        <v>90.000527345907614</v>
      </c>
      <c r="E137" s="209">
        <f t="shared" si="24"/>
        <v>18.000105469181523</v>
      </c>
      <c r="F137" s="210">
        <f t="shared" si="25"/>
        <v>203165.39042010496</v>
      </c>
      <c r="G137" s="211">
        <f t="shared" si="28"/>
        <v>42585</v>
      </c>
      <c r="H137" s="212">
        <f t="shared" si="31"/>
        <v>1150557.2002497711</v>
      </c>
      <c r="I137" s="212">
        <f t="shared" si="26"/>
        <v>10136408.934200484</v>
      </c>
    </row>
    <row r="138" spans="1:9">
      <c r="A138" s="210">
        <f t="shared" si="29"/>
        <v>12302793.08655078</v>
      </c>
      <c r="B138" s="208">
        <f t="shared" si="27"/>
        <v>1230.27</v>
      </c>
      <c r="C138" s="208">
        <v>5</v>
      </c>
      <c r="D138" s="209">
        <f t="shared" si="30"/>
        <v>90.000680971621833</v>
      </c>
      <c r="E138" s="209">
        <f t="shared" si="24"/>
        <v>18.000136194324366</v>
      </c>
      <c r="F138" s="210">
        <f t="shared" si="25"/>
        <v>221450.27555791434</v>
      </c>
      <c r="G138" s="211">
        <f t="shared" si="28"/>
        <v>42592</v>
      </c>
      <c r="H138" s="212">
        <f t="shared" si="31"/>
        <v>1254107.3482722505</v>
      </c>
      <c r="I138" s="212">
        <f t="shared" si="26"/>
        <v>11048685.738278529</v>
      </c>
    </row>
    <row r="139" spans="1:9">
      <c r="A139" s="210">
        <f t="shared" si="29"/>
        <v>13410044.464340352</v>
      </c>
      <c r="B139" s="208">
        <f t="shared" si="27"/>
        <v>1341</v>
      </c>
      <c r="C139" s="208">
        <v>5</v>
      </c>
      <c r="D139" s="209">
        <f t="shared" si="30"/>
        <v>90.00029841839175</v>
      </c>
      <c r="E139" s="209">
        <f t="shared" si="24"/>
        <v>18.000059683678352</v>
      </c>
      <c r="F139" s="210">
        <f t="shared" si="25"/>
        <v>241380.8003581267</v>
      </c>
      <c r="G139" s="211">
        <f t="shared" si="28"/>
        <v>42599</v>
      </c>
      <c r="H139" s="212">
        <f t="shared" si="31"/>
        <v>1366977.0096167533</v>
      </c>
      <c r="I139" s="212">
        <f t="shared" si="26"/>
        <v>12043067.454723598</v>
      </c>
    </row>
    <row r="140" spans="1:9">
      <c r="A140" s="210">
        <f t="shared" si="29"/>
        <v>14616948.466130985</v>
      </c>
      <c r="B140" s="208">
        <f t="shared" si="27"/>
        <v>1461.69</v>
      </c>
      <c r="C140" s="208">
        <v>5</v>
      </c>
      <c r="D140" s="209">
        <f t="shared" si="30"/>
        <v>90.000298418391637</v>
      </c>
      <c r="E140" s="209">
        <f t="shared" si="24"/>
        <v>18.000059683678327</v>
      </c>
      <c r="F140" s="210">
        <f t="shared" si="25"/>
        <v>263105.07239035773</v>
      </c>
      <c r="G140" s="211">
        <f t="shared" si="28"/>
        <v>42606</v>
      </c>
      <c r="H140" s="212">
        <f t="shared" si="31"/>
        <v>1490004.9404822614</v>
      </c>
      <c r="I140" s="212">
        <f t="shared" si="26"/>
        <v>13126943.525648724</v>
      </c>
    </row>
    <row r="141" spans="1:9">
      <c r="A141" s="210">
        <f t="shared" si="29"/>
        <v>15932473.828082774</v>
      </c>
      <c r="B141" s="208">
        <f t="shared" si="27"/>
        <v>1593.24</v>
      </c>
      <c r="C141" s="208">
        <v>5</v>
      </c>
      <c r="D141" s="209">
        <f t="shared" si="30"/>
        <v>90.000417044980679</v>
      </c>
      <c r="E141" s="209">
        <f t="shared" si="24"/>
        <v>18.000083408996137</v>
      </c>
      <c r="F141" s="210">
        <f t="shared" si="25"/>
        <v>286784.52890549006</v>
      </c>
      <c r="G141" s="211">
        <f t="shared" si="28"/>
        <v>42613</v>
      </c>
      <c r="H141" s="212">
        <f t="shared" si="31"/>
        <v>1624105.385125665</v>
      </c>
      <c r="I141" s="212">
        <f t="shared" si="26"/>
        <v>14308368.442957109</v>
      </c>
    </row>
    <row r="142" spans="1:9">
      <c r="A142" s="210">
        <f t="shared" si="29"/>
        <v>17366396.472610224</v>
      </c>
      <c r="B142" s="208">
        <f t="shared" si="27"/>
        <v>1736.63</v>
      </c>
      <c r="C142" s="208">
        <v>5</v>
      </c>
      <c r="D142" s="209">
        <f t="shared" si="30"/>
        <v>90.000499964582076</v>
      </c>
      <c r="E142" s="209">
        <f t="shared" si="24"/>
        <v>18.000099992916414</v>
      </c>
      <c r="F142" s="210">
        <f t="shared" si="25"/>
        <v>312595.13650698436</v>
      </c>
      <c r="G142" s="211">
        <f t="shared" si="28"/>
        <v>42620</v>
      </c>
      <c r="H142" s="212">
        <f t="shared" si="31"/>
        <v>1770274.869786975</v>
      </c>
      <c r="I142" s="212">
        <f t="shared" si="26"/>
        <v>15596121.60282325</v>
      </c>
    </row>
    <row r="143" spans="1:9">
      <c r="A143" s="210">
        <f t="shared" si="29"/>
        <v>18929372.155145146</v>
      </c>
      <c r="B143" s="208">
        <f t="shared" si="27"/>
        <v>1892.93</v>
      </c>
      <c r="C143" s="208">
        <v>5</v>
      </c>
      <c r="D143" s="209">
        <f t="shared" si="30"/>
        <v>90.00034306408935</v>
      </c>
      <c r="E143" s="209">
        <f t="shared" si="24"/>
        <v>18.00006861281787</v>
      </c>
      <c r="F143" s="210">
        <f t="shared" si="25"/>
        <v>340728.69879261329</v>
      </c>
      <c r="G143" s="211">
        <f t="shared" si="28"/>
        <v>42627</v>
      </c>
      <c r="H143" s="212">
        <f t="shared" si="31"/>
        <v>1929599.6080678026</v>
      </c>
      <c r="I143" s="212">
        <f t="shared" si="26"/>
        <v>16999772.547077343</v>
      </c>
    </row>
    <row r="144" spans="1:9">
      <c r="A144" s="210">
        <f t="shared" si="29"/>
        <v>20633015.649108212</v>
      </c>
      <c r="B144" s="208">
        <f t="shared" si="27"/>
        <v>2063.3000000000002</v>
      </c>
      <c r="C144" s="208">
        <v>5</v>
      </c>
      <c r="D144" s="209">
        <f t="shared" si="30"/>
        <v>90.000068260540843</v>
      </c>
      <c r="E144" s="209">
        <f t="shared" si="24"/>
        <v>18.000013652108169</v>
      </c>
      <c r="F144" s="210">
        <f t="shared" si="25"/>
        <v>371394.28168394789</v>
      </c>
      <c r="G144" s="211">
        <f t="shared" si="28"/>
        <v>42634</v>
      </c>
      <c r="H144" s="212">
        <f t="shared" si="31"/>
        <v>2103263.5727939052</v>
      </c>
      <c r="I144" s="212">
        <f t="shared" si="26"/>
        <v>18529752.076314308</v>
      </c>
    </row>
    <row r="145" spans="1:9">
      <c r="A145" s="210">
        <f t="shared" si="29"/>
        <v>22489987.057527952</v>
      </c>
      <c r="B145" s="208">
        <f t="shared" si="27"/>
        <v>2248.9899999999998</v>
      </c>
      <c r="C145" s="208">
        <v>5</v>
      </c>
      <c r="D145" s="209">
        <f t="shared" si="30"/>
        <v>90.000068260540843</v>
      </c>
      <c r="E145" s="209">
        <f t="shared" si="24"/>
        <v>18.000013652108169</v>
      </c>
      <c r="F145" s="210">
        <f t="shared" si="25"/>
        <v>404818.50703454751</v>
      </c>
      <c r="G145" s="211">
        <f t="shared" si="28"/>
        <v>42641</v>
      </c>
      <c r="H145" s="212">
        <f t="shared" si="31"/>
        <v>2292557.294345357</v>
      </c>
      <c r="I145" s="212">
        <f t="shared" si="26"/>
        <v>20197429.763182595</v>
      </c>
    </row>
    <row r="146" spans="1:9">
      <c r="A146" s="210"/>
      <c r="B146" s="208"/>
      <c r="C146" s="208"/>
      <c r="D146" s="209"/>
      <c r="E146" s="209"/>
      <c r="F146" s="210"/>
      <c r="G146" s="211"/>
      <c r="H146" s="212"/>
      <c r="I146" s="212"/>
    </row>
    <row r="147" spans="1:9">
      <c r="A147" s="210"/>
      <c r="B147" s="208"/>
      <c r="C147" s="208"/>
      <c r="D147" s="209"/>
      <c r="E147" s="209"/>
      <c r="F147" s="210"/>
      <c r="G147" s="211"/>
      <c r="H147" s="212"/>
      <c r="I147" s="212"/>
    </row>
    <row r="148" spans="1:9">
      <c r="A148" s="210"/>
      <c r="B148" s="208"/>
      <c r="C148" s="208"/>
      <c r="D148" s="209"/>
      <c r="E148" s="209"/>
      <c r="F148" s="210"/>
      <c r="G148" s="211"/>
      <c r="H148" s="212"/>
      <c r="I148" s="212"/>
    </row>
    <row r="149" spans="1:9">
      <c r="A149" s="210"/>
      <c r="B149" s="208"/>
      <c r="C149" s="208"/>
      <c r="D149" s="209"/>
      <c r="E149" s="209"/>
      <c r="F149" s="210"/>
      <c r="G149" s="211"/>
      <c r="H149" s="212"/>
      <c r="I149" s="212"/>
    </row>
    <row r="150" spans="1:9">
      <c r="A150" s="210"/>
      <c r="B150" s="208"/>
      <c r="C150" s="208"/>
      <c r="D150" s="209"/>
      <c r="E150" s="209"/>
      <c r="F150" s="210"/>
      <c r="G150" s="211"/>
      <c r="H150" s="212"/>
      <c r="I150" s="212"/>
    </row>
    <row r="151" spans="1:9">
      <c r="A151" s="210"/>
      <c r="B151" s="208"/>
      <c r="C151" s="208"/>
      <c r="D151" s="209"/>
      <c r="E151" s="209"/>
      <c r="F151" s="210"/>
      <c r="G151" s="211"/>
      <c r="H151" s="212"/>
      <c r="I151" s="212"/>
    </row>
    <row r="152" spans="1:9">
      <c r="A152" s="210"/>
      <c r="B152" s="208"/>
      <c r="C152" s="208"/>
      <c r="D152" s="209"/>
      <c r="E152" s="209"/>
      <c r="F152" s="210"/>
      <c r="G152" s="211"/>
      <c r="H152" s="212"/>
      <c r="I152" s="212"/>
    </row>
    <row r="153" spans="1:9">
      <c r="A153" s="210"/>
      <c r="B153" s="208"/>
      <c r="C153" s="208"/>
      <c r="D153" s="209"/>
      <c r="E153" s="209"/>
      <c r="F153" s="210"/>
      <c r="G153" s="211"/>
      <c r="H153" s="212"/>
      <c r="I153" s="212"/>
    </row>
    <row r="154" spans="1:9">
      <c r="A154" s="210"/>
      <c r="B154" s="208"/>
      <c r="C154" s="208"/>
      <c r="D154" s="209"/>
      <c r="E154" s="209"/>
      <c r="F154" s="210"/>
      <c r="G154" s="211"/>
      <c r="H154" s="212"/>
      <c r="I154" s="212"/>
    </row>
    <row r="155" spans="1:9">
      <c r="A155" s="210"/>
      <c r="B155" s="208"/>
      <c r="C155" s="208"/>
      <c r="D155" s="209"/>
      <c r="E155" s="209"/>
      <c r="F155" s="210"/>
      <c r="G155" s="211"/>
      <c r="H155" s="212"/>
      <c r="I155" s="212"/>
    </row>
    <row r="156" spans="1:9">
      <c r="A156" s="210"/>
      <c r="B156" s="208"/>
      <c r="C156" s="208"/>
      <c r="D156" s="209"/>
      <c r="E156" s="209"/>
      <c r="F156" s="210"/>
      <c r="G156" s="211"/>
      <c r="H156" s="212"/>
      <c r="I156" s="212"/>
    </row>
    <row r="157" spans="1:9">
      <c r="A157" s="210"/>
      <c r="B157" s="208"/>
      <c r="C157" s="208"/>
      <c r="D157" s="209"/>
      <c r="E157" s="209"/>
      <c r="F157" s="210"/>
      <c r="G157" s="211"/>
      <c r="H157" s="212"/>
      <c r="I157" s="212"/>
    </row>
    <row r="158" spans="1:9">
      <c r="A158" s="210"/>
      <c r="B158" s="208"/>
      <c r="C158" s="208"/>
      <c r="D158" s="209"/>
      <c r="E158" s="209"/>
      <c r="F158" s="210"/>
      <c r="G158" s="211"/>
      <c r="H158" s="212"/>
      <c r="I158" s="212"/>
    </row>
    <row r="159" spans="1:9">
      <c r="A159" s="210"/>
      <c r="B159" s="208"/>
      <c r="C159" s="208"/>
      <c r="D159" s="209"/>
      <c r="E159" s="209"/>
      <c r="F159" s="210"/>
      <c r="G159" s="211"/>
      <c r="H159" s="212"/>
      <c r="I159" s="212"/>
    </row>
    <row r="160" spans="1:9">
      <c r="A160" s="210"/>
      <c r="B160" s="208"/>
      <c r="C160" s="208"/>
      <c r="D160" s="209"/>
      <c r="E160" s="209"/>
      <c r="F160" s="210"/>
      <c r="G160" s="211"/>
      <c r="H160" s="212"/>
      <c r="I160" s="212"/>
    </row>
    <row r="161" spans="1:9">
      <c r="A161" s="210"/>
      <c r="B161" s="208"/>
      <c r="C161" s="208"/>
      <c r="D161" s="209"/>
      <c r="E161" s="209"/>
      <c r="F161" s="210"/>
      <c r="G161" s="211"/>
      <c r="H161" s="212"/>
      <c r="I161" s="212"/>
    </row>
    <row r="162" spans="1:9">
      <c r="A162" s="210"/>
      <c r="B162" s="208"/>
      <c r="C162" s="208"/>
      <c r="D162" s="209"/>
      <c r="E162" s="209"/>
      <c r="F162" s="210"/>
      <c r="G162" s="211"/>
      <c r="H162" s="212"/>
      <c r="I162" s="212"/>
    </row>
    <row r="163" spans="1:9">
      <c r="A163" s="210"/>
      <c r="B163" s="208"/>
      <c r="C163" s="208"/>
      <c r="D163" s="209"/>
      <c r="E163" s="209"/>
      <c r="F163" s="210"/>
      <c r="G163" s="211"/>
      <c r="H163" s="212"/>
      <c r="I163" s="212"/>
    </row>
    <row r="164" spans="1:9">
      <c r="A164" s="210"/>
      <c r="B164" s="208"/>
      <c r="C164" s="208"/>
      <c r="D164" s="209"/>
      <c r="E164" s="209"/>
      <c r="F164" s="210"/>
      <c r="G164" s="211"/>
      <c r="H164" s="212"/>
      <c r="I164" s="212"/>
    </row>
    <row r="165" spans="1:9">
      <c r="A165" s="210"/>
      <c r="B165" s="208"/>
      <c r="C165" s="208"/>
      <c r="D165" s="209"/>
      <c r="E165" s="209"/>
      <c r="F165" s="210"/>
      <c r="G165" s="211"/>
      <c r="H165" s="212"/>
      <c r="I165" s="212"/>
    </row>
    <row r="166" spans="1:9">
      <c r="A166" s="210"/>
      <c r="B166" s="208"/>
      <c r="C166" s="208"/>
      <c r="D166" s="209"/>
      <c r="E166" s="209"/>
      <c r="F166" s="210"/>
      <c r="G166" s="211"/>
      <c r="H166" s="212"/>
      <c r="I166" s="212"/>
    </row>
    <row r="167" spans="1:9">
      <c r="A167" s="210"/>
      <c r="B167" s="208"/>
      <c r="C167" s="208"/>
      <c r="D167" s="209"/>
      <c r="E167" s="209"/>
      <c r="F167" s="210"/>
      <c r="G167" s="211"/>
      <c r="H167" s="212"/>
      <c r="I167" s="212"/>
    </row>
    <row r="168" spans="1:9">
      <c r="A168" s="210"/>
      <c r="B168" s="208"/>
      <c r="C168" s="208"/>
      <c r="D168" s="209"/>
      <c r="E168" s="209"/>
      <c r="F168" s="210"/>
      <c r="G168" s="211"/>
      <c r="H168" s="212"/>
      <c r="I168" s="212"/>
    </row>
    <row r="169" spans="1:9">
      <c r="A169" s="210"/>
      <c r="B169" s="208"/>
      <c r="C169" s="208"/>
      <c r="D169" s="209"/>
      <c r="E169" s="209"/>
      <c r="F169" s="210"/>
      <c r="G169" s="211"/>
      <c r="H169" s="212"/>
      <c r="I169" s="212"/>
    </row>
    <row r="170" spans="1:9">
      <c r="A170" s="210"/>
      <c r="B170" s="208"/>
      <c r="C170" s="208"/>
      <c r="D170" s="209"/>
      <c r="E170" s="209"/>
      <c r="F170" s="210"/>
      <c r="G170" s="211"/>
      <c r="H170" s="212"/>
      <c r="I170" s="212"/>
    </row>
    <row r="171" spans="1:9">
      <c r="A171" s="210"/>
      <c r="B171" s="208"/>
      <c r="C171" s="208"/>
      <c r="D171" s="209"/>
      <c r="E171" s="209"/>
      <c r="F171" s="210"/>
      <c r="G171" s="211"/>
      <c r="H171" s="212"/>
      <c r="I171" s="212"/>
    </row>
    <row r="172" spans="1:9">
      <c r="A172" s="210"/>
      <c r="B172" s="208"/>
      <c r="C172" s="208"/>
      <c r="D172" s="209"/>
      <c r="E172" s="209"/>
      <c r="F172" s="210"/>
      <c r="G172" s="211"/>
      <c r="H172" s="212"/>
      <c r="I172" s="212"/>
    </row>
    <row r="173" spans="1:9">
      <c r="A173" s="210"/>
      <c r="B173" s="208"/>
      <c r="C173" s="208"/>
      <c r="D173" s="209"/>
      <c r="E173" s="209"/>
      <c r="F173" s="210"/>
      <c r="G173" s="211"/>
      <c r="H173" s="212"/>
      <c r="I173" s="212"/>
    </row>
    <row r="174" spans="1:9">
      <c r="A174" s="210"/>
      <c r="B174" s="208"/>
      <c r="C174" s="208"/>
      <c r="D174" s="209"/>
      <c r="E174" s="209"/>
      <c r="F174" s="210"/>
      <c r="G174" s="211"/>
      <c r="H174" s="212"/>
      <c r="I174" s="212"/>
    </row>
    <row r="175" spans="1:9">
      <c r="A175" s="210"/>
      <c r="B175" s="208"/>
      <c r="C175" s="208"/>
      <c r="D175" s="209"/>
      <c r="E175" s="209"/>
      <c r="F175" s="210"/>
      <c r="G175" s="211"/>
      <c r="H175" s="212"/>
      <c r="I175" s="212"/>
    </row>
    <row r="176" spans="1:9">
      <c r="A176" s="210"/>
      <c r="B176" s="208"/>
      <c r="C176" s="208"/>
      <c r="D176" s="209"/>
      <c r="E176" s="209"/>
      <c r="F176" s="210"/>
      <c r="G176" s="211"/>
      <c r="H176" s="212"/>
      <c r="I176" s="212"/>
    </row>
    <row r="177" spans="1:9">
      <c r="A177" s="210"/>
      <c r="B177" s="208"/>
      <c r="C177" s="208"/>
      <c r="D177" s="209"/>
      <c r="E177" s="209"/>
      <c r="F177" s="210"/>
      <c r="G177" s="211"/>
      <c r="H177" s="212"/>
      <c r="I177" s="212"/>
    </row>
    <row r="178" spans="1:9">
      <c r="A178" s="210"/>
      <c r="B178" s="208"/>
      <c r="C178" s="208"/>
      <c r="D178" s="209"/>
      <c r="E178" s="209"/>
      <c r="F178" s="210"/>
      <c r="G178" s="211"/>
      <c r="H178" s="212"/>
      <c r="I178" s="212"/>
    </row>
    <row r="179" spans="1:9">
      <c r="A179" s="210"/>
      <c r="B179" s="208"/>
      <c r="C179" s="208"/>
      <c r="D179" s="209"/>
      <c r="E179" s="209"/>
      <c r="F179" s="210"/>
      <c r="G179" s="211"/>
      <c r="H179" s="212"/>
      <c r="I179" s="212"/>
    </row>
    <row r="180" spans="1:9">
      <c r="A180" s="210"/>
      <c r="B180" s="208"/>
      <c r="C180" s="208"/>
      <c r="D180" s="209"/>
      <c r="E180" s="209"/>
      <c r="F180" s="210"/>
      <c r="G180" s="211"/>
      <c r="H180" s="212"/>
      <c r="I180" s="212"/>
    </row>
    <row r="181" spans="1:9">
      <c r="A181" s="210"/>
      <c r="B181" s="208"/>
      <c r="C181" s="208"/>
      <c r="D181" s="209"/>
      <c r="E181" s="209"/>
      <c r="F181" s="210"/>
      <c r="G181" s="211"/>
      <c r="H181" s="212"/>
      <c r="I181" s="212"/>
    </row>
    <row r="182" spans="1:9">
      <c r="A182" s="210"/>
      <c r="B182" s="208"/>
      <c r="C182" s="208"/>
      <c r="D182" s="209"/>
      <c r="E182" s="209"/>
      <c r="F182" s="210"/>
      <c r="G182" s="211"/>
      <c r="H182" s="212"/>
      <c r="I182" s="212"/>
    </row>
    <row r="183" spans="1:9">
      <c r="A183" s="210"/>
      <c r="B183" s="208"/>
      <c r="C183" s="208"/>
      <c r="D183" s="209"/>
      <c r="E183" s="209"/>
      <c r="F183" s="210"/>
      <c r="G183" s="211"/>
      <c r="H183" s="212"/>
      <c r="I183" s="212"/>
    </row>
    <row r="184" spans="1:9">
      <c r="A184" s="210"/>
      <c r="B184" s="208"/>
      <c r="C184" s="208"/>
      <c r="D184" s="209"/>
      <c r="E184" s="209"/>
      <c r="F184" s="210"/>
      <c r="G184" s="211"/>
      <c r="H184" s="212"/>
      <c r="I184" s="212"/>
    </row>
    <row r="185" spans="1:9">
      <c r="A185" s="210"/>
      <c r="B185" s="208"/>
      <c r="C185" s="208"/>
      <c r="D185" s="209"/>
      <c r="E185" s="209"/>
      <c r="F185" s="210"/>
      <c r="G185" s="211"/>
      <c r="H185" s="212"/>
      <c r="I185" s="212"/>
    </row>
    <row r="186" spans="1:9">
      <c r="A186" s="210"/>
      <c r="B186" s="208"/>
      <c r="C186" s="208"/>
      <c r="D186" s="209"/>
      <c r="E186" s="209"/>
      <c r="F186" s="210"/>
      <c r="G186" s="211"/>
      <c r="H186" s="212"/>
      <c r="I186" s="212"/>
    </row>
    <row r="187" spans="1:9">
      <c r="A187" s="210"/>
      <c r="B187" s="208"/>
      <c r="C187" s="208"/>
      <c r="D187" s="209"/>
      <c r="E187" s="209"/>
      <c r="F187" s="210"/>
      <c r="G187" s="211"/>
      <c r="H187" s="212"/>
      <c r="I187" s="212"/>
    </row>
    <row r="188" spans="1:9">
      <c r="A188" s="210"/>
      <c r="B188" s="208"/>
      <c r="C188" s="208"/>
      <c r="D188" s="209"/>
      <c r="E188" s="209"/>
      <c r="F188" s="210"/>
      <c r="G188" s="211"/>
      <c r="H188" s="212"/>
      <c r="I188" s="212"/>
    </row>
    <row r="189" spans="1:9">
      <c r="A189" s="210"/>
      <c r="B189" s="208"/>
      <c r="C189" s="208"/>
      <c r="D189" s="209"/>
      <c r="E189" s="209"/>
      <c r="F189" s="210"/>
      <c r="G189" s="211"/>
      <c r="H189" s="212"/>
      <c r="I189" s="212"/>
    </row>
    <row r="190" spans="1:9">
      <c r="A190" s="210"/>
      <c r="B190" s="208"/>
      <c r="C190" s="208"/>
      <c r="D190" s="209"/>
      <c r="E190" s="209"/>
      <c r="F190" s="210"/>
      <c r="G190" s="211"/>
      <c r="H190" s="212"/>
      <c r="I190" s="212"/>
    </row>
    <row r="191" spans="1:9">
      <c r="A191" s="210"/>
      <c r="B191" s="208"/>
      <c r="C191" s="208"/>
      <c r="D191" s="209"/>
      <c r="E191" s="209"/>
      <c r="F191" s="210"/>
      <c r="G191" s="211"/>
      <c r="H191" s="212"/>
      <c r="I191" s="212"/>
    </row>
    <row r="192" spans="1:9">
      <c r="A192" s="210"/>
      <c r="B192" s="208"/>
      <c r="C192" s="208"/>
      <c r="D192" s="209"/>
      <c r="E192" s="209"/>
      <c r="F192" s="210"/>
      <c r="G192" s="211"/>
      <c r="H192" s="212"/>
      <c r="I192" s="212"/>
    </row>
    <row r="193" spans="1:9">
      <c r="A193" s="210"/>
      <c r="B193" s="208"/>
      <c r="C193" s="208"/>
      <c r="D193" s="209"/>
      <c r="E193" s="209"/>
      <c r="F193" s="210"/>
      <c r="G193" s="211"/>
      <c r="H193" s="212"/>
      <c r="I193" s="212"/>
    </row>
    <row r="194" spans="1:9">
      <c r="A194" s="210"/>
      <c r="B194" s="208"/>
      <c r="C194" s="208"/>
      <c r="D194" s="209"/>
      <c r="E194" s="209"/>
      <c r="F194" s="210"/>
      <c r="G194" s="211"/>
      <c r="H194" s="212"/>
      <c r="I194" s="212"/>
    </row>
    <row r="195" spans="1:9">
      <c r="A195" s="210"/>
      <c r="B195" s="208"/>
      <c r="C195" s="208"/>
      <c r="D195" s="209"/>
      <c r="E195" s="209"/>
      <c r="F195" s="210"/>
      <c r="G195" s="211"/>
      <c r="H195" s="212"/>
      <c r="I195" s="212"/>
    </row>
    <row r="196" spans="1:9">
      <c r="A196" s="210"/>
      <c r="B196" s="208"/>
      <c r="C196" s="208"/>
      <c r="D196" s="209"/>
      <c r="E196" s="209"/>
      <c r="F196" s="210"/>
      <c r="G196" s="211"/>
      <c r="H196" s="212"/>
      <c r="I196" s="212"/>
    </row>
    <row r="197" spans="1:9">
      <c r="A197" s="210"/>
      <c r="B197" s="208"/>
      <c r="C197" s="208"/>
      <c r="D197" s="209"/>
      <c r="E197" s="209"/>
      <c r="F197" s="210"/>
      <c r="G197" s="211"/>
      <c r="H197" s="212"/>
      <c r="I197" s="212"/>
    </row>
    <row r="198" spans="1:9">
      <c r="A198" s="210"/>
      <c r="B198" s="208"/>
      <c r="C198" s="208"/>
      <c r="D198" s="209"/>
      <c r="E198" s="209"/>
      <c r="F198" s="210"/>
      <c r="G198" s="211"/>
      <c r="H198" s="212"/>
      <c r="I198" s="212"/>
    </row>
    <row r="199" spans="1:9">
      <c r="A199" s="210"/>
      <c r="B199" s="208"/>
      <c r="C199" s="208"/>
      <c r="D199" s="209"/>
      <c r="E199" s="209"/>
      <c r="F199" s="210"/>
      <c r="G199" s="211"/>
      <c r="H199" s="212"/>
      <c r="I199" s="212"/>
    </row>
    <row r="200" spans="1:9">
      <c r="A200" s="210"/>
      <c r="B200" s="208"/>
      <c r="C200" s="208"/>
      <c r="D200" s="209"/>
      <c r="E200" s="209"/>
      <c r="F200" s="210"/>
      <c r="G200" s="211"/>
      <c r="H200" s="212"/>
      <c r="I200" s="212"/>
    </row>
    <row r="201" spans="1:9">
      <c r="A201" s="210"/>
      <c r="B201" s="208"/>
      <c r="C201" s="208"/>
      <c r="D201" s="209"/>
      <c r="E201" s="209"/>
      <c r="F201" s="210"/>
      <c r="G201" s="211"/>
      <c r="H201" s="212"/>
      <c r="I201" s="212"/>
    </row>
    <row r="202" spans="1:9">
      <c r="A202" s="169"/>
      <c r="B202" s="167"/>
      <c r="C202" s="173"/>
      <c r="D202" s="170"/>
      <c r="E202" s="170"/>
      <c r="F202" s="169"/>
      <c r="G202" s="171"/>
      <c r="H202" s="172"/>
      <c r="I202" s="172"/>
    </row>
    <row r="203" spans="1:9">
      <c r="A203" s="169"/>
      <c r="B203" s="167"/>
      <c r="C203" s="173"/>
      <c r="D203" s="170"/>
      <c r="E203" s="170"/>
      <c r="F203" s="169"/>
      <c r="G203" s="171"/>
      <c r="H203" s="172"/>
      <c r="I203" s="172"/>
    </row>
    <row r="204" spans="1:9">
      <c r="A204" s="169"/>
      <c r="B204" s="167"/>
      <c r="C204" s="173"/>
      <c r="D204" s="170"/>
      <c r="E204" s="170"/>
      <c r="F204" s="169"/>
      <c r="G204" s="171"/>
      <c r="H204" s="172"/>
      <c r="I204" s="172"/>
    </row>
    <row r="205" spans="1:9">
      <c r="A205" s="169"/>
      <c r="B205" s="167"/>
      <c r="C205" s="173"/>
      <c r="D205" s="170"/>
      <c r="E205" s="170"/>
      <c r="F205" s="169"/>
      <c r="G205" s="171"/>
      <c r="H205" s="172"/>
      <c r="I205" s="172"/>
    </row>
    <row r="206" spans="1:9">
      <c r="A206" s="169"/>
      <c r="B206" s="167"/>
      <c r="C206" s="173"/>
      <c r="D206" s="170"/>
      <c r="E206" s="170"/>
      <c r="F206" s="169"/>
      <c r="G206" s="171"/>
      <c r="H206" s="172"/>
      <c r="I206" s="172"/>
    </row>
    <row r="207" spans="1:9">
      <c r="A207" s="169"/>
      <c r="B207" s="167"/>
      <c r="C207" s="173"/>
      <c r="D207" s="170"/>
      <c r="E207" s="170"/>
      <c r="F207" s="169"/>
      <c r="G207" s="171"/>
      <c r="H207" s="172"/>
      <c r="I207" s="172"/>
    </row>
    <row r="208" spans="1:9">
      <c r="A208" s="169"/>
      <c r="B208" s="167"/>
      <c r="C208" s="173"/>
      <c r="D208" s="170"/>
      <c r="E208" s="170"/>
      <c r="F208" s="169"/>
      <c r="G208" s="171"/>
      <c r="H208" s="172"/>
      <c r="I208" s="172"/>
    </row>
    <row r="209" spans="1:9">
      <c r="A209" s="169"/>
      <c r="B209" s="167"/>
      <c r="C209" s="173"/>
      <c r="D209" s="170"/>
      <c r="E209" s="170"/>
      <c r="F209" s="169"/>
      <c r="G209" s="171"/>
      <c r="H209" s="172"/>
      <c r="I209" s="172"/>
    </row>
    <row r="210" spans="1:9">
      <c r="A210" s="169"/>
      <c r="B210" s="167"/>
      <c r="C210" s="173"/>
      <c r="D210" s="170"/>
      <c r="E210" s="170"/>
      <c r="F210" s="169"/>
      <c r="G210" s="171"/>
      <c r="H210" s="172"/>
      <c r="I210" s="172"/>
    </row>
    <row r="211" spans="1:9">
      <c r="A211" s="169"/>
      <c r="B211" s="167"/>
      <c r="C211" s="173"/>
      <c r="D211" s="170"/>
      <c r="E211" s="170"/>
      <c r="F211" s="169"/>
      <c r="G211" s="171"/>
      <c r="H211" s="172"/>
      <c r="I211" s="172"/>
    </row>
    <row r="212" spans="1:9">
      <c r="A212" s="169"/>
      <c r="B212" s="167"/>
      <c r="C212" s="173"/>
      <c r="D212" s="170"/>
      <c r="E212" s="170"/>
      <c r="F212" s="169"/>
      <c r="G212" s="171"/>
      <c r="H212" s="172"/>
      <c r="I212" s="172"/>
    </row>
    <row r="213" spans="1:9">
      <c r="A213" s="169"/>
      <c r="B213" s="167"/>
      <c r="C213" s="173"/>
      <c r="D213" s="170"/>
      <c r="E213" s="170"/>
      <c r="F213" s="169"/>
      <c r="G213" s="171"/>
      <c r="H213" s="172"/>
      <c r="I213" s="172"/>
    </row>
    <row r="214" spans="1:9">
      <c r="A214" s="169"/>
      <c r="B214" s="167"/>
      <c r="C214" s="173"/>
      <c r="D214" s="170"/>
      <c r="E214" s="170"/>
      <c r="F214" s="169"/>
      <c r="G214" s="171"/>
      <c r="H214" s="172"/>
      <c r="I214" s="172"/>
    </row>
    <row r="215" spans="1:9">
      <c r="A215" s="169"/>
      <c r="B215" s="167"/>
      <c r="C215" s="173"/>
      <c r="D215" s="170"/>
      <c r="E215" s="170"/>
      <c r="F215" s="169"/>
      <c r="G215" s="171"/>
      <c r="H215" s="172"/>
      <c r="I215" s="172"/>
    </row>
    <row r="216" spans="1:9">
      <c r="A216" s="169"/>
      <c r="B216" s="167"/>
      <c r="C216" s="173"/>
      <c r="D216" s="170"/>
      <c r="E216" s="170"/>
      <c r="F216" s="169"/>
      <c r="G216" s="171"/>
      <c r="H216" s="172"/>
      <c r="I216" s="172"/>
    </row>
    <row r="217" spans="1:9">
      <c r="A217" s="169"/>
      <c r="B217" s="167"/>
      <c r="C217" s="173"/>
      <c r="D217" s="170"/>
      <c r="E217" s="170"/>
      <c r="F217" s="169"/>
      <c r="G217" s="171"/>
      <c r="H217" s="172"/>
      <c r="I217" s="172"/>
    </row>
    <row r="218" spans="1:9">
      <c r="A218" s="169"/>
      <c r="B218" s="167"/>
      <c r="C218" s="173"/>
      <c r="D218" s="170"/>
      <c r="E218" s="170"/>
      <c r="F218" s="169"/>
      <c r="G218" s="171"/>
      <c r="H218" s="172"/>
      <c r="I218" s="172"/>
    </row>
    <row r="219" spans="1:9">
      <c r="A219" s="169"/>
      <c r="B219" s="167"/>
      <c r="C219" s="173"/>
      <c r="D219" s="170"/>
      <c r="E219" s="170"/>
      <c r="F219" s="169"/>
      <c r="G219" s="171"/>
      <c r="H219" s="172"/>
      <c r="I219" s="172"/>
    </row>
    <row r="220" spans="1:9">
      <c r="A220" s="169"/>
      <c r="B220" s="167"/>
      <c r="C220" s="173"/>
      <c r="D220" s="170"/>
      <c r="E220" s="170"/>
      <c r="F220" s="169"/>
      <c r="G220" s="171"/>
      <c r="H220" s="172"/>
      <c r="I220" s="172"/>
    </row>
    <row r="221" spans="1:9">
      <c r="A221" s="169"/>
      <c r="B221" s="167"/>
      <c r="C221" s="173"/>
      <c r="D221" s="170"/>
      <c r="E221" s="170"/>
      <c r="F221" s="169"/>
      <c r="G221" s="171"/>
      <c r="H221" s="172"/>
      <c r="I221" s="172"/>
    </row>
    <row r="222" spans="1:9">
      <c r="A222" s="169"/>
      <c r="B222" s="167"/>
      <c r="C222" s="173"/>
      <c r="D222" s="170"/>
      <c r="E222" s="170"/>
      <c r="F222" s="169"/>
      <c r="G222" s="171"/>
      <c r="H222" s="172"/>
      <c r="I222" s="172"/>
    </row>
    <row r="223" spans="1:9">
      <c r="A223" s="169"/>
      <c r="B223" s="167"/>
      <c r="C223" s="173"/>
      <c r="D223" s="170"/>
      <c r="E223" s="170"/>
      <c r="F223" s="169"/>
      <c r="G223" s="171"/>
      <c r="H223" s="172"/>
      <c r="I223" s="172"/>
    </row>
    <row r="224" spans="1:9">
      <c r="A224" s="169"/>
      <c r="B224" s="167"/>
      <c r="C224" s="173"/>
      <c r="D224" s="170"/>
      <c r="E224" s="170"/>
      <c r="F224" s="169"/>
      <c r="G224" s="171"/>
      <c r="H224" s="172"/>
      <c r="I224" s="172"/>
    </row>
    <row r="225" spans="1:9">
      <c r="A225" s="169"/>
      <c r="B225" s="167"/>
      <c r="C225" s="173"/>
      <c r="D225" s="170"/>
      <c r="E225" s="170"/>
      <c r="F225" s="169"/>
      <c r="G225" s="171"/>
      <c r="H225" s="172"/>
      <c r="I225" s="172"/>
    </row>
    <row r="226" spans="1:9">
      <c r="A226" s="169"/>
      <c r="B226" s="167"/>
      <c r="C226" s="173"/>
      <c r="D226" s="170"/>
      <c r="E226" s="170"/>
      <c r="F226" s="169"/>
      <c r="G226" s="171"/>
      <c r="H226" s="172"/>
      <c r="I226" s="172"/>
    </row>
    <row r="227" spans="1:9">
      <c r="A227" s="169"/>
      <c r="B227" s="167"/>
      <c r="C227" s="173"/>
      <c r="D227" s="170"/>
      <c r="E227" s="170"/>
      <c r="F227" s="169"/>
      <c r="G227" s="171"/>
      <c r="H227" s="172"/>
      <c r="I227" s="172"/>
    </row>
    <row r="228" spans="1:9">
      <c r="A228" s="169"/>
      <c r="B228" s="167"/>
      <c r="C228" s="173"/>
      <c r="D228" s="170"/>
      <c r="E228" s="170"/>
      <c r="F228" s="169"/>
      <c r="G228" s="171"/>
      <c r="H228" s="172"/>
      <c r="I228" s="172"/>
    </row>
    <row r="229" spans="1:9">
      <c r="A229" s="169"/>
      <c r="B229" s="167"/>
      <c r="C229" s="173"/>
      <c r="D229" s="170"/>
      <c r="E229" s="170"/>
      <c r="F229" s="169"/>
      <c r="G229" s="171"/>
      <c r="H229" s="172"/>
      <c r="I229" s="172"/>
    </row>
    <row r="230" spans="1:9">
      <c r="A230" s="169"/>
      <c r="B230" s="167"/>
      <c r="C230" s="173"/>
      <c r="D230" s="170"/>
      <c r="E230" s="170"/>
      <c r="F230" s="169"/>
      <c r="G230" s="171"/>
      <c r="H230" s="172"/>
      <c r="I230" s="172"/>
    </row>
    <row r="231" spans="1:9">
      <c r="A231" s="169"/>
      <c r="B231" s="167"/>
      <c r="C231" s="173"/>
      <c r="D231" s="170"/>
      <c r="E231" s="170"/>
      <c r="F231" s="169"/>
      <c r="G231" s="171"/>
      <c r="H231" s="172"/>
      <c r="I231" s="172"/>
    </row>
    <row r="232" spans="1:9">
      <c r="A232" s="169"/>
      <c r="B232" s="167"/>
      <c r="C232" s="173"/>
      <c r="D232" s="170"/>
      <c r="E232" s="170"/>
      <c r="F232" s="169"/>
      <c r="G232" s="171"/>
      <c r="H232" s="172"/>
      <c r="I232" s="172"/>
    </row>
    <row r="233" spans="1:9">
      <c r="A233" s="169"/>
      <c r="B233" s="167"/>
      <c r="C233" s="173"/>
      <c r="D233" s="170"/>
      <c r="E233" s="170"/>
      <c r="F233" s="169"/>
      <c r="G233" s="171"/>
      <c r="H233" s="172"/>
      <c r="I233" s="172"/>
    </row>
    <row r="234" spans="1:9">
      <c r="A234" s="169"/>
      <c r="B234" s="167"/>
      <c r="C234" s="173"/>
      <c r="D234" s="170"/>
      <c r="E234" s="170"/>
      <c r="F234" s="169"/>
      <c r="G234" s="171"/>
      <c r="H234" s="172"/>
      <c r="I234" s="172"/>
    </row>
    <row r="235" spans="1:9">
      <c r="A235" s="169"/>
      <c r="B235" s="167"/>
      <c r="C235" s="173"/>
      <c r="D235" s="170"/>
      <c r="E235" s="170"/>
      <c r="F235" s="169"/>
      <c r="G235" s="171"/>
      <c r="H235" s="172"/>
      <c r="I235" s="172"/>
    </row>
    <row r="236" spans="1:9">
      <c r="A236" s="169"/>
      <c r="B236" s="167"/>
      <c r="C236" s="173"/>
      <c r="D236" s="170"/>
      <c r="E236" s="170"/>
      <c r="F236" s="169"/>
      <c r="G236" s="171"/>
      <c r="H236" s="172"/>
      <c r="I236" s="172"/>
    </row>
    <row r="237" spans="1:9">
      <c r="A237" s="169"/>
      <c r="B237" s="167"/>
      <c r="C237" s="173"/>
      <c r="D237" s="170"/>
      <c r="E237" s="170"/>
      <c r="F237" s="169"/>
      <c r="G237" s="171"/>
      <c r="H237" s="172"/>
      <c r="I237" s="172"/>
    </row>
    <row r="238" spans="1:9">
      <c r="A238" s="169"/>
      <c r="B238" s="167"/>
      <c r="C238" s="173"/>
      <c r="D238" s="170"/>
      <c r="E238" s="170"/>
      <c r="F238" s="169"/>
      <c r="G238" s="171"/>
      <c r="H238" s="172"/>
      <c r="I238" s="172"/>
    </row>
    <row r="239" spans="1:9">
      <c r="A239" s="169"/>
      <c r="B239" s="167"/>
      <c r="C239" s="173"/>
      <c r="D239" s="170"/>
      <c r="E239" s="170"/>
      <c r="F239" s="169"/>
      <c r="G239" s="171"/>
      <c r="H239" s="172"/>
      <c r="I239" s="172"/>
    </row>
    <row r="240" spans="1:9">
      <c r="A240" s="169"/>
      <c r="B240" s="167"/>
      <c r="C240" s="173"/>
      <c r="D240" s="170"/>
      <c r="E240" s="170"/>
      <c r="F240" s="169"/>
      <c r="G240" s="171"/>
      <c r="H240" s="172"/>
      <c r="I240" s="172"/>
    </row>
    <row r="241" spans="1:9">
      <c r="A241" s="169"/>
      <c r="B241" s="167"/>
      <c r="C241" s="173"/>
      <c r="D241" s="170"/>
      <c r="E241" s="170"/>
      <c r="F241" s="169"/>
      <c r="G241" s="171"/>
      <c r="H241" s="172"/>
      <c r="I241" s="172"/>
    </row>
    <row r="242" spans="1:9">
      <c r="A242" s="169"/>
      <c r="B242" s="167"/>
      <c r="C242" s="173"/>
      <c r="D242" s="170"/>
      <c r="E242" s="170"/>
      <c r="F242" s="169"/>
      <c r="G242" s="171"/>
      <c r="H242" s="172"/>
      <c r="I242" s="172"/>
    </row>
    <row r="243" spans="1:9">
      <c r="A243" s="169"/>
      <c r="B243" s="167"/>
      <c r="C243" s="173"/>
      <c r="D243" s="170"/>
      <c r="E243" s="170"/>
      <c r="F243" s="169"/>
      <c r="G243" s="171"/>
      <c r="H243" s="172"/>
      <c r="I243" s="172"/>
    </row>
    <row r="244" spans="1:9">
      <c r="A244" s="169"/>
      <c r="B244" s="167"/>
      <c r="C244" s="173"/>
      <c r="D244" s="170"/>
      <c r="E244" s="170"/>
      <c r="F244" s="169"/>
      <c r="G244" s="171"/>
      <c r="H244" s="172"/>
      <c r="I244" s="172"/>
    </row>
    <row r="245" spans="1:9">
      <c r="A245" s="169"/>
      <c r="B245" s="167"/>
      <c r="C245" s="173"/>
      <c r="D245" s="170"/>
      <c r="E245" s="170"/>
      <c r="F245" s="169"/>
      <c r="G245" s="171"/>
      <c r="H245" s="172"/>
      <c r="I245" s="172"/>
    </row>
    <row r="246" spans="1:9">
      <c r="A246" s="169"/>
      <c r="B246" s="167"/>
      <c r="C246" s="173"/>
      <c r="D246" s="170"/>
      <c r="E246" s="170"/>
      <c r="F246" s="169"/>
      <c r="G246" s="171"/>
      <c r="H246" s="172"/>
      <c r="I246" s="172"/>
    </row>
    <row r="247" spans="1:9">
      <c r="A247" s="169"/>
      <c r="B247" s="167"/>
      <c r="C247" s="173"/>
      <c r="D247" s="170"/>
      <c r="E247" s="170"/>
      <c r="F247" s="169"/>
      <c r="G247" s="171"/>
      <c r="H247" s="172"/>
      <c r="I247" s="172"/>
    </row>
    <row r="248" spans="1:9">
      <c r="A248" s="169"/>
      <c r="B248" s="167"/>
      <c r="C248" s="173"/>
      <c r="D248" s="170"/>
      <c r="E248" s="170"/>
      <c r="F248" s="169"/>
      <c r="G248" s="171"/>
      <c r="H248" s="172"/>
      <c r="I248" s="172"/>
    </row>
    <row r="249" spans="1:9">
      <c r="A249" s="169"/>
      <c r="B249" s="167"/>
      <c r="C249" s="173"/>
      <c r="D249" s="170"/>
      <c r="E249" s="170"/>
      <c r="F249" s="169"/>
      <c r="G249" s="171"/>
      <c r="H249" s="172"/>
      <c r="I249" s="172"/>
    </row>
    <row r="250" spans="1:9">
      <c r="A250" s="169"/>
      <c r="B250" s="167"/>
      <c r="C250" s="173"/>
      <c r="D250" s="170"/>
      <c r="E250" s="170"/>
      <c r="F250" s="169"/>
      <c r="G250" s="171"/>
      <c r="H250" s="172"/>
      <c r="I250" s="172"/>
    </row>
    <row r="251" spans="1:9">
      <c r="A251" s="169"/>
      <c r="B251" s="167"/>
      <c r="C251" s="173"/>
      <c r="D251" s="170"/>
      <c r="E251" s="170"/>
      <c r="F251" s="169"/>
      <c r="G251" s="171"/>
      <c r="H251" s="172"/>
      <c r="I251" s="172"/>
    </row>
    <row r="252" spans="1:9">
      <c r="A252" s="169"/>
      <c r="B252" s="167"/>
      <c r="C252" s="173"/>
      <c r="D252" s="170"/>
      <c r="E252" s="170"/>
      <c r="F252" s="169"/>
      <c r="G252" s="171"/>
      <c r="H252" s="172"/>
      <c r="I252" s="172"/>
    </row>
    <row r="253" spans="1:9">
      <c r="A253" s="169"/>
      <c r="B253" s="167"/>
      <c r="C253" s="173"/>
      <c r="D253" s="170"/>
      <c r="E253" s="170"/>
      <c r="F253" s="169"/>
      <c r="G253" s="171"/>
      <c r="H253" s="172"/>
      <c r="I253" s="172"/>
    </row>
    <row r="254" spans="1:9">
      <c r="A254" s="169"/>
      <c r="B254" s="167"/>
      <c r="C254" s="173"/>
      <c r="D254" s="170"/>
      <c r="E254" s="170"/>
      <c r="F254" s="169"/>
      <c r="G254" s="171"/>
      <c r="H254" s="172"/>
      <c r="I254" s="172"/>
    </row>
    <row r="255" spans="1:9">
      <c r="A255" s="169"/>
      <c r="B255" s="167"/>
      <c r="C255" s="173"/>
      <c r="D255" s="170"/>
      <c r="E255" s="170"/>
      <c r="F255" s="169"/>
      <c r="G255" s="171"/>
      <c r="H255" s="172"/>
      <c r="I255" s="172"/>
    </row>
    <row r="256" spans="1:9">
      <c r="A256" s="169"/>
      <c r="B256" s="167"/>
      <c r="C256" s="173"/>
      <c r="D256" s="170"/>
      <c r="E256" s="170"/>
      <c r="F256" s="169"/>
      <c r="G256" s="171"/>
      <c r="H256" s="172"/>
      <c r="I256" s="172"/>
    </row>
    <row r="257" spans="1:9">
      <c r="A257" s="169"/>
      <c r="B257" s="167"/>
      <c r="C257" s="173"/>
      <c r="D257" s="170"/>
      <c r="E257" s="170"/>
      <c r="F257" s="169"/>
      <c r="G257" s="171"/>
      <c r="H257" s="172"/>
      <c r="I257" s="172"/>
    </row>
    <row r="258" spans="1:9">
      <c r="A258" s="169"/>
      <c r="B258" s="167"/>
      <c r="C258" s="173"/>
      <c r="D258" s="170"/>
      <c r="E258" s="170"/>
      <c r="F258" s="169"/>
      <c r="G258" s="171"/>
      <c r="H258" s="172"/>
      <c r="I258" s="172"/>
    </row>
    <row r="259" spans="1:9">
      <c r="A259" s="169"/>
      <c r="B259" s="167"/>
      <c r="C259" s="173"/>
      <c r="D259" s="170"/>
      <c r="E259" s="170"/>
      <c r="F259" s="169"/>
      <c r="G259" s="171"/>
      <c r="H259" s="172"/>
      <c r="I259" s="172"/>
    </row>
    <row r="260" spans="1:9">
      <c r="A260" s="169"/>
      <c r="B260" s="167"/>
      <c r="C260" s="173"/>
      <c r="D260" s="170"/>
      <c r="E260" s="170"/>
      <c r="F260" s="169"/>
      <c r="G260" s="171"/>
      <c r="H260" s="172"/>
      <c r="I260" s="172"/>
    </row>
    <row r="261" spans="1:9">
      <c r="A261" s="169"/>
      <c r="B261" s="167"/>
      <c r="C261" s="173"/>
      <c r="D261" s="170"/>
      <c r="E261" s="170"/>
      <c r="F261" s="169"/>
      <c r="G261" s="171"/>
      <c r="H261" s="172"/>
      <c r="I261" s="172"/>
    </row>
    <row r="262" spans="1:9">
      <c r="A262" s="169"/>
      <c r="B262" s="167"/>
      <c r="C262" s="173"/>
      <c r="D262" s="170"/>
      <c r="E262" s="170"/>
      <c r="F262" s="169"/>
      <c r="G262" s="171"/>
      <c r="H262" s="172"/>
      <c r="I262" s="172"/>
    </row>
    <row r="263" spans="1:9">
      <c r="A263" s="169"/>
      <c r="B263" s="167"/>
      <c r="C263" s="173"/>
      <c r="D263" s="170"/>
      <c r="E263" s="170"/>
      <c r="F263" s="169"/>
      <c r="G263" s="171"/>
      <c r="H263" s="172"/>
      <c r="I263" s="172"/>
    </row>
    <row r="264" spans="1:9">
      <c r="A264" s="169"/>
      <c r="B264" s="167"/>
      <c r="C264" s="173"/>
      <c r="D264" s="170"/>
      <c r="E264" s="170"/>
      <c r="F264" s="169"/>
      <c r="G264" s="171"/>
      <c r="H264" s="172"/>
      <c r="I264" s="172"/>
    </row>
    <row r="265" spans="1:9">
      <c r="A265" s="169"/>
      <c r="B265" s="167"/>
      <c r="C265" s="173"/>
      <c r="D265" s="170"/>
      <c r="E265" s="170"/>
      <c r="F265" s="169"/>
      <c r="G265" s="171"/>
      <c r="H265" s="172"/>
      <c r="I265" s="172"/>
    </row>
    <row r="266" spans="1:9">
      <c r="A266" s="169"/>
      <c r="B266" s="167"/>
      <c r="C266" s="173"/>
      <c r="D266" s="170"/>
      <c r="E266" s="170"/>
      <c r="F266" s="169"/>
      <c r="G266" s="171"/>
      <c r="H266" s="172"/>
      <c r="I266" s="172"/>
    </row>
    <row r="267" spans="1:9">
      <c r="A267" s="169"/>
      <c r="B267" s="167"/>
      <c r="C267" s="173"/>
      <c r="D267" s="170"/>
      <c r="E267" s="170"/>
      <c r="F267" s="169"/>
      <c r="G267" s="171"/>
      <c r="H267" s="172"/>
      <c r="I267" s="172"/>
    </row>
    <row r="268" spans="1:9">
      <c r="A268" s="169"/>
      <c r="B268" s="167"/>
      <c r="C268" s="173"/>
      <c r="D268" s="170"/>
      <c r="E268" s="170"/>
      <c r="F268" s="169"/>
      <c r="G268" s="171"/>
      <c r="H268" s="172"/>
      <c r="I268" s="172"/>
    </row>
    <row r="269" spans="1:9">
      <c r="A269" s="169"/>
      <c r="B269" s="167"/>
      <c r="C269" s="173"/>
      <c r="D269" s="170"/>
      <c r="E269" s="170"/>
      <c r="F269" s="169"/>
      <c r="G269" s="171"/>
      <c r="H269" s="172"/>
      <c r="I269" s="172"/>
    </row>
    <row r="270" spans="1:9">
      <c r="A270" s="169"/>
      <c r="B270" s="167"/>
      <c r="C270" s="173"/>
      <c r="D270" s="170"/>
      <c r="E270" s="170"/>
      <c r="F270" s="169"/>
      <c r="G270" s="171"/>
      <c r="H270" s="172"/>
      <c r="I270" s="172"/>
    </row>
    <row r="271" spans="1:9">
      <c r="A271" s="169"/>
      <c r="B271" s="167"/>
      <c r="C271" s="173"/>
      <c r="D271" s="170"/>
      <c r="E271" s="170"/>
      <c r="F271" s="169"/>
      <c r="G271" s="171"/>
      <c r="H271" s="172"/>
      <c r="I271" s="172"/>
    </row>
    <row r="272" spans="1:9">
      <c r="A272" s="169"/>
      <c r="B272" s="167"/>
      <c r="C272" s="173"/>
      <c r="D272" s="170"/>
      <c r="E272" s="170"/>
      <c r="F272" s="169"/>
      <c r="G272" s="171"/>
      <c r="H272" s="172"/>
      <c r="I272" s="172"/>
    </row>
    <row r="273" spans="1:9">
      <c r="A273" s="169"/>
      <c r="B273" s="167"/>
      <c r="C273" s="173"/>
      <c r="D273" s="170"/>
      <c r="E273" s="170"/>
      <c r="F273" s="169"/>
      <c r="G273" s="171"/>
      <c r="H273" s="172"/>
      <c r="I273" s="172"/>
    </row>
    <row r="274" spans="1:9">
      <c r="A274" s="169"/>
      <c r="B274" s="167"/>
      <c r="C274" s="173"/>
      <c r="D274" s="170"/>
      <c r="E274" s="170"/>
      <c r="F274" s="169"/>
      <c r="G274" s="171"/>
      <c r="H274" s="172"/>
      <c r="I274" s="172"/>
    </row>
    <row r="275" spans="1:9">
      <c r="A275" s="169"/>
      <c r="B275" s="167"/>
      <c r="C275" s="173"/>
      <c r="D275" s="170"/>
      <c r="E275" s="170"/>
      <c r="F275" s="169"/>
      <c r="G275" s="171"/>
      <c r="H275" s="172"/>
      <c r="I275" s="172"/>
    </row>
    <row r="276" spans="1:9">
      <c r="A276" s="169"/>
      <c r="B276" s="167"/>
      <c r="C276" s="173"/>
      <c r="D276" s="170"/>
      <c r="E276" s="170"/>
      <c r="F276" s="169"/>
      <c r="G276" s="171"/>
      <c r="H276" s="172"/>
      <c r="I276" s="172"/>
    </row>
    <row r="277" spans="1:9">
      <c r="A277" s="169"/>
      <c r="B277" s="167"/>
      <c r="C277" s="173"/>
      <c r="D277" s="170"/>
      <c r="E277" s="170"/>
      <c r="F277" s="169"/>
      <c r="G277" s="171"/>
      <c r="H277" s="172"/>
      <c r="I277" s="172"/>
    </row>
    <row r="278" spans="1:9">
      <c r="A278" s="169"/>
      <c r="B278" s="167"/>
      <c r="C278" s="173"/>
      <c r="D278" s="170"/>
      <c r="E278" s="170"/>
      <c r="F278" s="169"/>
      <c r="G278" s="171"/>
      <c r="H278" s="172"/>
      <c r="I278" s="172"/>
    </row>
    <row r="279" spans="1:9">
      <c r="A279" s="169"/>
      <c r="B279" s="167"/>
      <c r="C279" s="173"/>
      <c r="D279" s="170"/>
      <c r="E279" s="170"/>
      <c r="F279" s="169"/>
      <c r="G279" s="171"/>
      <c r="H279" s="172"/>
      <c r="I279" s="172"/>
    </row>
    <row r="280" spans="1:9">
      <c r="A280" s="169"/>
      <c r="B280" s="167"/>
      <c r="C280" s="173"/>
      <c r="D280" s="170"/>
      <c r="E280" s="170"/>
      <c r="F280" s="169"/>
      <c r="G280" s="171"/>
      <c r="H280" s="172"/>
      <c r="I280" s="172"/>
    </row>
    <row r="281" spans="1:9">
      <c r="A281" s="169"/>
      <c r="B281" s="167"/>
      <c r="C281" s="173"/>
      <c r="D281" s="170"/>
      <c r="E281" s="170"/>
      <c r="F281" s="169"/>
      <c r="G281" s="171"/>
      <c r="H281" s="172"/>
      <c r="I281" s="172"/>
    </row>
    <row r="282" spans="1:9">
      <c r="A282" s="169"/>
      <c r="B282" s="167"/>
      <c r="C282" s="173"/>
      <c r="D282" s="170"/>
      <c r="E282" s="170"/>
      <c r="F282" s="169"/>
      <c r="G282" s="171"/>
      <c r="H282" s="172"/>
      <c r="I282" s="172"/>
    </row>
    <row r="283" spans="1:9">
      <c r="A283" s="169"/>
      <c r="B283" s="167"/>
      <c r="C283" s="173"/>
      <c r="D283" s="170"/>
      <c r="E283" s="170"/>
      <c r="F283" s="169"/>
      <c r="G283" s="171"/>
      <c r="H283" s="172"/>
      <c r="I283" s="172"/>
    </row>
    <row r="284" spans="1:9">
      <c r="A284" s="169"/>
      <c r="B284" s="167"/>
      <c r="C284" s="173"/>
      <c r="D284" s="170"/>
      <c r="E284" s="170"/>
      <c r="F284" s="169"/>
      <c r="G284" s="171"/>
      <c r="H284" s="172"/>
      <c r="I284" s="172"/>
    </row>
    <row r="285" spans="1:9">
      <c r="A285" s="169"/>
      <c r="B285" s="167"/>
      <c r="C285" s="173"/>
      <c r="D285" s="170"/>
      <c r="E285" s="170"/>
      <c r="F285" s="169"/>
      <c r="G285" s="171"/>
      <c r="H285" s="172"/>
      <c r="I285" s="172"/>
    </row>
    <row r="286" spans="1:9">
      <c r="A286" s="169"/>
      <c r="B286" s="167"/>
      <c r="C286" s="173"/>
      <c r="D286" s="170"/>
      <c r="E286" s="170"/>
      <c r="F286" s="169"/>
      <c r="G286" s="171"/>
      <c r="H286" s="172"/>
      <c r="I286" s="172"/>
    </row>
    <row r="287" spans="1:9">
      <c r="A287" s="169"/>
      <c r="B287" s="167"/>
      <c r="C287" s="173"/>
      <c r="D287" s="170"/>
      <c r="E287" s="170"/>
      <c r="F287" s="169"/>
      <c r="G287" s="171"/>
      <c r="H287" s="172"/>
      <c r="I287" s="172"/>
    </row>
    <row r="288" spans="1:9">
      <c r="A288" s="169"/>
      <c r="B288" s="167"/>
      <c r="C288" s="173"/>
      <c r="D288" s="170"/>
      <c r="E288" s="170"/>
      <c r="F288" s="169"/>
      <c r="G288" s="171"/>
      <c r="H288" s="172"/>
      <c r="I288" s="172"/>
    </row>
    <row r="289" spans="1:9">
      <c r="A289" s="169"/>
      <c r="B289" s="167"/>
      <c r="C289" s="173"/>
      <c r="D289" s="170"/>
      <c r="E289" s="170"/>
      <c r="F289" s="169"/>
      <c r="G289" s="171"/>
      <c r="H289" s="172"/>
      <c r="I289" s="172"/>
    </row>
    <row r="290" spans="1:9">
      <c r="A290" s="169"/>
      <c r="B290" s="167"/>
      <c r="C290" s="173"/>
      <c r="D290" s="170"/>
      <c r="E290" s="170"/>
      <c r="F290" s="169"/>
      <c r="G290" s="171"/>
      <c r="H290" s="172"/>
      <c r="I290" s="172"/>
    </row>
    <row r="291" spans="1:9">
      <c r="A291" s="169"/>
      <c r="B291" s="167"/>
      <c r="C291" s="173"/>
      <c r="D291" s="170"/>
      <c r="E291" s="170"/>
      <c r="F291" s="169"/>
      <c r="G291" s="171"/>
      <c r="H291" s="172"/>
      <c r="I291" s="172"/>
    </row>
    <row r="292" spans="1:9">
      <c r="A292" s="169"/>
      <c r="B292" s="167"/>
      <c r="C292" s="173"/>
      <c r="D292" s="170"/>
      <c r="E292" s="170"/>
      <c r="F292" s="169"/>
      <c r="G292" s="171"/>
      <c r="H292" s="172"/>
      <c r="I292" s="172"/>
    </row>
    <row r="293" spans="1:9">
      <c r="A293" s="169"/>
      <c r="B293" s="167"/>
      <c r="C293" s="173"/>
      <c r="D293" s="170"/>
      <c r="E293" s="170"/>
      <c r="F293" s="169"/>
      <c r="G293" s="171"/>
      <c r="H293" s="172"/>
      <c r="I293" s="172"/>
    </row>
    <row r="294" spans="1:9">
      <c r="A294" s="169"/>
      <c r="B294" s="167"/>
      <c r="C294" s="173"/>
      <c r="D294" s="170"/>
      <c r="E294" s="170"/>
      <c r="F294" s="169"/>
      <c r="G294" s="171"/>
      <c r="H294" s="172"/>
      <c r="I294" s="172"/>
    </row>
    <row r="295" spans="1:9">
      <c r="A295" s="169"/>
      <c r="B295" s="167"/>
      <c r="C295" s="173"/>
      <c r="D295" s="170"/>
      <c r="E295" s="170"/>
      <c r="F295" s="169"/>
      <c r="G295" s="171"/>
      <c r="H295" s="172"/>
      <c r="I295" s="172"/>
    </row>
    <row r="296" spans="1:9">
      <c r="A296" s="169"/>
      <c r="B296" s="167"/>
      <c r="C296" s="173"/>
      <c r="D296" s="170"/>
      <c r="E296" s="170"/>
      <c r="F296" s="169"/>
      <c r="G296" s="171"/>
      <c r="H296" s="172"/>
      <c r="I296" s="172"/>
    </row>
    <row r="297" spans="1:9">
      <c r="A297" s="169"/>
      <c r="B297" s="167"/>
      <c r="C297" s="173"/>
      <c r="D297" s="170"/>
      <c r="E297" s="170"/>
      <c r="F297" s="169"/>
      <c r="G297" s="171"/>
      <c r="H297" s="172"/>
      <c r="I297" s="172"/>
    </row>
    <row r="298" spans="1:9">
      <c r="A298" s="169"/>
      <c r="B298" s="167"/>
      <c r="C298" s="173"/>
      <c r="D298" s="170"/>
      <c r="E298" s="170"/>
      <c r="F298" s="169"/>
      <c r="G298" s="171"/>
      <c r="H298" s="172"/>
      <c r="I298" s="172"/>
    </row>
    <row r="299" spans="1:9">
      <c r="A299" s="169"/>
      <c r="B299" s="167"/>
      <c r="C299" s="173"/>
      <c r="D299" s="170"/>
      <c r="E299" s="170"/>
      <c r="F299" s="169"/>
      <c r="G299" s="171"/>
      <c r="H299" s="172"/>
      <c r="I299" s="172"/>
    </row>
    <row r="300" spans="1:9">
      <c r="A300" s="169"/>
      <c r="B300" s="167"/>
      <c r="C300" s="173"/>
      <c r="D300" s="170"/>
      <c r="E300" s="170"/>
      <c r="F300" s="169"/>
      <c r="G300" s="171"/>
      <c r="H300" s="172"/>
      <c r="I300" s="172"/>
    </row>
    <row r="301" spans="1:9">
      <c r="A301" s="169"/>
      <c r="B301" s="167"/>
      <c r="C301" s="173"/>
      <c r="D301" s="170"/>
      <c r="E301" s="170"/>
      <c r="F301" s="169"/>
      <c r="G301" s="171"/>
      <c r="H301" s="172"/>
      <c r="I301" s="172"/>
    </row>
    <row r="302" spans="1:9">
      <c r="A302" s="169"/>
      <c r="B302" s="167"/>
      <c r="C302" s="173"/>
      <c r="D302" s="170"/>
      <c r="E302" s="170"/>
      <c r="F302" s="169"/>
      <c r="G302" s="171"/>
      <c r="H302" s="172"/>
      <c r="I302" s="172"/>
    </row>
    <row r="303" spans="1:9">
      <c r="A303" s="169"/>
      <c r="B303" s="167"/>
      <c r="C303" s="173"/>
      <c r="D303" s="170"/>
      <c r="E303" s="170"/>
      <c r="F303" s="169"/>
      <c r="G303" s="171"/>
      <c r="H303" s="172"/>
      <c r="I303" s="172"/>
    </row>
    <row r="304" spans="1:9">
      <c r="A304" s="169"/>
      <c r="B304" s="167"/>
      <c r="C304" s="173"/>
      <c r="D304" s="170"/>
      <c r="E304" s="170"/>
      <c r="F304" s="169"/>
      <c r="G304" s="171"/>
      <c r="H304" s="172"/>
      <c r="I304" s="172"/>
    </row>
    <row r="305" spans="1:9">
      <c r="A305" s="169"/>
      <c r="B305" s="167"/>
      <c r="C305" s="173"/>
      <c r="D305" s="170"/>
      <c r="E305" s="170"/>
      <c r="F305" s="169"/>
      <c r="G305" s="171"/>
      <c r="H305" s="172"/>
      <c r="I305" s="172"/>
    </row>
    <row r="306" spans="1:9">
      <c r="A306" s="169"/>
      <c r="B306" s="167"/>
      <c r="C306" s="173"/>
      <c r="D306" s="170"/>
      <c r="E306" s="170"/>
      <c r="F306" s="169"/>
      <c r="G306" s="171"/>
      <c r="H306" s="172"/>
      <c r="I306" s="172"/>
    </row>
    <row r="307" spans="1:9">
      <c r="A307" s="169"/>
      <c r="B307" s="167"/>
      <c r="C307" s="173"/>
      <c r="D307" s="170"/>
      <c r="E307" s="170"/>
      <c r="F307" s="169"/>
      <c r="G307" s="171"/>
      <c r="H307" s="172"/>
      <c r="I307" s="172"/>
    </row>
    <row r="308" spans="1:9">
      <c r="A308" s="169"/>
      <c r="B308" s="167"/>
      <c r="C308" s="173"/>
      <c r="D308" s="170"/>
      <c r="E308" s="170"/>
      <c r="F308" s="169"/>
      <c r="G308" s="171"/>
      <c r="H308" s="172"/>
      <c r="I308" s="172"/>
    </row>
    <row r="309" spans="1:9">
      <c r="A309" s="169"/>
      <c r="B309" s="167"/>
      <c r="C309" s="173"/>
      <c r="D309" s="170"/>
      <c r="E309" s="170"/>
      <c r="F309" s="169"/>
      <c r="G309" s="171"/>
      <c r="H309" s="172"/>
      <c r="I309" s="172"/>
    </row>
    <row r="310" spans="1:9">
      <c r="A310" s="169"/>
      <c r="B310" s="167"/>
      <c r="C310" s="173"/>
      <c r="D310" s="170"/>
      <c r="E310" s="170"/>
      <c r="F310" s="169"/>
      <c r="G310" s="171"/>
      <c r="H310" s="172"/>
      <c r="I310" s="172"/>
    </row>
    <row r="311" spans="1:9">
      <c r="A311" s="169"/>
      <c r="B311" s="167"/>
      <c r="C311" s="173"/>
      <c r="D311" s="170"/>
      <c r="E311" s="170"/>
      <c r="F311" s="169"/>
      <c r="G311" s="171"/>
      <c r="H311" s="172"/>
      <c r="I311" s="172"/>
    </row>
    <row r="312" spans="1:9">
      <c r="A312" s="169"/>
      <c r="B312" s="167"/>
      <c r="C312" s="173"/>
      <c r="D312" s="170"/>
      <c r="E312" s="170"/>
      <c r="F312" s="169"/>
      <c r="G312" s="171"/>
      <c r="H312" s="172"/>
      <c r="I312" s="172"/>
    </row>
    <row r="313" spans="1:9">
      <c r="A313" s="169"/>
      <c r="B313" s="167"/>
      <c r="C313" s="173"/>
      <c r="D313" s="170"/>
      <c r="E313" s="170"/>
      <c r="F313" s="169"/>
      <c r="G313" s="171"/>
      <c r="H313" s="172"/>
      <c r="I313" s="172"/>
    </row>
    <row r="314" spans="1:9">
      <c r="A314" s="169"/>
      <c r="B314" s="167"/>
      <c r="C314" s="173"/>
      <c r="D314" s="170"/>
      <c r="E314" s="170"/>
      <c r="F314" s="169"/>
      <c r="G314" s="171"/>
      <c r="H314" s="172"/>
      <c r="I314" s="172"/>
    </row>
    <row r="315" spans="1:9">
      <c r="A315" s="169"/>
      <c r="B315" s="167"/>
      <c r="C315" s="173"/>
      <c r="D315" s="170"/>
      <c r="E315" s="170"/>
      <c r="F315" s="169"/>
      <c r="G315" s="171"/>
      <c r="H315" s="172"/>
      <c r="I315" s="172"/>
    </row>
    <row r="316" spans="1:9">
      <c r="A316" s="169"/>
      <c r="B316" s="167"/>
      <c r="C316" s="173"/>
      <c r="D316" s="170"/>
      <c r="E316" s="170"/>
      <c r="F316" s="169"/>
      <c r="G316" s="171"/>
      <c r="H316" s="172"/>
      <c r="I316" s="172"/>
    </row>
    <row r="317" spans="1:9">
      <c r="A317" s="169"/>
      <c r="B317" s="167"/>
      <c r="C317" s="173"/>
      <c r="D317" s="170"/>
      <c r="E317" s="170"/>
      <c r="F317" s="169"/>
      <c r="G317" s="171"/>
      <c r="H317" s="172"/>
      <c r="I317" s="172"/>
    </row>
    <row r="318" spans="1:9">
      <c r="A318" s="169"/>
      <c r="B318" s="167"/>
      <c r="C318" s="173"/>
      <c r="D318" s="170"/>
      <c r="E318" s="170"/>
      <c r="F318" s="169"/>
      <c r="G318" s="171"/>
      <c r="H318" s="172"/>
      <c r="I318" s="172"/>
    </row>
    <row r="319" spans="1:9">
      <c r="A319" s="169"/>
      <c r="B319" s="167"/>
      <c r="C319" s="173"/>
      <c r="D319" s="170"/>
      <c r="E319" s="170"/>
      <c r="F319" s="169"/>
      <c r="G319" s="171"/>
      <c r="H319" s="172"/>
      <c r="I319" s="172"/>
    </row>
    <row r="320" spans="1:9">
      <c r="A320" s="169"/>
      <c r="B320" s="167"/>
      <c r="C320" s="173"/>
      <c r="D320" s="170"/>
      <c r="E320" s="170"/>
      <c r="F320" s="169"/>
      <c r="G320" s="171"/>
      <c r="H320" s="172"/>
      <c r="I320" s="172"/>
    </row>
    <row r="321" spans="1:9">
      <c r="A321" s="169"/>
      <c r="B321" s="167"/>
      <c r="C321" s="173"/>
      <c r="D321" s="170"/>
      <c r="E321" s="170"/>
      <c r="F321" s="169"/>
      <c r="G321" s="171"/>
      <c r="H321" s="172"/>
      <c r="I321" s="172"/>
    </row>
    <row r="322" spans="1:9">
      <c r="A322" s="169"/>
      <c r="B322" s="167"/>
      <c r="C322" s="173"/>
      <c r="D322" s="170"/>
      <c r="E322" s="170"/>
      <c r="F322" s="169"/>
      <c r="G322" s="171"/>
      <c r="H322" s="172"/>
      <c r="I322" s="172"/>
    </row>
    <row r="323" spans="1:9">
      <c r="A323" s="169"/>
      <c r="B323" s="167"/>
      <c r="C323" s="173"/>
      <c r="D323" s="170"/>
      <c r="E323" s="170"/>
      <c r="F323" s="169"/>
      <c r="G323" s="171"/>
      <c r="H323" s="172"/>
      <c r="I323" s="172"/>
    </row>
    <row r="324" spans="1:9">
      <c r="A324" s="169"/>
      <c r="B324" s="167"/>
      <c r="C324" s="173"/>
      <c r="D324" s="170"/>
      <c r="E324" s="170"/>
      <c r="F324" s="169"/>
      <c r="G324" s="171"/>
      <c r="H324" s="172"/>
      <c r="I324" s="172"/>
    </row>
    <row r="325" spans="1:9">
      <c r="A325" s="169"/>
      <c r="B325" s="167"/>
      <c r="C325" s="173"/>
      <c r="D325" s="170"/>
      <c r="E325" s="170"/>
      <c r="F325" s="169"/>
      <c r="G325" s="171"/>
      <c r="H325" s="172"/>
      <c r="I325" s="172"/>
    </row>
    <row r="326" spans="1:9">
      <c r="A326" s="169"/>
      <c r="B326" s="167"/>
      <c r="C326" s="173"/>
      <c r="D326" s="170"/>
      <c r="E326" s="170"/>
      <c r="F326" s="169"/>
      <c r="G326" s="171"/>
      <c r="H326" s="172"/>
      <c r="I326" s="172"/>
    </row>
    <row r="327" spans="1:9">
      <c r="A327" s="169"/>
      <c r="B327" s="167"/>
      <c r="C327" s="173"/>
      <c r="D327" s="170"/>
      <c r="E327" s="170"/>
      <c r="F327" s="169"/>
      <c r="G327" s="171"/>
      <c r="H327" s="172"/>
      <c r="I327" s="172"/>
    </row>
    <row r="328" spans="1:9">
      <c r="A328" s="169"/>
      <c r="B328" s="167"/>
      <c r="C328" s="173"/>
      <c r="D328" s="170"/>
      <c r="E328" s="170"/>
      <c r="F328" s="169"/>
      <c r="G328" s="171"/>
      <c r="H328" s="172"/>
      <c r="I328" s="172"/>
    </row>
    <row r="329" spans="1:9">
      <c r="A329" s="169"/>
      <c r="B329" s="167"/>
      <c r="C329" s="173"/>
      <c r="D329" s="170"/>
      <c r="E329" s="170"/>
      <c r="F329" s="169"/>
      <c r="G329" s="171"/>
      <c r="H329" s="172"/>
      <c r="I329" s="172"/>
    </row>
    <row r="330" spans="1:9">
      <c r="A330" s="169"/>
      <c r="B330" s="167"/>
      <c r="C330" s="173"/>
      <c r="D330" s="170"/>
      <c r="E330" s="170"/>
      <c r="F330" s="169"/>
      <c r="G330" s="171"/>
      <c r="H330" s="172"/>
      <c r="I330" s="172"/>
    </row>
    <row r="331" spans="1:9">
      <c r="A331" s="169"/>
      <c r="B331" s="167"/>
      <c r="C331" s="173"/>
      <c r="D331" s="170"/>
      <c r="E331" s="170"/>
      <c r="F331" s="169"/>
      <c r="G331" s="171"/>
      <c r="H331" s="172"/>
      <c r="I331" s="172"/>
    </row>
    <row r="332" spans="1:9">
      <c r="A332" s="169"/>
      <c r="B332" s="167"/>
      <c r="C332" s="173"/>
      <c r="D332" s="170"/>
      <c r="E332" s="170"/>
      <c r="F332" s="169"/>
      <c r="G332" s="171"/>
      <c r="H332" s="172"/>
      <c r="I332" s="172"/>
    </row>
    <row r="333" spans="1:9">
      <c r="A333" s="169"/>
      <c r="B333" s="167"/>
      <c r="C333" s="173"/>
      <c r="D333" s="170"/>
      <c r="E333" s="170"/>
      <c r="F333" s="169"/>
      <c r="G333" s="171"/>
      <c r="H333" s="172"/>
      <c r="I333" s="172"/>
    </row>
    <row r="334" spans="1:9">
      <c r="A334" s="169"/>
      <c r="B334" s="167"/>
      <c r="C334" s="173"/>
      <c r="D334" s="170"/>
      <c r="E334" s="170"/>
      <c r="F334" s="169"/>
      <c r="G334" s="171"/>
      <c r="H334" s="172"/>
      <c r="I334" s="172"/>
    </row>
    <row r="335" spans="1:9">
      <c r="A335" s="169"/>
      <c r="B335" s="167"/>
      <c r="C335" s="173"/>
      <c r="D335" s="170"/>
      <c r="E335" s="170"/>
      <c r="F335" s="169"/>
      <c r="G335" s="171"/>
      <c r="H335" s="172"/>
      <c r="I335" s="172"/>
    </row>
    <row r="336" spans="1:9">
      <c r="A336" s="169"/>
      <c r="B336" s="167"/>
      <c r="C336" s="173"/>
      <c r="D336" s="170"/>
      <c r="E336" s="170"/>
      <c r="F336" s="169"/>
      <c r="G336" s="171"/>
      <c r="H336" s="172"/>
      <c r="I336" s="172"/>
    </row>
    <row r="337" spans="1:9">
      <c r="A337" s="169"/>
      <c r="B337" s="167"/>
      <c r="C337" s="173"/>
      <c r="D337" s="170"/>
      <c r="E337" s="170"/>
      <c r="F337" s="169"/>
      <c r="G337" s="171"/>
      <c r="H337" s="172"/>
      <c r="I337" s="172"/>
    </row>
    <row r="338" spans="1:9">
      <c r="A338" s="169"/>
      <c r="B338" s="167"/>
      <c r="C338" s="173"/>
      <c r="D338" s="170"/>
      <c r="E338" s="170"/>
      <c r="F338" s="169"/>
      <c r="G338" s="171"/>
      <c r="H338" s="172"/>
      <c r="I338" s="172"/>
    </row>
    <row r="339" spans="1:9">
      <c r="A339" s="169"/>
      <c r="B339" s="167"/>
      <c r="C339" s="173"/>
      <c r="D339" s="170"/>
      <c r="E339" s="170"/>
      <c r="F339" s="169"/>
      <c r="G339" s="171"/>
      <c r="H339" s="172"/>
      <c r="I339" s="172"/>
    </row>
    <row r="340" spans="1:9">
      <c r="A340" s="169"/>
      <c r="B340" s="167"/>
      <c r="C340" s="173"/>
      <c r="D340" s="170"/>
      <c r="E340" s="170"/>
      <c r="F340" s="169"/>
      <c r="G340" s="171"/>
      <c r="H340" s="172"/>
      <c r="I340" s="172"/>
    </row>
    <row r="341" spans="1:9">
      <c r="A341" s="169"/>
      <c r="B341" s="167"/>
      <c r="C341" s="173"/>
      <c r="D341" s="170"/>
      <c r="E341" s="170"/>
      <c r="F341" s="169"/>
      <c r="G341" s="171"/>
      <c r="H341" s="172"/>
      <c r="I341" s="172"/>
    </row>
    <row r="342" spans="1:9">
      <c r="A342" s="169"/>
      <c r="B342" s="167"/>
      <c r="C342" s="173"/>
      <c r="D342" s="170"/>
      <c r="E342" s="170"/>
      <c r="F342" s="169"/>
      <c r="G342" s="171"/>
      <c r="H342" s="172"/>
      <c r="I342" s="172"/>
    </row>
    <row r="343" spans="1:9">
      <c r="A343" s="169"/>
      <c r="B343" s="167"/>
      <c r="C343" s="173"/>
      <c r="D343" s="170"/>
      <c r="E343" s="170"/>
      <c r="F343" s="169"/>
      <c r="G343" s="171"/>
      <c r="H343" s="172"/>
      <c r="I343" s="172"/>
    </row>
    <row r="344" spans="1:9">
      <c r="A344" s="169"/>
      <c r="B344" s="167"/>
      <c r="C344" s="173"/>
      <c r="D344" s="170"/>
      <c r="E344" s="170"/>
      <c r="F344" s="169"/>
      <c r="G344" s="171"/>
      <c r="H344" s="172"/>
      <c r="I344" s="172"/>
    </row>
    <row r="345" spans="1:9">
      <c r="A345" s="169"/>
      <c r="B345" s="167"/>
      <c r="C345" s="173"/>
      <c r="D345" s="170"/>
      <c r="E345" s="170"/>
      <c r="F345" s="169"/>
      <c r="G345" s="171"/>
      <c r="H345" s="172"/>
      <c r="I345" s="172"/>
    </row>
    <row r="346" spans="1:9">
      <c r="A346" s="169"/>
      <c r="B346" s="167"/>
      <c r="C346" s="173"/>
      <c r="D346" s="170"/>
      <c r="E346" s="170"/>
      <c r="F346" s="169"/>
      <c r="G346" s="171"/>
      <c r="H346" s="172"/>
      <c r="I346" s="172"/>
    </row>
    <row r="347" spans="1:9">
      <c r="A347" s="169"/>
      <c r="B347" s="167"/>
      <c r="C347" s="173"/>
      <c r="D347" s="170"/>
      <c r="E347" s="170"/>
      <c r="F347" s="169"/>
      <c r="G347" s="171"/>
      <c r="H347" s="172"/>
      <c r="I347" s="172"/>
    </row>
    <row r="348" spans="1:9">
      <c r="A348" s="169"/>
      <c r="B348" s="167"/>
      <c r="C348" s="173"/>
      <c r="D348" s="170"/>
      <c r="E348" s="170"/>
      <c r="F348" s="169"/>
      <c r="G348" s="171"/>
      <c r="H348" s="172"/>
      <c r="I348" s="172"/>
    </row>
    <row r="349" spans="1:9">
      <c r="A349" s="169"/>
      <c r="B349" s="167"/>
      <c r="C349" s="173"/>
      <c r="D349" s="170"/>
      <c r="E349" s="170"/>
      <c r="F349" s="169"/>
      <c r="G349" s="171"/>
      <c r="H349" s="172"/>
      <c r="I349" s="172"/>
    </row>
    <row r="350" spans="1:9">
      <c r="A350" s="169"/>
      <c r="B350" s="167"/>
      <c r="C350" s="173"/>
      <c r="D350" s="170"/>
      <c r="E350" s="170"/>
      <c r="F350" s="169"/>
      <c r="G350" s="171"/>
      <c r="H350" s="172"/>
      <c r="I350" s="172"/>
    </row>
    <row r="351" spans="1:9">
      <c r="A351" s="169"/>
      <c r="B351" s="167"/>
      <c r="C351" s="173"/>
      <c r="D351" s="170"/>
      <c r="E351" s="170"/>
      <c r="F351" s="169"/>
      <c r="G351" s="171"/>
      <c r="H351" s="172"/>
      <c r="I351" s="172"/>
    </row>
    <row r="352" spans="1:9">
      <c r="A352" s="169"/>
      <c r="B352" s="167"/>
      <c r="C352" s="173"/>
      <c r="D352" s="170"/>
      <c r="E352" s="170"/>
      <c r="F352" s="169"/>
      <c r="G352" s="171"/>
      <c r="H352" s="172"/>
      <c r="I352" s="172"/>
    </row>
    <row r="353" spans="1:9">
      <c r="A353" s="169"/>
      <c r="B353" s="167"/>
      <c r="C353" s="173"/>
      <c r="D353" s="170"/>
      <c r="E353" s="170"/>
      <c r="F353" s="169"/>
      <c r="G353" s="171"/>
      <c r="H353" s="172"/>
      <c r="I353" s="172"/>
    </row>
    <row r="354" spans="1:9">
      <c r="A354" s="169"/>
      <c r="B354" s="167"/>
      <c r="C354" s="173"/>
      <c r="D354" s="170"/>
      <c r="E354" s="170"/>
      <c r="F354" s="169"/>
      <c r="G354" s="171"/>
      <c r="H354" s="172"/>
      <c r="I354" s="172"/>
    </row>
    <row r="355" spans="1:9">
      <c r="A355" s="169"/>
      <c r="B355" s="167"/>
      <c r="C355" s="173"/>
      <c r="D355" s="170"/>
      <c r="E355" s="170"/>
      <c r="F355" s="169"/>
      <c r="G355" s="171"/>
      <c r="H355" s="172"/>
      <c r="I355" s="172"/>
    </row>
    <row r="356" spans="1:9">
      <c r="A356" s="169"/>
      <c r="B356" s="167"/>
      <c r="C356" s="173"/>
      <c r="D356" s="170"/>
      <c r="E356" s="170"/>
      <c r="F356" s="169"/>
      <c r="G356" s="171"/>
      <c r="H356" s="172"/>
      <c r="I356" s="172"/>
    </row>
    <row r="357" spans="1:9">
      <c r="A357" s="169"/>
      <c r="B357" s="167"/>
      <c r="C357" s="173"/>
      <c r="D357" s="170"/>
      <c r="E357" s="170"/>
      <c r="F357" s="169"/>
      <c r="G357" s="171"/>
      <c r="H357" s="172"/>
      <c r="I357" s="172"/>
    </row>
    <row r="358" spans="1:9">
      <c r="A358" s="169"/>
      <c r="B358" s="167"/>
      <c r="C358" s="173"/>
      <c r="D358" s="170"/>
      <c r="E358" s="170"/>
      <c r="F358" s="169"/>
      <c r="G358" s="171"/>
      <c r="H358" s="172"/>
      <c r="I358" s="172"/>
    </row>
    <row r="359" spans="1:9">
      <c r="A359" s="169"/>
      <c r="B359" s="167"/>
      <c r="C359" s="173"/>
      <c r="D359" s="170"/>
      <c r="E359" s="170"/>
      <c r="F359" s="169"/>
      <c r="G359" s="171"/>
      <c r="H359" s="172"/>
      <c r="I359" s="172"/>
    </row>
    <row r="360" spans="1:9">
      <c r="A360" s="169"/>
      <c r="B360" s="167"/>
      <c r="C360" s="173"/>
      <c r="D360" s="170"/>
      <c r="E360" s="170"/>
      <c r="F360" s="169"/>
      <c r="G360" s="171"/>
      <c r="H360" s="172"/>
      <c r="I360" s="172"/>
    </row>
    <row r="361" spans="1:9">
      <c r="A361" s="169"/>
      <c r="B361" s="167"/>
      <c r="C361" s="173"/>
      <c r="D361" s="170"/>
      <c r="E361" s="170"/>
      <c r="F361" s="169"/>
      <c r="G361" s="171"/>
      <c r="H361" s="172"/>
      <c r="I361" s="172"/>
    </row>
    <row r="362" spans="1:9">
      <c r="A362" s="169"/>
      <c r="B362" s="167"/>
      <c r="C362" s="173"/>
      <c r="D362" s="170"/>
      <c r="E362" s="170"/>
      <c r="F362" s="169"/>
      <c r="G362" s="171"/>
      <c r="H362" s="172"/>
      <c r="I362" s="172"/>
    </row>
    <row r="363" spans="1:9">
      <c r="A363" s="169"/>
      <c r="B363" s="167"/>
      <c r="C363" s="173"/>
      <c r="D363" s="170"/>
      <c r="E363" s="170"/>
      <c r="F363" s="169"/>
      <c r="G363" s="171"/>
      <c r="H363" s="172"/>
      <c r="I363" s="172"/>
    </row>
    <row r="364" spans="1:9">
      <c r="A364" s="169"/>
      <c r="B364" s="167"/>
      <c r="C364" s="173"/>
      <c r="D364" s="170"/>
      <c r="E364" s="170"/>
      <c r="F364" s="169"/>
      <c r="G364" s="171"/>
      <c r="H364" s="172"/>
      <c r="I364" s="172"/>
    </row>
    <row r="365" spans="1:9">
      <c r="A365" s="169"/>
      <c r="B365" s="167"/>
      <c r="C365" s="173"/>
      <c r="D365" s="170"/>
      <c r="E365" s="170"/>
      <c r="F365" s="169"/>
      <c r="G365" s="171"/>
      <c r="H365" s="172"/>
      <c r="I365" s="172"/>
    </row>
    <row r="366" spans="1:9">
      <c r="A366" s="169"/>
      <c r="B366" s="167"/>
      <c r="C366" s="173"/>
      <c r="D366" s="170"/>
      <c r="E366" s="170"/>
      <c r="F366" s="169"/>
      <c r="G366" s="171"/>
      <c r="H366" s="172"/>
      <c r="I366" s="172"/>
    </row>
    <row r="367" spans="1:9">
      <c r="A367" s="169"/>
      <c r="B367" s="167"/>
      <c r="C367" s="173"/>
      <c r="D367" s="170"/>
      <c r="E367" s="170"/>
      <c r="F367" s="169"/>
      <c r="G367" s="171"/>
      <c r="H367" s="172"/>
      <c r="I367" s="172"/>
    </row>
    <row r="368" spans="1:9">
      <c r="A368" s="169"/>
      <c r="B368" s="167"/>
      <c r="C368" s="173"/>
      <c r="D368" s="170"/>
      <c r="E368" s="170"/>
      <c r="F368" s="169"/>
      <c r="G368" s="171"/>
      <c r="H368" s="172"/>
      <c r="I368" s="172"/>
    </row>
    <row r="369" spans="1:9">
      <c r="A369" s="169"/>
      <c r="B369" s="167"/>
      <c r="C369" s="173"/>
      <c r="D369" s="170"/>
      <c r="E369" s="170"/>
      <c r="F369" s="169"/>
      <c r="G369" s="171"/>
      <c r="H369" s="172"/>
      <c r="I369" s="172"/>
    </row>
    <row r="370" spans="1:9">
      <c r="A370" s="169"/>
      <c r="B370" s="167"/>
      <c r="C370" s="173"/>
      <c r="D370" s="170"/>
      <c r="E370" s="170"/>
      <c r="F370" s="169"/>
      <c r="G370" s="171"/>
      <c r="H370" s="172"/>
      <c r="I370" s="172"/>
    </row>
    <row r="371" spans="1:9">
      <c r="A371" s="169"/>
      <c r="B371" s="167"/>
      <c r="C371" s="173"/>
      <c r="D371" s="170"/>
      <c r="E371" s="170"/>
      <c r="F371" s="169"/>
      <c r="G371" s="171"/>
      <c r="H371" s="172"/>
      <c r="I371" s="172"/>
    </row>
    <row r="372" spans="1:9">
      <c r="A372" s="169"/>
      <c r="B372" s="167"/>
      <c r="C372" s="173"/>
      <c r="D372" s="170"/>
      <c r="E372" s="170"/>
      <c r="F372" s="169"/>
      <c r="G372" s="171"/>
      <c r="H372" s="172"/>
      <c r="I372" s="172"/>
    </row>
    <row r="373" spans="1:9">
      <c r="A373" s="169"/>
      <c r="B373" s="167"/>
      <c r="C373" s="173"/>
      <c r="D373" s="170"/>
      <c r="E373" s="170"/>
      <c r="F373" s="169"/>
      <c r="G373" s="171"/>
      <c r="H373" s="172"/>
      <c r="I373" s="172"/>
    </row>
    <row r="374" spans="1:9">
      <c r="A374" s="169"/>
      <c r="B374" s="167"/>
      <c r="C374" s="173"/>
      <c r="D374" s="170"/>
      <c r="E374" s="170"/>
      <c r="F374" s="169"/>
      <c r="G374" s="171"/>
      <c r="H374" s="172"/>
      <c r="I374" s="172"/>
    </row>
    <row r="375" spans="1:9">
      <c r="A375" s="169"/>
      <c r="B375" s="167"/>
      <c r="C375" s="173"/>
      <c r="D375" s="170"/>
      <c r="E375" s="170"/>
      <c r="F375" s="169"/>
      <c r="G375" s="171"/>
      <c r="H375" s="172"/>
      <c r="I375" s="172"/>
    </row>
    <row r="376" spans="1:9">
      <c r="A376" s="169"/>
      <c r="B376" s="167"/>
      <c r="C376" s="173"/>
      <c r="D376" s="170"/>
      <c r="E376" s="170"/>
      <c r="F376" s="169"/>
      <c r="G376" s="171"/>
      <c r="H376" s="172"/>
      <c r="I376" s="172"/>
    </row>
    <row r="377" spans="1:9">
      <c r="A377" s="169"/>
      <c r="B377" s="167"/>
      <c r="C377" s="173"/>
      <c r="D377" s="170"/>
      <c r="E377" s="170"/>
      <c r="F377" s="169"/>
      <c r="G377" s="171"/>
      <c r="H377" s="172"/>
      <c r="I377" s="172"/>
    </row>
    <row r="378" spans="1:9">
      <c r="A378" s="169"/>
      <c r="B378" s="167"/>
      <c r="C378" s="173"/>
      <c r="D378" s="170"/>
      <c r="E378" s="170"/>
      <c r="F378" s="169"/>
      <c r="G378" s="171"/>
      <c r="H378" s="172"/>
      <c r="I378" s="172"/>
    </row>
    <row r="379" spans="1:9">
      <c r="A379" s="169"/>
      <c r="B379" s="167"/>
      <c r="C379" s="173"/>
      <c r="D379" s="170"/>
      <c r="E379" s="170"/>
      <c r="F379" s="169"/>
      <c r="G379" s="171"/>
      <c r="H379" s="172"/>
      <c r="I379" s="172"/>
    </row>
    <row r="380" spans="1:9">
      <c r="A380" s="169"/>
      <c r="B380" s="167"/>
      <c r="C380" s="173"/>
      <c r="D380" s="170"/>
      <c r="E380" s="170"/>
      <c r="F380" s="169"/>
      <c r="G380" s="171"/>
      <c r="H380" s="172"/>
      <c r="I380" s="172"/>
    </row>
    <row r="381" spans="1:9">
      <c r="A381" s="169"/>
      <c r="B381" s="167"/>
      <c r="C381" s="173"/>
      <c r="D381" s="170"/>
      <c r="E381" s="170"/>
      <c r="F381" s="169"/>
      <c r="G381" s="171"/>
      <c r="H381" s="172"/>
      <c r="I381" s="172"/>
    </row>
    <row r="382" spans="1:9">
      <c r="A382" s="169"/>
      <c r="B382" s="167"/>
      <c r="C382" s="173"/>
      <c r="D382" s="170"/>
      <c r="E382" s="170"/>
      <c r="F382" s="169"/>
      <c r="G382" s="171"/>
      <c r="H382" s="172"/>
      <c r="I382" s="172"/>
    </row>
    <row r="383" spans="1:9">
      <c r="A383" s="169"/>
      <c r="B383" s="167"/>
      <c r="C383" s="173"/>
      <c r="D383" s="170"/>
      <c r="E383" s="170"/>
      <c r="F383" s="169"/>
      <c r="G383" s="171"/>
      <c r="H383" s="172"/>
      <c r="I383" s="172"/>
    </row>
    <row r="384" spans="1:9">
      <c r="A384" s="169"/>
      <c r="B384" s="167"/>
      <c r="C384" s="173"/>
      <c r="D384" s="170"/>
      <c r="E384" s="170"/>
      <c r="F384" s="169"/>
      <c r="G384" s="171"/>
      <c r="H384" s="172"/>
      <c r="I384" s="172"/>
    </row>
    <row r="385" spans="1:9">
      <c r="A385" s="169"/>
      <c r="B385" s="167"/>
      <c r="C385" s="173"/>
      <c r="D385" s="170"/>
      <c r="E385" s="170"/>
      <c r="F385" s="169"/>
      <c r="G385" s="171"/>
      <c r="H385" s="172"/>
      <c r="I385" s="172"/>
    </row>
    <row r="386" spans="1:9">
      <c r="A386" s="169"/>
      <c r="B386" s="167"/>
      <c r="C386" s="173"/>
      <c r="D386" s="170"/>
      <c r="E386" s="170"/>
      <c r="F386" s="169"/>
      <c r="G386" s="171"/>
      <c r="H386" s="172"/>
      <c r="I386" s="172"/>
    </row>
    <row r="387" spans="1:9">
      <c r="A387" s="169"/>
      <c r="B387" s="167"/>
      <c r="C387" s="173"/>
      <c r="D387" s="170"/>
      <c r="E387" s="170"/>
      <c r="F387" s="169"/>
      <c r="G387" s="171"/>
      <c r="H387" s="172"/>
      <c r="I387" s="172"/>
    </row>
    <row r="388" spans="1:9">
      <c r="A388" s="169"/>
      <c r="B388" s="167"/>
      <c r="C388" s="173"/>
      <c r="D388" s="170"/>
      <c r="E388" s="170"/>
      <c r="F388" s="169"/>
      <c r="G388" s="171"/>
      <c r="H388" s="172"/>
      <c r="I388" s="172"/>
    </row>
    <row r="389" spans="1:9">
      <c r="A389" s="169"/>
      <c r="B389" s="167"/>
      <c r="C389" s="173"/>
      <c r="D389" s="170"/>
      <c r="E389" s="170"/>
      <c r="F389" s="169"/>
      <c r="G389" s="171"/>
      <c r="H389" s="172"/>
      <c r="I389" s="172"/>
    </row>
    <row r="390" spans="1:9">
      <c r="A390" s="169"/>
      <c r="B390" s="167"/>
      <c r="C390" s="173"/>
      <c r="D390" s="170"/>
      <c r="E390" s="170"/>
      <c r="F390" s="169"/>
      <c r="G390" s="171"/>
      <c r="H390" s="172"/>
      <c r="I390" s="172"/>
    </row>
    <row r="391" spans="1:9">
      <c r="A391" s="169"/>
      <c r="B391" s="167"/>
      <c r="C391" s="173"/>
      <c r="D391" s="170"/>
      <c r="E391" s="170"/>
      <c r="F391" s="169"/>
      <c r="G391" s="171"/>
      <c r="H391" s="172"/>
      <c r="I391" s="172"/>
    </row>
    <row r="392" spans="1:9">
      <c r="A392" s="169"/>
      <c r="B392" s="167"/>
      <c r="C392" s="173"/>
      <c r="D392" s="170"/>
      <c r="E392" s="170"/>
      <c r="F392" s="169"/>
      <c r="G392" s="171"/>
      <c r="H392" s="172"/>
      <c r="I392" s="172"/>
    </row>
    <row r="393" spans="1:9">
      <c r="A393" s="169"/>
      <c r="B393" s="167"/>
      <c r="C393" s="173"/>
      <c r="D393" s="170"/>
      <c r="E393" s="170"/>
      <c r="F393" s="169"/>
      <c r="G393" s="171"/>
      <c r="H393" s="172"/>
      <c r="I393" s="172"/>
    </row>
    <row r="394" spans="1:9">
      <c r="A394" s="169"/>
      <c r="B394" s="167"/>
      <c r="C394" s="173"/>
      <c r="D394" s="170"/>
      <c r="E394" s="170"/>
      <c r="F394" s="169"/>
      <c r="G394" s="171"/>
      <c r="H394" s="172"/>
      <c r="I394" s="172"/>
    </row>
    <row r="395" spans="1:9">
      <c r="A395" s="169"/>
      <c r="B395" s="167"/>
      <c r="C395" s="173"/>
      <c r="D395" s="170"/>
      <c r="E395" s="170"/>
      <c r="F395" s="169"/>
      <c r="G395" s="171"/>
      <c r="H395" s="172"/>
      <c r="I395" s="172"/>
    </row>
    <row r="396" spans="1:9">
      <c r="A396" s="169"/>
      <c r="B396" s="167"/>
      <c r="C396" s="173"/>
      <c r="D396" s="170"/>
      <c r="E396" s="170"/>
      <c r="F396" s="169"/>
      <c r="G396" s="171"/>
      <c r="H396" s="172"/>
      <c r="I396" s="172"/>
    </row>
    <row r="397" spans="1:9">
      <c r="A397" s="169"/>
      <c r="B397" s="167"/>
      <c r="C397" s="173"/>
      <c r="D397" s="170"/>
      <c r="E397" s="170"/>
      <c r="F397" s="169"/>
      <c r="G397" s="171"/>
      <c r="H397" s="172"/>
      <c r="I397" s="172"/>
    </row>
    <row r="398" spans="1:9">
      <c r="A398" s="169"/>
      <c r="B398" s="167"/>
      <c r="C398" s="173"/>
      <c r="D398" s="170"/>
      <c r="E398" s="170"/>
      <c r="F398" s="169"/>
      <c r="G398" s="171"/>
      <c r="H398" s="172"/>
      <c r="I398" s="172"/>
    </row>
    <row r="399" spans="1:9">
      <c r="A399" s="169"/>
      <c r="B399" s="167"/>
      <c r="C399" s="173"/>
      <c r="D399" s="170"/>
      <c r="E399" s="170"/>
      <c r="F399" s="169"/>
      <c r="G399" s="171"/>
      <c r="H399" s="172"/>
      <c r="I399" s="172"/>
    </row>
    <row r="400" spans="1:9">
      <c r="A400" s="169"/>
      <c r="B400" s="167"/>
      <c r="C400" s="173"/>
      <c r="D400" s="170"/>
      <c r="E400" s="170"/>
      <c r="F400" s="169"/>
      <c r="G400" s="171"/>
      <c r="H400" s="172"/>
      <c r="I400" s="172"/>
    </row>
    <row r="401" spans="1:9">
      <c r="A401" s="169"/>
      <c r="B401" s="167"/>
      <c r="C401" s="173"/>
      <c r="D401" s="170"/>
      <c r="E401" s="170"/>
      <c r="F401" s="169"/>
      <c r="G401" s="171"/>
      <c r="H401" s="172"/>
      <c r="I401" s="172"/>
    </row>
    <row r="402" spans="1:9">
      <c r="A402" s="169"/>
      <c r="B402" s="167"/>
      <c r="C402" s="173"/>
      <c r="D402" s="170"/>
      <c r="E402" s="170"/>
      <c r="F402" s="169"/>
      <c r="G402" s="171"/>
      <c r="H402" s="172"/>
      <c r="I402" s="172"/>
    </row>
    <row r="403" spans="1:9">
      <c r="A403" s="169"/>
      <c r="B403" s="167"/>
      <c r="C403" s="173"/>
      <c r="D403" s="170"/>
      <c r="E403" s="170"/>
      <c r="F403" s="169"/>
      <c r="G403" s="171"/>
      <c r="H403" s="172"/>
      <c r="I403" s="172"/>
    </row>
    <row r="404" spans="1:9">
      <c r="A404" s="169"/>
      <c r="B404" s="167"/>
      <c r="C404" s="173"/>
      <c r="D404" s="170"/>
      <c r="E404" s="170"/>
      <c r="F404" s="169"/>
      <c r="G404" s="171"/>
      <c r="H404" s="172"/>
      <c r="I404" s="172"/>
    </row>
    <row r="405" spans="1:9">
      <c r="A405" s="169"/>
      <c r="B405" s="167"/>
      <c r="C405" s="173"/>
      <c r="D405" s="170"/>
      <c r="E405" s="170"/>
      <c r="F405" s="169"/>
      <c r="G405" s="171"/>
      <c r="H405" s="172"/>
      <c r="I405" s="172"/>
    </row>
    <row r="406" spans="1:9">
      <c r="A406" s="169"/>
      <c r="B406" s="167"/>
      <c r="C406" s="173"/>
      <c r="D406" s="170"/>
      <c r="E406" s="170"/>
      <c r="F406" s="169"/>
      <c r="G406" s="171"/>
      <c r="H406" s="172"/>
      <c r="I406" s="172"/>
    </row>
    <row r="407" spans="1:9">
      <c r="A407" s="169"/>
      <c r="B407" s="167"/>
      <c r="C407" s="173"/>
      <c r="D407" s="170"/>
      <c r="E407" s="170"/>
      <c r="F407" s="169"/>
      <c r="G407" s="171"/>
      <c r="H407" s="172"/>
      <c r="I407" s="172"/>
    </row>
    <row r="408" spans="1:9">
      <c r="A408" s="169"/>
      <c r="B408" s="167"/>
      <c r="C408" s="173"/>
      <c r="D408" s="170"/>
      <c r="E408" s="170"/>
      <c r="F408" s="169"/>
      <c r="G408" s="171"/>
      <c r="H408" s="172"/>
      <c r="I408" s="172"/>
    </row>
    <row r="409" spans="1:9">
      <c r="A409" s="169"/>
      <c r="B409" s="167"/>
      <c r="C409" s="173"/>
      <c r="D409" s="170"/>
      <c r="E409" s="170"/>
      <c r="F409" s="169"/>
      <c r="G409" s="171"/>
      <c r="H409" s="172"/>
      <c r="I409" s="172"/>
    </row>
    <row r="410" spans="1:9">
      <c r="A410" s="169"/>
      <c r="B410" s="167"/>
      <c r="C410" s="173"/>
      <c r="D410" s="170"/>
      <c r="E410" s="170"/>
      <c r="F410" s="169"/>
      <c r="G410" s="171"/>
      <c r="H410" s="172"/>
      <c r="I410" s="172"/>
    </row>
    <row r="411" spans="1:9">
      <c r="A411" s="169"/>
      <c r="B411" s="167"/>
      <c r="C411" s="173"/>
      <c r="D411" s="170"/>
      <c r="E411" s="170"/>
      <c r="F411" s="169"/>
      <c r="G411" s="171"/>
      <c r="H411" s="172"/>
      <c r="I411" s="172"/>
    </row>
    <row r="412" spans="1:9">
      <c r="A412" s="169"/>
      <c r="B412" s="167"/>
      <c r="C412" s="173"/>
      <c r="D412" s="170"/>
      <c r="E412" s="170"/>
      <c r="F412" s="169"/>
      <c r="G412" s="171"/>
      <c r="H412" s="172"/>
      <c r="I412" s="172"/>
    </row>
    <row r="413" spans="1:9">
      <c r="A413" s="169"/>
      <c r="B413" s="167"/>
      <c r="C413" s="173"/>
      <c r="D413" s="170"/>
      <c r="E413" s="170"/>
      <c r="F413" s="169"/>
      <c r="G413" s="171"/>
      <c r="H413" s="172"/>
      <c r="I413" s="172"/>
    </row>
    <row r="414" spans="1:9">
      <c r="A414" s="169"/>
      <c r="B414" s="167"/>
      <c r="C414" s="173"/>
      <c r="D414" s="170"/>
      <c r="E414" s="170"/>
      <c r="F414" s="169"/>
      <c r="G414" s="171"/>
      <c r="H414" s="172"/>
      <c r="I414" s="172"/>
    </row>
    <row r="415" spans="1:9">
      <c r="A415" s="169"/>
      <c r="B415" s="167"/>
      <c r="C415" s="173"/>
      <c r="D415" s="170"/>
      <c r="E415" s="170"/>
      <c r="F415" s="169"/>
      <c r="G415" s="171"/>
      <c r="H415" s="172"/>
      <c r="I415" s="172"/>
    </row>
    <row r="416" spans="1:9">
      <c r="A416" s="169"/>
      <c r="B416" s="167"/>
      <c r="C416" s="173"/>
      <c r="D416" s="170"/>
      <c r="E416" s="170"/>
      <c r="F416" s="169"/>
      <c r="G416" s="171"/>
      <c r="H416" s="172"/>
      <c r="I416" s="172"/>
    </row>
    <row r="417" spans="1:9">
      <c r="A417" s="169"/>
      <c r="B417" s="167"/>
      <c r="C417" s="173"/>
      <c r="D417" s="170"/>
      <c r="E417" s="170"/>
      <c r="F417" s="169"/>
      <c r="G417" s="171"/>
      <c r="H417" s="172"/>
      <c r="I417" s="172"/>
    </row>
    <row r="418" spans="1:9">
      <c r="A418" s="169"/>
      <c r="B418" s="167"/>
      <c r="C418" s="173"/>
      <c r="D418" s="170"/>
      <c r="E418" s="170"/>
      <c r="F418" s="169"/>
      <c r="G418" s="171"/>
      <c r="H418" s="172"/>
      <c r="I418" s="172"/>
    </row>
    <row r="419" spans="1:9">
      <c r="A419" s="169"/>
      <c r="B419" s="167"/>
      <c r="C419" s="173"/>
      <c r="D419" s="170"/>
      <c r="E419" s="170"/>
      <c r="F419" s="169"/>
      <c r="G419" s="171"/>
      <c r="H419" s="172"/>
      <c r="I419" s="172"/>
    </row>
    <row r="420" spans="1:9">
      <c r="A420" s="169"/>
      <c r="B420" s="167"/>
      <c r="C420" s="173"/>
      <c r="D420" s="170"/>
      <c r="E420" s="170"/>
      <c r="F420" s="169"/>
      <c r="G420" s="171"/>
      <c r="H420" s="172"/>
      <c r="I420" s="172"/>
    </row>
    <row r="421" spans="1:9">
      <c r="A421" s="169"/>
      <c r="B421" s="167"/>
      <c r="C421" s="173"/>
      <c r="D421" s="170"/>
      <c r="E421" s="170"/>
      <c r="F421" s="169"/>
      <c r="G421" s="171"/>
      <c r="H421" s="172"/>
      <c r="I421" s="172"/>
    </row>
    <row r="422" spans="1:9">
      <c r="A422" s="169"/>
      <c r="B422" s="167"/>
      <c r="C422" s="173"/>
      <c r="D422" s="170"/>
      <c r="E422" s="170"/>
      <c r="F422" s="169"/>
      <c r="G422" s="171"/>
      <c r="H422" s="172"/>
      <c r="I422" s="172"/>
    </row>
    <row r="423" spans="1:9">
      <c r="A423" s="169"/>
      <c r="B423" s="167"/>
      <c r="C423" s="173"/>
      <c r="D423" s="170"/>
      <c r="E423" s="170"/>
      <c r="F423" s="169"/>
      <c r="G423" s="171"/>
      <c r="H423" s="172"/>
      <c r="I423" s="172"/>
    </row>
    <row r="424" spans="1:9">
      <c r="A424" s="169"/>
      <c r="B424" s="167"/>
      <c r="C424" s="173"/>
      <c r="D424" s="170"/>
      <c r="E424" s="170"/>
      <c r="F424" s="169"/>
      <c r="G424" s="171"/>
      <c r="H424" s="172"/>
      <c r="I424" s="172"/>
    </row>
    <row r="425" spans="1:9">
      <c r="A425" s="169"/>
      <c r="B425" s="167"/>
      <c r="C425" s="173"/>
      <c r="D425" s="170"/>
      <c r="E425" s="170"/>
      <c r="F425" s="169"/>
      <c r="G425" s="171"/>
      <c r="H425" s="172"/>
      <c r="I425" s="172"/>
    </row>
    <row r="426" spans="1:9">
      <c r="A426" s="169"/>
      <c r="B426" s="167"/>
      <c r="C426" s="173"/>
      <c r="D426" s="170"/>
      <c r="E426" s="170"/>
      <c r="F426" s="169"/>
      <c r="G426" s="171"/>
      <c r="H426" s="172"/>
      <c r="I426" s="172"/>
    </row>
    <row r="427" spans="1:9">
      <c r="A427" s="169"/>
      <c r="B427" s="167"/>
      <c r="C427" s="173"/>
      <c r="D427" s="170"/>
      <c r="E427" s="170"/>
      <c r="F427" s="169"/>
      <c r="G427" s="171"/>
      <c r="H427" s="172"/>
      <c r="I427" s="172"/>
    </row>
    <row r="428" spans="1:9">
      <c r="A428" s="169"/>
      <c r="B428" s="167"/>
      <c r="C428" s="173"/>
      <c r="D428" s="170"/>
      <c r="E428" s="170"/>
      <c r="F428" s="169"/>
      <c r="G428" s="171"/>
      <c r="H428" s="172"/>
      <c r="I428" s="172"/>
    </row>
    <row r="429" spans="1:9">
      <c r="A429" s="169"/>
      <c r="B429" s="167"/>
      <c r="C429" s="173"/>
      <c r="D429" s="170"/>
      <c r="E429" s="170"/>
      <c r="F429" s="169"/>
      <c r="G429" s="171"/>
      <c r="H429" s="172"/>
      <c r="I429" s="172"/>
    </row>
    <row r="430" spans="1:9">
      <c r="A430" s="169"/>
      <c r="B430" s="167"/>
      <c r="C430" s="173"/>
      <c r="D430" s="170"/>
      <c r="E430" s="170"/>
      <c r="F430" s="169"/>
      <c r="G430" s="171"/>
      <c r="H430" s="172"/>
      <c r="I430" s="172"/>
    </row>
    <row r="431" spans="1:9">
      <c r="A431" s="169"/>
      <c r="B431" s="167"/>
      <c r="C431" s="173"/>
      <c r="D431" s="170"/>
      <c r="E431" s="170"/>
      <c r="F431" s="169"/>
      <c r="G431" s="171"/>
      <c r="H431" s="172"/>
      <c r="I431" s="172"/>
    </row>
    <row r="432" spans="1:9">
      <c r="A432" s="169"/>
      <c r="B432" s="167"/>
      <c r="C432" s="173"/>
      <c r="D432" s="170"/>
      <c r="E432" s="170"/>
      <c r="F432" s="169"/>
      <c r="G432" s="171"/>
      <c r="H432" s="172"/>
      <c r="I432" s="172"/>
    </row>
    <row r="433" spans="1:9">
      <c r="A433" s="169"/>
      <c r="B433" s="167"/>
      <c r="C433" s="173"/>
      <c r="D433" s="170"/>
      <c r="E433" s="170"/>
      <c r="F433" s="169"/>
      <c r="G433" s="171"/>
      <c r="H433" s="172"/>
      <c r="I433" s="172"/>
    </row>
    <row r="434" spans="1:9">
      <c r="A434" s="169"/>
      <c r="B434" s="167"/>
      <c r="C434" s="173"/>
      <c r="D434" s="170"/>
      <c r="E434" s="170"/>
      <c r="F434" s="169"/>
      <c r="G434" s="171"/>
      <c r="H434" s="172"/>
      <c r="I434" s="172"/>
    </row>
    <row r="435" spans="1:9">
      <c r="A435" s="169"/>
      <c r="B435" s="167"/>
      <c r="C435" s="173"/>
      <c r="D435" s="170"/>
      <c r="E435" s="170"/>
      <c r="F435" s="169"/>
      <c r="G435" s="171"/>
      <c r="H435" s="172"/>
      <c r="I435" s="172"/>
    </row>
    <row r="436" spans="1:9">
      <c r="A436" s="169"/>
      <c r="B436" s="167"/>
      <c r="C436" s="173"/>
      <c r="D436" s="170"/>
      <c r="E436" s="170"/>
      <c r="F436" s="169"/>
      <c r="G436" s="171"/>
      <c r="H436" s="172"/>
      <c r="I436" s="172"/>
    </row>
    <row r="437" spans="1:9">
      <c r="A437" s="169"/>
      <c r="B437" s="167"/>
      <c r="C437" s="173"/>
      <c r="D437" s="170"/>
      <c r="E437" s="170"/>
      <c r="F437" s="169"/>
      <c r="G437" s="171"/>
      <c r="H437" s="172"/>
      <c r="I437" s="172"/>
    </row>
    <row r="438" spans="1:9">
      <c r="A438" s="169"/>
      <c r="B438" s="167"/>
      <c r="C438" s="173"/>
      <c r="D438" s="170"/>
      <c r="E438" s="170"/>
      <c r="F438" s="169"/>
      <c r="G438" s="171"/>
      <c r="H438" s="172"/>
      <c r="I438" s="172"/>
    </row>
    <row r="439" spans="1:9">
      <c r="A439" s="169"/>
      <c r="B439" s="167"/>
      <c r="C439" s="173"/>
      <c r="D439" s="170"/>
      <c r="E439" s="170"/>
      <c r="F439" s="169"/>
      <c r="G439" s="171"/>
      <c r="H439" s="172"/>
      <c r="I439" s="172"/>
    </row>
    <row r="440" spans="1:9">
      <c r="A440" s="169"/>
      <c r="B440" s="167"/>
      <c r="C440" s="173"/>
      <c r="D440" s="170"/>
      <c r="E440" s="170"/>
      <c r="F440" s="169"/>
      <c r="G440" s="171"/>
      <c r="H440" s="172"/>
      <c r="I440" s="172"/>
    </row>
    <row r="441" spans="1:9">
      <c r="A441" s="169"/>
      <c r="B441" s="167"/>
      <c r="C441" s="173"/>
      <c r="D441" s="170"/>
      <c r="E441" s="170"/>
      <c r="F441" s="169"/>
      <c r="G441" s="171"/>
      <c r="H441" s="172"/>
      <c r="I441" s="172"/>
    </row>
    <row r="442" spans="1:9">
      <c r="A442" s="169"/>
      <c r="B442" s="167"/>
      <c r="C442" s="173"/>
      <c r="D442" s="170"/>
      <c r="E442" s="170"/>
      <c r="F442" s="169"/>
      <c r="G442" s="171"/>
      <c r="H442" s="172"/>
      <c r="I442" s="172"/>
    </row>
    <row r="443" spans="1:9">
      <c r="A443" s="169"/>
      <c r="B443" s="167"/>
      <c r="C443" s="173"/>
      <c r="D443" s="170"/>
      <c r="E443" s="170"/>
      <c r="F443" s="169"/>
      <c r="G443" s="171"/>
      <c r="H443" s="172"/>
      <c r="I443" s="172"/>
    </row>
    <row r="444" spans="1:9">
      <c r="A444" s="169"/>
      <c r="B444" s="167"/>
      <c r="C444" s="173"/>
      <c r="D444" s="170"/>
      <c r="E444" s="170"/>
      <c r="F444" s="169"/>
      <c r="G444" s="171"/>
      <c r="H444" s="172"/>
      <c r="I444" s="172"/>
    </row>
    <row r="445" spans="1:9">
      <c r="A445" s="169"/>
      <c r="B445" s="167"/>
      <c r="C445" s="173"/>
      <c r="D445" s="170"/>
      <c r="E445" s="170"/>
      <c r="F445" s="169"/>
      <c r="G445" s="171"/>
      <c r="H445" s="172"/>
      <c r="I445" s="172"/>
    </row>
    <row r="446" spans="1:9">
      <c r="A446" s="169"/>
      <c r="B446" s="167"/>
      <c r="C446" s="173"/>
      <c r="D446" s="170"/>
      <c r="E446" s="170"/>
      <c r="F446" s="169"/>
      <c r="G446" s="171"/>
      <c r="H446" s="172"/>
      <c r="I446" s="172"/>
    </row>
    <row r="447" spans="1:9">
      <c r="A447" s="169"/>
      <c r="B447" s="167"/>
      <c r="C447" s="173"/>
      <c r="D447" s="170"/>
      <c r="E447" s="170"/>
      <c r="F447" s="169"/>
      <c r="G447" s="171"/>
      <c r="H447" s="172"/>
      <c r="I447" s="172"/>
    </row>
    <row r="448" spans="1:9">
      <c r="A448" s="169"/>
      <c r="B448" s="167"/>
      <c r="C448" s="173"/>
      <c r="D448" s="170"/>
      <c r="E448" s="170"/>
      <c r="F448" s="169"/>
      <c r="G448" s="171"/>
      <c r="H448" s="172"/>
      <c r="I448" s="172"/>
    </row>
    <row r="449" spans="1:9">
      <c r="A449" s="169"/>
      <c r="B449" s="167"/>
      <c r="C449" s="173"/>
      <c r="D449" s="170"/>
      <c r="E449" s="170"/>
      <c r="F449" s="169"/>
      <c r="G449" s="171"/>
      <c r="H449" s="172"/>
      <c r="I449" s="172"/>
    </row>
    <row r="450" spans="1:9">
      <c r="A450" s="169"/>
      <c r="B450" s="167"/>
      <c r="C450" s="173"/>
      <c r="D450" s="170"/>
      <c r="E450" s="170"/>
      <c r="F450" s="169"/>
      <c r="G450" s="171"/>
      <c r="H450" s="172"/>
      <c r="I450" s="172"/>
    </row>
    <row r="451" spans="1:9">
      <c r="A451" s="169"/>
      <c r="B451" s="167"/>
      <c r="C451" s="173"/>
      <c r="D451" s="170"/>
      <c r="E451" s="170"/>
      <c r="F451" s="169"/>
      <c r="G451" s="171"/>
      <c r="H451" s="172"/>
      <c r="I451" s="172"/>
    </row>
    <row r="452" spans="1:9">
      <c r="A452" s="169"/>
      <c r="B452" s="167"/>
      <c r="C452" s="173"/>
      <c r="D452" s="170"/>
      <c r="E452" s="170"/>
      <c r="F452" s="169"/>
      <c r="G452" s="171"/>
      <c r="H452" s="172"/>
      <c r="I452" s="172"/>
    </row>
    <row r="453" spans="1:9">
      <c r="A453" s="169"/>
      <c r="B453" s="167"/>
      <c r="C453" s="173"/>
      <c r="D453" s="170"/>
      <c r="E453" s="170"/>
      <c r="F453" s="169"/>
      <c r="G453" s="171"/>
      <c r="H453" s="172"/>
      <c r="I453" s="172"/>
    </row>
    <row r="454" spans="1:9">
      <c r="A454" s="169"/>
      <c r="B454" s="167"/>
      <c r="C454" s="173"/>
      <c r="D454" s="170"/>
      <c r="E454" s="170"/>
      <c r="F454" s="169"/>
      <c r="G454" s="171"/>
      <c r="H454" s="172"/>
      <c r="I454" s="172"/>
    </row>
    <row r="455" spans="1:9">
      <c r="A455" s="169"/>
      <c r="B455" s="167"/>
      <c r="C455" s="173"/>
      <c r="D455" s="170"/>
      <c r="E455" s="170"/>
      <c r="F455" s="169"/>
      <c r="G455" s="171"/>
      <c r="H455" s="172"/>
      <c r="I455" s="172"/>
    </row>
    <row r="456" spans="1:9">
      <c r="A456" s="169"/>
      <c r="B456" s="167"/>
      <c r="C456" s="173"/>
      <c r="D456" s="170"/>
      <c r="E456" s="170"/>
      <c r="F456" s="169"/>
      <c r="G456" s="171"/>
      <c r="H456" s="172"/>
      <c r="I456" s="172"/>
    </row>
    <row r="457" spans="1:9">
      <c r="A457" s="169"/>
      <c r="B457" s="167"/>
      <c r="C457" s="173"/>
      <c r="D457" s="170"/>
      <c r="E457" s="170"/>
      <c r="F457" s="169"/>
      <c r="G457" s="171"/>
      <c r="H457" s="172"/>
      <c r="I457" s="172"/>
    </row>
    <row r="458" spans="1:9">
      <c r="A458" s="169"/>
      <c r="B458" s="167"/>
      <c r="C458" s="173"/>
      <c r="D458" s="170"/>
      <c r="E458" s="170"/>
      <c r="F458" s="169"/>
      <c r="G458" s="171"/>
      <c r="H458" s="172"/>
      <c r="I458" s="172"/>
    </row>
    <row r="459" spans="1:9">
      <c r="A459" s="169"/>
      <c r="B459" s="167"/>
      <c r="C459" s="173"/>
      <c r="D459" s="170"/>
      <c r="E459" s="170"/>
      <c r="F459" s="169"/>
      <c r="G459" s="171"/>
      <c r="H459" s="172"/>
      <c r="I459" s="172"/>
    </row>
    <row r="460" spans="1:9">
      <c r="A460" s="169"/>
      <c r="B460" s="167"/>
      <c r="C460" s="173"/>
      <c r="D460" s="170"/>
      <c r="E460" s="170"/>
      <c r="F460" s="169"/>
      <c r="G460" s="171"/>
      <c r="H460" s="172"/>
      <c r="I460" s="172"/>
    </row>
    <row r="461" spans="1:9">
      <c r="A461" s="169"/>
      <c r="B461" s="167"/>
      <c r="C461" s="173"/>
      <c r="D461" s="170"/>
      <c r="E461" s="170"/>
      <c r="F461" s="169"/>
      <c r="G461" s="171"/>
      <c r="H461" s="172"/>
      <c r="I461" s="172"/>
    </row>
    <row r="462" spans="1:9">
      <c r="A462" s="169"/>
      <c r="B462" s="167"/>
      <c r="C462" s="173"/>
      <c r="D462" s="170"/>
      <c r="E462" s="170"/>
      <c r="F462" s="169"/>
      <c r="G462" s="171"/>
      <c r="H462" s="172"/>
      <c r="I462" s="172"/>
    </row>
    <row r="463" spans="1:9">
      <c r="A463" s="169"/>
      <c r="B463" s="167"/>
      <c r="C463" s="173"/>
      <c r="D463" s="170"/>
      <c r="E463" s="170"/>
      <c r="F463" s="169"/>
      <c r="G463" s="171"/>
      <c r="H463" s="172"/>
      <c r="I463" s="172"/>
    </row>
    <row r="464" spans="1:9">
      <c r="A464" s="169"/>
      <c r="B464" s="167"/>
      <c r="C464" s="173"/>
      <c r="D464" s="170"/>
      <c r="E464" s="170"/>
      <c r="F464" s="169"/>
      <c r="G464" s="171"/>
      <c r="H464" s="172"/>
      <c r="I464" s="172"/>
    </row>
    <row r="465" spans="1:9">
      <c r="A465" s="169"/>
      <c r="B465" s="167"/>
      <c r="C465" s="173"/>
      <c r="D465" s="170"/>
      <c r="E465" s="170"/>
      <c r="F465" s="169"/>
      <c r="G465" s="171"/>
      <c r="H465" s="172"/>
      <c r="I465" s="172"/>
    </row>
    <row r="466" spans="1:9">
      <c r="A466" s="169"/>
      <c r="B466" s="167"/>
      <c r="C466" s="173"/>
      <c r="D466" s="170"/>
      <c r="E466" s="170"/>
      <c r="F466" s="169"/>
      <c r="G466" s="171"/>
      <c r="H466" s="172"/>
      <c r="I466" s="172"/>
    </row>
    <row r="467" spans="1:9">
      <c r="A467" s="169"/>
      <c r="B467" s="167"/>
      <c r="C467" s="173"/>
      <c r="D467" s="170"/>
      <c r="E467" s="170"/>
      <c r="F467" s="169"/>
      <c r="G467" s="171"/>
      <c r="H467" s="172"/>
      <c r="I467" s="172"/>
    </row>
    <row r="468" spans="1:9">
      <c r="A468" s="169"/>
      <c r="B468" s="167"/>
      <c r="C468" s="173"/>
      <c r="D468" s="170"/>
      <c r="E468" s="170"/>
      <c r="F468" s="169"/>
      <c r="G468" s="171"/>
      <c r="H468" s="172"/>
      <c r="I468" s="172"/>
    </row>
    <row r="469" spans="1:9">
      <c r="A469" s="169"/>
      <c r="B469" s="167"/>
      <c r="C469" s="173"/>
      <c r="D469" s="170"/>
      <c r="E469" s="170"/>
      <c r="F469" s="169"/>
      <c r="G469" s="171"/>
      <c r="H469" s="172"/>
      <c r="I469" s="172"/>
    </row>
    <row r="470" spans="1:9">
      <c r="A470" s="169"/>
      <c r="B470" s="167"/>
      <c r="C470" s="173"/>
      <c r="D470" s="170"/>
      <c r="E470" s="170"/>
      <c r="F470" s="169"/>
      <c r="G470" s="171"/>
      <c r="H470" s="172"/>
      <c r="I470" s="172"/>
    </row>
    <row r="471" spans="1:9">
      <c r="A471" s="169"/>
      <c r="B471" s="167"/>
      <c r="C471" s="173"/>
      <c r="D471" s="170"/>
      <c r="E471" s="170"/>
      <c r="F471" s="169"/>
      <c r="G471" s="171"/>
      <c r="H471" s="172"/>
      <c r="I471" s="172"/>
    </row>
    <row r="472" spans="1:9">
      <c r="A472" s="169"/>
      <c r="B472" s="167"/>
      <c r="C472" s="173"/>
      <c r="D472" s="170"/>
      <c r="E472" s="170"/>
      <c r="F472" s="169"/>
      <c r="G472" s="171"/>
      <c r="H472" s="172"/>
      <c r="I472" s="172"/>
    </row>
    <row r="473" spans="1:9">
      <c r="A473" s="169"/>
      <c r="B473" s="167"/>
      <c r="C473" s="173"/>
      <c r="D473" s="170"/>
      <c r="E473" s="170"/>
      <c r="F473" s="169"/>
      <c r="G473" s="171"/>
      <c r="H473" s="172"/>
      <c r="I473" s="172"/>
    </row>
    <row r="474" spans="1:9">
      <c r="A474" s="169"/>
      <c r="B474" s="167"/>
      <c r="C474" s="173"/>
      <c r="D474" s="170"/>
      <c r="E474" s="170"/>
      <c r="F474" s="169"/>
      <c r="G474" s="171"/>
      <c r="H474" s="172"/>
      <c r="I474" s="172"/>
    </row>
    <row r="475" spans="1:9">
      <c r="A475" s="169"/>
      <c r="B475" s="167"/>
      <c r="C475" s="173"/>
      <c r="D475" s="170"/>
      <c r="E475" s="170"/>
      <c r="F475" s="169"/>
      <c r="G475" s="171"/>
      <c r="H475" s="172"/>
      <c r="I475" s="172"/>
    </row>
    <row r="476" spans="1:9">
      <c r="A476" s="169"/>
      <c r="B476" s="167"/>
      <c r="C476" s="173"/>
      <c r="D476" s="170"/>
      <c r="E476" s="170"/>
      <c r="F476" s="169"/>
      <c r="G476" s="171"/>
      <c r="H476" s="172"/>
      <c r="I476" s="172"/>
    </row>
    <row r="477" spans="1:9">
      <c r="A477" s="169"/>
      <c r="B477" s="167"/>
      <c r="C477" s="173"/>
      <c r="D477" s="170"/>
      <c r="E477" s="170"/>
      <c r="F477" s="169"/>
      <c r="G477" s="171"/>
      <c r="H477" s="172"/>
      <c r="I477" s="172"/>
    </row>
    <row r="478" spans="1:9">
      <c r="A478" s="169"/>
      <c r="B478" s="167"/>
      <c r="C478" s="173"/>
      <c r="D478" s="170"/>
      <c r="E478" s="170"/>
      <c r="F478" s="169"/>
      <c r="G478" s="171"/>
      <c r="H478" s="172"/>
      <c r="I478" s="172"/>
    </row>
    <row r="479" spans="1:9">
      <c r="A479" s="169"/>
      <c r="B479" s="167"/>
      <c r="C479" s="173"/>
      <c r="D479" s="170"/>
      <c r="E479" s="170"/>
      <c r="F479" s="169"/>
      <c r="G479" s="171"/>
      <c r="H479" s="172"/>
      <c r="I479" s="172"/>
    </row>
    <row r="480" spans="1:9">
      <c r="A480" s="169"/>
      <c r="B480" s="167"/>
      <c r="C480" s="173"/>
      <c r="D480" s="170"/>
      <c r="E480" s="170"/>
      <c r="F480" s="169"/>
      <c r="G480" s="171"/>
      <c r="H480" s="172"/>
      <c r="I480" s="172"/>
    </row>
    <row r="481" spans="1:9">
      <c r="A481" s="169"/>
      <c r="B481" s="167"/>
      <c r="C481" s="173"/>
      <c r="D481" s="170"/>
      <c r="E481" s="170"/>
      <c r="F481" s="169"/>
      <c r="G481" s="171"/>
      <c r="H481" s="172"/>
      <c r="I481" s="172"/>
    </row>
    <row r="482" spans="1:9">
      <c r="A482" s="169"/>
      <c r="B482" s="167"/>
      <c r="C482" s="173"/>
      <c r="D482" s="170"/>
      <c r="E482" s="170"/>
      <c r="F482" s="169"/>
      <c r="G482" s="171"/>
      <c r="H482" s="172"/>
      <c r="I482" s="172"/>
    </row>
    <row r="483" spans="1:9">
      <c r="A483" s="169"/>
      <c r="B483" s="167"/>
      <c r="C483" s="173"/>
      <c r="D483" s="170"/>
      <c r="E483" s="170"/>
      <c r="F483" s="169"/>
      <c r="G483" s="171"/>
      <c r="H483" s="172"/>
      <c r="I483" s="172"/>
    </row>
    <row r="484" spans="1:9">
      <c r="A484" s="169"/>
      <c r="B484" s="167"/>
      <c r="C484" s="173"/>
      <c r="D484" s="170"/>
      <c r="E484" s="170"/>
      <c r="F484" s="169"/>
      <c r="G484" s="171"/>
      <c r="H484" s="172"/>
      <c r="I484" s="172"/>
    </row>
    <row r="485" spans="1:9">
      <c r="A485" s="169"/>
      <c r="B485" s="167"/>
      <c r="C485" s="173"/>
      <c r="D485" s="170"/>
      <c r="E485" s="170"/>
      <c r="F485" s="169"/>
      <c r="G485" s="171"/>
      <c r="H485" s="172"/>
      <c r="I485" s="172"/>
    </row>
    <row r="486" spans="1:9">
      <c r="A486" s="169"/>
      <c r="B486" s="167"/>
      <c r="C486" s="173"/>
      <c r="D486" s="170"/>
      <c r="E486" s="170"/>
      <c r="F486" s="169"/>
      <c r="G486" s="171"/>
      <c r="H486" s="172"/>
      <c r="I486" s="172"/>
    </row>
    <row r="487" spans="1:9">
      <c r="A487" s="169"/>
      <c r="B487" s="167"/>
      <c r="C487" s="173"/>
      <c r="D487" s="170"/>
      <c r="E487" s="170"/>
      <c r="F487" s="169"/>
      <c r="G487" s="171"/>
      <c r="H487" s="172"/>
      <c r="I487" s="172"/>
    </row>
    <row r="488" spans="1:9">
      <c r="A488" s="169"/>
      <c r="B488" s="167"/>
      <c r="C488" s="173"/>
      <c r="D488" s="170"/>
      <c r="E488" s="170"/>
      <c r="F488" s="169"/>
      <c r="G488" s="171"/>
      <c r="H488" s="172"/>
      <c r="I488" s="172"/>
    </row>
    <row r="489" spans="1:9">
      <c r="A489" s="169"/>
      <c r="B489" s="167"/>
      <c r="C489" s="173"/>
      <c r="D489" s="170"/>
      <c r="E489" s="170"/>
      <c r="F489" s="169"/>
      <c r="G489" s="171"/>
      <c r="H489" s="172"/>
      <c r="I489" s="172"/>
    </row>
    <row r="490" spans="1:9">
      <c r="A490" s="169"/>
      <c r="B490" s="167"/>
      <c r="C490" s="173"/>
      <c r="D490" s="170"/>
      <c r="E490" s="170"/>
      <c r="F490" s="169"/>
      <c r="G490" s="171"/>
      <c r="H490" s="172"/>
      <c r="I490" s="172"/>
    </row>
    <row r="491" spans="1:9">
      <c r="A491" s="169"/>
      <c r="B491" s="167"/>
      <c r="C491" s="173"/>
      <c r="D491" s="170"/>
      <c r="E491" s="170"/>
      <c r="F491" s="169"/>
      <c r="G491" s="171"/>
      <c r="H491" s="172"/>
      <c r="I491" s="172"/>
    </row>
    <row r="492" spans="1:9">
      <c r="A492" s="169"/>
      <c r="B492" s="167"/>
      <c r="C492" s="173"/>
      <c r="D492" s="170"/>
      <c r="E492" s="170"/>
      <c r="F492" s="169"/>
      <c r="G492" s="171"/>
      <c r="H492" s="172"/>
      <c r="I492" s="172"/>
    </row>
    <row r="493" spans="1:9">
      <c r="A493" s="169"/>
      <c r="B493" s="167"/>
      <c r="C493" s="173"/>
      <c r="D493" s="170"/>
      <c r="E493" s="170"/>
      <c r="F493" s="169"/>
      <c r="G493" s="171"/>
      <c r="H493" s="172"/>
      <c r="I493" s="172"/>
    </row>
    <row r="494" spans="1:9">
      <c r="A494" s="169"/>
      <c r="B494" s="167"/>
      <c r="C494" s="173"/>
      <c r="D494" s="170"/>
      <c r="E494" s="170"/>
      <c r="F494" s="169"/>
      <c r="G494" s="171"/>
      <c r="H494" s="172"/>
      <c r="I494" s="172"/>
    </row>
    <row r="495" spans="1:9">
      <c r="A495" s="169"/>
      <c r="B495" s="167"/>
      <c r="C495" s="173"/>
      <c r="D495" s="170"/>
      <c r="E495" s="170"/>
      <c r="F495" s="169"/>
      <c r="G495" s="171"/>
      <c r="H495" s="172"/>
      <c r="I495" s="172"/>
    </row>
    <row r="496" spans="1:9">
      <c r="A496" s="169"/>
      <c r="B496" s="167"/>
      <c r="C496" s="173"/>
      <c r="D496" s="170"/>
      <c r="E496" s="170"/>
      <c r="F496" s="169"/>
      <c r="G496" s="171"/>
      <c r="H496" s="172"/>
      <c r="I496" s="172"/>
    </row>
    <row r="497" spans="1:9">
      <c r="A497" s="169"/>
      <c r="B497" s="167"/>
      <c r="C497" s="173"/>
      <c r="D497" s="170"/>
      <c r="E497" s="170"/>
      <c r="F497" s="169"/>
      <c r="G497" s="171"/>
      <c r="H497" s="172"/>
      <c r="I497" s="172"/>
    </row>
    <row r="498" spans="1:9">
      <c r="A498" s="169"/>
      <c r="B498" s="167"/>
      <c r="C498" s="173"/>
      <c r="D498" s="170"/>
      <c r="E498" s="170"/>
      <c r="F498" s="169"/>
      <c r="G498" s="171"/>
      <c r="H498" s="172"/>
      <c r="I498" s="172"/>
    </row>
    <row r="499" spans="1:9">
      <c r="A499" s="169"/>
      <c r="B499" s="167"/>
      <c r="C499" s="173"/>
      <c r="D499" s="170"/>
      <c r="E499" s="170"/>
      <c r="F499" s="169"/>
      <c r="G499" s="171"/>
      <c r="H499" s="172"/>
      <c r="I499" s="172"/>
    </row>
    <row r="500" spans="1:9">
      <c r="A500" s="169"/>
      <c r="B500" s="167"/>
      <c r="C500" s="173"/>
      <c r="D500" s="170"/>
      <c r="E500" s="170"/>
      <c r="F500" s="169"/>
      <c r="G500" s="171"/>
      <c r="H500" s="172"/>
      <c r="I500" s="172"/>
    </row>
    <row r="501" spans="1:9">
      <c r="A501" s="169"/>
      <c r="B501" s="167"/>
      <c r="C501" s="173"/>
      <c r="D501" s="170"/>
      <c r="E501" s="170"/>
      <c r="F501" s="169"/>
      <c r="G501" s="171"/>
      <c r="H501" s="172"/>
      <c r="I501" s="172"/>
    </row>
    <row r="502" spans="1:9">
      <c r="A502" s="169"/>
      <c r="B502" s="167"/>
      <c r="C502" s="173"/>
      <c r="D502" s="170"/>
      <c r="E502" s="170"/>
      <c r="F502" s="169"/>
      <c r="G502" s="171"/>
      <c r="H502" s="172"/>
      <c r="I502" s="172"/>
    </row>
    <row r="503" spans="1:9">
      <c r="A503" s="169"/>
      <c r="B503" s="167"/>
      <c r="C503" s="173"/>
      <c r="D503" s="170"/>
      <c r="E503" s="170"/>
      <c r="F503" s="169"/>
      <c r="G503" s="171"/>
      <c r="H503" s="172"/>
      <c r="I503" s="172"/>
    </row>
    <row r="504" spans="1:9">
      <c r="A504" s="169"/>
      <c r="B504" s="167"/>
      <c r="C504" s="173"/>
      <c r="D504" s="170"/>
      <c r="E504" s="170"/>
      <c r="F504" s="169"/>
      <c r="G504" s="171"/>
      <c r="H504" s="172"/>
      <c r="I504" s="172"/>
    </row>
    <row r="505" spans="1:9">
      <c r="A505" s="169"/>
      <c r="B505" s="167"/>
      <c r="C505" s="173"/>
      <c r="D505" s="170"/>
      <c r="E505" s="170"/>
      <c r="F505" s="169"/>
      <c r="G505" s="171"/>
      <c r="H505" s="172"/>
      <c r="I505" s="172"/>
    </row>
    <row r="506" spans="1:9">
      <c r="A506" s="169"/>
      <c r="B506" s="167"/>
      <c r="C506" s="173"/>
      <c r="D506" s="170"/>
      <c r="E506" s="170"/>
      <c r="F506" s="169"/>
      <c r="G506" s="171"/>
      <c r="H506" s="172"/>
      <c r="I506" s="172"/>
    </row>
    <row r="507" spans="1:9">
      <c r="A507" s="169"/>
      <c r="B507" s="167"/>
      <c r="C507" s="173"/>
      <c r="D507" s="170"/>
      <c r="E507" s="170"/>
      <c r="F507" s="169"/>
      <c r="G507" s="171"/>
      <c r="H507" s="172"/>
      <c r="I507" s="172"/>
    </row>
    <row r="508" spans="1:9">
      <c r="A508" s="169"/>
      <c r="B508" s="167"/>
      <c r="C508" s="173"/>
      <c r="D508" s="170"/>
      <c r="E508" s="170"/>
      <c r="F508" s="169"/>
      <c r="G508" s="171"/>
      <c r="H508" s="172"/>
      <c r="I508" s="172"/>
    </row>
    <row r="509" spans="1:9">
      <c r="A509" s="169"/>
      <c r="B509" s="167"/>
      <c r="C509" s="173"/>
      <c r="D509" s="170"/>
      <c r="E509" s="170"/>
      <c r="F509" s="169"/>
      <c r="G509" s="171"/>
      <c r="H509" s="172"/>
      <c r="I509" s="172"/>
    </row>
    <row r="510" spans="1:9">
      <c r="A510" s="169"/>
      <c r="B510" s="167"/>
      <c r="C510" s="173"/>
      <c r="D510" s="170"/>
      <c r="E510" s="170"/>
      <c r="F510" s="169"/>
      <c r="G510" s="171"/>
      <c r="H510" s="172"/>
      <c r="I510" s="172"/>
    </row>
    <row r="511" spans="1:9">
      <c r="A511" s="169"/>
      <c r="B511" s="167"/>
      <c r="C511" s="173"/>
      <c r="D511" s="170"/>
      <c r="E511" s="170"/>
      <c r="F511" s="169"/>
      <c r="G511" s="171"/>
      <c r="H511" s="172"/>
      <c r="I511" s="172"/>
    </row>
    <row r="512" spans="1:9">
      <c r="A512" s="169"/>
      <c r="B512" s="167"/>
      <c r="C512" s="173"/>
      <c r="D512" s="170"/>
      <c r="E512" s="170"/>
      <c r="F512" s="169"/>
      <c r="G512" s="171"/>
      <c r="H512" s="172"/>
      <c r="I512" s="172"/>
    </row>
    <row r="513" spans="1:9">
      <c r="A513" s="169"/>
      <c r="B513" s="167"/>
      <c r="C513" s="173"/>
      <c r="D513" s="170"/>
      <c r="E513" s="170"/>
      <c r="F513" s="169"/>
      <c r="G513" s="171"/>
      <c r="H513" s="172"/>
      <c r="I513" s="172"/>
    </row>
    <row r="514" spans="1:9">
      <c r="A514" s="169"/>
      <c r="B514" s="167"/>
      <c r="C514" s="173"/>
      <c r="D514" s="170"/>
      <c r="E514" s="170"/>
      <c r="F514" s="169"/>
      <c r="G514" s="171"/>
      <c r="H514" s="172"/>
      <c r="I514" s="172"/>
    </row>
    <row r="515" spans="1:9">
      <c r="A515" s="169"/>
      <c r="B515" s="167"/>
      <c r="C515" s="173"/>
      <c r="D515" s="170"/>
      <c r="E515" s="170"/>
      <c r="F515" s="169"/>
      <c r="G515" s="171"/>
      <c r="H515" s="172"/>
      <c r="I515" s="172"/>
    </row>
    <row r="516" spans="1:9">
      <c r="A516" s="169"/>
      <c r="B516" s="167"/>
      <c r="C516" s="173"/>
      <c r="D516" s="170"/>
      <c r="E516" s="170"/>
      <c r="F516" s="169"/>
      <c r="G516" s="171"/>
      <c r="H516" s="172"/>
      <c r="I516" s="172"/>
    </row>
    <row r="517" spans="1:9">
      <c r="A517" s="169"/>
      <c r="B517" s="167"/>
      <c r="C517" s="173"/>
      <c r="D517" s="170"/>
      <c r="E517" s="170"/>
      <c r="F517" s="169"/>
      <c r="G517" s="171"/>
      <c r="H517" s="172"/>
      <c r="I517" s="172"/>
    </row>
    <row r="518" spans="1:9">
      <c r="A518" s="169"/>
      <c r="B518" s="167"/>
      <c r="C518" s="173"/>
      <c r="D518" s="170"/>
      <c r="E518" s="170"/>
      <c r="F518" s="169"/>
      <c r="G518" s="171"/>
      <c r="H518" s="172"/>
      <c r="I518" s="172"/>
    </row>
    <row r="519" spans="1:9">
      <c r="A519" s="169"/>
      <c r="B519" s="167"/>
      <c r="C519" s="173"/>
      <c r="D519" s="170"/>
      <c r="E519" s="170"/>
      <c r="F519" s="169"/>
      <c r="G519" s="171"/>
      <c r="H519" s="172"/>
      <c r="I519" s="172"/>
    </row>
    <row r="520" spans="1:9">
      <c r="A520" s="169"/>
      <c r="B520" s="167"/>
      <c r="C520" s="173"/>
      <c r="D520" s="170"/>
      <c r="E520" s="170"/>
      <c r="F520" s="169"/>
      <c r="G520" s="171"/>
      <c r="H520" s="172"/>
      <c r="I520" s="172"/>
    </row>
    <row r="521" spans="1:9">
      <c r="A521" s="169"/>
      <c r="B521" s="167"/>
      <c r="C521" s="173"/>
      <c r="D521" s="170"/>
      <c r="E521" s="170"/>
      <c r="F521" s="169"/>
      <c r="G521" s="171"/>
      <c r="H521" s="172"/>
      <c r="I521" s="172"/>
    </row>
    <row r="522" spans="1:9">
      <c r="A522" s="169"/>
      <c r="B522" s="167"/>
      <c r="C522" s="173"/>
      <c r="D522" s="170"/>
      <c r="E522" s="170"/>
      <c r="F522" s="169"/>
      <c r="G522" s="171"/>
      <c r="H522" s="172"/>
      <c r="I522" s="172"/>
    </row>
    <row r="523" spans="1:9">
      <c r="A523" s="169"/>
      <c r="B523" s="167"/>
      <c r="C523" s="173"/>
      <c r="D523" s="170"/>
      <c r="E523" s="170"/>
      <c r="F523" s="169"/>
      <c r="G523" s="171"/>
      <c r="H523" s="172"/>
      <c r="I523" s="172"/>
    </row>
    <row r="524" spans="1:9">
      <c r="A524" s="169"/>
      <c r="B524" s="167"/>
      <c r="C524" s="173"/>
      <c r="D524" s="170"/>
      <c r="E524" s="170"/>
      <c r="F524" s="169"/>
      <c r="G524" s="171"/>
      <c r="H524" s="172"/>
      <c r="I524" s="172"/>
    </row>
    <row r="525" spans="1:9">
      <c r="A525" s="169"/>
      <c r="B525" s="167"/>
      <c r="C525" s="173"/>
      <c r="D525" s="170"/>
      <c r="E525" s="170"/>
      <c r="F525" s="169"/>
      <c r="G525" s="171"/>
      <c r="H525" s="172"/>
      <c r="I525" s="172"/>
    </row>
    <row r="526" spans="1:9">
      <c r="A526" s="169"/>
      <c r="B526" s="167"/>
      <c r="C526" s="173"/>
      <c r="D526" s="170"/>
      <c r="E526" s="170"/>
      <c r="F526" s="169"/>
      <c r="G526" s="171"/>
      <c r="H526" s="172"/>
      <c r="I526" s="172"/>
    </row>
    <row r="527" spans="1:9">
      <c r="A527" s="169"/>
      <c r="B527" s="167"/>
      <c r="C527" s="173"/>
      <c r="D527" s="170"/>
      <c r="E527" s="170"/>
      <c r="F527" s="169"/>
      <c r="G527" s="171"/>
      <c r="H527" s="172"/>
      <c r="I527" s="172"/>
    </row>
    <row r="528" spans="1:9">
      <c r="A528" s="169"/>
      <c r="B528" s="167"/>
      <c r="C528" s="173"/>
      <c r="D528" s="170"/>
      <c r="E528" s="170"/>
      <c r="F528" s="169"/>
      <c r="G528" s="171"/>
      <c r="H528" s="172"/>
      <c r="I528" s="172"/>
    </row>
    <row r="529" spans="1:9">
      <c r="A529" s="169"/>
      <c r="B529" s="167"/>
      <c r="C529" s="173"/>
      <c r="D529" s="170"/>
      <c r="E529" s="170"/>
      <c r="F529" s="169"/>
      <c r="G529" s="171"/>
      <c r="H529" s="172"/>
      <c r="I529" s="172"/>
    </row>
    <row r="530" spans="1:9">
      <c r="A530" s="169"/>
      <c r="B530" s="167"/>
      <c r="C530" s="173"/>
      <c r="D530" s="170"/>
      <c r="E530" s="170"/>
      <c r="F530" s="169"/>
      <c r="G530" s="171"/>
      <c r="H530" s="172"/>
      <c r="I530" s="172"/>
    </row>
    <row r="531" spans="1:9">
      <c r="A531" s="169"/>
      <c r="B531" s="167"/>
      <c r="C531" s="173"/>
      <c r="D531" s="170"/>
      <c r="E531" s="170"/>
      <c r="F531" s="169"/>
      <c r="G531" s="171"/>
      <c r="H531" s="172"/>
      <c r="I531" s="172"/>
    </row>
    <row r="532" spans="1:9">
      <c r="A532" s="169"/>
      <c r="B532" s="167"/>
      <c r="C532" s="173"/>
      <c r="D532" s="170"/>
      <c r="E532" s="170"/>
      <c r="F532" s="169"/>
      <c r="G532" s="171"/>
      <c r="H532" s="172"/>
      <c r="I532" s="172"/>
    </row>
    <row r="533" spans="1:9">
      <c r="A533" s="169"/>
      <c r="B533" s="167"/>
      <c r="C533" s="173"/>
      <c r="D533" s="170"/>
      <c r="E533" s="170"/>
      <c r="F533" s="169"/>
      <c r="G533" s="171"/>
      <c r="H533" s="172"/>
      <c r="I533" s="172"/>
    </row>
    <row r="534" spans="1:9">
      <c r="A534" s="169"/>
      <c r="B534" s="167"/>
      <c r="C534" s="173"/>
      <c r="D534" s="170"/>
      <c r="E534" s="170"/>
      <c r="F534" s="169"/>
      <c r="G534" s="171"/>
      <c r="H534" s="172"/>
      <c r="I534" s="172"/>
    </row>
    <row r="535" spans="1:9">
      <c r="A535" s="169"/>
      <c r="B535" s="167"/>
      <c r="C535" s="173"/>
      <c r="D535" s="170"/>
      <c r="E535" s="170"/>
      <c r="F535" s="169"/>
      <c r="G535" s="171"/>
      <c r="H535" s="172"/>
      <c r="I535" s="172"/>
    </row>
    <row r="536" spans="1:9">
      <c r="A536" s="169"/>
      <c r="B536" s="167"/>
      <c r="C536" s="173"/>
      <c r="D536" s="170"/>
      <c r="E536" s="170"/>
      <c r="F536" s="169"/>
      <c r="G536" s="171"/>
      <c r="H536" s="172"/>
      <c r="I536" s="172"/>
    </row>
    <row r="537" spans="1:9">
      <c r="A537" s="169"/>
      <c r="B537" s="167"/>
      <c r="C537" s="173"/>
      <c r="D537" s="170"/>
      <c r="E537" s="170"/>
      <c r="F537" s="169"/>
      <c r="G537" s="171"/>
      <c r="H537" s="172"/>
      <c r="I537" s="172"/>
    </row>
    <row r="538" spans="1:9">
      <c r="A538" s="169"/>
      <c r="B538" s="167"/>
      <c r="C538" s="173"/>
      <c r="D538" s="170"/>
      <c r="E538" s="170"/>
      <c r="F538" s="169"/>
      <c r="G538" s="171"/>
      <c r="H538" s="172"/>
      <c r="I538" s="172"/>
    </row>
    <row r="539" spans="1:9">
      <c r="A539" s="169"/>
      <c r="B539" s="167"/>
      <c r="C539" s="173"/>
      <c r="D539" s="170"/>
      <c r="E539" s="170"/>
      <c r="F539" s="169"/>
      <c r="G539" s="171"/>
      <c r="H539" s="172"/>
      <c r="I539" s="172"/>
    </row>
    <row r="540" spans="1:9">
      <c r="A540" s="169"/>
      <c r="B540" s="167"/>
      <c r="C540" s="173"/>
      <c r="D540" s="170"/>
      <c r="E540" s="170"/>
      <c r="F540" s="169"/>
      <c r="G540" s="171"/>
      <c r="H540" s="172"/>
      <c r="I540" s="172"/>
    </row>
    <row r="541" spans="1:9">
      <c r="A541" s="169"/>
      <c r="B541" s="167"/>
      <c r="C541" s="173"/>
      <c r="D541" s="170"/>
      <c r="E541" s="170"/>
      <c r="F541" s="169"/>
      <c r="G541" s="171"/>
      <c r="H541" s="172"/>
      <c r="I541" s="172"/>
    </row>
    <row r="542" spans="1:9">
      <c r="A542" s="169"/>
      <c r="B542" s="167"/>
      <c r="C542" s="173"/>
      <c r="D542" s="170"/>
      <c r="E542" s="170"/>
      <c r="F542" s="169"/>
      <c r="G542" s="171"/>
      <c r="H542" s="172"/>
      <c r="I542" s="172"/>
    </row>
    <row r="543" spans="1:9">
      <c r="A543" s="169"/>
      <c r="B543" s="167"/>
      <c r="C543" s="173"/>
      <c r="D543" s="170"/>
      <c r="E543" s="170"/>
      <c r="F543" s="169"/>
      <c r="G543" s="171"/>
      <c r="H543" s="172"/>
      <c r="I543" s="172"/>
    </row>
    <row r="544" spans="1:9">
      <c r="A544" s="169"/>
      <c r="B544" s="167"/>
      <c r="C544" s="173"/>
      <c r="D544" s="170"/>
      <c r="E544" s="170"/>
      <c r="F544" s="169"/>
      <c r="G544" s="171"/>
      <c r="H544" s="172"/>
      <c r="I544" s="172"/>
    </row>
    <row r="545" spans="1:9">
      <c r="A545" s="169"/>
      <c r="B545" s="167"/>
      <c r="C545" s="173"/>
      <c r="D545" s="170"/>
      <c r="E545" s="170"/>
      <c r="F545" s="169"/>
      <c r="G545" s="171"/>
      <c r="H545" s="172"/>
      <c r="I545" s="172"/>
    </row>
    <row r="546" spans="1:9">
      <c r="A546" s="169"/>
      <c r="B546" s="167"/>
      <c r="C546" s="173"/>
      <c r="D546" s="170"/>
      <c r="E546" s="170"/>
      <c r="F546" s="169"/>
      <c r="G546" s="171"/>
      <c r="H546" s="172"/>
      <c r="I546" s="172"/>
    </row>
    <row r="547" spans="1:9">
      <c r="A547" s="169"/>
      <c r="B547" s="167"/>
      <c r="C547" s="173"/>
      <c r="D547" s="170"/>
      <c r="E547" s="170"/>
      <c r="F547" s="169"/>
      <c r="G547" s="171"/>
      <c r="H547" s="172"/>
      <c r="I547" s="172"/>
    </row>
    <row r="548" spans="1:9">
      <c r="A548" s="169"/>
      <c r="B548" s="167"/>
      <c r="C548" s="173"/>
      <c r="D548" s="170"/>
      <c r="E548" s="170"/>
      <c r="F548" s="169"/>
      <c r="G548" s="171"/>
      <c r="H548" s="172"/>
      <c r="I548" s="172"/>
    </row>
    <row r="549" spans="1:9">
      <c r="A549" s="169"/>
      <c r="B549" s="167"/>
      <c r="C549" s="173"/>
      <c r="D549" s="170"/>
      <c r="E549" s="170"/>
      <c r="F549" s="169"/>
      <c r="G549" s="171"/>
      <c r="H549" s="172"/>
      <c r="I549" s="172"/>
    </row>
    <row r="550" spans="1:9">
      <c r="A550" s="169"/>
      <c r="B550" s="167"/>
      <c r="C550" s="173"/>
      <c r="D550" s="170"/>
      <c r="E550" s="170"/>
      <c r="F550" s="169"/>
      <c r="G550" s="171"/>
      <c r="H550" s="172"/>
      <c r="I550" s="172"/>
    </row>
    <row r="551" spans="1:9">
      <c r="A551" s="169"/>
      <c r="B551" s="167"/>
      <c r="C551" s="173"/>
      <c r="D551" s="170"/>
      <c r="E551" s="170"/>
      <c r="F551" s="169"/>
      <c r="G551" s="171"/>
      <c r="H551" s="172"/>
      <c r="I551" s="172"/>
    </row>
    <row r="552" spans="1:9">
      <c r="A552" s="169"/>
      <c r="B552" s="167"/>
      <c r="C552" s="173"/>
      <c r="D552" s="170"/>
      <c r="E552" s="170"/>
      <c r="F552" s="169"/>
      <c r="G552" s="171"/>
      <c r="H552" s="172"/>
      <c r="I552" s="172"/>
    </row>
    <row r="553" spans="1:9">
      <c r="A553" s="169"/>
      <c r="B553" s="167"/>
      <c r="C553" s="173"/>
      <c r="D553" s="170"/>
      <c r="E553" s="170"/>
      <c r="F553" s="169"/>
      <c r="G553" s="171"/>
      <c r="H553" s="172"/>
      <c r="I553" s="172"/>
    </row>
    <row r="554" spans="1:9">
      <c r="A554" s="169"/>
      <c r="B554" s="167"/>
      <c r="C554" s="173"/>
      <c r="D554" s="170"/>
      <c r="E554" s="170"/>
      <c r="F554" s="169"/>
      <c r="G554" s="171"/>
      <c r="H554" s="172"/>
      <c r="I554" s="172"/>
    </row>
    <row r="555" spans="1:9">
      <c r="A555" s="169"/>
      <c r="B555" s="167"/>
      <c r="C555" s="173"/>
      <c r="D555" s="170"/>
      <c r="E555" s="170"/>
      <c r="F555" s="169"/>
      <c r="G555" s="171"/>
      <c r="H555" s="172"/>
      <c r="I555" s="172"/>
    </row>
    <row r="556" spans="1:9">
      <c r="A556" s="169"/>
      <c r="B556" s="167"/>
      <c r="C556" s="173"/>
      <c r="D556" s="170"/>
      <c r="E556" s="170"/>
      <c r="F556" s="169"/>
      <c r="G556" s="171"/>
      <c r="H556" s="172"/>
      <c r="I556" s="172"/>
    </row>
    <row r="557" spans="1:9">
      <c r="A557" s="169"/>
      <c r="B557" s="167"/>
      <c r="C557" s="173"/>
      <c r="D557" s="170"/>
      <c r="E557" s="170"/>
      <c r="F557" s="169"/>
      <c r="G557" s="171"/>
      <c r="H557" s="172"/>
      <c r="I557" s="172"/>
    </row>
    <row r="558" spans="1:9">
      <c r="A558" s="169"/>
      <c r="B558" s="167"/>
      <c r="C558" s="173"/>
      <c r="D558" s="170"/>
      <c r="E558" s="170"/>
      <c r="F558" s="169"/>
      <c r="G558" s="171"/>
      <c r="H558" s="172"/>
      <c r="I558" s="172"/>
    </row>
    <row r="559" spans="1:9">
      <c r="A559" s="169"/>
      <c r="B559" s="167"/>
      <c r="C559" s="173"/>
      <c r="D559" s="170"/>
      <c r="E559" s="170"/>
      <c r="F559" s="169"/>
      <c r="G559" s="171"/>
      <c r="H559" s="172"/>
      <c r="I559" s="172"/>
    </row>
    <row r="560" spans="1:9">
      <c r="A560" s="169"/>
      <c r="B560" s="167"/>
      <c r="C560" s="173"/>
      <c r="D560" s="170"/>
      <c r="E560" s="170"/>
      <c r="F560" s="169"/>
      <c r="G560" s="171"/>
      <c r="H560" s="172"/>
      <c r="I560" s="172"/>
    </row>
    <row r="561" spans="1:9">
      <c r="A561" s="169"/>
      <c r="B561" s="167"/>
      <c r="C561" s="173"/>
      <c r="D561" s="170"/>
      <c r="E561" s="170"/>
      <c r="F561" s="169"/>
      <c r="G561" s="171"/>
      <c r="H561" s="172"/>
      <c r="I561" s="172"/>
    </row>
    <row r="562" spans="1:9">
      <c r="A562" s="169"/>
      <c r="B562" s="167"/>
      <c r="C562" s="173"/>
      <c r="D562" s="170"/>
      <c r="E562" s="170"/>
      <c r="F562" s="169"/>
      <c r="G562" s="171"/>
      <c r="H562" s="172"/>
      <c r="I562" s="172"/>
    </row>
    <row r="563" spans="1:9">
      <c r="A563" s="169"/>
      <c r="B563" s="167"/>
      <c r="C563" s="173"/>
      <c r="D563" s="170"/>
      <c r="E563" s="170"/>
      <c r="F563" s="169"/>
      <c r="G563" s="171"/>
      <c r="H563" s="172"/>
      <c r="I563" s="172"/>
    </row>
    <row r="564" spans="1:9">
      <c r="A564" s="169"/>
      <c r="B564" s="167"/>
      <c r="C564" s="173"/>
      <c r="D564" s="170"/>
      <c r="E564" s="170"/>
      <c r="F564" s="169"/>
      <c r="G564" s="171"/>
      <c r="H564" s="172"/>
      <c r="I564" s="172"/>
    </row>
    <row r="565" spans="1:9">
      <c r="A565" s="169"/>
      <c r="B565" s="167"/>
      <c r="C565" s="173"/>
      <c r="D565" s="170"/>
      <c r="E565" s="170"/>
      <c r="F565" s="169"/>
      <c r="G565" s="171"/>
      <c r="H565" s="172"/>
      <c r="I565" s="172"/>
    </row>
    <row r="566" spans="1:9">
      <c r="A566" s="169"/>
      <c r="B566" s="167"/>
      <c r="C566" s="173"/>
      <c r="D566" s="170"/>
      <c r="E566" s="170"/>
      <c r="F566" s="169"/>
      <c r="G566" s="171"/>
      <c r="H566" s="172"/>
      <c r="I566" s="172"/>
    </row>
    <row r="567" spans="1:9">
      <c r="A567" s="169"/>
      <c r="B567" s="167"/>
      <c r="C567" s="173"/>
      <c r="D567" s="170"/>
      <c r="E567" s="170"/>
      <c r="F567" s="169"/>
      <c r="G567" s="171"/>
      <c r="H567" s="172"/>
      <c r="I567" s="172"/>
    </row>
    <row r="568" spans="1:9">
      <c r="A568" s="169"/>
      <c r="B568" s="167"/>
      <c r="C568" s="173"/>
      <c r="D568" s="170"/>
      <c r="E568" s="170"/>
      <c r="F568" s="169"/>
      <c r="G568" s="171"/>
      <c r="H568" s="172"/>
      <c r="I568" s="172"/>
    </row>
    <row r="569" spans="1:9">
      <c r="A569" s="169"/>
      <c r="B569" s="167"/>
      <c r="C569" s="173"/>
      <c r="D569" s="170"/>
      <c r="E569" s="170"/>
      <c r="F569" s="169"/>
      <c r="G569" s="171"/>
      <c r="H569" s="172"/>
      <c r="I569" s="172"/>
    </row>
    <row r="570" spans="1:9">
      <c r="A570" s="169"/>
      <c r="B570" s="167"/>
      <c r="C570" s="173"/>
      <c r="D570" s="170"/>
      <c r="E570" s="170"/>
      <c r="F570" s="169"/>
      <c r="G570" s="171"/>
      <c r="H570" s="172"/>
      <c r="I570" s="172"/>
    </row>
    <row r="571" spans="1:9">
      <c r="A571" s="169"/>
      <c r="B571" s="167"/>
      <c r="C571" s="173"/>
      <c r="D571" s="170"/>
      <c r="E571" s="170"/>
      <c r="F571" s="169"/>
      <c r="G571" s="171"/>
      <c r="H571" s="172"/>
      <c r="I571" s="172"/>
    </row>
    <row r="572" spans="1:9">
      <c r="A572" s="169"/>
      <c r="B572" s="167"/>
      <c r="C572" s="173"/>
      <c r="D572" s="170"/>
      <c r="E572" s="170"/>
      <c r="F572" s="169"/>
      <c r="G572" s="171"/>
      <c r="H572" s="172"/>
      <c r="I572" s="172"/>
    </row>
    <row r="573" spans="1:9">
      <c r="A573" s="169"/>
      <c r="B573" s="167"/>
      <c r="C573" s="173"/>
      <c r="D573" s="170"/>
      <c r="E573" s="170"/>
      <c r="F573" s="169"/>
      <c r="G573" s="171"/>
      <c r="H573" s="172"/>
      <c r="I573" s="172"/>
    </row>
    <row r="574" spans="1:9">
      <c r="A574" s="169"/>
      <c r="B574" s="167"/>
      <c r="C574" s="173"/>
      <c r="D574" s="170"/>
      <c r="E574" s="170"/>
      <c r="F574" s="169"/>
      <c r="G574" s="171"/>
      <c r="H574" s="172"/>
      <c r="I574" s="172"/>
    </row>
    <row r="575" spans="1:9">
      <c r="A575" s="169"/>
      <c r="B575" s="167"/>
      <c r="C575" s="173"/>
      <c r="D575" s="170"/>
      <c r="E575" s="170"/>
      <c r="F575" s="169"/>
      <c r="G575" s="171"/>
      <c r="H575" s="172"/>
      <c r="I575" s="172"/>
    </row>
    <row r="576" spans="1:9">
      <c r="A576" s="169"/>
      <c r="B576" s="167"/>
      <c r="C576" s="173"/>
      <c r="D576" s="170"/>
      <c r="E576" s="170"/>
      <c r="F576" s="169"/>
      <c r="G576" s="171"/>
      <c r="H576" s="172"/>
      <c r="I576" s="172"/>
    </row>
    <row r="577" spans="1:9">
      <c r="A577" s="169"/>
      <c r="B577" s="167"/>
      <c r="C577" s="173"/>
      <c r="D577" s="170"/>
      <c r="E577" s="170"/>
      <c r="F577" s="169"/>
      <c r="G577" s="171"/>
      <c r="H577" s="172"/>
      <c r="I577" s="172"/>
    </row>
    <row r="578" spans="1:9">
      <c r="A578" s="169"/>
      <c r="B578" s="167"/>
      <c r="C578" s="173"/>
      <c r="D578" s="170"/>
      <c r="E578" s="170"/>
      <c r="F578" s="169"/>
      <c r="G578" s="171"/>
      <c r="H578" s="172"/>
      <c r="I578" s="172"/>
    </row>
    <row r="579" spans="1:9">
      <c r="A579" s="169"/>
      <c r="B579" s="167"/>
      <c r="C579" s="173"/>
      <c r="D579" s="170"/>
      <c r="E579" s="170"/>
      <c r="F579" s="169"/>
      <c r="G579" s="171"/>
      <c r="H579" s="172"/>
      <c r="I579" s="172"/>
    </row>
    <row r="580" spans="1:9">
      <c r="A580" s="169"/>
      <c r="B580" s="167"/>
      <c r="C580" s="173"/>
      <c r="D580" s="170"/>
      <c r="E580" s="170"/>
      <c r="F580" s="169"/>
      <c r="G580" s="171"/>
      <c r="H580" s="172"/>
      <c r="I580" s="172"/>
    </row>
    <row r="581" spans="1:9">
      <c r="A581" s="169"/>
      <c r="B581" s="167"/>
      <c r="C581" s="173"/>
      <c r="D581" s="170"/>
      <c r="E581" s="170"/>
      <c r="F581" s="169"/>
      <c r="G581" s="171"/>
      <c r="H581" s="172"/>
      <c r="I581" s="172"/>
    </row>
    <row r="582" spans="1:9">
      <c r="A582" s="169"/>
      <c r="B582" s="167"/>
      <c r="C582" s="173"/>
      <c r="D582" s="170"/>
      <c r="E582" s="170"/>
      <c r="F582" s="169"/>
      <c r="G582" s="171"/>
      <c r="H582" s="172"/>
      <c r="I582" s="172"/>
    </row>
    <row r="583" spans="1:9">
      <c r="A583" s="169"/>
      <c r="B583" s="167"/>
      <c r="C583" s="173"/>
      <c r="D583" s="170"/>
      <c r="E583" s="170"/>
      <c r="F583" s="169"/>
      <c r="G583" s="171"/>
      <c r="H583" s="172"/>
      <c r="I583" s="172"/>
    </row>
    <row r="584" spans="1:9">
      <c r="A584" s="169"/>
      <c r="B584" s="167"/>
      <c r="C584" s="173"/>
      <c r="D584" s="170"/>
      <c r="E584" s="170"/>
      <c r="F584" s="169"/>
      <c r="G584" s="171"/>
      <c r="H584" s="172"/>
      <c r="I584" s="172"/>
    </row>
    <row r="585" spans="1:9">
      <c r="A585" s="169"/>
      <c r="B585" s="167"/>
      <c r="C585" s="173"/>
      <c r="D585" s="170"/>
      <c r="E585" s="170"/>
      <c r="F585" s="169"/>
      <c r="G585" s="171"/>
      <c r="H585" s="172"/>
      <c r="I585" s="172"/>
    </row>
    <row r="586" spans="1:9">
      <c r="A586" s="169"/>
      <c r="B586" s="167"/>
      <c r="C586" s="173"/>
      <c r="D586" s="170"/>
      <c r="E586" s="170"/>
      <c r="F586" s="169"/>
      <c r="G586" s="171"/>
      <c r="H586" s="172"/>
      <c r="I586" s="172"/>
    </row>
    <row r="587" spans="1:9">
      <c r="A587" s="169"/>
      <c r="B587" s="167"/>
      <c r="C587" s="173"/>
      <c r="D587" s="170"/>
      <c r="E587" s="170"/>
      <c r="F587" s="169"/>
      <c r="G587" s="171"/>
      <c r="H587" s="172"/>
      <c r="I587" s="172"/>
    </row>
    <row r="588" spans="1:9">
      <c r="A588" s="169"/>
      <c r="B588" s="167"/>
      <c r="C588" s="173"/>
      <c r="D588" s="170"/>
      <c r="E588" s="170"/>
      <c r="F588" s="169"/>
      <c r="G588" s="171"/>
      <c r="H588" s="172"/>
      <c r="I588" s="172"/>
    </row>
    <row r="589" spans="1:9">
      <c r="A589" s="169"/>
      <c r="B589" s="167"/>
      <c r="C589" s="173"/>
      <c r="D589" s="170"/>
      <c r="E589" s="170"/>
      <c r="F589" s="169"/>
      <c r="G589" s="171"/>
      <c r="H589" s="172"/>
      <c r="I589" s="172"/>
    </row>
    <row r="590" spans="1:9">
      <c r="A590" s="169"/>
      <c r="B590" s="167"/>
      <c r="C590" s="173"/>
      <c r="D590" s="170"/>
      <c r="E590" s="170"/>
      <c r="F590" s="169"/>
      <c r="G590" s="171"/>
      <c r="H590" s="172"/>
      <c r="I590" s="172"/>
    </row>
    <row r="591" spans="1:9">
      <c r="A591" s="169"/>
      <c r="B591" s="167"/>
      <c r="C591" s="173"/>
      <c r="D591" s="170"/>
      <c r="E591" s="170"/>
      <c r="F591" s="169"/>
      <c r="G591" s="171"/>
      <c r="H591" s="172"/>
      <c r="I591" s="172"/>
    </row>
    <row r="592" spans="1:9">
      <c r="A592" s="169"/>
      <c r="B592" s="167"/>
      <c r="C592" s="173"/>
      <c r="D592" s="170"/>
      <c r="E592" s="170"/>
      <c r="F592" s="169"/>
      <c r="G592" s="171"/>
      <c r="H592" s="172"/>
      <c r="I592" s="172"/>
    </row>
    <row r="593" spans="1:9">
      <c r="A593" s="169"/>
      <c r="B593" s="167"/>
      <c r="C593" s="173"/>
      <c r="D593" s="170"/>
      <c r="E593" s="170"/>
      <c r="F593" s="169"/>
      <c r="G593" s="171"/>
      <c r="H593" s="172"/>
      <c r="I593" s="172"/>
    </row>
    <row r="594" spans="1:9">
      <c r="A594" s="169"/>
      <c r="B594" s="167"/>
      <c r="C594" s="173"/>
      <c r="D594" s="170"/>
      <c r="E594" s="170"/>
      <c r="F594" s="169"/>
      <c r="G594" s="171"/>
      <c r="H594" s="172"/>
      <c r="I594" s="172"/>
    </row>
    <row r="595" spans="1:9">
      <c r="A595" s="169"/>
      <c r="B595" s="167"/>
      <c r="C595" s="173"/>
      <c r="D595" s="170"/>
      <c r="E595" s="170"/>
      <c r="F595" s="169"/>
      <c r="G595" s="171"/>
      <c r="H595" s="172"/>
      <c r="I595" s="172"/>
    </row>
    <row r="596" spans="1:9">
      <c r="A596" s="169"/>
      <c r="B596" s="167"/>
      <c r="C596" s="173"/>
      <c r="D596" s="170"/>
      <c r="E596" s="170"/>
      <c r="F596" s="169"/>
      <c r="G596" s="171"/>
      <c r="H596" s="172"/>
      <c r="I596" s="172"/>
    </row>
    <row r="597" spans="1:9">
      <c r="A597" s="169"/>
      <c r="B597" s="167"/>
      <c r="C597" s="173"/>
      <c r="D597" s="170"/>
      <c r="E597" s="170"/>
      <c r="F597" s="169"/>
      <c r="G597" s="171"/>
      <c r="H597" s="172"/>
      <c r="I597" s="172"/>
    </row>
    <row r="598" spans="1:9">
      <c r="A598" s="169"/>
      <c r="B598" s="167"/>
      <c r="C598" s="173"/>
      <c r="D598" s="170"/>
      <c r="E598" s="170"/>
      <c r="F598" s="169"/>
      <c r="G598" s="171"/>
      <c r="H598" s="172"/>
      <c r="I598" s="172"/>
    </row>
    <row r="599" spans="1:9">
      <c r="A599" s="169"/>
      <c r="B599" s="167"/>
      <c r="C599" s="173"/>
      <c r="D599" s="170"/>
      <c r="E599" s="170"/>
      <c r="F599" s="169"/>
      <c r="G599" s="171"/>
      <c r="H599" s="172"/>
      <c r="I599" s="172"/>
    </row>
    <row r="600" spans="1:9">
      <c r="A600" s="169"/>
      <c r="B600" s="167"/>
      <c r="C600" s="173"/>
      <c r="D600" s="170"/>
      <c r="E600" s="170"/>
      <c r="F600" s="169"/>
      <c r="G600" s="171"/>
      <c r="H600" s="172"/>
      <c r="I600" s="172"/>
    </row>
    <row r="601" spans="1:9">
      <c r="A601" s="169"/>
      <c r="B601" s="167"/>
      <c r="C601" s="173"/>
      <c r="D601" s="170"/>
      <c r="E601" s="170"/>
      <c r="F601" s="169"/>
      <c r="G601" s="171"/>
      <c r="H601" s="172"/>
      <c r="I601" s="172"/>
    </row>
    <row r="602" spans="1:9">
      <c r="A602" s="169"/>
      <c r="B602" s="167"/>
      <c r="C602" s="173"/>
      <c r="D602" s="170"/>
      <c r="E602" s="170"/>
      <c r="F602" s="169"/>
      <c r="G602" s="171"/>
      <c r="H602" s="172"/>
      <c r="I602" s="172"/>
    </row>
    <row r="603" spans="1:9">
      <c r="A603" s="169"/>
      <c r="B603" s="167"/>
      <c r="C603" s="173"/>
      <c r="D603" s="170"/>
      <c r="E603" s="170"/>
      <c r="F603" s="169"/>
      <c r="G603" s="171"/>
      <c r="H603" s="172"/>
      <c r="I603" s="172"/>
    </row>
    <row r="604" spans="1:9">
      <c r="A604" s="169"/>
      <c r="B604" s="167"/>
      <c r="C604" s="173"/>
      <c r="D604" s="170"/>
      <c r="E604" s="170"/>
      <c r="F604" s="169"/>
      <c r="G604" s="171"/>
      <c r="H604" s="172"/>
      <c r="I604" s="172"/>
    </row>
    <row r="605" spans="1:9">
      <c r="A605" s="169"/>
      <c r="B605" s="167"/>
      <c r="C605" s="173"/>
      <c r="D605" s="170"/>
      <c r="E605" s="170"/>
      <c r="F605" s="169"/>
      <c r="G605" s="171"/>
      <c r="H605" s="172"/>
      <c r="I605" s="172"/>
    </row>
    <row r="606" spans="1:9">
      <c r="A606" s="169"/>
      <c r="B606" s="167"/>
      <c r="C606" s="173"/>
      <c r="D606" s="170"/>
      <c r="E606" s="170"/>
      <c r="F606" s="169"/>
      <c r="G606" s="171"/>
      <c r="H606" s="172"/>
      <c r="I606" s="172"/>
    </row>
    <row r="607" spans="1:9">
      <c r="A607" s="169"/>
      <c r="B607" s="167"/>
      <c r="C607" s="173"/>
      <c r="D607" s="170"/>
      <c r="E607" s="170"/>
      <c r="F607" s="169"/>
      <c r="G607" s="171"/>
      <c r="H607" s="172"/>
      <c r="I607" s="172"/>
    </row>
    <row r="608" spans="1:9">
      <c r="A608" s="169"/>
      <c r="B608" s="167"/>
      <c r="C608" s="173"/>
      <c r="D608" s="170"/>
      <c r="E608" s="170"/>
      <c r="F608" s="169"/>
      <c r="G608" s="171"/>
      <c r="H608" s="172"/>
      <c r="I608" s="172"/>
    </row>
    <row r="609" spans="1:9">
      <c r="A609" s="169"/>
      <c r="B609" s="167"/>
      <c r="C609" s="173"/>
      <c r="D609" s="170"/>
      <c r="E609" s="170"/>
      <c r="F609" s="169"/>
      <c r="G609" s="171"/>
      <c r="H609" s="172"/>
      <c r="I609" s="172"/>
    </row>
    <row r="610" spans="1:9">
      <c r="A610" s="169"/>
      <c r="B610" s="167"/>
      <c r="C610" s="173"/>
      <c r="D610" s="170"/>
      <c r="E610" s="170"/>
      <c r="F610" s="169"/>
      <c r="G610" s="171"/>
      <c r="H610" s="172"/>
      <c r="I610" s="172"/>
    </row>
    <row r="611" spans="1:9">
      <c r="A611" s="169"/>
      <c r="B611" s="167"/>
      <c r="C611" s="173"/>
      <c r="D611" s="170"/>
      <c r="E611" s="170"/>
      <c r="F611" s="169"/>
      <c r="G611" s="171"/>
      <c r="H611" s="172"/>
      <c r="I611" s="172"/>
    </row>
    <row r="612" spans="1:9">
      <c r="A612" s="169"/>
      <c r="B612" s="167"/>
      <c r="C612" s="173"/>
      <c r="D612" s="170"/>
      <c r="E612" s="170"/>
      <c r="F612" s="169"/>
      <c r="G612" s="171"/>
      <c r="H612" s="172"/>
      <c r="I612" s="172"/>
    </row>
    <row r="613" spans="1:9">
      <c r="A613" s="169"/>
      <c r="B613" s="167"/>
      <c r="C613" s="173"/>
      <c r="D613" s="170"/>
      <c r="E613" s="170"/>
      <c r="F613" s="169"/>
      <c r="G613" s="171"/>
      <c r="H613" s="172"/>
      <c r="I613" s="172"/>
    </row>
    <row r="614" spans="1:9">
      <c r="A614" s="169"/>
      <c r="B614" s="167"/>
      <c r="C614" s="173"/>
      <c r="D614" s="170"/>
      <c r="E614" s="170"/>
      <c r="F614" s="169"/>
      <c r="G614" s="171"/>
      <c r="H614" s="172"/>
      <c r="I614" s="172"/>
    </row>
    <row r="615" spans="1:9">
      <c r="A615" s="169"/>
      <c r="B615" s="167"/>
      <c r="C615" s="173"/>
      <c r="D615" s="170"/>
      <c r="E615" s="170"/>
      <c r="F615" s="169"/>
      <c r="G615" s="171"/>
      <c r="H615" s="172"/>
      <c r="I615" s="172"/>
    </row>
    <row r="616" spans="1:9">
      <c r="A616" s="169"/>
      <c r="B616" s="167"/>
      <c r="C616" s="173"/>
      <c r="D616" s="170"/>
      <c r="E616" s="170"/>
      <c r="F616" s="169"/>
      <c r="G616" s="171"/>
      <c r="H616" s="172"/>
      <c r="I616" s="172"/>
    </row>
    <row r="617" spans="1:9">
      <c r="A617" s="169"/>
      <c r="B617" s="167"/>
      <c r="C617" s="173"/>
      <c r="D617" s="170"/>
      <c r="E617" s="170"/>
      <c r="F617" s="169"/>
      <c r="G617" s="171"/>
      <c r="H617" s="172"/>
      <c r="I617" s="172"/>
    </row>
    <row r="618" spans="1:9">
      <c r="A618" s="169"/>
      <c r="B618" s="167"/>
      <c r="C618" s="173"/>
      <c r="D618" s="170"/>
      <c r="E618" s="170"/>
      <c r="F618" s="169"/>
      <c r="G618" s="171"/>
      <c r="H618" s="172"/>
      <c r="I618" s="172"/>
    </row>
    <row r="619" spans="1:9">
      <c r="A619" s="169"/>
      <c r="B619" s="167"/>
      <c r="C619" s="173"/>
      <c r="D619" s="170"/>
      <c r="E619" s="170"/>
      <c r="F619" s="169"/>
      <c r="G619" s="171"/>
      <c r="H619" s="172"/>
      <c r="I619" s="172"/>
    </row>
    <row r="620" spans="1:9">
      <c r="A620" s="169"/>
      <c r="B620" s="167"/>
      <c r="C620" s="173"/>
      <c r="D620" s="170"/>
      <c r="E620" s="170"/>
      <c r="F620" s="169"/>
      <c r="G620" s="171"/>
      <c r="H620" s="172"/>
      <c r="I620" s="172"/>
    </row>
    <row r="621" spans="1:9">
      <c r="A621" s="169"/>
      <c r="B621" s="167"/>
      <c r="C621" s="173"/>
      <c r="D621" s="170"/>
      <c r="E621" s="170"/>
      <c r="F621" s="169"/>
      <c r="G621" s="171"/>
      <c r="H621" s="172"/>
      <c r="I621" s="172"/>
    </row>
    <row r="622" spans="1:9">
      <c r="A622" s="169"/>
      <c r="B622" s="167"/>
      <c r="C622" s="173"/>
      <c r="D622" s="170"/>
      <c r="E622" s="170"/>
      <c r="F622" s="169"/>
      <c r="G622" s="171"/>
      <c r="H622" s="172"/>
      <c r="I622" s="172"/>
    </row>
    <row r="623" spans="1:9">
      <c r="A623" s="169"/>
      <c r="B623" s="167"/>
      <c r="C623" s="173"/>
      <c r="D623" s="170"/>
      <c r="E623" s="170"/>
      <c r="F623" s="169"/>
      <c r="G623" s="171"/>
      <c r="H623" s="172"/>
      <c r="I623" s="172"/>
    </row>
    <row r="624" spans="1:9">
      <c r="A624" s="169"/>
      <c r="B624" s="167"/>
      <c r="C624" s="173"/>
      <c r="D624" s="170"/>
      <c r="E624" s="170"/>
      <c r="F624" s="169"/>
      <c r="G624" s="171"/>
      <c r="H624" s="172"/>
      <c r="I624" s="172"/>
    </row>
    <row r="625" spans="1:9">
      <c r="A625" s="169"/>
      <c r="B625" s="167"/>
      <c r="C625" s="173"/>
      <c r="D625" s="170"/>
      <c r="E625" s="170"/>
      <c r="F625" s="169"/>
      <c r="G625" s="171"/>
      <c r="H625" s="172"/>
      <c r="I625" s="172"/>
    </row>
    <row r="626" spans="1:9">
      <c r="A626" s="169"/>
      <c r="B626" s="167"/>
      <c r="C626" s="173"/>
      <c r="D626" s="170"/>
      <c r="E626" s="170"/>
      <c r="F626" s="169"/>
      <c r="G626" s="171"/>
      <c r="H626" s="172"/>
      <c r="I626" s="172"/>
    </row>
    <row r="627" spans="1:9">
      <c r="A627" s="169"/>
      <c r="B627" s="167"/>
      <c r="C627" s="173"/>
      <c r="D627" s="170"/>
      <c r="E627" s="170"/>
      <c r="F627" s="169"/>
      <c r="G627" s="171"/>
      <c r="H627" s="172"/>
      <c r="I627" s="172"/>
    </row>
    <row r="628" spans="1:9">
      <c r="A628" s="169"/>
      <c r="B628" s="167"/>
      <c r="C628" s="173"/>
      <c r="D628" s="170"/>
      <c r="E628" s="170"/>
      <c r="F628" s="169"/>
      <c r="G628" s="171"/>
      <c r="H628" s="172"/>
      <c r="I628" s="172"/>
    </row>
    <row r="629" spans="1:9">
      <c r="A629" s="169"/>
      <c r="B629" s="167"/>
      <c r="C629" s="173"/>
      <c r="D629" s="170"/>
      <c r="E629" s="170"/>
      <c r="F629" s="169"/>
      <c r="G629" s="171"/>
      <c r="H629" s="172"/>
      <c r="I629" s="172"/>
    </row>
    <row r="630" spans="1:9">
      <c r="A630" s="169"/>
      <c r="B630" s="167"/>
      <c r="C630" s="173"/>
      <c r="D630" s="170"/>
      <c r="E630" s="170"/>
      <c r="F630" s="169"/>
      <c r="G630" s="171"/>
      <c r="H630" s="172"/>
      <c r="I630" s="172"/>
    </row>
    <row r="631" spans="1:9">
      <c r="A631" s="169"/>
      <c r="B631" s="167"/>
      <c r="C631" s="173"/>
      <c r="D631" s="170"/>
      <c r="E631" s="170"/>
      <c r="F631" s="169"/>
      <c r="G631" s="171"/>
      <c r="H631" s="172"/>
      <c r="I631" s="172"/>
    </row>
    <row r="632" spans="1:9">
      <c r="A632" s="169"/>
      <c r="B632" s="167"/>
      <c r="C632" s="173"/>
      <c r="D632" s="170"/>
      <c r="E632" s="170"/>
      <c r="F632" s="169"/>
      <c r="G632" s="171"/>
      <c r="H632" s="172"/>
      <c r="I632" s="172"/>
    </row>
    <row r="633" spans="1:9">
      <c r="A633" s="169"/>
      <c r="B633" s="167"/>
      <c r="C633" s="173"/>
      <c r="D633" s="170"/>
      <c r="E633" s="170"/>
      <c r="F633" s="169"/>
      <c r="G633" s="171"/>
      <c r="H633" s="172"/>
      <c r="I633" s="172"/>
    </row>
    <row r="634" spans="1:9">
      <c r="A634" s="169"/>
      <c r="B634" s="167"/>
      <c r="C634" s="173"/>
      <c r="D634" s="170"/>
      <c r="E634" s="170"/>
      <c r="F634" s="169"/>
      <c r="G634" s="171"/>
      <c r="H634" s="172"/>
      <c r="I634" s="172"/>
    </row>
    <row r="635" spans="1:9">
      <c r="A635" s="169"/>
      <c r="B635" s="167"/>
      <c r="C635" s="173"/>
      <c r="D635" s="170"/>
      <c r="E635" s="170"/>
      <c r="F635" s="169"/>
      <c r="G635" s="171"/>
      <c r="H635" s="172"/>
      <c r="I635" s="172"/>
    </row>
    <row r="636" spans="1:9">
      <c r="A636" s="169"/>
      <c r="B636" s="167"/>
      <c r="C636" s="173"/>
      <c r="D636" s="170"/>
      <c r="E636" s="170"/>
      <c r="F636" s="169"/>
      <c r="G636" s="171"/>
      <c r="H636" s="172"/>
      <c r="I636" s="172"/>
    </row>
    <row r="637" spans="1:9">
      <c r="A637" s="169"/>
      <c r="B637" s="167"/>
      <c r="C637" s="173"/>
      <c r="D637" s="170"/>
      <c r="E637" s="170"/>
      <c r="F637" s="169"/>
      <c r="G637" s="171"/>
      <c r="H637" s="172"/>
      <c r="I637" s="172"/>
    </row>
    <row r="638" spans="1:9">
      <c r="A638" s="169"/>
      <c r="B638" s="167"/>
      <c r="C638" s="173"/>
      <c r="D638" s="170"/>
      <c r="E638" s="170"/>
      <c r="F638" s="169"/>
      <c r="G638" s="171"/>
      <c r="H638" s="172"/>
      <c r="I638" s="172"/>
    </row>
    <row r="639" spans="1:9">
      <c r="A639" s="169"/>
      <c r="B639" s="167"/>
      <c r="C639" s="173"/>
      <c r="D639" s="170"/>
      <c r="E639" s="170"/>
      <c r="F639" s="169"/>
      <c r="G639" s="171"/>
      <c r="H639" s="172"/>
      <c r="I639" s="172"/>
    </row>
    <row r="640" spans="1:9">
      <c r="A640" s="169"/>
      <c r="B640" s="167"/>
      <c r="C640" s="173"/>
      <c r="D640" s="170"/>
      <c r="E640" s="170"/>
      <c r="F640" s="169"/>
      <c r="G640" s="171"/>
      <c r="H640" s="172"/>
      <c r="I640" s="172"/>
    </row>
    <row r="641" spans="1:9">
      <c r="A641" s="169"/>
      <c r="B641" s="167"/>
      <c r="C641" s="173"/>
      <c r="D641" s="170"/>
      <c r="E641" s="170"/>
      <c r="F641" s="169"/>
      <c r="G641" s="171"/>
      <c r="H641" s="172"/>
      <c r="I641" s="172"/>
    </row>
    <row r="642" spans="1:9">
      <c r="A642" s="169"/>
      <c r="B642" s="167"/>
      <c r="C642" s="173"/>
      <c r="D642" s="170"/>
      <c r="E642" s="170"/>
      <c r="F642" s="169"/>
      <c r="G642" s="171"/>
      <c r="H642" s="172"/>
      <c r="I642" s="172"/>
    </row>
    <row r="643" spans="1:9">
      <c r="A643" s="169"/>
      <c r="B643" s="167"/>
      <c r="C643" s="173"/>
      <c r="D643" s="170"/>
      <c r="E643" s="170"/>
      <c r="F643" s="169"/>
      <c r="G643" s="171"/>
      <c r="H643" s="172"/>
      <c r="I643" s="172"/>
    </row>
    <row r="644" spans="1:9">
      <c r="A644" s="169"/>
      <c r="B644" s="167"/>
      <c r="C644" s="173"/>
      <c r="D644" s="170"/>
      <c r="E644" s="170"/>
      <c r="F644" s="169"/>
      <c r="G644" s="171"/>
      <c r="H644" s="172"/>
      <c r="I644" s="172"/>
    </row>
    <row r="645" spans="1:9">
      <c r="A645" s="169"/>
      <c r="B645" s="167"/>
      <c r="C645" s="173"/>
      <c r="D645" s="170"/>
      <c r="E645" s="170"/>
      <c r="F645" s="169"/>
      <c r="G645" s="171"/>
      <c r="H645" s="172"/>
      <c r="I645" s="172"/>
    </row>
    <row r="646" spans="1:9">
      <c r="A646" s="169"/>
      <c r="B646" s="167"/>
      <c r="C646" s="173"/>
      <c r="D646" s="170"/>
      <c r="E646" s="170"/>
      <c r="F646" s="169"/>
      <c r="G646" s="171"/>
      <c r="H646" s="172"/>
      <c r="I646" s="172"/>
    </row>
    <row r="647" spans="1:9">
      <c r="A647" s="169"/>
      <c r="B647" s="167"/>
      <c r="C647" s="173"/>
      <c r="D647" s="170"/>
      <c r="E647" s="170"/>
      <c r="F647" s="169"/>
      <c r="G647" s="171"/>
      <c r="H647" s="172"/>
      <c r="I647" s="172"/>
    </row>
    <row r="648" spans="1:9">
      <c r="A648" s="169"/>
      <c r="B648" s="167"/>
      <c r="C648" s="173"/>
      <c r="D648" s="170"/>
      <c r="E648" s="170"/>
      <c r="F648" s="169"/>
      <c r="G648" s="171"/>
      <c r="H648" s="172"/>
      <c r="I648" s="172"/>
    </row>
    <row r="649" spans="1:9">
      <c r="A649" s="169"/>
      <c r="B649" s="167"/>
      <c r="C649" s="173"/>
      <c r="D649" s="170"/>
      <c r="E649" s="170"/>
      <c r="F649" s="169"/>
      <c r="G649" s="171"/>
      <c r="H649" s="172"/>
      <c r="I649" s="172"/>
    </row>
    <row r="650" spans="1:9">
      <c r="A650" s="169"/>
      <c r="B650" s="167"/>
      <c r="C650" s="173"/>
      <c r="D650" s="170"/>
      <c r="E650" s="170"/>
      <c r="F650" s="169"/>
      <c r="G650" s="171"/>
      <c r="H650" s="172"/>
      <c r="I650" s="172"/>
    </row>
    <row r="651" spans="1:9">
      <c r="A651" s="169"/>
      <c r="B651" s="167"/>
      <c r="C651" s="173"/>
      <c r="D651" s="170"/>
      <c r="E651" s="170"/>
      <c r="F651" s="169"/>
      <c r="G651" s="171"/>
      <c r="H651" s="172"/>
      <c r="I651" s="172"/>
    </row>
    <row r="652" spans="1:9">
      <c r="A652" s="169"/>
      <c r="B652" s="167"/>
      <c r="C652" s="173"/>
      <c r="D652" s="170"/>
      <c r="E652" s="170"/>
      <c r="F652" s="169"/>
      <c r="G652" s="171"/>
      <c r="H652" s="172"/>
      <c r="I652" s="172"/>
    </row>
    <row r="653" spans="1:9">
      <c r="A653" s="169"/>
      <c r="B653" s="167"/>
      <c r="C653" s="173"/>
      <c r="D653" s="170"/>
      <c r="E653" s="170"/>
      <c r="F653" s="169"/>
      <c r="G653" s="171"/>
      <c r="H653" s="172"/>
      <c r="I653" s="172"/>
    </row>
    <row r="654" spans="1:9">
      <c r="A654" s="169"/>
      <c r="B654" s="167"/>
      <c r="C654" s="173"/>
      <c r="D654" s="170"/>
      <c r="E654" s="170"/>
      <c r="F654" s="169"/>
      <c r="G654" s="171"/>
      <c r="H654" s="172"/>
      <c r="I654" s="172"/>
    </row>
    <row r="655" spans="1:9">
      <c r="A655" s="169"/>
      <c r="B655" s="167"/>
      <c r="C655" s="173"/>
      <c r="D655" s="170"/>
      <c r="E655" s="170"/>
      <c r="F655" s="169"/>
      <c r="G655" s="171"/>
      <c r="H655" s="172"/>
      <c r="I655" s="172"/>
    </row>
    <row r="656" spans="1:9">
      <c r="A656" s="169"/>
      <c r="B656" s="167"/>
      <c r="C656" s="173"/>
      <c r="D656" s="170"/>
      <c r="E656" s="170"/>
      <c r="F656" s="169"/>
      <c r="G656" s="171"/>
      <c r="H656" s="172"/>
      <c r="I656" s="172"/>
    </row>
    <row r="657" spans="1:9">
      <c r="A657" s="169"/>
      <c r="B657" s="167"/>
      <c r="C657" s="173"/>
      <c r="D657" s="170"/>
      <c r="E657" s="170"/>
      <c r="F657" s="169"/>
      <c r="G657" s="171"/>
      <c r="H657" s="172"/>
      <c r="I657" s="172"/>
    </row>
    <row r="658" spans="1:9">
      <c r="A658" s="169"/>
      <c r="B658" s="167"/>
      <c r="C658" s="173"/>
      <c r="D658" s="170"/>
      <c r="E658" s="170"/>
      <c r="F658" s="169"/>
      <c r="G658" s="171"/>
      <c r="H658" s="172"/>
      <c r="I658" s="172"/>
    </row>
    <row r="659" spans="1:9">
      <c r="A659" s="169"/>
      <c r="B659" s="167"/>
      <c r="C659" s="173"/>
      <c r="D659" s="170"/>
      <c r="E659" s="170"/>
      <c r="F659" s="169"/>
      <c r="G659" s="171"/>
      <c r="H659" s="172"/>
      <c r="I659" s="172"/>
    </row>
    <row r="660" spans="1:9">
      <c r="A660" s="169"/>
      <c r="B660" s="167"/>
      <c r="C660" s="173"/>
      <c r="D660" s="170"/>
      <c r="E660" s="170"/>
      <c r="F660" s="169"/>
      <c r="G660" s="171"/>
      <c r="H660" s="172"/>
      <c r="I660" s="172"/>
    </row>
    <row r="661" spans="1:9">
      <c r="A661" s="169"/>
      <c r="B661" s="167"/>
      <c r="C661" s="173"/>
      <c r="D661" s="170"/>
      <c r="E661" s="170"/>
      <c r="F661" s="169"/>
      <c r="G661" s="171"/>
      <c r="H661" s="172"/>
      <c r="I661" s="172"/>
    </row>
    <row r="662" spans="1:9">
      <c r="A662" s="169"/>
      <c r="B662" s="167"/>
      <c r="C662" s="173"/>
      <c r="D662" s="170"/>
      <c r="E662" s="170"/>
      <c r="F662" s="169"/>
      <c r="G662" s="171"/>
      <c r="H662" s="172"/>
      <c r="I662" s="172"/>
    </row>
    <row r="663" spans="1:9">
      <c r="A663" s="169"/>
      <c r="B663" s="167"/>
      <c r="C663" s="173"/>
      <c r="D663" s="170"/>
      <c r="E663" s="170"/>
      <c r="F663" s="169"/>
      <c r="G663" s="171"/>
      <c r="H663" s="172"/>
      <c r="I663" s="172"/>
    </row>
    <row r="664" spans="1:9">
      <c r="A664" s="169"/>
      <c r="B664" s="167"/>
      <c r="C664" s="173"/>
      <c r="D664" s="170"/>
      <c r="E664" s="170"/>
      <c r="F664" s="169"/>
      <c r="G664" s="171"/>
      <c r="H664" s="172"/>
      <c r="I664" s="172"/>
    </row>
    <row r="665" spans="1:9">
      <c r="A665" s="169"/>
      <c r="B665" s="167"/>
      <c r="C665" s="173"/>
      <c r="D665" s="170"/>
      <c r="E665" s="170"/>
      <c r="F665" s="169"/>
      <c r="G665" s="171"/>
      <c r="H665" s="172"/>
      <c r="I665" s="172"/>
    </row>
    <row r="666" spans="1:9">
      <c r="A666" s="169"/>
      <c r="B666" s="167"/>
      <c r="C666" s="173"/>
      <c r="D666" s="170"/>
      <c r="E666" s="170"/>
      <c r="F666" s="169"/>
      <c r="G666" s="171"/>
      <c r="H666" s="172"/>
      <c r="I666" s="172"/>
    </row>
    <row r="667" spans="1:9">
      <c r="A667" s="169"/>
      <c r="B667" s="167"/>
      <c r="C667" s="173"/>
      <c r="D667" s="170"/>
      <c r="E667" s="170"/>
      <c r="F667" s="169"/>
      <c r="G667" s="171"/>
      <c r="H667" s="172"/>
      <c r="I667" s="172"/>
    </row>
    <row r="668" spans="1:9">
      <c r="A668" s="169"/>
      <c r="B668" s="167"/>
      <c r="C668" s="173"/>
      <c r="D668" s="170"/>
      <c r="E668" s="170"/>
      <c r="F668" s="169"/>
      <c r="G668" s="171"/>
      <c r="H668" s="172"/>
      <c r="I668" s="172"/>
    </row>
    <row r="669" spans="1:9">
      <c r="A669" s="169"/>
      <c r="B669" s="167"/>
      <c r="C669" s="173"/>
      <c r="D669" s="170"/>
      <c r="E669" s="170"/>
      <c r="F669" s="169"/>
      <c r="G669" s="171"/>
      <c r="H669" s="172"/>
      <c r="I669" s="172"/>
    </row>
    <row r="670" spans="1:9">
      <c r="A670" s="169"/>
      <c r="B670" s="167"/>
      <c r="C670" s="173"/>
      <c r="D670" s="170"/>
      <c r="E670" s="170"/>
      <c r="F670" s="169"/>
      <c r="G670" s="171"/>
      <c r="H670" s="172"/>
      <c r="I670" s="172"/>
    </row>
    <row r="671" spans="1:9">
      <c r="A671" s="169"/>
      <c r="B671" s="167"/>
      <c r="C671" s="173"/>
      <c r="D671" s="170"/>
      <c r="E671" s="170"/>
      <c r="F671" s="169"/>
      <c r="G671" s="171"/>
      <c r="H671" s="172"/>
      <c r="I671" s="172"/>
    </row>
    <row r="672" spans="1:9">
      <c r="A672" s="169"/>
      <c r="B672" s="167"/>
      <c r="C672" s="173"/>
      <c r="D672" s="170"/>
      <c r="E672" s="170"/>
      <c r="F672" s="169"/>
      <c r="G672" s="171"/>
      <c r="H672" s="172"/>
      <c r="I672" s="172"/>
    </row>
    <row r="673" spans="1:9">
      <c r="A673" s="169"/>
      <c r="B673" s="167"/>
      <c r="C673" s="173"/>
      <c r="D673" s="170"/>
      <c r="E673" s="170"/>
      <c r="F673" s="169"/>
      <c r="G673" s="171"/>
      <c r="H673" s="172"/>
      <c r="I673" s="172"/>
    </row>
    <row r="674" spans="1:9">
      <c r="A674" s="169"/>
      <c r="B674" s="167"/>
      <c r="C674" s="173"/>
      <c r="D674" s="170"/>
      <c r="E674" s="170"/>
      <c r="F674" s="169"/>
      <c r="G674" s="171"/>
      <c r="H674" s="172"/>
      <c r="I674" s="172"/>
    </row>
    <row r="675" spans="1:9">
      <c r="A675" s="169"/>
      <c r="B675" s="167"/>
      <c r="C675" s="173"/>
      <c r="D675" s="170"/>
      <c r="E675" s="170"/>
      <c r="F675" s="169"/>
      <c r="G675" s="171"/>
      <c r="H675" s="172"/>
      <c r="I675" s="172"/>
    </row>
    <row r="676" spans="1:9">
      <c r="A676" s="169"/>
      <c r="B676" s="167"/>
      <c r="C676" s="173"/>
      <c r="D676" s="170"/>
      <c r="E676" s="170"/>
      <c r="F676" s="169"/>
      <c r="G676" s="171"/>
      <c r="H676" s="172"/>
      <c r="I676" s="172"/>
    </row>
    <row r="677" spans="1:9">
      <c r="A677" s="169"/>
      <c r="B677" s="167"/>
      <c r="C677" s="173"/>
      <c r="D677" s="170"/>
      <c r="E677" s="170"/>
      <c r="F677" s="169"/>
      <c r="G677" s="171"/>
      <c r="H677" s="172"/>
      <c r="I677" s="172"/>
    </row>
    <row r="678" spans="1:9">
      <c r="A678" s="169"/>
      <c r="B678" s="167"/>
      <c r="C678" s="173"/>
      <c r="D678" s="170"/>
      <c r="E678" s="170"/>
      <c r="F678" s="169"/>
      <c r="G678" s="171"/>
      <c r="H678" s="172"/>
      <c r="I678" s="172"/>
    </row>
    <row r="679" spans="1:9">
      <c r="A679" s="169"/>
      <c r="B679" s="167"/>
      <c r="C679" s="173"/>
      <c r="D679" s="170"/>
      <c r="E679" s="170"/>
      <c r="F679" s="169"/>
      <c r="G679" s="171"/>
      <c r="H679" s="172"/>
      <c r="I679" s="172"/>
    </row>
    <row r="680" spans="1:9">
      <c r="A680" s="169"/>
      <c r="B680" s="167"/>
      <c r="C680" s="173"/>
      <c r="D680" s="170"/>
      <c r="E680" s="170"/>
      <c r="F680" s="169"/>
      <c r="G680" s="171"/>
      <c r="H680" s="172"/>
      <c r="I680" s="172"/>
    </row>
    <row r="681" spans="1:9">
      <c r="A681" s="169"/>
      <c r="B681" s="167"/>
      <c r="C681" s="173"/>
      <c r="D681" s="170"/>
      <c r="E681" s="170"/>
      <c r="F681" s="169"/>
      <c r="G681" s="171"/>
      <c r="H681" s="172"/>
      <c r="I681" s="172"/>
    </row>
    <row r="682" spans="1:9">
      <c r="A682" s="169"/>
      <c r="B682" s="167"/>
      <c r="C682" s="173"/>
      <c r="D682" s="170"/>
      <c r="E682" s="170"/>
      <c r="F682" s="169"/>
      <c r="G682" s="171"/>
      <c r="H682" s="172"/>
      <c r="I682" s="172"/>
    </row>
    <row r="683" spans="1:9">
      <c r="A683" s="169"/>
      <c r="B683" s="167"/>
      <c r="C683" s="173"/>
      <c r="D683" s="170"/>
      <c r="E683" s="170"/>
      <c r="F683" s="169"/>
      <c r="G683" s="171"/>
      <c r="H683" s="172"/>
      <c r="I683" s="172"/>
    </row>
    <row r="684" spans="1:9">
      <c r="A684" s="169"/>
      <c r="B684" s="167"/>
      <c r="C684" s="173"/>
      <c r="D684" s="170"/>
      <c r="E684" s="170"/>
      <c r="F684" s="169"/>
      <c r="G684" s="171"/>
      <c r="H684" s="172"/>
      <c r="I684" s="172"/>
    </row>
    <row r="685" spans="1:9">
      <c r="A685" s="169"/>
      <c r="B685" s="167"/>
      <c r="C685" s="173"/>
      <c r="D685" s="170"/>
      <c r="E685" s="170"/>
      <c r="F685" s="169"/>
      <c r="G685" s="171"/>
      <c r="H685" s="172"/>
      <c r="I685" s="172"/>
    </row>
    <row r="686" spans="1:9">
      <c r="A686" s="169"/>
      <c r="B686" s="167"/>
      <c r="C686" s="173"/>
      <c r="D686" s="170"/>
      <c r="E686" s="170"/>
      <c r="F686" s="169"/>
      <c r="G686" s="171"/>
      <c r="H686" s="172"/>
      <c r="I686" s="172"/>
    </row>
    <row r="687" spans="1:9">
      <c r="A687" s="169"/>
      <c r="B687" s="167"/>
      <c r="C687" s="173"/>
      <c r="D687" s="170"/>
      <c r="E687" s="170"/>
      <c r="F687" s="169"/>
      <c r="G687" s="171"/>
      <c r="H687" s="172"/>
      <c r="I687" s="172"/>
    </row>
    <row r="688" spans="1:9">
      <c r="A688" s="169"/>
      <c r="B688" s="167"/>
      <c r="C688" s="173"/>
      <c r="D688" s="170"/>
      <c r="E688" s="170"/>
      <c r="F688" s="169"/>
      <c r="G688" s="171"/>
      <c r="H688" s="172"/>
      <c r="I688" s="172"/>
    </row>
    <row r="689" spans="1:9">
      <c r="A689" s="169"/>
      <c r="B689" s="167"/>
      <c r="C689" s="173"/>
      <c r="D689" s="170"/>
      <c r="E689" s="170"/>
      <c r="F689" s="169"/>
      <c r="G689" s="171"/>
      <c r="H689" s="172"/>
      <c r="I689" s="172"/>
    </row>
    <row r="690" spans="1:9">
      <c r="A690" s="169"/>
      <c r="B690" s="167"/>
      <c r="C690" s="173"/>
      <c r="D690" s="170"/>
      <c r="E690" s="170"/>
      <c r="F690" s="169"/>
      <c r="G690" s="171"/>
      <c r="H690" s="172"/>
      <c r="I690" s="172"/>
    </row>
    <row r="691" spans="1:9">
      <c r="A691" s="169"/>
      <c r="B691" s="167"/>
      <c r="C691" s="173"/>
      <c r="D691" s="170"/>
      <c r="E691" s="170"/>
      <c r="F691" s="169"/>
      <c r="G691" s="171"/>
      <c r="H691" s="172"/>
      <c r="I691" s="172"/>
    </row>
    <row r="692" spans="1:9">
      <c r="A692" s="169"/>
      <c r="B692" s="167"/>
      <c r="C692" s="173"/>
      <c r="D692" s="170"/>
      <c r="E692" s="170"/>
      <c r="F692" s="169"/>
      <c r="G692" s="171"/>
      <c r="H692" s="172"/>
      <c r="I692" s="172"/>
    </row>
    <row r="693" spans="1:9">
      <c r="A693" s="169"/>
      <c r="B693" s="167"/>
      <c r="C693" s="173"/>
      <c r="D693" s="170"/>
      <c r="E693" s="170"/>
      <c r="F693" s="169"/>
      <c r="G693" s="171"/>
      <c r="H693" s="172"/>
      <c r="I693" s="172"/>
    </row>
    <row r="694" spans="1:9">
      <c r="A694" s="169"/>
      <c r="B694" s="167"/>
      <c r="C694" s="173"/>
      <c r="D694" s="170"/>
      <c r="E694" s="170"/>
      <c r="F694" s="169"/>
      <c r="G694" s="171"/>
      <c r="H694" s="172"/>
      <c r="I694" s="172"/>
    </row>
    <row r="695" spans="1:9">
      <c r="A695" s="169"/>
      <c r="B695" s="167"/>
      <c r="C695" s="173"/>
      <c r="D695" s="170"/>
      <c r="E695" s="170"/>
      <c r="F695" s="169"/>
      <c r="G695" s="171"/>
      <c r="H695" s="172"/>
      <c r="I695" s="172"/>
    </row>
    <row r="696" spans="1:9">
      <c r="A696" s="169"/>
      <c r="B696" s="167"/>
      <c r="C696" s="173"/>
      <c r="D696" s="170"/>
      <c r="E696" s="170"/>
      <c r="F696" s="169"/>
      <c r="G696" s="171"/>
      <c r="H696" s="172"/>
      <c r="I696" s="172"/>
    </row>
    <row r="697" spans="1:9">
      <c r="A697" s="169"/>
      <c r="B697" s="167"/>
      <c r="C697" s="173"/>
      <c r="D697" s="170"/>
      <c r="E697" s="170"/>
      <c r="F697" s="169"/>
      <c r="G697" s="171"/>
      <c r="H697" s="172"/>
      <c r="I697" s="172"/>
    </row>
    <row r="698" spans="1:9">
      <c r="A698" s="169"/>
      <c r="B698" s="167"/>
      <c r="C698" s="173"/>
      <c r="D698" s="170"/>
      <c r="E698" s="170"/>
      <c r="F698" s="169"/>
      <c r="G698" s="171"/>
      <c r="H698" s="172"/>
      <c r="I698" s="172"/>
    </row>
    <row r="699" spans="1:9">
      <c r="A699" s="169"/>
      <c r="B699" s="167"/>
      <c r="C699" s="173"/>
      <c r="D699" s="170"/>
      <c r="E699" s="170"/>
      <c r="F699" s="169"/>
      <c r="G699" s="171"/>
      <c r="H699" s="172"/>
      <c r="I699" s="172"/>
    </row>
    <row r="700" spans="1:9">
      <c r="A700" s="169"/>
      <c r="B700" s="167"/>
      <c r="C700" s="173"/>
      <c r="D700" s="170"/>
      <c r="E700" s="170"/>
      <c r="F700" s="169"/>
      <c r="G700" s="171"/>
      <c r="H700" s="172"/>
      <c r="I700" s="172"/>
    </row>
    <row r="701" spans="1:9">
      <c r="A701" s="169"/>
      <c r="B701" s="167"/>
      <c r="C701" s="173"/>
      <c r="D701" s="170"/>
      <c r="E701" s="170"/>
      <c r="F701" s="169"/>
      <c r="G701" s="171"/>
      <c r="H701" s="172"/>
      <c r="I701" s="172"/>
    </row>
    <row r="702" spans="1:9">
      <c r="A702" s="169"/>
      <c r="B702" s="167"/>
      <c r="C702" s="173"/>
      <c r="D702" s="170"/>
      <c r="E702" s="170"/>
      <c r="F702" s="169"/>
      <c r="G702" s="171"/>
      <c r="H702" s="172"/>
      <c r="I702" s="172"/>
    </row>
    <row r="703" spans="1:9">
      <c r="A703" s="169"/>
      <c r="B703" s="167"/>
      <c r="C703" s="173"/>
      <c r="D703" s="170"/>
      <c r="E703" s="170"/>
      <c r="F703" s="169"/>
      <c r="G703" s="171"/>
      <c r="H703" s="172"/>
      <c r="I703" s="172"/>
    </row>
    <row r="704" spans="1:9">
      <c r="A704" s="169"/>
      <c r="B704" s="167"/>
      <c r="C704" s="173"/>
      <c r="D704" s="170"/>
      <c r="E704" s="170"/>
      <c r="F704" s="169"/>
      <c r="G704" s="171"/>
      <c r="H704" s="172"/>
      <c r="I704" s="172"/>
    </row>
    <row r="705" spans="1:9">
      <c r="A705" s="169"/>
      <c r="B705" s="167"/>
      <c r="C705" s="173"/>
      <c r="D705" s="170"/>
      <c r="E705" s="170"/>
      <c r="F705" s="169"/>
      <c r="G705" s="171"/>
      <c r="H705" s="172"/>
      <c r="I705" s="172"/>
    </row>
    <row r="706" spans="1:9">
      <c r="A706" s="169"/>
      <c r="B706" s="167"/>
      <c r="C706" s="173"/>
      <c r="D706" s="170"/>
      <c r="E706" s="170"/>
      <c r="F706" s="169"/>
      <c r="G706" s="171"/>
      <c r="H706" s="172"/>
      <c r="I706" s="172"/>
    </row>
    <row r="707" spans="1:9">
      <c r="A707" s="169"/>
      <c r="B707" s="167"/>
      <c r="C707" s="173"/>
      <c r="D707" s="170"/>
      <c r="E707" s="170"/>
      <c r="F707" s="169"/>
      <c r="G707" s="171"/>
      <c r="H707" s="172"/>
      <c r="I707" s="172"/>
    </row>
    <row r="708" spans="1:9">
      <c r="A708" s="169"/>
      <c r="B708" s="167"/>
      <c r="C708" s="173"/>
      <c r="D708" s="170"/>
      <c r="E708" s="170"/>
      <c r="F708" s="169"/>
      <c r="G708" s="171"/>
      <c r="H708" s="172"/>
      <c r="I708" s="172"/>
    </row>
    <row r="709" spans="1:9">
      <c r="A709" s="169"/>
      <c r="B709" s="167"/>
      <c r="C709" s="173"/>
      <c r="D709" s="170"/>
      <c r="E709" s="170"/>
      <c r="F709" s="169"/>
      <c r="G709" s="171"/>
      <c r="H709" s="172"/>
      <c r="I709" s="172"/>
    </row>
    <row r="710" spans="1:9">
      <c r="A710" s="169"/>
      <c r="B710" s="167"/>
      <c r="C710" s="173"/>
      <c r="D710" s="170"/>
      <c r="E710" s="170"/>
      <c r="F710" s="169"/>
      <c r="G710" s="171"/>
      <c r="H710" s="172"/>
      <c r="I710" s="172"/>
    </row>
    <row r="711" spans="1:9">
      <c r="A711" s="169"/>
      <c r="B711" s="167"/>
      <c r="C711" s="173"/>
      <c r="D711" s="170"/>
      <c r="E711" s="170"/>
      <c r="F711" s="169"/>
      <c r="G711" s="171"/>
      <c r="H711" s="172"/>
      <c r="I711" s="172"/>
    </row>
    <row r="712" spans="1:9">
      <c r="A712" s="169"/>
      <c r="B712" s="167"/>
      <c r="C712" s="173"/>
      <c r="D712" s="170"/>
      <c r="E712" s="170"/>
      <c r="F712" s="169"/>
      <c r="G712" s="171"/>
      <c r="H712" s="172"/>
      <c r="I712" s="172"/>
    </row>
    <row r="713" spans="1:9">
      <c r="A713" s="169"/>
      <c r="B713" s="167"/>
      <c r="C713" s="173"/>
      <c r="D713" s="170"/>
      <c r="E713" s="170"/>
      <c r="F713" s="169"/>
      <c r="G713" s="171"/>
      <c r="H713" s="172"/>
      <c r="I713" s="172"/>
    </row>
    <row r="714" spans="1:9">
      <c r="A714" s="169"/>
      <c r="B714" s="167"/>
      <c r="C714" s="173"/>
      <c r="D714" s="170"/>
      <c r="E714" s="170"/>
      <c r="F714" s="169"/>
      <c r="G714" s="171"/>
      <c r="H714" s="172"/>
      <c r="I714" s="172"/>
    </row>
    <row r="715" spans="1:9">
      <c r="A715" s="169"/>
      <c r="B715" s="167"/>
      <c r="C715" s="173"/>
      <c r="D715" s="170"/>
      <c r="E715" s="170"/>
      <c r="F715" s="169"/>
      <c r="G715" s="171"/>
      <c r="H715" s="172"/>
      <c r="I715" s="172"/>
    </row>
    <row r="716" spans="1:9">
      <c r="A716" s="169"/>
      <c r="B716" s="167"/>
      <c r="C716" s="173"/>
      <c r="D716" s="170"/>
      <c r="E716" s="170"/>
      <c r="F716" s="169"/>
      <c r="G716" s="171"/>
      <c r="H716" s="172"/>
      <c r="I716" s="172"/>
    </row>
    <row r="717" spans="1:9">
      <c r="A717" s="169"/>
      <c r="B717" s="167"/>
      <c r="C717" s="173"/>
      <c r="D717" s="170"/>
      <c r="E717" s="170"/>
      <c r="F717" s="169"/>
      <c r="G717" s="171"/>
      <c r="H717" s="172"/>
      <c r="I717" s="172"/>
    </row>
    <row r="718" spans="1:9">
      <c r="A718" s="169"/>
      <c r="B718" s="167"/>
      <c r="C718" s="173"/>
      <c r="D718" s="170"/>
      <c r="E718" s="170"/>
      <c r="F718" s="169"/>
      <c r="G718" s="171"/>
      <c r="H718" s="172"/>
      <c r="I718" s="172"/>
    </row>
    <row r="719" spans="1:9">
      <c r="A719" s="169"/>
      <c r="B719" s="167"/>
      <c r="C719" s="173"/>
      <c r="D719" s="170"/>
      <c r="E719" s="170"/>
      <c r="F719" s="169"/>
      <c r="G719" s="171"/>
      <c r="H719" s="172"/>
      <c r="I719" s="172"/>
    </row>
    <row r="720" spans="1:9">
      <c r="A720" s="169"/>
      <c r="B720" s="167"/>
      <c r="C720" s="173"/>
      <c r="D720" s="170"/>
      <c r="E720" s="170"/>
      <c r="F720" s="169"/>
      <c r="G720" s="171"/>
      <c r="H720" s="172"/>
      <c r="I720" s="172"/>
    </row>
    <row r="721" spans="1:9">
      <c r="A721" s="169"/>
      <c r="B721" s="167"/>
      <c r="C721" s="173"/>
      <c r="D721" s="170"/>
      <c r="E721" s="170"/>
      <c r="F721" s="169"/>
      <c r="G721" s="171"/>
      <c r="H721" s="172"/>
      <c r="I721" s="172"/>
    </row>
    <row r="722" spans="1:9">
      <c r="A722" s="169"/>
      <c r="B722" s="167"/>
      <c r="C722" s="173"/>
      <c r="D722" s="170"/>
      <c r="E722" s="170"/>
      <c r="F722" s="169"/>
      <c r="G722" s="171"/>
      <c r="H722" s="172"/>
      <c r="I722" s="172"/>
    </row>
    <row r="723" spans="1:9">
      <c r="A723" s="169"/>
      <c r="B723" s="167"/>
      <c r="C723" s="173"/>
      <c r="D723" s="170"/>
      <c r="E723" s="170"/>
      <c r="F723" s="169"/>
      <c r="G723" s="171"/>
      <c r="H723" s="172"/>
      <c r="I723" s="172"/>
    </row>
    <row r="724" spans="1:9">
      <c r="A724" s="169"/>
      <c r="B724" s="167"/>
      <c r="C724" s="173"/>
      <c r="D724" s="170"/>
      <c r="E724" s="170"/>
      <c r="F724" s="169"/>
      <c r="G724" s="171"/>
      <c r="H724" s="172"/>
      <c r="I724" s="172"/>
    </row>
    <row r="725" spans="1:9">
      <c r="A725" s="169"/>
      <c r="B725" s="167"/>
      <c r="C725" s="173"/>
      <c r="D725" s="170"/>
      <c r="E725" s="170"/>
      <c r="F725" s="169"/>
      <c r="G725" s="171"/>
      <c r="H725" s="172"/>
      <c r="I725" s="172"/>
    </row>
    <row r="726" spans="1:9">
      <c r="A726" s="169"/>
      <c r="B726" s="167"/>
      <c r="C726" s="173"/>
      <c r="D726" s="170"/>
      <c r="E726" s="170"/>
      <c r="F726" s="169"/>
      <c r="G726" s="171"/>
      <c r="H726" s="172"/>
      <c r="I726" s="172"/>
    </row>
    <row r="727" spans="1:9">
      <c r="A727" s="169"/>
      <c r="B727" s="167"/>
      <c r="C727" s="173"/>
      <c r="D727" s="170"/>
      <c r="E727" s="170"/>
      <c r="F727" s="169"/>
      <c r="G727" s="171"/>
      <c r="H727" s="172"/>
      <c r="I727" s="172"/>
    </row>
    <row r="728" spans="1:9">
      <c r="A728" s="169"/>
      <c r="B728" s="167"/>
      <c r="C728" s="173"/>
      <c r="D728" s="170"/>
      <c r="E728" s="170"/>
      <c r="F728" s="169"/>
      <c r="G728" s="171"/>
      <c r="H728" s="172"/>
      <c r="I728" s="172"/>
    </row>
    <row r="729" spans="1:9">
      <c r="A729" s="169"/>
      <c r="B729" s="167"/>
      <c r="C729" s="173"/>
      <c r="D729" s="170"/>
      <c r="E729" s="170"/>
      <c r="F729" s="169"/>
      <c r="G729" s="171"/>
      <c r="H729" s="172"/>
      <c r="I729" s="172"/>
    </row>
    <row r="730" spans="1:9">
      <c r="A730" s="169"/>
      <c r="B730" s="167"/>
      <c r="C730" s="173"/>
      <c r="D730" s="170"/>
      <c r="E730" s="170"/>
      <c r="F730" s="169"/>
      <c r="G730" s="171"/>
      <c r="H730" s="172"/>
      <c r="I730" s="172"/>
    </row>
    <row r="731" spans="1:9">
      <c r="A731" s="169"/>
      <c r="B731" s="167"/>
      <c r="C731" s="173"/>
      <c r="D731" s="170"/>
      <c r="E731" s="170"/>
      <c r="F731" s="169"/>
      <c r="G731" s="171"/>
      <c r="H731" s="172"/>
      <c r="I731" s="172"/>
    </row>
    <row r="732" spans="1:9">
      <c r="A732" s="169"/>
      <c r="B732" s="167"/>
      <c r="C732" s="173"/>
      <c r="D732" s="170"/>
      <c r="E732" s="170"/>
      <c r="F732" s="169"/>
      <c r="G732" s="171"/>
      <c r="H732" s="172"/>
      <c r="I732" s="172"/>
    </row>
    <row r="733" spans="1:9">
      <c r="A733" s="169"/>
      <c r="B733" s="167"/>
      <c r="C733" s="173"/>
      <c r="D733" s="170"/>
      <c r="E733" s="170"/>
      <c r="F733" s="169"/>
      <c r="G733" s="171"/>
      <c r="H733" s="172"/>
      <c r="I733" s="172"/>
    </row>
    <row r="734" spans="1:9">
      <c r="A734" s="169"/>
      <c r="B734" s="167"/>
      <c r="C734" s="173"/>
      <c r="D734" s="170"/>
      <c r="E734" s="170"/>
      <c r="F734" s="169"/>
      <c r="G734" s="171"/>
      <c r="H734" s="172"/>
      <c r="I734" s="172"/>
    </row>
    <row r="735" spans="1:9">
      <c r="A735" s="169"/>
      <c r="B735" s="167"/>
      <c r="C735" s="173"/>
      <c r="D735" s="170"/>
      <c r="E735" s="170"/>
      <c r="F735" s="169"/>
      <c r="G735" s="171"/>
      <c r="H735" s="172"/>
      <c r="I735" s="172"/>
    </row>
    <row r="736" spans="1:9">
      <c r="A736" s="169"/>
      <c r="B736" s="167"/>
      <c r="C736" s="173"/>
      <c r="D736" s="170"/>
      <c r="E736" s="170"/>
      <c r="F736" s="169"/>
      <c r="G736" s="171"/>
      <c r="H736" s="172"/>
      <c r="I736" s="172"/>
    </row>
    <row r="737" spans="1:9">
      <c r="A737" s="169"/>
      <c r="B737" s="167"/>
      <c r="C737" s="173"/>
      <c r="D737" s="170"/>
      <c r="E737" s="170"/>
      <c r="F737" s="169"/>
      <c r="G737" s="171"/>
      <c r="H737" s="172"/>
      <c r="I737" s="172"/>
    </row>
    <row r="738" spans="1:9">
      <c r="A738" s="169"/>
      <c r="B738" s="167"/>
      <c r="C738" s="173"/>
      <c r="D738" s="170"/>
      <c r="E738" s="170"/>
      <c r="F738" s="169"/>
      <c r="G738" s="171"/>
      <c r="H738" s="172"/>
      <c r="I738" s="172"/>
    </row>
    <row r="739" spans="1:9">
      <c r="A739" s="169"/>
      <c r="B739" s="167"/>
      <c r="C739" s="173"/>
      <c r="D739" s="170"/>
      <c r="E739" s="170"/>
      <c r="F739" s="169"/>
      <c r="G739" s="171"/>
      <c r="H739" s="172"/>
      <c r="I739" s="172"/>
    </row>
    <row r="740" spans="1:9">
      <c r="A740" s="169"/>
      <c r="B740" s="167"/>
      <c r="C740" s="173"/>
      <c r="D740" s="170"/>
      <c r="E740" s="170"/>
      <c r="F740" s="169"/>
      <c r="G740" s="171"/>
      <c r="H740" s="172"/>
      <c r="I740" s="172"/>
    </row>
    <row r="741" spans="1:9">
      <c r="A741" s="169"/>
      <c r="B741" s="167"/>
      <c r="C741" s="173"/>
      <c r="D741" s="170"/>
      <c r="E741" s="170"/>
      <c r="F741" s="169"/>
      <c r="G741" s="171"/>
      <c r="H741" s="172"/>
      <c r="I741" s="172"/>
    </row>
    <row r="742" spans="1:9">
      <c r="A742" s="169"/>
      <c r="B742" s="167"/>
      <c r="C742" s="173"/>
      <c r="D742" s="170"/>
      <c r="E742" s="170"/>
      <c r="F742" s="169"/>
      <c r="G742" s="171"/>
      <c r="H742" s="172"/>
      <c r="I742" s="172"/>
    </row>
    <row r="743" spans="1:9">
      <c r="A743" s="169"/>
      <c r="B743" s="167"/>
      <c r="C743" s="173"/>
      <c r="D743" s="170"/>
      <c r="E743" s="170"/>
      <c r="F743" s="169"/>
      <c r="G743" s="171"/>
      <c r="H743" s="172"/>
      <c r="I743" s="172"/>
    </row>
    <row r="744" spans="1:9">
      <c r="A744" s="169"/>
      <c r="B744" s="167"/>
      <c r="C744" s="173"/>
      <c r="D744" s="170"/>
      <c r="E744" s="170"/>
      <c r="F744" s="169"/>
      <c r="G744" s="171"/>
      <c r="H744" s="172"/>
      <c r="I744" s="172"/>
    </row>
    <row r="745" spans="1:9">
      <c r="A745" s="169"/>
      <c r="B745" s="167"/>
      <c r="C745" s="173"/>
      <c r="D745" s="170"/>
      <c r="E745" s="170"/>
      <c r="F745" s="169"/>
      <c r="G745" s="171"/>
      <c r="H745" s="172"/>
      <c r="I745" s="172"/>
    </row>
    <row r="746" spans="1:9">
      <c r="A746" s="169"/>
      <c r="B746" s="167"/>
      <c r="C746" s="173"/>
      <c r="D746" s="170"/>
      <c r="E746" s="170"/>
      <c r="F746" s="169"/>
      <c r="G746" s="171"/>
      <c r="H746" s="172"/>
      <c r="I746" s="172"/>
    </row>
    <row r="747" spans="1:9">
      <c r="A747" s="169"/>
      <c r="B747" s="167"/>
      <c r="C747" s="173"/>
      <c r="D747" s="170"/>
      <c r="E747" s="170"/>
      <c r="F747" s="169"/>
      <c r="G747" s="171"/>
      <c r="H747" s="172"/>
      <c r="I747" s="172"/>
    </row>
    <row r="748" spans="1:9">
      <c r="A748" s="169"/>
      <c r="B748" s="167"/>
      <c r="C748" s="173"/>
      <c r="D748" s="170"/>
      <c r="E748" s="170"/>
      <c r="F748" s="169"/>
      <c r="G748" s="171"/>
      <c r="H748" s="172"/>
      <c r="I748" s="172"/>
    </row>
    <row r="749" spans="1:9">
      <c r="A749" s="169"/>
      <c r="B749" s="167"/>
      <c r="C749" s="173"/>
      <c r="D749" s="170"/>
      <c r="E749" s="170"/>
      <c r="F749" s="169"/>
      <c r="G749" s="171"/>
      <c r="H749" s="172"/>
      <c r="I749" s="172"/>
    </row>
    <row r="750" spans="1:9">
      <c r="A750" s="169"/>
      <c r="B750" s="167"/>
      <c r="C750" s="173"/>
      <c r="D750" s="170"/>
      <c r="E750" s="170"/>
      <c r="F750" s="169"/>
      <c r="G750" s="171"/>
      <c r="H750" s="172"/>
      <c r="I750" s="172"/>
    </row>
    <row r="751" spans="1:9">
      <c r="A751" s="169"/>
      <c r="B751" s="167"/>
      <c r="C751" s="173"/>
      <c r="D751" s="170"/>
      <c r="E751" s="170"/>
      <c r="F751" s="169"/>
      <c r="G751" s="171"/>
      <c r="H751" s="172"/>
      <c r="I751" s="172"/>
    </row>
    <row r="752" spans="1:9">
      <c r="A752" s="169"/>
      <c r="B752" s="167"/>
      <c r="C752" s="173"/>
      <c r="D752" s="170"/>
      <c r="E752" s="170"/>
      <c r="F752" s="169"/>
      <c r="G752" s="171"/>
      <c r="H752" s="172"/>
      <c r="I752" s="172"/>
    </row>
    <row r="753" spans="1:9">
      <c r="A753" s="169"/>
      <c r="B753" s="167"/>
      <c r="C753" s="173"/>
      <c r="D753" s="170"/>
      <c r="E753" s="170"/>
      <c r="F753" s="169"/>
      <c r="G753" s="171"/>
      <c r="H753" s="172"/>
      <c r="I753" s="172"/>
    </row>
    <row r="754" spans="1:9">
      <c r="A754" s="169"/>
      <c r="B754" s="167"/>
      <c r="C754" s="173"/>
      <c r="D754" s="170"/>
      <c r="E754" s="170"/>
      <c r="F754" s="169"/>
      <c r="G754" s="171"/>
      <c r="H754" s="172"/>
      <c r="I754" s="172"/>
    </row>
    <row r="755" spans="1:9">
      <c r="A755" s="169"/>
      <c r="B755" s="167"/>
      <c r="C755" s="173"/>
      <c r="D755" s="170"/>
      <c r="E755" s="170"/>
      <c r="F755" s="169"/>
      <c r="G755" s="171"/>
      <c r="H755" s="172"/>
      <c r="I755" s="172"/>
    </row>
    <row r="756" spans="1:9">
      <c r="A756" s="169"/>
      <c r="B756" s="167"/>
      <c r="C756" s="173"/>
      <c r="D756" s="170"/>
      <c r="E756" s="170"/>
      <c r="F756" s="169"/>
      <c r="G756" s="171"/>
      <c r="H756" s="172"/>
      <c r="I756" s="172"/>
    </row>
    <row r="757" spans="1:9">
      <c r="A757" s="169"/>
      <c r="B757" s="167"/>
      <c r="C757" s="173"/>
      <c r="D757" s="170"/>
      <c r="E757" s="170"/>
      <c r="F757" s="169"/>
      <c r="G757" s="171"/>
      <c r="H757" s="172"/>
      <c r="I757" s="172"/>
    </row>
    <row r="758" spans="1:9">
      <c r="A758" s="169"/>
      <c r="B758" s="167"/>
      <c r="C758" s="173"/>
      <c r="D758" s="170"/>
      <c r="E758" s="170"/>
      <c r="F758" s="169"/>
      <c r="G758" s="171"/>
      <c r="H758" s="172"/>
      <c r="I758" s="172"/>
    </row>
    <row r="759" spans="1:9">
      <c r="A759" s="169"/>
      <c r="B759" s="167"/>
      <c r="C759" s="173"/>
      <c r="D759" s="170"/>
      <c r="E759" s="170"/>
      <c r="F759" s="169"/>
      <c r="G759" s="171"/>
      <c r="H759" s="172"/>
      <c r="I759" s="172"/>
    </row>
    <row r="760" spans="1:9">
      <c r="A760" s="169"/>
      <c r="B760" s="167"/>
      <c r="C760" s="173"/>
      <c r="D760" s="170"/>
      <c r="E760" s="170"/>
      <c r="F760" s="169"/>
      <c r="G760" s="171"/>
      <c r="H760" s="172"/>
      <c r="I760" s="172"/>
    </row>
    <row r="761" spans="1:9">
      <c r="A761" s="169"/>
      <c r="B761" s="167"/>
      <c r="C761" s="173"/>
      <c r="D761" s="170"/>
      <c r="E761" s="170"/>
      <c r="F761" s="169"/>
      <c r="G761" s="171"/>
      <c r="H761" s="172"/>
      <c r="I761" s="172"/>
    </row>
    <row r="762" spans="1:9">
      <c r="A762" s="169"/>
      <c r="B762" s="167"/>
      <c r="C762" s="173"/>
      <c r="D762" s="170"/>
      <c r="E762" s="170"/>
      <c r="F762" s="169"/>
      <c r="G762" s="171"/>
      <c r="H762" s="172"/>
      <c r="I762" s="172"/>
    </row>
    <row r="763" spans="1:9">
      <c r="A763" s="169"/>
      <c r="B763" s="167"/>
      <c r="C763" s="173"/>
      <c r="D763" s="170"/>
      <c r="E763" s="170"/>
      <c r="F763" s="169"/>
      <c r="G763" s="171"/>
      <c r="H763" s="172"/>
      <c r="I763" s="172"/>
    </row>
    <row r="764" spans="1:9">
      <c r="A764" s="169"/>
      <c r="B764" s="167"/>
      <c r="C764" s="173"/>
      <c r="D764" s="170"/>
      <c r="E764" s="170"/>
      <c r="F764" s="169"/>
      <c r="G764" s="171"/>
      <c r="H764" s="172"/>
      <c r="I764" s="172"/>
    </row>
    <row r="765" spans="1:9">
      <c r="A765" s="169"/>
      <c r="B765" s="167"/>
      <c r="C765" s="173"/>
      <c r="D765" s="170"/>
      <c r="E765" s="170"/>
      <c r="F765" s="169"/>
      <c r="G765" s="171"/>
      <c r="H765" s="172"/>
      <c r="I765" s="172"/>
    </row>
    <row r="766" spans="1:9">
      <c r="A766" s="169"/>
      <c r="B766" s="167"/>
      <c r="C766" s="173"/>
      <c r="D766" s="170"/>
      <c r="E766" s="170"/>
      <c r="F766" s="169"/>
      <c r="G766" s="171"/>
      <c r="H766" s="172"/>
      <c r="I766" s="172"/>
    </row>
    <row r="767" spans="1:9">
      <c r="A767" s="169"/>
      <c r="B767" s="167"/>
      <c r="C767" s="173"/>
      <c r="D767" s="170"/>
      <c r="E767" s="170"/>
      <c r="F767" s="169"/>
      <c r="G767" s="171"/>
      <c r="H767" s="172"/>
      <c r="I767" s="172"/>
    </row>
    <row r="768" spans="1:9">
      <c r="A768" s="169"/>
      <c r="B768" s="167"/>
      <c r="C768" s="173"/>
      <c r="D768" s="170"/>
      <c r="E768" s="170"/>
      <c r="F768" s="169"/>
      <c r="G768" s="171"/>
      <c r="H768" s="172"/>
      <c r="I768" s="172"/>
    </row>
    <row r="769" spans="1:9">
      <c r="A769" s="169"/>
      <c r="B769" s="167"/>
      <c r="C769" s="173"/>
      <c r="D769" s="170"/>
      <c r="E769" s="170"/>
      <c r="F769" s="169"/>
      <c r="G769" s="171"/>
      <c r="H769" s="172"/>
      <c r="I769" s="172"/>
    </row>
    <row r="770" spans="1:9">
      <c r="A770" s="169"/>
      <c r="B770" s="167"/>
      <c r="C770" s="173"/>
      <c r="D770" s="170"/>
      <c r="E770" s="170"/>
      <c r="F770" s="169"/>
      <c r="G770" s="171"/>
      <c r="H770" s="172"/>
      <c r="I770" s="172"/>
    </row>
    <row r="771" spans="1:9">
      <c r="A771" s="169"/>
      <c r="B771" s="167"/>
      <c r="C771" s="173"/>
      <c r="D771" s="170"/>
      <c r="E771" s="170"/>
      <c r="F771" s="169"/>
      <c r="G771" s="171"/>
      <c r="H771" s="172"/>
      <c r="I771" s="172"/>
    </row>
    <row r="772" spans="1:9">
      <c r="A772" s="169"/>
      <c r="B772" s="167"/>
      <c r="C772" s="173"/>
      <c r="D772" s="170"/>
      <c r="E772" s="170"/>
      <c r="F772" s="169"/>
      <c r="G772" s="171"/>
      <c r="H772" s="172"/>
      <c r="I772" s="172"/>
    </row>
    <row r="773" spans="1:9">
      <c r="A773" s="169"/>
      <c r="B773" s="167"/>
      <c r="C773" s="173"/>
      <c r="D773" s="170"/>
      <c r="E773" s="170"/>
      <c r="F773" s="169"/>
      <c r="G773" s="171"/>
      <c r="H773" s="172"/>
      <c r="I773" s="172"/>
    </row>
    <row r="774" spans="1:9">
      <c r="A774" s="169"/>
      <c r="B774" s="167"/>
      <c r="C774" s="173"/>
      <c r="D774" s="170"/>
      <c r="E774" s="170"/>
      <c r="F774" s="169"/>
      <c r="G774" s="171"/>
      <c r="H774" s="172"/>
      <c r="I774" s="172"/>
    </row>
    <row r="775" spans="1:9">
      <c r="A775" s="169"/>
      <c r="B775" s="167"/>
      <c r="C775" s="173"/>
      <c r="D775" s="170"/>
      <c r="E775" s="170"/>
      <c r="F775" s="169"/>
      <c r="G775" s="171"/>
      <c r="H775" s="172"/>
      <c r="I775" s="172"/>
    </row>
    <row r="776" spans="1:9">
      <c r="A776" s="169"/>
      <c r="B776" s="167"/>
      <c r="C776" s="173"/>
      <c r="D776" s="170"/>
      <c r="E776" s="170"/>
      <c r="F776" s="169"/>
      <c r="G776" s="171"/>
      <c r="H776" s="172"/>
      <c r="I776" s="172"/>
    </row>
    <row r="777" spans="1:9">
      <c r="A777" s="169"/>
      <c r="B777" s="167"/>
      <c r="C777" s="173"/>
      <c r="D777" s="170"/>
      <c r="E777" s="170"/>
      <c r="F777" s="169"/>
      <c r="G777" s="171"/>
      <c r="H777" s="172"/>
      <c r="I777" s="172"/>
    </row>
    <row r="778" spans="1:9">
      <c r="A778" s="169"/>
      <c r="B778" s="167"/>
      <c r="C778" s="173"/>
      <c r="D778" s="170"/>
      <c r="E778" s="170"/>
      <c r="F778" s="169"/>
      <c r="G778" s="171"/>
      <c r="H778" s="172"/>
      <c r="I778" s="172"/>
    </row>
    <row r="779" spans="1:9">
      <c r="A779" s="169"/>
      <c r="B779" s="167"/>
      <c r="C779" s="173"/>
      <c r="D779" s="170"/>
      <c r="E779" s="170"/>
      <c r="F779" s="169"/>
      <c r="G779" s="171"/>
      <c r="H779" s="172"/>
      <c r="I779" s="172"/>
    </row>
    <row r="780" spans="1:9">
      <c r="A780" s="169"/>
      <c r="B780" s="167"/>
      <c r="C780" s="173"/>
      <c r="D780" s="170"/>
      <c r="E780" s="170"/>
      <c r="F780" s="169"/>
      <c r="G780" s="171"/>
      <c r="H780" s="172"/>
      <c r="I780" s="172"/>
    </row>
    <row r="781" spans="1:9">
      <c r="A781" s="169"/>
      <c r="B781" s="167"/>
      <c r="C781" s="173"/>
      <c r="D781" s="170"/>
      <c r="E781" s="170"/>
      <c r="F781" s="169"/>
      <c r="G781" s="171"/>
      <c r="H781" s="172"/>
      <c r="I781" s="172"/>
    </row>
    <row r="782" spans="1:9">
      <c r="A782" s="169"/>
      <c r="B782" s="167"/>
      <c r="C782" s="173"/>
      <c r="D782" s="170"/>
      <c r="E782" s="170"/>
      <c r="F782" s="169"/>
      <c r="G782" s="171"/>
      <c r="H782" s="172"/>
      <c r="I782" s="172"/>
    </row>
    <row r="783" spans="1:9">
      <c r="A783" s="169"/>
      <c r="B783" s="167"/>
      <c r="C783" s="173"/>
      <c r="D783" s="170"/>
      <c r="E783" s="170"/>
      <c r="F783" s="169"/>
      <c r="G783" s="171"/>
      <c r="H783" s="172"/>
      <c r="I783" s="172"/>
    </row>
    <row r="784" spans="1:9">
      <c r="A784" s="169"/>
      <c r="B784" s="167"/>
      <c r="C784" s="173"/>
      <c r="D784" s="170"/>
      <c r="E784" s="170"/>
      <c r="F784" s="169"/>
      <c r="G784" s="171"/>
      <c r="H784" s="172"/>
      <c r="I784" s="172"/>
    </row>
    <row r="785" spans="1:9">
      <c r="A785" s="169"/>
      <c r="B785" s="167"/>
      <c r="C785" s="173"/>
      <c r="D785" s="170"/>
      <c r="E785" s="170"/>
      <c r="F785" s="169"/>
      <c r="G785" s="171"/>
      <c r="H785" s="172"/>
      <c r="I785" s="172"/>
    </row>
    <row r="786" spans="1:9">
      <c r="A786" s="169"/>
      <c r="B786" s="167"/>
      <c r="C786" s="173"/>
      <c r="D786" s="170"/>
      <c r="E786" s="170"/>
      <c r="F786" s="169"/>
      <c r="G786" s="171"/>
      <c r="H786" s="172"/>
      <c r="I786" s="172"/>
    </row>
    <row r="787" spans="1:9">
      <c r="A787" s="169"/>
      <c r="B787" s="167"/>
      <c r="C787" s="173"/>
      <c r="D787" s="170"/>
      <c r="E787" s="170"/>
      <c r="F787" s="169"/>
      <c r="G787" s="171"/>
      <c r="H787" s="172"/>
      <c r="I787" s="172"/>
    </row>
    <row r="788" spans="1:9">
      <c r="A788" s="169"/>
      <c r="B788" s="167"/>
      <c r="C788" s="173"/>
      <c r="D788" s="170"/>
      <c r="E788" s="170"/>
      <c r="F788" s="169"/>
      <c r="G788" s="171"/>
      <c r="H788" s="172"/>
      <c r="I788" s="172"/>
    </row>
    <row r="789" spans="1:9">
      <c r="A789" s="169"/>
      <c r="B789" s="167"/>
      <c r="C789" s="173"/>
      <c r="D789" s="170"/>
      <c r="E789" s="170"/>
      <c r="F789" s="169"/>
      <c r="G789" s="171"/>
      <c r="H789" s="172"/>
      <c r="I789" s="172"/>
    </row>
    <row r="790" spans="1:9">
      <c r="A790" s="169"/>
      <c r="B790" s="167"/>
      <c r="C790" s="173"/>
      <c r="D790" s="170"/>
      <c r="E790" s="170"/>
      <c r="F790" s="169"/>
      <c r="G790" s="171"/>
      <c r="H790" s="172"/>
      <c r="I790" s="172"/>
    </row>
    <row r="791" spans="1:9">
      <c r="A791" s="169"/>
      <c r="B791" s="167"/>
      <c r="C791" s="173"/>
      <c r="D791" s="170"/>
      <c r="E791" s="170"/>
      <c r="F791" s="169"/>
      <c r="G791" s="171"/>
      <c r="H791" s="172"/>
      <c r="I791" s="172"/>
    </row>
    <row r="792" spans="1:9">
      <c r="A792" s="169"/>
      <c r="B792" s="167"/>
      <c r="C792" s="173"/>
      <c r="D792" s="170"/>
      <c r="E792" s="170"/>
      <c r="F792" s="169"/>
      <c r="G792" s="171"/>
      <c r="H792" s="172"/>
      <c r="I792" s="172"/>
    </row>
    <row r="793" spans="1:9">
      <c r="A793" s="169"/>
      <c r="B793" s="167"/>
      <c r="C793" s="173"/>
      <c r="D793" s="170"/>
      <c r="E793" s="170"/>
      <c r="F793" s="169"/>
      <c r="G793" s="171"/>
      <c r="H793" s="172"/>
      <c r="I793" s="172"/>
    </row>
    <row r="794" spans="1:9">
      <c r="A794" s="169"/>
      <c r="B794" s="167"/>
      <c r="C794" s="173"/>
      <c r="D794" s="170"/>
      <c r="E794" s="170"/>
      <c r="F794" s="169"/>
      <c r="G794" s="171"/>
      <c r="H794" s="172"/>
      <c r="I794" s="172"/>
    </row>
    <row r="795" spans="1:9">
      <c r="A795" s="169"/>
      <c r="B795" s="167"/>
      <c r="C795" s="173"/>
      <c r="D795" s="170"/>
      <c r="E795" s="170"/>
      <c r="F795" s="169"/>
      <c r="G795" s="171"/>
      <c r="H795" s="172"/>
      <c r="I795" s="172"/>
    </row>
    <row r="796" spans="1:9">
      <c r="A796" s="169"/>
      <c r="B796" s="167"/>
      <c r="C796" s="173"/>
      <c r="D796" s="170"/>
      <c r="E796" s="170"/>
      <c r="F796" s="169"/>
      <c r="G796" s="171"/>
      <c r="H796" s="172"/>
      <c r="I796" s="172"/>
    </row>
    <row r="797" spans="1:9">
      <c r="A797" s="169"/>
      <c r="B797" s="167"/>
      <c r="C797" s="173"/>
      <c r="D797" s="170"/>
      <c r="E797" s="170"/>
      <c r="F797" s="169"/>
      <c r="G797" s="171"/>
      <c r="H797" s="172"/>
      <c r="I797" s="172"/>
    </row>
    <row r="798" spans="1:9">
      <c r="A798" s="169"/>
      <c r="B798" s="167"/>
      <c r="C798" s="173"/>
      <c r="D798" s="170"/>
      <c r="E798" s="170"/>
      <c r="F798" s="169"/>
      <c r="G798" s="171"/>
      <c r="H798" s="172"/>
      <c r="I798" s="172"/>
    </row>
    <row r="799" spans="1:9">
      <c r="A799" s="169"/>
      <c r="B799" s="167"/>
      <c r="C799" s="173"/>
      <c r="D799" s="170"/>
      <c r="E799" s="170"/>
      <c r="F799" s="169"/>
      <c r="G799" s="171"/>
      <c r="H799" s="172"/>
      <c r="I799" s="172"/>
    </row>
    <row r="800" spans="1:9">
      <c r="A800" s="169"/>
      <c r="B800" s="167"/>
      <c r="C800" s="173"/>
      <c r="D800" s="170"/>
      <c r="E800" s="170"/>
      <c r="F800" s="169"/>
      <c r="G800" s="171"/>
      <c r="H800" s="172"/>
      <c r="I800" s="172"/>
    </row>
    <row r="801" spans="1:9">
      <c r="A801" s="169"/>
      <c r="B801" s="167"/>
      <c r="C801" s="173"/>
      <c r="D801" s="170"/>
      <c r="E801" s="170"/>
      <c r="F801" s="169"/>
      <c r="G801" s="171"/>
      <c r="H801" s="172"/>
      <c r="I801" s="172"/>
    </row>
    <row r="802" spans="1:9">
      <c r="A802" s="169"/>
      <c r="B802" s="167"/>
      <c r="C802" s="173"/>
      <c r="D802" s="170"/>
      <c r="E802" s="170"/>
      <c r="F802" s="169"/>
      <c r="G802" s="171"/>
      <c r="H802" s="172"/>
      <c r="I802" s="172"/>
    </row>
    <row r="803" spans="1:9">
      <c r="A803" s="169"/>
      <c r="B803" s="167"/>
      <c r="C803" s="173"/>
      <c r="D803" s="170"/>
      <c r="E803" s="170"/>
      <c r="F803" s="169"/>
      <c r="G803" s="171"/>
      <c r="H803" s="172"/>
      <c r="I803" s="172"/>
    </row>
    <row r="804" spans="1:9">
      <c r="A804" s="169"/>
      <c r="B804" s="167"/>
      <c r="C804" s="173"/>
      <c r="D804" s="170"/>
      <c r="E804" s="170"/>
      <c r="F804" s="169"/>
      <c r="G804" s="171"/>
      <c r="H804" s="172"/>
      <c r="I804" s="172"/>
    </row>
    <row r="805" spans="1:9">
      <c r="A805" s="169"/>
      <c r="B805" s="167"/>
      <c r="C805" s="173"/>
      <c r="D805" s="170"/>
      <c r="E805" s="170"/>
      <c r="F805" s="169"/>
      <c r="G805" s="171"/>
      <c r="H805" s="172"/>
      <c r="I805" s="172"/>
    </row>
    <row r="806" spans="1:9">
      <c r="A806" s="169"/>
      <c r="B806" s="167"/>
      <c r="C806" s="173"/>
      <c r="D806" s="170"/>
      <c r="E806" s="170"/>
      <c r="F806" s="169"/>
      <c r="G806" s="171"/>
      <c r="H806" s="172"/>
      <c r="I806" s="172"/>
    </row>
    <row r="807" spans="1:9">
      <c r="A807" s="169"/>
      <c r="B807" s="167"/>
      <c r="C807" s="173"/>
      <c r="D807" s="170"/>
      <c r="E807" s="170"/>
      <c r="F807" s="169"/>
      <c r="G807" s="171"/>
      <c r="H807" s="172"/>
      <c r="I807" s="172"/>
    </row>
    <row r="808" spans="1:9">
      <c r="A808" s="169"/>
      <c r="B808" s="167"/>
      <c r="C808" s="173"/>
      <c r="D808" s="170"/>
      <c r="E808" s="170"/>
      <c r="F808" s="169"/>
      <c r="G808" s="171"/>
      <c r="H808" s="172"/>
      <c r="I808" s="172"/>
    </row>
    <row r="809" spans="1:9">
      <c r="A809" s="169"/>
      <c r="B809" s="167"/>
      <c r="C809" s="173"/>
      <c r="D809" s="170"/>
      <c r="E809" s="170"/>
      <c r="F809" s="169"/>
      <c r="G809" s="171"/>
      <c r="H809" s="172"/>
      <c r="I809" s="172"/>
    </row>
    <row r="810" spans="1:9">
      <c r="A810" s="169"/>
      <c r="B810" s="167"/>
      <c r="C810" s="173"/>
      <c r="D810" s="170"/>
      <c r="E810" s="170"/>
      <c r="F810" s="169"/>
      <c r="G810" s="171"/>
      <c r="H810" s="172"/>
      <c r="I810" s="172"/>
    </row>
    <row r="811" spans="1:9">
      <c r="A811" s="169"/>
      <c r="B811" s="167"/>
      <c r="C811" s="173"/>
      <c r="D811" s="170"/>
      <c r="E811" s="170"/>
      <c r="F811" s="169"/>
      <c r="G811" s="171"/>
      <c r="H811" s="172"/>
      <c r="I811" s="172"/>
    </row>
    <row r="812" spans="1:9">
      <c r="A812" s="169"/>
      <c r="B812" s="167"/>
      <c r="C812" s="173"/>
      <c r="D812" s="170"/>
      <c r="E812" s="170"/>
      <c r="F812" s="169"/>
      <c r="G812" s="171"/>
      <c r="H812" s="172"/>
      <c r="I812" s="172"/>
    </row>
    <row r="813" spans="1:9">
      <c r="A813" s="169"/>
      <c r="B813" s="167"/>
      <c r="C813" s="173"/>
      <c r="D813" s="170"/>
      <c r="E813" s="170"/>
      <c r="F813" s="169"/>
      <c r="G813" s="171"/>
      <c r="H813" s="172"/>
      <c r="I813" s="172"/>
    </row>
    <row r="814" spans="1:9">
      <c r="A814" s="169"/>
      <c r="B814" s="167"/>
      <c r="C814" s="173"/>
      <c r="D814" s="170"/>
      <c r="E814" s="170"/>
      <c r="F814" s="169"/>
      <c r="G814" s="171"/>
      <c r="H814" s="172"/>
      <c r="I814" s="172"/>
    </row>
    <row r="815" spans="1:9">
      <c r="A815" s="169"/>
      <c r="B815" s="167"/>
      <c r="C815" s="173"/>
      <c r="D815" s="170"/>
      <c r="E815" s="170"/>
      <c r="F815" s="169"/>
      <c r="G815" s="171"/>
      <c r="H815" s="172"/>
      <c r="I815" s="172"/>
    </row>
    <row r="816" spans="1:9">
      <c r="A816" s="169"/>
      <c r="B816" s="167"/>
      <c r="C816" s="173"/>
      <c r="D816" s="170"/>
      <c r="E816" s="170"/>
      <c r="F816" s="169"/>
      <c r="G816" s="171"/>
      <c r="H816" s="172"/>
      <c r="I816" s="172"/>
    </row>
    <row r="817" spans="1:9">
      <c r="A817" s="169"/>
      <c r="B817" s="167"/>
      <c r="C817" s="173"/>
      <c r="D817" s="170"/>
      <c r="E817" s="170"/>
      <c r="F817" s="169"/>
      <c r="G817" s="171"/>
      <c r="H817" s="172"/>
      <c r="I817" s="172"/>
    </row>
    <row r="818" spans="1:9">
      <c r="A818" s="169"/>
      <c r="B818" s="167"/>
      <c r="C818" s="173"/>
      <c r="D818" s="170"/>
      <c r="E818" s="170"/>
      <c r="F818" s="169"/>
      <c r="G818" s="171"/>
      <c r="H818" s="172"/>
      <c r="I818" s="172"/>
    </row>
    <row r="819" spans="1:9">
      <c r="A819" s="169"/>
      <c r="B819" s="167"/>
      <c r="C819" s="173"/>
      <c r="D819" s="170"/>
      <c r="E819" s="170"/>
      <c r="F819" s="169"/>
      <c r="G819" s="171"/>
      <c r="H819" s="172"/>
      <c r="I819" s="172"/>
    </row>
    <row r="820" spans="1:9">
      <c r="A820" s="169"/>
      <c r="B820" s="167"/>
      <c r="C820" s="173"/>
      <c r="D820" s="170"/>
      <c r="E820" s="170"/>
      <c r="F820" s="169"/>
      <c r="G820" s="171"/>
      <c r="H820" s="172"/>
      <c r="I820" s="172"/>
    </row>
    <row r="821" spans="1:9">
      <c r="A821" s="169"/>
      <c r="B821" s="167"/>
      <c r="C821" s="173"/>
      <c r="D821" s="170"/>
      <c r="E821" s="170"/>
      <c r="F821" s="169"/>
      <c r="G821" s="171"/>
      <c r="H821" s="172"/>
      <c r="I821" s="172"/>
    </row>
    <row r="822" spans="1:9">
      <c r="A822" s="169"/>
      <c r="B822" s="167"/>
      <c r="C822" s="173"/>
      <c r="D822" s="170"/>
      <c r="E822" s="170"/>
      <c r="F822" s="169"/>
      <c r="G822" s="171"/>
      <c r="H822" s="172"/>
      <c r="I822" s="172"/>
    </row>
    <row r="823" spans="1:9">
      <c r="A823" s="169"/>
      <c r="B823" s="167"/>
      <c r="C823" s="173"/>
      <c r="D823" s="170"/>
      <c r="E823" s="170"/>
      <c r="F823" s="169"/>
      <c r="G823" s="171"/>
      <c r="H823" s="172"/>
      <c r="I823" s="172"/>
    </row>
    <row r="824" spans="1:9">
      <c r="A824" s="169"/>
      <c r="B824" s="167"/>
      <c r="C824" s="173"/>
      <c r="D824" s="170"/>
      <c r="E824" s="170"/>
      <c r="F824" s="169"/>
      <c r="G824" s="171"/>
      <c r="H824" s="172"/>
      <c r="I824" s="172"/>
    </row>
    <row r="825" spans="1:9">
      <c r="A825" s="169"/>
      <c r="B825" s="167"/>
      <c r="C825" s="173"/>
      <c r="D825" s="170"/>
      <c r="E825" s="170"/>
      <c r="F825" s="169"/>
      <c r="G825" s="171"/>
      <c r="H825" s="172"/>
      <c r="I825" s="172"/>
    </row>
    <row r="826" spans="1:9">
      <c r="A826" s="169"/>
      <c r="B826" s="167"/>
      <c r="C826" s="173"/>
      <c r="D826" s="170"/>
      <c r="E826" s="170"/>
      <c r="F826" s="169"/>
      <c r="G826" s="171"/>
      <c r="H826" s="172"/>
      <c r="I826" s="172"/>
    </row>
    <row r="827" spans="1:9">
      <c r="A827" s="169"/>
      <c r="B827" s="167"/>
      <c r="C827" s="173"/>
      <c r="D827" s="170"/>
      <c r="E827" s="170"/>
      <c r="F827" s="169"/>
      <c r="G827" s="171"/>
      <c r="H827" s="172"/>
      <c r="I827" s="172"/>
    </row>
    <row r="828" spans="1:9">
      <c r="A828" s="169"/>
      <c r="B828" s="167"/>
      <c r="C828" s="173"/>
      <c r="D828" s="170"/>
      <c r="E828" s="170"/>
      <c r="F828" s="169"/>
      <c r="G828" s="171"/>
      <c r="H828" s="172"/>
      <c r="I828" s="172"/>
    </row>
    <row r="829" spans="1:9">
      <c r="A829" s="169"/>
      <c r="B829" s="167"/>
      <c r="C829" s="173"/>
      <c r="D829" s="170"/>
      <c r="E829" s="170"/>
      <c r="F829" s="169"/>
      <c r="G829" s="171"/>
      <c r="H829" s="172"/>
      <c r="I829" s="172"/>
    </row>
    <row r="830" spans="1:9">
      <c r="A830" s="169"/>
      <c r="B830" s="167"/>
      <c r="C830" s="173"/>
      <c r="D830" s="170"/>
      <c r="E830" s="170"/>
      <c r="F830" s="169"/>
      <c r="G830" s="171"/>
      <c r="H830" s="172"/>
      <c r="I830" s="172"/>
    </row>
    <row r="831" spans="1:9">
      <c r="A831" s="169"/>
      <c r="B831" s="167"/>
      <c r="C831" s="173"/>
      <c r="D831" s="170"/>
      <c r="E831" s="170"/>
      <c r="F831" s="169"/>
      <c r="G831" s="171"/>
      <c r="H831" s="172"/>
      <c r="I831" s="172"/>
    </row>
    <row r="832" spans="1:9">
      <c r="A832" s="169"/>
      <c r="B832" s="167"/>
      <c r="C832" s="173"/>
      <c r="D832" s="170"/>
      <c r="E832" s="170"/>
      <c r="F832" s="169"/>
      <c r="G832" s="171"/>
      <c r="H832" s="172"/>
      <c r="I832" s="172"/>
    </row>
    <row r="833" spans="1:9">
      <c r="A833" s="169"/>
      <c r="B833" s="167"/>
      <c r="C833" s="173"/>
      <c r="D833" s="170"/>
      <c r="E833" s="170"/>
      <c r="F833" s="169"/>
      <c r="G833" s="171"/>
      <c r="H833" s="172"/>
      <c r="I833" s="172"/>
    </row>
    <row r="834" spans="1:9">
      <c r="A834" s="169"/>
      <c r="B834" s="167"/>
      <c r="C834" s="173"/>
      <c r="D834" s="170"/>
      <c r="E834" s="170"/>
      <c r="F834" s="169"/>
      <c r="G834" s="171"/>
      <c r="H834" s="172"/>
      <c r="I834" s="172"/>
    </row>
    <row r="835" spans="1:9">
      <c r="A835" s="169"/>
      <c r="B835" s="167"/>
      <c r="C835" s="173"/>
      <c r="D835" s="170"/>
      <c r="E835" s="170"/>
      <c r="F835" s="169"/>
      <c r="G835" s="171"/>
      <c r="H835" s="172"/>
      <c r="I835" s="172"/>
    </row>
    <row r="836" spans="1:9">
      <c r="A836" s="169"/>
      <c r="B836" s="167"/>
      <c r="C836" s="173"/>
      <c r="D836" s="170"/>
      <c r="E836" s="170"/>
      <c r="F836" s="169"/>
      <c r="G836" s="171"/>
      <c r="H836" s="172"/>
      <c r="I836" s="172"/>
    </row>
    <row r="837" spans="1:9">
      <c r="A837" s="169"/>
      <c r="B837" s="167"/>
      <c r="C837" s="173"/>
      <c r="D837" s="170"/>
      <c r="E837" s="170"/>
      <c r="F837" s="169"/>
      <c r="G837" s="171"/>
      <c r="H837" s="172"/>
      <c r="I837" s="172"/>
    </row>
    <row r="838" spans="1:9">
      <c r="A838" s="169"/>
      <c r="B838" s="167"/>
      <c r="C838" s="173"/>
      <c r="D838" s="170"/>
      <c r="E838" s="170"/>
      <c r="F838" s="169"/>
      <c r="G838" s="171"/>
      <c r="H838" s="172"/>
      <c r="I838" s="172"/>
    </row>
    <row r="839" spans="1:9">
      <c r="A839" s="169"/>
      <c r="B839" s="167"/>
      <c r="C839" s="173"/>
      <c r="D839" s="170"/>
      <c r="E839" s="170"/>
      <c r="F839" s="169"/>
      <c r="G839" s="171"/>
      <c r="H839" s="172"/>
      <c r="I839" s="172"/>
    </row>
    <row r="840" spans="1:9">
      <c r="A840" s="169"/>
      <c r="B840" s="167"/>
      <c r="C840" s="173"/>
      <c r="D840" s="170"/>
      <c r="E840" s="170"/>
      <c r="F840" s="169"/>
      <c r="G840" s="171"/>
      <c r="H840" s="172"/>
      <c r="I840" s="172"/>
    </row>
    <row r="841" spans="1:9">
      <c r="A841" s="169"/>
      <c r="B841" s="167"/>
      <c r="C841" s="173"/>
      <c r="D841" s="170"/>
      <c r="E841" s="170"/>
      <c r="F841" s="169"/>
      <c r="G841" s="171"/>
      <c r="H841" s="172"/>
      <c r="I841" s="172"/>
    </row>
    <row r="842" spans="1:9">
      <c r="A842" s="169"/>
      <c r="B842" s="167"/>
      <c r="C842" s="173"/>
      <c r="D842" s="170"/>
      <c r="E842" s="170"/>
      <c r="F842" s="169"/>
      <c r="G842" s="171"/>
      <c r="H842" s="172"/>
      <c r="I842" s="172"/>
    </row>
    <row r="843" spans="1:9">
      <c r="A843" s="169"/>
      <c r="B843" s="167"/>
      <c r="C843" s="173"/>
      <c r="D843" s="170"/>
      <c r="E843" s="170"/>
      <c r="F843" s="169"/>
      <c r="G843" s="171"/>
      <c r="H843" s="172"/>
      <c r="I843" s="172"/>
    </row>
    <row r="844" spans="1:9">
      <c r="A844" s="169"/>
      <c r="B844" s="167"/>
      <c r="C844" s="173"/>
      <c r="D844" s="170"/>
      <c r="E844" s="170"/>
      <c r="F844" s="169"/>
      <c r="G844" s="171"/>
      <c r="H844" s="172"/>
      <c r="I844" s="172"/>
    </row>
    <row r="845" spans="1:9">
      <c r="A845" s="169"/>
      <c r="B845" s="167"/>
      <c r="C845" s="173"/>
      <c r="D845" s="170"/>
      <c r="E845" s="170"/>
      <c r="F845" s="169"/>
      <c r="G845" s="171"/>
      <c r="H845" s="172"/>
      <c r="I845" s="172"/>
    </row>
    <row r="846" spans="1:9">
      <c r="A846" s="169"/>
      <c r="B846" s="167"/>
      <c r="C846" s="173"/>
      <c r="D846" s="170"/>
      <c r="E846" s="170"/>
      <c r="F846" s="169"/>
      <c r="G846" s="171"/>
      <c r="H846" s="172"/>
      <c r="I846" s="172"/>
    </row>
    <row r="847" spans="1:9">
      <c r="A847" s="169"/>
      <c r="B847" s="167"/>
      <c r="C847" s="173"/>
      <c r="D847" s="170"/>
      <c r="E847" s="170"/>
      <c r="F847" s="169"/>
      <c r="G847" s="171"/>
      <c r="H847" s="172"/>
      <c r="I847" s="172"/>
    </row>
    <row r="848" spans="1:9">
      <c r="A848" s="169"/>
      <c r="B848" s="167"/>
      <c r="C848" s="173"/>
      <c r="D848" s="170"/>
      <c r="E848" s="170"/>
      <c r="F848" s="169"/>
      <c r="G848" s="171"/>
      <c r="H848" s="172"/>
      <c r="I848" s="172"/>
    </row>
    <row r="849" spans="1:9">
      <c r="A849" s="169"/>
      <c r="B849" s="167"/>
      <c r="C849" s="173"/>
      <c r="D849" s="170"/>
      <c r="E849" s="170"/>
      <c r="F849" s="169"/>
      <c r="G849" s="171"/>
      <c r="H849" s="172"/>
      <c r="I849" s="172"/>
    </row>
    <row r="850" spans="1:9">
      <c r="A850" s="169"/>
      <c r="B850" s="167"/>
      <c r="C850" s="173"/>
      <c r="D850" s="170"/>
      <c r="E850" s="170"/>
      <c r="F850" s="169"/>
      <c r="G850" s="171"/>
      <c r="H850" s="172"/>
      <c r="I850" s="172"/>
    </row>
    <row r="851" spans="1:9">
      <c r="A851" s="169"/>
      <c r="B851" s="167"/>
      <c r="C851" s="173"/>
      <c r="D851" s="170"/>
      <c r="E851" s="170"/>
      <c r="F851" s="169"/>
      <c r="G851" s="171"/>
      <c r="H851" s="172"/>
      <c r="I851" s="172"/>
    </row>
    <row r="852" spans="1:9">
      <c r="A852" s="169"/>
      <c r="B852" s="167"/>
      <c r="C852" s="173"/>
      <c r="D852" s="170"/>
      <c r="E852" s="170"/>
      <c r="F852" s="169"/>
      <c r="G852" s="171"/>
      <c r="H852" s="172"/>
      <c r="I852" s="172"/>
    </row>
    <row r="853" spans="1:9">
      <c r="A853" s="169"/>
      <c r="B853" s="167"/>
      <c r="C853" s="173"/>
      <c r="D853" s="170"/>
      <c r="E853" s="170"/>
      <c r="F853" s="169"/>
      <c r="G853" s="171"/>
      <c r="H853" s="172"/>
      <c r="I853" s="172"/>
    </row>
    <row r="854" spans="1:9">
      <c r="A854" s="169"/>
      <c r="B854" s="167"/>
      <c r="C854" s="173"/>
      <c r="D854" s="170"/>
      <c r="E854" s="170"/>
      <c r="F854" s="169"/>
      <c r="G854" s="171"/>
      <c r="H854" s="172"/>
      <c r="I854" s="172"/>
    </row>
    <row r="855" spans="1:9">
      <c r="A855" s="169"/>
      <c r="B855" s="167"/>
      <c r="C855" s="173"/>
      <c r="D855" s="170"/>
      <c r="E855" s="170"/>
      <c r="F855" s="169"/>
      <c r="G855" s="171"/>
      <c r="H855" s="172"/>
      <c r="I855" s="172"/>
    </row>
    <row r="856" spans="1:9">
      <c r="A856" s="169"/>
      <c r="B856" s="167"/>
      <c r="C856" s="173"/>
      <c r="D856" s="170"/>
      <c r="E856" s="170"/>
      <c r="F856" s="169"/>
      <c r="G856" s="171"/>
      <c r="H856" s="172"/>
      <c r="I856" s="172"/>
    </row>
    <row r="857" spans="1:9">
      <c r="A857" s="169"/>
      <c r="B857" s="167"/>
      <c r="C857" s="173"/>
      <c r="D857" s="170"/>
      <c r="E857" s="170"/>
      <c r="F857" s="169"/>
      <c r="G857" s="171"/>
      <c r="H857" s="172"/>
      <c r="I857" s="172"/>
    </row>
    <row r="858" spans="1:9">
      <c r="A858" s="169"/>
      <c r="B858" s="167"/>
      <c r="C858" s="173"/>
      <c r="D858" s="170"/>
      <c r="E858" s="170"/>
      <c r="F858" s="169"/>
      <c r="G858" s="171"/>
      <c r="H858" s="172"/>
      <c r="I858" s="172"/>
    </row>
    <row r="859" spans="1:9">
      <c r="A859" s="169"/>
      <c r="B859" s="167"/>
      <c r="C859" s="173"/>
      <c r="D859" s="170"/>
      <c r="E859" s="170"/>
      <c r="F859" s="169"/>
      <c r="G859" s="171"/>
      <c r="H859" s="172"/>
      <c r="I859" s="172"/>
    </row>
    <row r="860" spans="1:9">
      <c r="A860" s="169"/>
      <c r="B860" s="167"/>
      <c r="C860" s="173"/>
      <c r="D860" s="170"/>
      <c r="E860" s="170"/>
      <c r="F860" s="169"/>
      <c r="G860" s="171"/>
      <c r="H860" s="172"/>
      <c r="I860" s="172"/>
    </row>
    <row r="861" spans="1:9">
      <c r="A861" s="169"/>
      <c r="B861" s="167"/>
      <c r="C861" s="173"/>
      <c r="D861" s="170"/>
      <c r="E861" s="170"/>
      <c r="F861" s="169"/>
      <c r="G861" s="171"/>
      <c r="H861" s="172"/>
      <c r="I861" s="172"/>
    </row>
    <row r="862" spans="1:9">
      <c r="A862" s="169"/>
      <c r="B862" s="167"/>
      <c r="C862" s="173"/>
      <c r="D862" s="170"/>
      <c r="E862" s="170"/>
      <c r="F862" s="169"/>
      <c r="G862" s="171"/>
      <c r="H862" s="172"/>
      <c r="I862" s="172"/>
    </row>
    <row r="863" spans="1:9">
      <c r="A863" s="169"/>
      <c r="B863" s="167"/>
      <c r="C863" s="173"/>
      <c r="D863" s="170"/>
      <c r="E863" s="170"/>
      <c r="F863" s="169"/>
      <c r="G863" s="171"/>
      <c r="H863" s="172"/>
      <c r="I863" s="172"/>
    </row>
    <row r="864" spans="1:9">
      <c r="A864" s="169"/>
      <c r="B864" s="167"/>
      <c r="C864" s="173"/>
      <c r="D864" s="170"/>
      <c r="E864" s="170"/>
      <c r="F864" s="169"/>
      <c r="G864" s="171"/>
      <c r="H864" s="172"/>
      <c r="I864" s="172"/>
    </row>
    <row r="865" spans="1:9">
      <c r="A865" s="169"/>
      <c r="B865" s="167"/>
      <c r="C865" s="173"/>
      <c r="D865" s="170"/>
      <c r="E865" s="170"/>
      <c r="F865" s="169"/>
      <c r="G865" s="171"/>
      <c r="H865" s="172"/>
      <c r="I865" s="172"/>
    </row>
    <row r="866" spans="1:9">
      <c r="A866" s="169"/>
      <c r="B866" s="167"/>
      <c r="C866" s="173"/>
      <c r="D866" s="170"/>
      <c r="E866" s="170"/>
      <c r="F866" s="169"/>
      <c r="G866" s="171"/>
      <c r="H866" s="172"/>
      <c r="I866" s="172"/>
    </row>
    <row r="867" spans="1:9">
      <c r="A867" s="169"/>
      <c r="B867" s="167"/>
      <c r="C867" s="173"/>
      <c r="D867" s="170"/>
      <c r="E867" s="170"/>
      <c r="F867" s="169"/>
      <c r="G867" s="171"/>
      <c r="H867" s="172"/>
      <c r="I867" s="172"/>
    </row>
    <row r="868" spans="1:9">
      <c r="A868" s="169"/>
      <c r="B868" s="167"/>
      <c r="C868" s="173"/>
      <c r="D868" s="170"/>
      <c r="E868" s="170"/>
      <c r="F868" s="169"/>
      <c r="G868" s="171"/>
      <c r="H868" s="172"/>
      <c r="I868" s="172"/>
    </row>
    <row r="869" spans="1:9">
      <c r="A869" s="169"/>
      <c r="B869" s="167"/>
      <c r="C869" s="173"/>
      <c r="D869" s="170"/>
      <c r="E869" s="170"/>
      <c r="F869" s="169"/>
      <c r="G869" s="171"/>
      <c r="H869" s="172"/>
      <c r="I869" s="172"/>
    </row>
    <row r="870" spans="1:9">
      <c r="A870" s="169"/>
      <c r="B870" s="167"/>
      <c r="C870" s="173"/>
      <c r="D870" s="170"/>
      <c r="E870" s="170"/>
      <c r="F870" s="169"/>
      <c r="G870" s="171"/>
      <c r="H870" s="172"/>
      <c r="I870" s="172"/>
    </row>
    <row r="871" spans="1:9">
      <c r="A871" s="169"/>
      <c r="B871" s="167"/>
      <c r="C871" s="173"/>
      <c r="D871" s="170"/>
      <c r="E871" s="170"/>
      <c r="F871" s="169"/>
      <c r="G871" s="171"/>
      <c r="H871" s="172"/>
      <c r="I871" s="172"/>
    </row>
    <row r="872" spans="1:9">
      <c r="A872" s="169"/>
      <c r="B872" s="167"/>
      <c r="C872" s="173"/>
      <c r="D872" s="170"/>
      <c r="E872" s="170"/>
      <c r="F872" s="169"/>
      <c r="G872" s="171"/>
      <c r="H872" s="172"/>
      <c r="I872" s="172"/>
    </row>
    <row r="873" spans="1:9">
      <c r="A873" s="169"/>
      <c r="B873" s="167"/>
      <c r="C873" s="173"/>
      <c r="D873" s="170"/>
      <c r="E873" s="170"/>
      <c r="F873" s="169"/>
      <c r="G873" s="171"/>
      <c r="H873" s="172"/>
      <c r="I873" s="172"/>
    </row>
    <row r="874" spans="1:9">
      <c r="A874" s="169"/>
      <c r="B874" s="167"/>
      <c r="C874" s="173"/>
      <c r="D874" s="170"/>
      <c r="E874" s="170"/>
      <c r="F874" s="169"/>
      <c r="G874" s="171"/>
      <c r="H874" s="172"/>
      <c r="I874" s="172"/>
    </row>
    <row r="875" spans="1:9">
      <c r="A875" s="169"/>
      <c r="B875" s="167"/>
      <c r="C875" s="173"/>
      <c r="D875" s="170"/>
      <c r="E875" s="170"/>
      <c r="F875" s="169"/>
      <c r="G875" s="171"/>
      <c r="H875" s="172"/>
      <c r="I875" s="172"/>
    </row>
    <row r="876" spans="1:9">
      <c r="A876" s="169"/>
      <c r="B876" s="167"/>
      <c r="C876" s="173"/>
      <c r="D876" s="170"/>
      <c r="E876" s="170"/>
      <c r="F876" s="169"/>
      <c r="G876" s="171"/>
      <c r="H876" s="172"/>
      <c r="I876" s="172"/>
    </row>
    <row r="877" spans="1:9">
      <c r="A877" s="169"/>
      <c r="B877" s="167"/>
      <c r="C877" s="173"/>
      <c r="D877" s="170"/>
      <c r="E877" s="170"/>
      <c r="F877" s="169"/>
      <c r="G877" s="171"/>
      <c r="H877" s="172"/>
      <c r="I877" s="172"/>
    </row>
    <row r="878" spans="1:9">
      <c r="A878" s="169"/>
      <c r="B878" s="167"/>
      <c r="C878" s="173"/>
      <c r="D878" s="170"/>
      <c r="E878" s="170"/>
      <c r="F878" s="169"/>
      <c r="G878" s="171"/>
      <c r="H878" s="172"/>
      <c r="I878" s="172"/>
    </row>
    <row r="879" spans="1:9">
      <c r="A879" s="169"/>
      <c r="B879" s="167"/>
      <c r="C879" s="173"/>
      <c r="D879" s="170"/>
      <c r="E879" s="170"/>
      <c r="F879" s="169"/>
      <c r="G879" s="171"/>
      <c r="H879" s="172"/>
      <c r="I879" s="172"/>
    </row>
    <row r="880" spans="1:9">
      <c r="A880" s="169"/>
      <c r="B880" s="167"/>
      <c r="C880" s="173"/>
      <c r="D880" s="170"/>
      <c r="E880" s="170"/>
      <c r="F880" s="169"/>
      <c r="G880" s="171"/>
      <c r="H880" s="172"/>
      <c r="I880" s="172"/>
    </row>
    <row r="881" spans="1:9">
      <c r="A881" s="169"/>
      <c r="B881" s="167"/>
      <c r="C881" s="173"/>
      <c r="D881" s="170"/>
      <c r="E881" s="170"/>
      <c r="F881" s="169"/>
      <c r="G881" s="171"/>
      <c r="H881" s="172"/>
      <c r="I881" s="172"/>
    </row>
    <row r="882" spans="1:9">
      <c r="A882" s="169"/>
      <c r="B882" s="167"/>
      <c r="C882" s="173"/>
      <c r="D882" s="170"/>
      <c r="E882" s="170"/>
      <c r="F882" s="169"/>
      <c r="G882" s="171"/>
      <c r="H882" s="172"/>
      <c r="I882" s="172"/>
    </row>
    <row r="883" spans="1:9">
      <c r="A883" s="169"/>
      <c r="B883" s="167"/>
      <c r="C883" s="173"/>
      <c r="D883" s="170"/>
      <c r="E883" s="170"/>
      <c r="F883" s="169"/>
      <c r="G883" s="171"/>
      <c r="H883" s="172"/>
      <c r="I883" s="172"/>
    </row>
    <row r="884" spans="1:9">
      <c r="A884" s="169"/>
      <c r="B884" s="167"/>
      <c r="C884" s="173"/>
      <c r="D884" s="170"/>
      <c r="E884" s="170"/>
      <c r="F884" s="169"/>
      <c r="G884" s="171"/>
      <c r="H884" s="172"/>
      <c r="I884" s="172"/>
    </row>
    <row r="885" spans="1:9">
      <c r="A885" s="169"/>
      <c r="B885" s="167"/>
      <c r="C885" s="173"/>
      <c r="D885" s="170"/>
      <c r="E885" s="170"/>
      <c r="F885" s="169"/>
      <c r="G885" s="171"/>
      <c r="H885" s="172"/>
      <c r="I885" s="172"/>
    </row>
    <row r="886" spans="1:9">
      <c r="A886" s="169"/>
      <c r="B886" s="167"/>
      <c r="C886" s="173"/>
      <c r="D886" s="170"/>
      <c r="E886" s="170"/>
      <c r="F886" s="169"/>
      <c r="G886" s="171"/>
      <c r="H886" s="172"/>
      <c r="I886" s="172"/>
    </row>
    <row r="887" spans="1:9">
      <c r="A887" s="169"/>
      <c r="B887" s="167"/>
      <c r="C887" s="173"/>
      <c r="D887" s="170"/>
      <c r="E887" s="170"/>
      <c r="F887" s="169"/>
      <c r="G887" s="171"/>
      <c r="H887" s="172"/>
      <c r="I887" s="172"/>
    </row>
    <row r="888" spans="1:9">
      <c r="A888" s="169"/>
      <c r="B888" s="167"/>
      <c r="C888" s="173"/>
      <c r="D888" s="170"/>
      <c r="E888" s="170"/>
      <c r="F888" s="169"/>
      <c r="G888" s="171"/>
      <c r="H888" s="172"/>
      <c r="I888" s="172"/>
    </row>
    <row r="889" spans="1:9">
      <c r="A889" s="169"/>
      <c r="B889" s="167"/>
      <c r="C889" s="173"/>
      <c r="D889" s="170"/>
      <c r="E889" s="170"/>
      <c r="F889" s="169"/>
      <c r="G889" s="171"/>
      <c r="H889" s="172"/>
      <c r="I889" s="172"/>
    </row>
    <row r="890" spans="1:9">
      <c r="A890" s="169"/>
      <c r="B890" s="167"/>
      <c r="C890" s="173"/>
      <c r="D890" s="170"/>
      <c r="E890" s="170"/>
      <c r="F890" s="169"/>
      <c r="G890" s="171"/>
      <c r="H890" s="172"/>
      <c r="I890" s="172"/>
    </row>
    <row r="891" spans="1:9">
      <c r="A891" s="169"/>
      <c r="B891" s="167"/>
      <c r="C891" s="173"/>
      <c r="D891" s="170"/>
      <c r="E891" s="170"/>
      <c r="F891" s="169"/>
      <c r="G891" s="171"/>
      <c r="H891" s="172"/>
      <c r="I891" s="172"/>
    </row>
    <row r="892" spans="1:9">
      <c r="A892" s="169"/>
      <c r="B892" s="167"/>
      <c r="C892" s="173"/>
      <c r="D892" s="170"/>
      <c r="E892" s="170"/>
      <c r="F892" s="169"/>
      <c r="G892" s="171"/>
      <c r="H892" s="172"/>
      <c r="I892" s="172"/>
    </row>
    <row r="893" spans="1:9">
      <c r="A893" s="169"/>
      <c r="B893" s="167"/>
      <c r="C893" s="173"/>
      <c r="D893" s="170"/>
      <c r="E893" s="170"/>
      <c r="F893" s="169"/>
      <c r="G893" s="171"/>
      <c r="H893" s="172"/>
      <c r="I893" s="172"/>
    </row>
    <row r="894" spans="1:9">
      <c r="A894" s="169"/>
      <c r="B894" s="167"/>
      <c r="C894" s="173"/>
      <c r="D894" s="170"/>
      <c r="E894" s="170"/>
      <c r="F894" s="169"/>
      <c r="G894" s="171"/>
      <c r="H894" s="172"/>
      <c r="I894" s="172"/>
    </row>
    <row r="895" spans="1:9">
      <c r="A895" s="169"/>
      <c r="B895" s="167"/>
      <c r="C895" s="173"/>
      <c r="D895" s="170"/>
      <c r="E895" s="170"/>
      <c r="F895" s="169"/>
      <c r="G895" s="171"/>
      <c r="H895" s="172"/>
      <c r="I895" s="172"/>
    </row>
    <row r="896" spans="1:9">
      <c r="A896" s="169"/>
      <c r="B896" s="167"/>
      <c r="C896" s="173"/>
      <c r="D896" s="170"/>
      <c r="E896" s="170"/>
      <c r="F896" s="169"/>
      <c r="G896" s="171"/>
      <c r="H896" s="172"/>
      <c r="I896" s="172"/>
    </row>
    <row r="897" spans="1:9">
      <c r="A897" s="169"/>
      <c r="B897" s="167"/>
      <c r="C897" s="173"/>
      <c r="D897" s="170"/>
      <c r="E897" s="170"/>
      <c r="F897" s="169"/>
      <c r="G897" s="171"/>
      <c r="H897" s="172"/>
      <c r="I897" s="172"/>
    </row>
    <row r="898" spans="1:9">
      <c r="A898" s="169"/>
      <c r="B898" s="167"/>
      <c r="C898" s="173"/>
      <c r="D898" s="170"/>
      <c r="E898" s="170"/>
      <c r="F898" s="169"/>
      <c r="G898" s="171"/>
      <c r="H898" s="172"/>
      <c r="I898" s="172"/>
    </row>
    <row r="899" spans="1:9">
      <c r="A899" s="169"/>
      <c r="B899" s="167"/>
      <c r="C899" s="173"/>
      <c r="D899" s="170"/>
      <c r="E899" s="170"/>
      <c r="F899" s="169"/>
      <c r="G899" s="171"/>
      <c r="H899" s="172"/>
      <c r="I899" s="172"/>
    </row>
    <row r="900" spans="1:9">
      <c r="A900" s="169"/>
      <c r="B900" s="167"/>
      <c r="C900" s="173"/>
      <c r="D900" s="170"/>
      <c r="E900" s="170"/>
      <c r="F900" s="169"/>
      <c r="G900" s="171"/>
      <c r="H900" s="172"/>
      <c r="I900" s="172"/>
    </row>
    <row r="901" spans="1:9">
      <c r="A901" s="169"/>
      <c r="B901" s="167"/>
      <c r="C901" s="173"/>
      <c r="D901" s="170"/>
      <c r="E901" s="170"/>
      <c r="F901" s="169"/>
      <c r="G901" s="171"/>
      <c r="H901" s="172"/>
      <c r="I901" s="172"/>
    </row>
    <row r="902" spans="1:9">
      <c r="A902" s="169"/>
      <c r="B902" s="167"/>
      <c r="C902" s="173"/>
      <c r="D902" s="170"/>
      <c r="E902" s="170"/>
      <c r="F902" s="169"/>
      <c r="G902" s="171"/>
      <c r="H902" s="172"/>
      <c r="I902" s="172"/>
    </row>
    <row r="903" spans="1:9">
      <c r="A903" s="169"/>
      <c r="B903" s="167"/>
      <c r="C903" s="173"/>
      <c r="D903" s="170"/>
      <c r="E903" s="170"/>
      <c r="F903" s="169"/>
      <c r="G903" s="171"/>
      <c r="H903" s="172"/>
      <c r="I903" s="172"/>
    </row>
    <row r="904" spans="1:9">
      <c r="A904" s="169"/>
      <c r="B904" s="167"/>
      <c r="C904" s="173"/>
      <c r="D904" s="170"/>
      <c r="E904" s="170"/>
      <c r="F904" s="169"/>
      <c r="G904" s="171"/>
      <c r="H904" s="172"/>
      <c r="I904" s="172"/>
    </row>
    <row r="905" spans="1:9">
      <c r="A905" s="169"/>
      <c r="B905" s="167"/>
      <c r="C905" s="173"/>
      <c r="D905" s="170"/>
      <c r="E905" s="170"/>
      <c r="F905" s="169"/>
      <c r="G905" s="171"/>
      <c r="H905" s="172"/>
      <c r="I905" s="172"/>
    </row>
    <row r="906" spans="1:9">
      <c r="A906" s="169"/>
      <c r="B906" s="167"/>
      <c r="C906" s="173"/>
      <c r="D906" s="170"/>
      <c r="E906" s="170"/>
      <c r="F906" s="169"/>
      <c r="G906" s="171"/>
      <c r="H906" s="172"/>
      <c r="I906" s="172"/>
    </row>
    <row r="907" spans="1:9">
      <c r="A907" s="169"/>
      <c r="B907" s="167"/>
      <c r="C907" s="173"/>
      <c r="D907" s="170"/>
      <c r="E907" s="170"/>
      <c r="F907" s="169"/>
      <c r="G907" s="171"/>
      <c r="H907" s="172"/>
      <c r="I907" s="172"/>
    </row>
    <row r="908" spans="1:9">
      <c r="A908" s="169"/>
      <c r="B908" s="167"/>
      <c r="C908" s="173"/>
      <c r="D908" s="170"/>
      <c r="E908" s="170"/>
      <c r="F908" s="169"/>
      <c r="G908" s="171"/>
      <c r="H908" s="172"/>
      <c r="I908" s="172"/>
    </row>
    <row r="909" spans="1:9">
      <c r="A909" s="169"/>
      <c r="B909" s="167"/>
      <c r="C909" s="173"/>
      <c r="D909" s="170"/>
      <c r="E909" s="170"/>
      <c r="F909" s="169"/>
      <c r="G909" s="171"/>
      <c r="H909" s="172"/>
      <c r="I909" s="172"/>
    </row>
    <row r="910" spans="1:9">
      <c r="A910" s="169"/>
      <c r="B910" s="167"/>
      <c r="C910" s="173"/>
      <c r="D910" s="170"/>
      <c r="E910" s="170"/>
      <c r="F910" s="169"/>
      <c r="G910" s="171"/>
      <c r="H910" s="172"/>
      <c r="I910" s="172"/>
    </row>
    <row r="911" spans="1:9">
      <c r="A911" s="169"/>
      <c r="B911" s="167"/>
      <c r="C911" s="173"/>
      <c r="D911" s="170"/>
      <c r="E911" s="170"/>
      <c r="F911" s="169"/>
      <c r="G911" s="171"/>
      <c r="H911" s="172"/>
      <c r="I911" s="172"/>
    </row>
    <row r="912" spans="1:9">
      <c r="A912" s="169"/>
      <c r="B912" s="167"/>
      <c r="C912" s="173"/>
      <c r="D912" s="170"/>
      <c r="E912" s="170"/>
      <c r="F912" s="169"/>
      <c r="G912" s="171"/>
      <c r="H912" s="172"/>
      <c r="I912" s="172"/>
    </row>
    <row r="913" spans="1:9">
      <c r="A913" s="169"/>
      <c r="B913" s="167"/>
      <c r="C913" s="173"/>
      <c r="D913" s="170"/>
      <c r="E913" s="170"/>
      <c r="F913" s="169"/>
      <c r="G913" s="171"/>
      <c r="H913" s="172"/>
      <c r="I913" s="172"/>
    </row>
    <row r="914" spans="1:9">
      <c r="A914" s="169"/>
      <c r="B914" s="167"/>
      <c r="C914" s="173"/>
      <c r="D914" s="170"/>
      <c r="E914" s="170"/>
      <c r="F914" s="169"/>
      <c r="G914" s="171"/>
      <c r="H914" s="172"/>
      <c r="I914" s="172"/>
    </row>
    <row r="915" spans="1:9">
      <c r="A915" s="169"/>
      <c r="B915" s="167"/>
      <c r="C915" s="173"/>
      <c r="D915" s="170"/>
      <c r="E915" s="170"/>
      <c r="F915" s="169"/>
      <c r="G915" s="171"/>
      <c r="H915" s="172"/>
      <c r="I915" s="172"/>
    </row>
    <row r="916" spans="1:9">
      <c r="A916" s="169"/>
      <c r="B916" s="167"/>
      <c r="C916" s="173"/>
      <c r="D916" s="170"/>
      <c r="E916" s="170"/>
      <c r="F916" s="169"/>
      <c r="G916" s="171"/>
      <c r="H916" s="172"/>
      <c r="I916" s="172"/>
    </row>
    <row r="917" spans="1:9">
      <c r="A917" s="169"/>
      <c r="B917" s="167"/>
      <c r="C917" s="173"/>
      <c r="D917" s="170"/>
      <c r="E917" s="170"/>
      <c r="F917" s="169"/>
      <c r="G917" s="171"/>
      <c r="H917" s="172"/>
      <c r="I917" s="172"/>
    </row>
    <row r="918" spans="1:9">
      <c r="A918" s="169"/>
      <c r="B918" s="167"/>
      <c r="C918" s="173"/>
      <c r="D918" s="170"/>
      <c r="E918" s="170"/>
      <c r="F918" s="169"/>
      <c r="G918" s="171"/>
      <c r="H918" s="172"/>
      <c r="I918" s="172"/>
    </row>
    <row r="919" spans="1:9">
      <c r="A919" s="169"/>
      <c r="B919" s="167"/>
      <c r="C919" s="173"/>
      <c r="D919" s="170"/>
      <c r="E919" s="170"/>
      <c r="F919" s="169"/>
      <c r="G919" s="171"/>
      <c r="H919" s="172"/>
      <c r="I919" s="172"/>
    </row>
    <row r="920" spans="1:9">
      <c r="A920" s="169"/>
      <c r="B920" s="167"/>
      <c r="C920" s="173"/>
      <c r="D920" s="170"/>
      <c r="E920" s="170"/>
      <c r="F920" s="169"/>
      <c r="G920" s="171"/>
      <c r="H920" s="172"/>
      <c r="I920" s="172"/>
    </row>
    <row r="921" spans="1:9">
      <c r="A921" s="169"/>
      <c r="B921" s="167"/>
      <c r="C921" s="173"/>
      <c r="D921" s="170"/>
      <c r="E921" s="170"/>
      <c r="F921" s="169"/>
      <c r="G921" s="171"/>
      <c r="H921" s="172"/>
      <c r="I921" s="172"/>
    </row>
    <row r="922" spans="1:9">
      <c r="A922" s="169"/>
      <c r="B922" s="167"/>
      <c r="C922" s="173"/>
      <c r="D922" s="170"/>
      <c r="E922" s="170"/>
      <c r="F922" s="169"/>
      <c r="G922" s="171"/>
      <c r="H922" s="172"/>
      <c r="I922" s="172"/>
    </row>
    <row r="923" spans="1:9">
      <c r="A923" s="169"/>
      <c r="B923" s="167"/>
      <c r="C923" s="173"/>
      <c r="D923" s="170"/>
      <c r="E923" s="170"/>
      <c r="F923" s="169"/>
      <c r="G923" s="171"/>
      <c r="H923" s="172"/>
      <c r="I923" s="172"/>
    </row>
    <row r="924" spans="1:9">
      <c r="A924" s="169"/>
      <c r="B924" s="167"/>
      <c r="C924" s="173"/>
      <c r="D924" s="170"/>
      <c r="E924" s="170"/>
      <c r="F924" s="169"/>
      <c r="G924" s="171"/>
      <c r="H924" s="172"/>
      <c r="I924" s="172"/>
    </row>
    <row r="925" spans="1:9">
      <c r="A925" s="169"/>
      <c r="B925" s="167"/>
      <c r="C925" s="173"/>
      <c r="D925" s="170"/>
      <c r="E925" s="170"/>
      <c r="F925" s="169"/>
      <c r="G925" s="171"/>
      <c r="H925" s="172"/>
      <c r="I925" s="172"/>
    </row>
    <row r="926" spans="1:9">
      <c r="A926" s="169"/>
      <c r="B926" s="167"/>
      <c r="C926" s="173"/>
      <c r="D926" s="170"/>
      <c r="E926" s="170"/>
      <c r="F926" s="169"/>
      <c r="G926" s="171"/>
      <c r="H926" s="172"/>
      <c r="I926" s="172"/>
    </row>
    <row r="927" spans="1:9">
      <c r="A927" s="169"/>
      <c r="B927" s="167"/>
      <c r="C927" s="173"/>
      <c r="D927" s="170"/>
      <c r="E927" s="170"/>
      <c r="F927" s="169"/>
      <c r="G927" s="171"/>
      <c r="H927" s="172"/>
      <c r="I927" s="172"/>
    </row>
    <row r="928" spans="1:9">
      <c r="A928" s="169"/>
      <c r="B928" s="167"/>
      <c r="C928" s="173"/>
      <c r="D928" s="170"/>
      <c r="E928" s="170"/>
      <c r="F928" s="169"/>
      <c r="G928" s="171"/>
      <c r="H928" s="172"/>
      <c r="I928" s="172"/>
    </row>
    <row r="929" spans="1:9">
      <c r="A929" s="169"/>
      <c r="B929" s="167"/>
      <c r="C929" s="173"/>
      <c r="D929" s="170"/>
      <c r="E929" s="170"/>
      <c r="F929" s="169"/>
      <c r="G929" s="171"/>
      <c r="H929" s="172"/>
      <c r="I929" s="172"/>
    </row>
    <row r="930" spans="1:9">
      <c r="A930" s="169"/>
      <c r="B930" s="167"/>
      <c r="C930" s="173"/>
      <c r="D930" s="170"/>
      <c r="E930" s="170"/>
      <c r="F930" s="169"/>
      <c r="G930" s="171"/>
      <c r="H930" s="172"/>
      <c r="I930" s="172"/>
    </row>
    <row r="931" spans="1:9">
      <c r="A931" s="169"/>
      <c r="B931" s="167"/>
      <c r="C931" s="173"/>
      <c r="D931" s="170"/>
      <c r="E931" s="170"/>
      <c r="F931" s="169"/>
      <c r="G931" s="171"/>
      <c r="H931" s="172"/>
      <c r="I931" s="172"/>
    </row>
    <row r="932" spans="1:9">
      <c r="A932" s="169"/>
      <c r="B932" s="167"/>
      <c r="C932" s="173"/>
      <c r="D932" s="170"/>
      <c r="E932" s="170"/>
      <c r="F932" s="169"/>
      <c r="G932" s="171"/>
      <c r="H932" s="172"/>
      <c r="I932" s="172"/>
    </row>
    <row r="933" spans="1:9">
      <c r="A933" s="169"/>
      <c r="B933" s="167"/>
      <c r="C933" s="173"/>
      <c r="D933" s="170"/>
      <c r="E933" s="170"/>
      <c r="F933" s="169"/>
      <c r="G933" s="171"/>
      <c r="H933" s="172"/>
      <c r="I933" s="172"/>
    </row>
    <row r="934" spans="1:9">
      <c r="A934" s="169"/>
      <c r="B934" s="167"/>
      <c r="C934" s="173"/>
      <c r="D934" s="170"/>
      <c r="E934" s="170"/>
      <c r="F934" s="169"/>
      <c r="G934" s="171"/>
      <c r="H934" s="172"/>
      <c r="I934" s="172"/>
    </row>
    <row r="935" spans="1:9">
      <c r="A935" s="169"/>
      <c r="B935" s="167"/>
      <c r="C935" s="173"/>
      <c r="D935" s="170"/>
      <c r="E935" s="170"/>
      <c r="F935" s="169"/>
      <c r="G935" s="171"/>
      <c r="H935" s="172"/>
      <c r="I935" s="172"/>
    </row>
    <row r="936" spans="1:9">
      <c r="A936" s="169"/>
      <c r="B936" s="167"/>
      <c r="C936" s="173"/>
      <c r="D936" s="170"/>
      <c r="E936" s="170"/>
      <c r="F936" s="169"/>
      <c r="G936" s="171"/>
      <c r="H936" s="172"/>
      <c r="I936" s="172"/>
    </row>
    <row r="937" spans="1:9">
      <c r="A937" s="169"/>
      <c r="B937" s="167"/>
      <c r="C937" s="173"/>
      <c r="D937" s="170"/>
      <c r="E937" s="170"/>
      <c r="F937" s="169"/>
      <c r="G937" s="171"/>
      <c r="H937" s="172"/>
      <c r="I937" s="172"/>
    </row>
    <row r="938" spans="1:9">
      <c r="A938" s="169"/>
      <c r="B938" s="167"/>
      <c r="C938" s="173"/>
      <c r="D938" s="170"/>
      <c r="E938" s="170"/>
      <c r="F938" s="169"/>
      <c r="G938" s="171"/>
      <c r="H938" s="172"/>
      <c r="I938" s="172"/>
    </row>
    <row r="939" spans="1:9">
      <c r="A939" s="169"/>
      <c r="B939" s="167"/>
      <c r="C939" s="173"/>
      <c r="D939" s="170"/>
      <c r="E939" s="170"/>
      <c r="F939" s="169"/>
      <c r="G939" s="171"/>
      <c r="H939" s="172"/>
      <c r="I939" s="172"/>
    </row>
    <row r="940" spans="1:9">
      <c r="A940" s="169"/>
      <c r="B940" s="167"/>
      <c r="C940" s="173"/>
      <c r="D940" s="170"/>
      <c r="E940" s="170"/>
      <c r="F940" s="169"/>
      <c r="G940" s="171"/>
      <c r="H940" s="172"/>
      <c r="I940" s="172"/>
    </row>
    <row r="941" spans="1:9">
      <c r="A941" s="169"/>
      <c r="B941" s="167"/>
      <c r="C941" s="173"/>
      <c r="D941" s="170"/>
      <c r="E941" s="170"/>
      <c r="F941" s="169"/>
      <c r="G941" s="171"/>
      <c r="H941" s="172"/>
      <c r="I941" s="172"/>
    </row>
    <row r="942" spans="1:9">
      <c r="A942" s="169"/>
      <c r="B942" s="167"/>
      <c r="C942" s="173"/>
      <c r="D942" s="170"/>
      <c r="E942" s="170"/>
      <c r="F942" s="169"/>
      <c r="G942" s="171"/>
      <c r="H942" s="172"/>
      <c r="I942" s="172"/>
    </row>
    <row r="943" spans="1:9">
      <c r="A943" s="169"/>
      <c r="B943" s="167"/>
      <c r="C943" s="173"/>
      <c r="D943" s="170"/>
      <c r="E943" s="170"/>
      <c r="F943" s="169"/>
      <c r="G943" s="171"/>
      <c r="H943" s="172"/>
      <c r="I943" s="172"/>
    </row>
    <row r="944" spans="1:9">
      <c r="A944" s="169"/>
      <c r="B944" s="167"/>
      <c r="C944" s="173"/>
      <c r="D944" s="170"/>
      <c r="E944" s="170"/>
      <c r="F944" s="169"/>
      <c r="G944" s="171"/>
      <c r="H944" s="172"/>
      <c r="I944" s="172"/>
    </row>
    <row r="945" spans="1:9">
      <c r="A945" s="169"/>
      <c r="B945" s="167"/>
      <c r="C945" s="173"/>
      <c r="D945" s="170"/>
      <c r="E945" s="170"/>
      <c r="F945" s="169"/>
      <c r="G945" s="171"/>
      <c r="H945" s="172"/>
      <c r="I945" s="172"/>
    </row>
    <row r="946" spans="1:9">
      <c r="A946" s="169"/>
      <c r="B946" s="167"/>
      <c r="C946" s="173"/>
      <c r="D946" s="170"/>
      <c r="E946" s="170"/>
      <c r="F946" s="169"/>
      <c r="G946" s="171"/>
      <c r="H946" s="172"/>
      <c r="I946" s="172"/>
    </row>
    <row r="947" spans="1:9">
      <c r="A947" s="169"/>
      <c r="B947" s="167"/>
      <c r="C947" s="173"/>
      <c r="D947" s="170"/>
      <c r="E947" s="170"/>
      <c r="F947" s="169"/>
      <c r="G947" s="171"/>
      <c r="H947" s="172"/>
      <c r="I947" s="172"/>
    </row>
    <row r="948" spans="1:9">
      <c r="A948" s="169"/>
      <c r="B948" s="167"/>
      <c r="C948" s="173"/>
      <c r="D948" s="170"/>
      <c r="E948" s="170"/>
      <c r="F948" s="169"/>
      <c r="G948" s="171"/>
      <c r="H948" s="172"/>
      <c r="I948" s="172"/>
    </row>
    <row r="949" spans="1:9">
      <c r="A949" s="169"/>
      <c r="B949" s="167"/>
      <c r="C949" s="173"/>
      <c r="D949" s="170"/>
      <c r="E949" s="170"/>
      <c r="F949" s="169"/>
      <c r="G949" s="171"/>
      <c r="H949" s="172"/>
      <c r="I949" s="172"/>
    </row>
    <row r="950" spans="1:9">
      <c r="A950" s="169"/>
      <c r="B950" s="167"/>
      <c r="C950" s="173"/>
      <c r="D950" s="170"/>
      <c r="E950" s="170"/>
      <c r="F950" s="169"/>
      <c r="G950" s="171"/>
      <c r="H950" s="172"/>
      <c r="I950" s="172"/>
    </row>
    <row r="951" spans="1:9">
      <c r="A951" s="169"/>
      <c r="B951" s="167"/>
      <c r="C951" s="173"/>
      <c r="D951" s="170"/>
      <c r="E951" s="170"/>
      <c r="F951" s="169"/>
      <c r="G951" s="171"/>
      <c r="H951" s="172"/>
      <c r="I951" s="172"/>
    </row>
    <row r="952" spans="1:9">
      <c r="A952" s="169"/>
      <c r="B952" s="167"/>
      <c r="C952" s="173"/>
      <c r="D952" s="170"/>
      <c r="E952" s="170"/>
      <c r="F952" s="169"/>
      <c r="G952" s="171"/>
      <c r="H952" s="172"/>
      <c r="I952" s="172"/>
    </row>
    <row r="953" spans="1:9">
      <c r="A953" s="169"/>
      <c r="B953" s="167"/>
      <c r="C953" s="173"/>
      <c r="D953" s="170"/>
      <c r="E953" s="170"/>
      <c r="F953" s="169"/>
      <c r="G953" s="171"/>
      <c r="H953" s="172"/>
      <c r="I953" s="172"/>
    </row>
    <row r="954" spans="1:9">
      <c r="A954" s="169"/>
      <c r="B954" s="167"/>
      <c r="C954" s="173"/>
      <c r="D954" s="170"/>
      <c r="E954" s="170"/>
      <c r="F954" s="169"/>
      <c r="G954" s="171"/>
      <c r="H954" s="172"/>
      <c r="I954" s="172"/>
    </row>
    <row r="955" spans="1:9">
      <c r="A955" s="169"/>
      <c r="B955" s="167"/>
      <c r="C955" s="173"/>
      <c r="D955" s="170"/>
      <c r="E955" s="170"/>
      <c r="F955" s="169"/>
      <c r="G955" s="171"/>
      <c r="H955" s="172"/>
      <c r="I955" s="172"/>
    </row>
    <row r="956" spans="1:9">
      <c r="A956" s="169"/>
      <c r="B956" s="167"/>
      <c r="C956" s="173"/>
      <c r="D956" s="170"/>
      <c r="E956" s="170"/>
      <c r="F956" s="169"/>
      <c r="G956" s="171"/>
      <c r="H956" s="172"/>
      <c r="I956" s="172"/>
    </row>
    <row r="957" spans="1:9">
      <c r="A957" s="169"/>
      <c r="B957" s="167"/>
      <c r="C957" s="173"/>
      <c r="D957" s="170"/>
      <c r="E957" s="170"/>
      <c r="F957" s="169"/>
      <c r="G957" s="171"/>
      <c r="H957" s="172"/>
      <c r="I957" s="172"/>
    </row>
    <row r="958" spans="1:9">
      <c r="A958" s="169"/>
      <c r="B958" s="167"/>
      <c r="C958" s="173"/>
      <c r="D958" s="170"/>
      <c r="E958" s="170"/>
      <c r="F958" s="169"/>
      <c r="G958" s="171"/>
      <c r="H958" s="172"/>
      <c r="I958" s="172"/>
    </row>
    <row r="959" spans="1:9">
      <c r="A959" s="169"/>
      <c r="B959" s="167"/>
      <c r="C959" s="173"/>
      <c r="D959" s="170"/>
      <c r="E959" s="170"/>
      <c r="F959" s="169"/>
      <c r="G959" s="171"/>
      <c r="H959" s="172"/>
      <c r="I959" s="172"/>
    </row>
    <row r="960" spans="1:9">
      <c r="A960" s="169"/>
      <c r="B960" s="167"/>
      <c r="C960" s="173"/>
      <c r="D960" s="170"/>
      <c r="E960" s="170"/>
      <c r="F960" s="169"/>
      <c r="G960" s="171"/>
      <c r="H960" s="172"/>
      <c r="I960" s="172"/>
    </row>
    <row r="961" spans="1:9">
      <c r="A961" s="169"/>
      <c r="B961" s="167"/>
      <c r="C961" s="173"/>
      <c r="D961" s="170"/>
      <c r="E961" s="170"/>
      <c r="F961" s="169"/>
      <c r="G961" s="171"/>
      <c r="H961" s="172"/>
      <c r="I961" s="172"/>
    </row>
    <row r="962" spans="1:9">
      <c r="A962" s="169"/>
      <c r="B962" s="167"/>
      <c r="C962" s="173"/>
      <c r="D962" s="170"/>
      <c r="E962" s="170"/>
      <c r="F962" s="169"/>
      <c r="G962" s="171"/>
      <c r="H962" s="172"/>
      <c r="I962" s="172"/>
    </row>
    <row r="963" spans="1:9">
      <c r="A963" s="169"/>
      <c r="B963" s="167"/>
      <c r="C963" s="173"/>
      <c r="D963" s="170"/>
      <c r="E963" s="170"/>
      <c r="F963" s="169"/>
      <c r="G963" s="171"/>
      <c r="H963" s="172"/>
      <c r="I963" s="172"/>
    </row>
    <row r="964" spans="1:9">
      <c r="A964" s="169"/>
      <c r="B964" s="167"/>
      <c r="C964" s="173"/>
      <c r="D964" s="170"/>
      <c r="E964" s="170"/>
      <c r="F964" s="169"/>
      <c r="G964" s="171"/>
      <c r="H964" s="172"/>
      <c r="I964" s="172"/>
    </row>
    <row r="965" spans="1:9">
      <c r="A965" s="169"/>
      <c r="B965" s="167"/>
      <c r="C965" s="173"/>
      <c r="D965" s="170"/>
      <c r="E965" s="170"/>
      <c r="F965" s="169"/>
      <c r="G965" s="171"/>
      <c r="H965" s="172"/>
      <c r="I965" s="172"/>
    </row>
    <row r="966" spans="1:9">
      <c r="A966" s="169"/>
      <c r="B966" s="167"/>
      <c r="C966" s="173"/>
      <c r="D966" s="170"/>
      <c r="E966" s="170"/>
      <c r="F966" s="169"/>
      <c r="G966" s="171"/>
      <c r="H966" s="172"/>
      <c r="I966" s="172"/>
    </row>
    <row r="967" spans="1:9">
      <c r="A967" s="169"/>
      <c r="B967" s="167"/>
      <c r="C967" s="173"/>
      <c r="D967" s="170"/>
      <c r="E967" s="170"/>
      <c r="F967" s="169"/>
      <c r="G967" s="171"/>
      <c r="H967" s="172"/>
      <c r="I967" s="172"/>
    </row>
    <row r="968" spans="1:9">
      <c r="A968" s="169"/>
      <c r="B968" s="167"/>
      <c r="C968" s="173"/>
      <c r="D968" s="170"/>
      <c r="E968" s="170"/>
      <c r="F968" s="169"/>
      <c r="G968" s="171"/>
      <c r="H968" s="172"/>
      <c r="I968" s="172"/>
    </row>
    <row r="969" spans="1:9">
      <c r="A969" s="169"/>
      <c r="B969" s="167"/>
      <c r="C969" s="173"/>
      <c r="D969" s="170"/>
      <c r="E969" s="170"/>
      <c r="F969" s="169"/>
      <c r="G969" s="171"/>
      <c r="H969" s="172"/>
      <c r="I969" s="172"/>
    </row>
    <row r="970" spans="1:9">
      <c r="A970" s="169"/>
      <c r="B970" s="167"/>
      <c r="C970" s="173"/>
      <c r="D970" s="170"/>
      <c r="E970" s="170"/>
      <c r="F970" s="169"/>
      <c r="G970" s="171"/>
      <c r="H970" s="172"/>
      <c r="I970" s="172"/>
    </row>
    <row r="971" spans="1:9">
      <c r="A971" s="169"/>
      <c r="B971" s="167"/>
      <c r="C971" s="173"/>
      <c r="D971" s="170"/>
      <c r="E971" s="170"/>
      <c r="F971" s="169"/>
      <c r="G971" s="171"/>
      <c r="H971" s="172"/>
      <c r="I971" s="172"/>
    </row>
    <row r="972" spans="1:9">
      <c r="A972" s="169"/>
      <c r="B972" s="167"/>
      <c r="C972" s="173"/>
      <c r="D972" s="170"/>
      <c r="E972" s="170"/>
      <c r="F972" s="169"/>
      <c r="G972" s="171"/>
      <c r="H972" s="172"/>
      <c r="I972" s="172"/>
    </row>
    <row r="973" spans="1:9">
      <c r="A973" s="169"/>
      <c r="B973" s="167"/>
      <c r="C973" s="173"/>
      <c r="D973" s="170"/>
      <c r="E973" s="170"/>
      <c r="F973" s="169"/>
      <c r="G973" s="171"/>
      <c r="H973" s="172"/>
      <c r="I973" s="172"/>
    </row>
    <row r="974" spans="1:9">
      <c r="A974" s="169"/>
      <c r="B974" s="167"/>
      <c r="C974" s="173"/>
      <c r="D974" s="170"/>
      <c r="E974" s="170"/>
      <c r="F974" s="169"/>
      <c r="G974" s="171"/>
      <c r="H974" s="172"/>
      <c r="I974" s="172"/>
    </row>
    <row r="975" spans="1:9">
      <c r="A975" s="169"/>
      <c r="B975" s="167"/>
      <c r="C975" s="173"/>
      <c r="D975" s="170"/>
      <c r="E975" s="170"/>
      <c r="F975" s="169"/>
      <c r="G975" s="171"/>
      <c r="H975" s="172"/>
      <c r="I975" s="172"/>
    </row>
    <row r="976" spans="1:9">
      <c r="A976" s="169"/>
      <c r="B976" s="167"/>
      <c r="C976" s="173"/>
      <c r="D976" s="170"/>
      <c r="E976" s="170"/>
      <c r="F976" s="169"/>
      <c r="G976" s="171"/>
      <c r="H976" s="172"/>
      <c r="I976" s="172"/>
    </row>
    <row r="977" spans="1:9">
      <c r="A977" s="169"/>
      <c r="B977" s="167"/>
      <c r="C977" s="173"/>
      <c r="D977" s="170"/>
      <c r="E977" s="170"/>
      <c r="F977" s="169"/>
      <c r="G977" s="171"/>
      <c r="H977" s="172"/>
      <c r="I977" s="172"/>
    </row>
    <row r="978" spans="1:9">
      <c r="A978" s="169"/>
      <c r="B978" s="167"/>
      <c r="C978" s="173"/>
      <c r="D978" s="170"/>
      <c r="E978" s="170"/>
      <c r="F978" s="169"/>
      <c r="G978" s="171"/>
      <c r="H978" s="172"/>
      <c r="I978" s="172"/>
    </row>
    <row r="979" spans="1:9">
      <c r="A979" s="169"/>
      <c r="B979" s="167"/>
      <c r="C979" s="173"/>
      <c r="D979" s="170"/>
      <c r="E979" s="170"/>
      <c r="F979" s="169"/>
      <c r="G979" s="171"/>
      <c r="H979" s="172"/>
      <c r="I979" s="172"/>
    </row>
    <row r="980" spans="1:9">
      <c r="A980" s="169"/>
      <c r="B980" s="167"/>
      <c r="C980" s="173"/>
      <c r="D980" s="170"/>
      <c r="E980" s="170"/>
      <c r="F980" s="169"/>
      <c r="G980" s="171"/>
      <c r="H980" s="172"/>
      <c r="I980" s="172"/>
    </row>
    <row r="981" spans="1:9">
      <c r="A981" s="169"/>
      <c r="B981" s="167"/>
      <c r="C981" s="173"/>
      <c r="D981" s="170"/>
      <c r="E981" s="170"/>
      <c r="F981" s="169"/>
      <c r="G981" s="171"/>
      <c r="H981" s="172"/>
      <c r="I981" s="172"/>
    </row>
    <row r="982" spans="1:9">
      <c r="A982" s="169"/>
      <c r="B982" s="167"/>
      <c r="C982" s="173"/>
      <c r="D982" s="170"/>
      <c r="E982" s="170"/>
      <c r="F982" s="169"/>
      <c r="G982" s="171"/>
      <c r="H982" s="172"/>
      <c r="I982" s="172"/>
    </row>
    <row r="983" spans="1:9">
      <c r="A983" s="169"/>
      <c r="B983" s="167"/>
      <c r="C983" s="173"/>
      <c r="D983" s="170"/>
      <c r="E983" s="170"/>
      <c r="F983" s="169"/>
      <c r="G983" s="171"/>
      <c r="H983" s="172"/>
      <c r="I983" s="172"/>
    </row>
    <row r="984" spans="1:9">
      <c r="A984" s="169"/>
      <c r="B984" s="167"/>
      <c r="C984" s="173"/>
      <c r="D984" s="170"/>
      <c r="E984" s="170"/>
      <c r="F984" s="169"/>
      <c r="G984" s="171"/>
      <c r="H984" s="172"/>
      <c r="I984" s="172"/>
    </row>
    <row r="985" spans="1:9">
      <c r="A985" s="169"/>
      <c r="B985" s="167"/>
      <c r="C985" s="173"/>
      <c r="D985" s="170"/>
      <c r="E985" s="170"/>
      <c r="F985" s="169"/>
      <c r="G985" s="171"/>
      <c r="H985" s="172"/>
      <c r="I985" s="172"/>
    </row>
    <row r="986" spans="1:9">
      <c r="A986" s="169"/>
      <c r="B986" s="167"/>
      <c r="C986" s="173"/>
      <c r="D986" s="170"/>
      <c r="E986" s="170"/>
      <c r="F986" s="169"/>
      <c r="G986" s="171"/>
      <c r="H986" s="172"/>
      <c r="I986" s="172"/>
    </row>
    <row r="987" spans="1:9">
      <c r="A987" s="169"/>
      <c r="B987" s="167"/>
      <c r="C987" s="173"/>
      <c r="D987" s="170"/>
      <c r="E987" s="170"/>
      <c r="F987" s="169"/>
      <c r="G987" s="171"/>
      <c r="H987" s="172"/>
      <c r="I987" s="172"/>
    </row>
    <row r="988" spans="1:9">
      <c r="A988" s="169"/>
      <c r="B988" s="167"/>
      <c r="C988" s="173"/>
      <c r="D988" s="170"/>
      <c r="E988" s="170"/>
      <c r="F988" s="169"/>
      <c r="G988" s="171"/>
      <c r="H988" s="172"/>
      <c r="I988" s="172"/>
    </row>
    <row r="989" spans="1:9">
      <c r="A989" s="169"/>
      <c r="B989" s="167"/>
      <c r="C989" s="173"/>
      <c r="D989" s="170"/>
      <c r="E989" s="170"/>
      <c r="F989" s="169"/>
      <c r="G989" s="171"/>
      <c r="H989" s="172"/>
      <c r="I989" s="172"/>
    </row>
    <row r="990" spans="1:9">
      <c r="A990" s="169"/>
      <c r="B990" s="167"/>
      <c r="C990" s="173"/>
      <c r="D990" s="170"/>
      <c r="E990" s="170"/>
      <c r="F990" s="169"/>
      <c r="G990" s="171"/>
      <c r="H990" s="172"/>
      <c r="I990" s="172"/>
    </row>
    <row r="991" spans="1:9">
      <c r="A991" s="169"/>
      <c r="B991" s="167"/>
      <c r="C991" s="173"/>
      <c r="D991" s="170"/>
      <c r="E991" s="170"/>
      <c r="F991" s="169"/>
      <c r="G991" s="171"/>
      <c r="H991" s="172"/>
      <c r="I991" s="172"/>
    </row>
    <row r="992" spans="1:9">
      <c r="A992" s="169"/>
      <c r="B992" s="167"/>
      <c r="C992" s="173"/>
      <c r="D992" s="170"/>
      <c r="E992" s="170"/>
      <c r="F992" s="169"/>
      <c r="G992" s="171"/>
      <c r="H992" s="172"/>
      <c r="I992" s="172"/>
    </row>
    <row r="993" spans="1:9">
      <c r="A993" s="169"/>
      <c r="B993" s="167"/>
      <c r="C993" s="173"/>
      <c r="D993" s="170"/>
      <c r="E993" s="170"/>
      <c r="F993" s="169"/>
      <c r="G993" s="171"/>
      <c r="H993" s="172"/>
      <c r="I993" s="172"/>
    </row>
    <row r="994" spans="1:9">
      <c r="A994" s="169"/>
      <c r="B994" s="167"/>
      <c r="C994" s="173"/>
      <c r="D994" s="170"/>
      <c r="E994" s="170"/>
      <c r="F994" s="169"/>
      <c r="G994" s="171"/>
      <c r="H994" s="172"/>
      <c r="I994" s="172"/>
    </row>
    <row r="995" spans="1:9">
      <c r="A995" s="169"/>
      <c r="B995" s="167"/>
      <c r="C995" s="173"/>
      <c r="D995" s="170"/>
      <c r="E995" s="170"/>
      <c r="F995" s="169"/>
      <c r="G995" s="171"/>
      <c r="H995" s="172"/>
      <c r="I995" s="172"/>
    </row>
    <row r="996" spans="1:9">
      <c r="A996" s="169"/>
      <c r="B996" s="167"/>
      <c r="C996" s="173"/>
      <c r="D996" s="170"/>
      <c r="E996" s="170"/>
      <c r="F996" s="169"/>
      <c r="G996" s="171"/>
      <c r="H996" s="172"/>
      <c r="I996" s="172"/>
    </row>
    <row r="997" spans="1:9">
      <c r="A997" s="169"/>
      <c r="B997" s="167"/>
      <c r="C997" s="173"/>
      <c r="D997" s="170"/>
      <c r="E997" s="170"/>
      <c r="F997" s="169"/>
      <c r="G997" s="171"/>
      <c r="H997" s="172"/>
      <c r="I997" s="172"/>
    </row>
    <row r="998" spans="1:9">
      <c r="A998" s="169"/>
      <c r="B998" s="167"/>
      <c r="C998" s="173"/>
      <c r="D998" s="170"/>
      <c r="E998" s="170"/>
      <c r="F998" s="169"/>
      <c r="G998" s="171"/>
      <c r="H998" s="172"/>
      <c r="I998" s="172"/>
    </row>
    <row r="999" spans="1:9">
      <c r="A999" s="169"/>
      <c r="B999" s="167"/>
      <c r="C999" s="173"/>
      <c r="D999" s="170"/>
      <c r="E999" s="170"/>
      <c r="F999" s="169"/>
      <c r="G999" s="171"/>
      <c r="H999" s="172"/>
      <c r="I999" s="172"/>
    </row>
    <row r="1000" spans="1:9">
      <c r="A1000" s="169"/>
      <c r="B1000" s="167"/>
      <c r="C1000" s="173"/>
      <c r="D1000" s="170"/>
      <c r="E1000" s="170"/>
      <c r="F1000" s="169"/>
      <c r="G1000" s="171"/>
      <c r="H1000" s="172"/>
      <c r="I1000" s="172"/>
    </row>
    <row r="1001" spans="1:9">
      <c r="A1001" s="169"/>
      <c r="B1001" s="167"/>
      <c r="C1001" s="173"/>
      <c r="D1001" s="170"/>
      <c r="E1001" s="170"/>
      <c r="F1001" s="169"/>
      <c r="G1001" s="171"/>
      <c r="H1001" s="172"/>
      <c r="I1001" s="172"/>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1" enableFormatConditionsCalculation="0">
    <tabColor indexed="62"/>
  </sheetPr>
  <dimension ref="A1:AH997"/>
  <sheetViews>
    <sheetView tabSelected="1" topLeftCell="A4" workbookViewId="0">
      <selection activeCell="A12" sqref="A12"/>
    </sheetView>
  </sheetViews>
  <sheetFormatPr defaultColWidth="9" defaultRowHeight="12"/>
  <cols>
    <col min="1" max="1" width="6.25" style="137" customWidth="1"/>
    <col min="2" max="2" width="7.75" style="137" bestFit="1" customWidth="1"/>
    <col min="3" max="3" width="8.25" style="138" bestFit="1" customWidth="1"/>
    <col min="4" max="4" width="8.375" style="138" customWidth="1"/>
    <col min="5" max="5" width="4.5" style="139" customWidth="1"/>
    <col min="6" max="6" width="4" style="139" bestFit="1" customWidth="1"/>
    <col min="7" max="7" width="6.375" style="140" bestFit="1" customWidth="1"/>
    <col min="8" max="8" width="6.5" style="140" bestFit="1" customWidth="1"/>
    <col min="9" max="9" width="6.5" style="141" bestFit="1" customWidth="1"/>
    <col min="10" max="10" width="7.875" style="141" bestFit="1" customWidth="1"/>
    <col min="11" max="12" width="7.625" style="141" customWidth="1"/>
    <col min="13" max="13" width="15.75" style="138" bestFit="1" customWidth="1"/>
    <col min="14" max="14" width="15.75" style="141" bestFit="1" customWidth="1"/>
    <col min="15" max="15" width="11.75" style="142" customWidth="1"/>
    <col min="16" max="16" width="7.5" style="143" bestFit="1" customWidth="1"/>
    <col min="17" max="17" width="8.625" style="144" customWidth="1"/>
    <col min="18" max="18" width="7.625" style="143" customWidth="1"/>
    <col min="19" max="19" width="6.25" style="145" customWidth="1"/>
    <col min="20" max="20" width="5.625" style="146" customWidth="1"/>
    <col min="21" max="21" width="8.5" style="144" customWidth="1"/>
    <col min="22" max="22" width="6.5" style="147" hidden="1" customWidth="1"/>
    <col min="23" max="23" width="5.375" style="147" hidden="1" customWidth="1"/>
    <col min="24" max="24" width="6.75" style="148" customWidth="1"/>
    <col min="25" max="25" width="7.5" style="143" customWidth="1"/>
    <col min="26" max="26" width="9.5" style="149" hidden="1" customWidth="1"/>
    <col min="27" max="27" width="10.125" style="149" hidden="1" customWidth="1"/>
    <col min="28" max="29" width="27.75" style="150" customWidth="1"/>
    <col min="30" max="16384" width="9" style="150"/>
  </cols>
  <sheetData>
    <row r="1" spans="1:34" s="87" customFormat="1" ht="18" customHeight="1">
      <c r="A1" s="242" t="s">
        <v>97</v>
      </c>
      <c r="B1" s="242"/>
      <c r="C1" s="242"/>
      <c r="D1" s="243"/>
      <c r="E1" s="75"/>
      <c r="F1" s="75"/>
      <c r="G1" s="76"/>
      <c r="H1" s="76"/>
      <c r="I1" s="77"/>
      <c r="K1" s="183" t="s">
        <v>139</v>
      </c>
      <c r="N1" s="79"/>
      <c r="O1" s="80"/>
      <c r="P1" s="81"/>
      <c r="Q1" s="82"/>
      <c r="R1" s="81"/>
      <c r="S1" s="83"/>
      <c r="T1" s="84"/>
      <c r="U1" s="82"/>
      <c r="V1" s="75" t="s">
        <v>11</v>
      </c>
      <c r="W1" s="75" t="s">
        <v>12</v>
      </c>
      <c r="X1" s="85"/>
      <c r="Y1" s="182"/>
      <c r="Z1" s="77"/>
      <c r="AA1" s="77"/>
      <c r="AB1" s="86"/>
      <c r="AC1" s="86"/>
    </row>
    <row r="2" spans="1:34" s="87" customFormat="1" ht="17.25" customHeight="1">
      <c r="A2" s="88" t="s">
        <v>81</v>
      </c>
      <c r="B2" s="88"/>
      <c r="C2" s="89"/>
      <c r="D2" s="177">
        <f>ROUNDDOWN(D6*D5/D4*0.1,2)</f>
        <v>0</v>
      </c>
      <c r="E2" s="250"/>
      <c r="F2" s="251"/>
      <c r="G2" s="251"/>
      <c r="H2" s="251"/>
      <c r="I2" s="251"/>
      <c r="J2" s="251"/>
      <c r="K2" s="251"/>
      <c r="L2" s="251"/>
      <c r="M2" s="251"/>
      <c r="N2" s="251"/>
      <c r="O2" s="251"/>
      <c r="P2" s="251"/>
      <c r="Q2" s="251"/>
      <c r="R2" s="81"/>
      <c r="S2" s="83"/>
      <c r="T2" s="84"/>
      <c r="U2" s="82"/>
      <c r="V2" s="75"/>
      <c r="W2" s="75"/>
      <c r="X2" s="85"/>
      <c r="Y2" s="81"/>
      <c r="Z2" s="77"/>
      <c r="AA2" s="77"/>
      <c r="AB2" s="86"/>
      <c r="AC2" s="86"/>
    </row>
    <row r="3" spans="1:34" s="87" customFormat="1" ht="14.25" customHeight="1">
      <c r="A3" s="88" t="s">
        <v>85</v>
      </c>
      <c r="B3" s="88"/>
      <c r="C3" s="89"/>
      <c r="D3" s="90">
        <v>10</v>
      </c>
      <c r="E3" s="250" t="s">
        <v>86</v>
      </c>
      <c r="F3" s="260"/>
      <c r="G3" s="260"/>
      <c r="H3" s="260"/>
      <c r="I3" s="260"/>
      <c r="J3" s="260"/>
      <c r="K3" s="260"/>
      <c r="L3" s="260"/>
      <c r="M3" s="260"/>
      <c r="N3" s="260"/>
      <c r="O3" s="260"/>
      <c r="P3" s="260"/>
      <c r="Q3" s="260"/>
      <c r="R3" s="81"/>
      <c r="S3" s="83"/>
      <c r="T3" s="84"/>
      <c r="U3" s="82"/>
      <c r="V3" s="75"/>
      <c r="W3" s="75"/>
      <c r="X3" s="85"/>
      <c r="Y3" s="81"/>
      <c r="Z3" s="77"/>
      <c r="AA3" s="77"/>
      <c r="AB3" s="86"/>
      <c r="AC3" s="86"/>
    </row>
    <row r="4" spans="1:34" s="87" customFormat="1" ht="14.25" customHeight="1">
      <c r="A4" s="90" t="s">
        <v>128</v>
      </c>
      <c r="B4" s="90"/>
      <c r="C4" s="89"/>
      <c r="D4" s="176">
        <v>41.9</v>
      </c>
      <c r="E4" s="92" t="s">
        <v>77</v>
      </c>
      <c r="F4" s="91"/>
      <c r="G4" s="93"/>
      <c r="H4" s="93"/>
      <c r="I4" s="256">
        <f>'Account Log'!F3-'Account Log'!F4</f>
        <v>100</v>
      </c>
      <c r="J4" s="256"/>
      <c r="K4" s="256"/>
      <c r="L4" s="95" t="s">
        <v>25</v>
      </c>
      <c r="M4" s="78"/>
      <c r="N4" s="96">
        <f>X996</f>
        <v>0</v>
      </c>
      <c r="O4" s="92" t="s">
        <v>150</v>
      </c>
      <c r="P4" s="97">
        <f>IF(U4&gt;I4,I8/U4,I8/I4)</f>
        <v>0</v>
      </c>
      <c r="Q4" s="98" t="s">
        <v>30</v>
      </c>
      <c r="R4" s="99"/>
      <c r="S4" s="261"/>
      <c r="T4" s="262"/>
      <c r="U4" s="263"/>
      <c r="V4" s="264"/>
      <c r="W4" s="264"/>
      <c r="X4" s="264"/>
      <c r="Y4" s="81"/>
      <c r="Z4" s="77"/>
      <c r="AA4" s="77"/>
      <c r="AB4" s="86"/>
      <c r="AC4" s="86"/>
    </row>
    <row r="5" spans="1:34" s="87" customFormat="1" ht="14.25" customHeight="1">
      <c r="A5" s="88" t="s">
        <v>82</v>
      </c>
      <c r="B5" s="88"/>
      <c r="C5" s="100"/>
      <c r="D5" s="178">
        <v>0.01</v>
      </c>
      <c r="E5" s="92" t="s">
        <v>83</v>
      </c>
      <c r="F5" s="92"/>
      <c r="G5" s="101"/>
      <c r="H5" s="101"/>
      <c r="I5" s="256">
        <f>I4+T995</f>
        <v>100</v>
      </c>
      <c r="J5" s="256"/>
      <c r="K5" s="256"/>
      <c r="L5" s="94" t="s">
        <v>26</v>
      </c>
      <c r="M5" s="102"/>
      <c r="N5" s="96">
        <f>X997</f>
        <v>0</v>
      </c>
      <c r="O5" s="206" t="s">
        <v>129</v>
      </c>
      <c r="P5" s="103">
        <f>IF(V995=0,0,V995/(V995+W995))</f>
        <v>0</v>
      </c>
      <c r="Q5" s="98" t="s">
        <v>31</v>
      </c>
      <c r="R5" s="81"/>
      <c r="S5" s="83"/>
      <c r="T5" s="84"/>
      <c r="U5" s="82"/>
      <c r="V5" s="75"/>
      <c r="W5" s="75"/>
      <c r="X5" s="85"/>
      <c r="Y5" s="81"/>
      <c r="Z5" s="77"/>
      <c r="AA5" s="77"/>
      <c r="AB5" s="86"/>
      <c r="AC5" s="86"/>
    </row>
    <row r="6" spans="1:34" s="87" customFormat="1" ht="15" customHeight="1">
      <c r="A6" s="88" t="s">
        <v>84</v>
      </c>
      <c r="B6" s="88"/>
      <c r="C6" s="100"/>
      <c r="D6" s="90">
        <f>I5</f>
        <v>100</v>
      </c>
      <c r="E6" s="92" t="s">
        <v>22</v>
      </c>
      <c r="F6" s="92"/>
      <c r="G6" s="101"/>
      <c r="H6" s="101"/>
      <c r="I6" s="248">
        <f>T996</f>
        <v>0</v>
      </c>
      <c r="J6" s="248"/>
      <c r="K6" s="257"/>
      <c r="L6" s="94" t="s">
        <v>27</v>
      </c>
      <c r="M6" s="102"/>
      <c r="N6" s="96">
        <f>X995</f>
        <v>0</v>
      </c>
      <c r="O6" s="92" t="s">
        <v>48</v>
      </c>
      <c r="P6" s="104">
        <f>IF(V995=0,0,W995/(V995+W995))</f>
        <v>0</v>
      </c>
      <c r="Q6" s="98" t="s">
        <v>31</v>
      </c>
      <c r="R6" s="81"/>
      <c r="S6" s="83"/>
      <c r="T6" s="84"/>
      <c r="U6" s="82"/>
      <c r="V6" s="75"/>
      <c r="W6" s="75"/>
      <c r="X6" s="85"/>
      <c r="Y6" s="81"/>
      <c r="Z6" s="77"/>
      <c r="AA6" s="77"/>
      <c r="AB6" s="86"/>
      <c r="AC6" s="86"/>
    </row>
    <row r="7" spans="1:34" s="87" customFormat="1" ht="12.75" customHeight="1">
      <c r="A7" s="252" t="s">
        <v>132</v>
      </c>
      <c r="B7" s="253"/>
      <c r="C7" s="254"/>
      <c r="D7" s="255"/>
      <c r="E7" s="92" t="s">
        <v>23</v>
      </c>
      <c r="F7" s="91"/>
      <c r="G7" s="93"/>
      <c r="H7" s="93"/>
      <c r="I7" s="248">
        <f>T997</f>
        <v>0</v>
      </c>
      <c r="J7" s="248"/>
      <c r="K7" s="257"/>
      <c r="L7" s="105" t="s">
        <v>118</v>
      </c>
      <c r="M7" s="78"/>
      <c r="N7" s="180" t="str">
        <f>IF(MAX(X12:X994)&gt;0,MAX(X12:X994),"")</f>
        <v/>
      </c>
      <c r="O7" s="105" t="s">
        <v>130</v>
      </c>
      <c r="P7" s="78"/>
      <c r="Q7" s="180" t="str">
        <f>IF(COUNTIF(X12:X994,"&gt;0")&gt;0,SUMIF(X12:X994,"&gt;0")/COUNTIF(X12:X994,"&gt;0"),"")</f>
        <v/>
      </c>
      <c r="R7" s="81"/>
      <c r="S7" s="83"/>
      <c r="T7" s="84"/>
      <c r="U7" s="82"/>
      <c r="V7" s="75"/>
      <c r="W7" s="75"/>
      <c r="X7" s="85"/>
      <c r="Y7" s="81"/>
      <c r="Z7" s="77"/>
      <c r="AA7" s="77"/>
      <c r="AB7" s="86"/>
      <c r="AC7" s="86"/>
    </row>
    <row r="8" spans="1:34" s="87" customFormat="1" ht="14.25" customHeight="1">
      <c r="A8" s="244" t="s">
        <v>133</v>
      </c>
      <c r="B8" s="245"/>
      <c r="C8" s="246"/>
      <c r="D8" s="247"/>
      <c r="E8" s="92" t="s">
        <v>24</v>
      </c>
      <c r="F8" s="91"/>
      <c r="G8" s="93"/>
      <c r="H8" s="93"/>
      <c r="I8" s="248">
        <f>T995</f>
        <v>0</v>
      </c>
      <c r="J8" s="248"/>
      <c r="K8" s="249"/>
      <c r="L8" s="105" t="s">
        <v>119</v>
      </c>
      <c r="M8" s="78"/>
      <c r="N8" s="179" t="str">
        <f>IF(MIN(X12:X994)&lt;0,MIN(X12:X994),"")</f>
        <v/>
      </c>
      <c r="O8" s="105" t="s">
        <v>131</v>
      </c>
      <c r="P8" s="78"/>
      <c r="Q8" s="179" t="str">
        <f>IF(COUNTIF(X13:X995,"&lt;0")&gt;0,SUMIF(X13:X995,"&lt;0")/COUNTIF(X13:X995,"&lt;0"),"")</f>
        <v/>
      </c>
      <c r="R8" s="81"/>
      <c r="S8" s="83"/>
      <c r="T8" s="84"/>
      <c r="U8" s="82"/>
      <c r="V8" s="75"/>
      <c r="W8" s="75"/>
      <c r="X8" s="85"/>
      <c r="Y8" s="81"/>
      <c r="Z8" s="77"/>
      <c r="AA8" s="77"/>
      <c r="AB8" s="86"/>
      <c r="AC8" s="86"/>
    </row>
    <row r="9" spans="1:34" s="87" customFormat="1" ht="13.5" customHeight="1">
      <c r="A9" s="244" t="s">
        <v>134</v>
      </c>
      <c r="B9" s="245"/>
      <c r="C9" s="246"/>
      <c r="D9" s="247"/>
      <c r="E9" s="231" t="s">
        <v>156</v>
      </c>
      <c r="F9" s="75"/>
      <c r="G9" s="76"/>
      <c r="H9" s="76"/>
      <c r="L9" s="77"/>
      <c r="M9" s="78"/>
      <c r="N9" s="79"/>
      <c r="O9" s="80"/>
      <c r="P9" s="81"/>
      <c r="Q9" s="82"/>
      <c r="R9" s="81"/>
      <c r="S9" s="83"/>
      <c r="T9" s="84"/>
      <c r="U9" s="82"/>
      <c r="V9" s="75"/>
      <c r="W9" s="75"/>
      <c r="X9" s="85"/>
      <c r="Y9" s="81"/>
      <c r="Z9" s="77"/>
      <c r="AA9" s="77"/>
      <c r="AB9" s="86"/>
      <c r="AC9" s="86"/>
    </row>
    <row r="10" spans="1:34" s="121" customFormat="1" ht="18" customHeight="1">
      <c r="A10" s="181" t="s">
        <v>140</v>
      </c>
      <c r="B10" s="181"/>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58" t="s">
        <v>146</v>
      </c>
      <c r="AC10" s="259"/>
      <c r="AD10" s="202"/>
      <c r="AE10" s="202"/>
      <c r="AF10" s="202"/>
      <c r="AG10" s="202"/>
      <c r="AH10" s="202"/>
    </row>
    <row r="11" spans="1:34" s="136" customFormat="1" ht="37.5" customHeight="1">
      <c r="A11" s="220" t="s">
        <v>153</v>
      </c>
      <c r="B11" s="220" t="s">
        <v>152</v>
      </c>
      <c r="C11" s="174" t="s">
        <v>148</v>
      </c>
      <c r="D11" s="122" t="s">
        <v>107</v>
      </c>
      <c r="E11" s="124" t="s">
        <v>1</v>
      </c>
      <c r="F11" s="124" t="s">
        <v>2</v>
      </c>
      <c r="G11" s="125" t="s">
        <v>92</v>
      </c>
      <c r="H11" s="125" t="s">
        <v>108</v>
      </c>
      <c r="I11" s="126" t="s">
        <v>95</v>
      </c>
      <c r="J11" s="126" t="s">
        <v>109</v>
      </c>
      <c r="K11" s="126" t="s">
        <v>15</v>
      </c>
      <c r="L11" s="126" t="s">
        <v>138</v>
      </c>
      <c r="M11" s="123" t="s">
        <v>120</v>
      </c>
      <c r="N11" s="127" t="s">
        <v>121</v>
      </c>
      <c r="O11" s="126" t="s">
        <v>3</v>
      </c>
      <c r="P11" s="128" t="s">
        <v>5</v>
      </c>
      <c r="Q11" s="129" t="s">
        <v>149</v>
      </c>
      <c r="R11" s="128" t="s">
        <v>16</v>
      </c>
      <c r="S11" s="130" t="s">
        <v>6</v>
      </c>
      <c r="T11" s="131" t="s">
        <v>7</v>
      </c>
      <c r="U11" s="129" t="s">
        <v>17</v>
      </c>
      <c r="V11" s="132" t="s">
        <v>9</v>
      </c>
      <c r="W11" s="132" t="s">
        <v>10</v>
      </c>
      <c r="X11" s="133" t="s">
        <v>13</v>
      </c>
      <c r="Y11" s="134" t="s">
        <v>8</v>
      </c>
      <c r="Z11" s="135" t="s">
        <v>32</v>
      </c>
      <c r="AA11" s="135" t="s">
        <v>33</v>
      </c>
      <c r="AB11" s="201" t="s">
        <v>142</v>
      </c>
      <c r="AC11" s="201" t="s">
        <v>137</v>
      </c>
    </row>
    <row r="12" spans="1:34">
      <c r="A12" s="219" t="str">
        <f>IF(C12="","",1)</f>
        <v/>
      </c>
      <c r="B12" s="219"/>
      <c r="C12" s="184"/>
      <c r="D12" s="185"/>
      <c r="E12" s="185" t="str">
        <f>IF(OR(C12="",C12=Data!$B$3),"",IF(C12=Data!$B$2,"L","S"))</f>
        <v/>
      </c>
      <c r="F12" s="185"/>
      <c r="G12" s="186" t="str">
        <f t="shared" ref="G12:G75" si="0">IF(A12="","",$D$3)</f>
        <v/>
      </c>
      <c r="H12" s="187"/>
      <c r="I12" s="188"/>
      <c r="J12" s="188" t="str">
        <f>IF(AND(H12&lt;&gt;"",I12&lt;&gt;""),IF(E12="L",I12+(I12-H12)*3,I12-(H12-I12)*3),"")</f>
        <v/>
      </c>
      <c r="K12" s="189" t="str">
        <f>IF(AND(E12&lt;&gt;"",AND(I12&lt;&gt;"",J12&lt;&gt;"")),IF(E12="L",(J12-I12)*IF(I12&gt;10,IF(SEARCH("JPY",D12),10,100),10000),(I12-J12)*IF(I12&gt;10,IF(SEARCH("JPY",D12),10,100),10000)),"")</f>
        <v/>
      </c>
      <c r="L12" s="189" t="str">
        <f>IF(AND(E12&lt;&gt;"",AND(H12&lt;&gt;"",I12&lt;&gt;"")),IF(E12="L",(I12-H12)*IF(I12&gt;10,IF(SEARCH("JPY",D12),10,100),10000),(H12-I12)*IF(I12&gt;10,IF(SEARCH("JPY",D12),10,100),10000)),"")</f>
        <v/>
      </c>
      <c r="M12" s="190"/>
      <c r="N12" s="190"/>
      <c r="O12" s="188"/>
      <c r="P12" s="191" t="str">
        <f t="shared" ref="P12:P75" si="1">IF(O12="","",IF(L12*F12*G12=0,0,L12*F12*G12))</f>
        <v/>
      </c>
      <c r="Q12" s="192" t="str">
        <f>IF(P12="","",IF(P12=0,0,P12/$I$4))</f>
        <v/>
      </c>
      <c r="R12" s="191" t="str">
        <f t="shared" ref="R12:R75" si="2">IF(O12&lt;&gt;"",IF(K12*F12*G12=0,"",K12*F12*G12),"")</f>
        <v/>
      </c>
      <c r="S12" s="193" t="str">
        <f>IF(P12="","",IF(P12=0,0,R12/P12))</f>
        <v/>
      </c>
      <c r="T12" s="194" t="str">
        <f t="shared" ref="T12:T75" si="3">IF(X12="","",X12*F12*G12)</f>
        <v/>
      </c>
      <c r="U12" s="192" t="str">
        <f>IF(T12="","",IF($I$4="","",T12/$I$4))</f>
        <v/>
      </c>
      <c r="V12" s="195" t="str">
        <f t="shared" ref="V12:V75" si="4">IF(O12="","",IF(AND(O12&gt;I12,E12="L"),1, IF(AND(I12&gt;O12,E12="S"),1,0)))</f>
        <v/>
      </c>
      <c r="W12" s="195" t="str">
        <f t="shared" ref="W12:W75" si="5">IF(O12="","",IF(AND(O12&lt;I12,E12="L"),1, IF(AND(I12&lt;O12,E12="S"),1,0)))</f>
        <v/>
      </c>
      <c r="X12" s="196" t="str">
        <f>IF((O12=""),"",IF(E12="L",1,-1)*(O12-I12)*IF(O12&gt;10,IF(SEARCH("JPY",D12),10,100),10000))</f>
        <v/>
      </c>
      <c r="Y12" s="191" t="str">
        <f>IF(I4="","",IF(T12="","",I4+T12))</f>
        <v/>
      </c>
      <c r="Z12" s="197" t="str">
        <f t="shared" ref="Z12:Z75" si="6">IF(M12="","",MONTH(M12))</f>
        <v/>
      </c>
      <c r="AA12" s="197" t="str">
        <f t="shared" ref="AA12:AA75" si="7">IF(M12="","",YEAR(M12))</f>
        <v/>
      </c>
      <c r="AB12" s="218"/>
      <c r="AC12" s="205"/>
    </row>
    <row r="13" spans="1:34">
      <c r="A13" s="219" t="str">
        <f t="shared" ref="A13:A76" si="8">IF(C13="","",1)</f>
        <v/>
      </c>
      <c r="B13" s="219"/>
      <c r="C13" s="184"/>
      <c r="D13" s="185"/>
      <c r="E13" s="185" t="str">
        <f>IF(OR(C13="",C13=Data!$B$3),"",IF(C13=Data!$B$2,"L","S"))</f>
        <v/>
      </c>
      <c r="F13" s="185" t="str">
        <f t="shared" ref="F13:F76" si="9">IF(A13&lt;&gt;"",$D$2,"")</f>
        <v/>
      </c>
      <c r="G13" s="186" t="str">
        <f t="shared" si="0"/>
        <v/>
      </c>
      <c r="H13" s="187"/>
      <c r="I13" s="188" t="str">
        <f t="shared" ref="I13:I76" si="10">IF(H13="","",IF(E13="L",H13+$D$4*0.0001,H13-$D$4*0.0001))</f>
        <v/>
      </c>
      <c r="J13" s="188" t="str">
        <f t="shared" ref="J13:J76" si="11">IF(AND(H13&lt;&gt;"",I13&lt;&gt;""),IF(E13="L",I13+(I13-H13)*3,I13-(H13-I13)*3),"")</f>
        <v/>
      </c>
      <c r="K13" s="189" t="str">
        <f t="shared" ref="K13:K76" si="12">IF(AND(E13&lt;&gt;"",AND(I13&lt;&gt;"",J13&lt;&gt;"")),IF(E13="L",(J13-I13)*IF(I13&gt;10,IF(SEARCH("JPY",D13),10,100),10000),(I13-J13)*IF(I13&gt;10,IF(SEARCH("JPY",D13),10,100),10000)),"")</f>
        <v/>
      </c>
      <c r="L13" s="189" t="str">
        <f t="shared" ref="L13:L76" si="13">IF(AND(E13&lt;&gt;"",AND(H13&lt;&gt;"",I13&lt;&gt;"")),IF(E13="L",(I13-H13)*IF(I13&gt;10,IF(SEARCH("JPY",D13),10,100),10000),(H13-I13)*IF(I13&gt;10,IF(SEARCH("JPY",D13),10,100),10000)),"")</f>
        <v/>
      </c>
      <c r="M13" s="190"/>
      <c r="N13" s="190"/>
      <c r="O13" s="188" t="str">
        <f t="shared" ref="O13:O76" si="14">J13</f>
        <v/>
      </c>
      <c r="P13" s="191" t="str">
        <f t="shared" si="1"/>
        <v/>
      </c>
      <c r="Q13" s="192" t="str">
        <f t="shared" ref="Q13:Q76" si="15">IF(P13="","",IF(P13=0,0,P13/$I$4))</f>
        <v/>
      </c>
      <c r="R13" s="191" t="str">
        <f t="shared" si="2"/>
        <v/>
      </c>
      <c r="S13" s="193" t="str">
        <f t="shared" ref="S13:S76" si="16">IF(P13="","",IF(P13=0,0,R13/P13))</f>
        <v/>
      </c>
      <c r="T13" s="194" t="str">
        <f t="shared" si="3"/>
        <v/>
      </c>
      <c r="U13" s="192" t="str">
        <f t="shared" ref="U13:U76" si="17">IF(T13="","",IF($I$4="","",T13/$I$4))</f>
        <v/>
      </c>
      <c r="V13" s="195" t="str">
        <f t="shared" si="4"/>
        <v/>
      </c>
      <c r="W13" s="195" t="str">
        <f t="shared" si="5"/>
        <v/>
      </c>
      <c r="X13" s="196" t="str">
        <f t="shared" ref="X13:X76" si="18">IF((O13=""),"",IF(E13="L",1,-1)*(O13-I13)*IF(O13&gt;10,IF(SEARCH("JPY",D13),10,100),10000))</f>
        <v/>
      </c>
      <c r="Y13" s="191" t="str">
        <f t="shared" ref="Y13:Y19" si="19">IF(Y12="","",IF(T13="","",Y12+T13))</f>
        <v/>
      </c>
      <c r="Z13" s="197" t="str">
        <f t="shared" si="6"/>
        <v/>
      </c>
      <c r="AA13" s="197" t="str">
        <f t="shared" si="7"/>
        <v/>
      </c>
      <c r="AB13" s="218"/>
      <c r="AC13" s="205"/>
    </row>
    <row r="14" spans="1:34">
      <c r="A14" s="219" t="str">
        <f t="shared" si="8"/>
        <v/>
      </c>
      <c r="B14" s="219"/>
      <c r="C14" s="184"/>
      <c r="D14" s="185"/>
      <c r="E14" s="185" t="str">
        <f>IF(OR(C14="",C14=Data!$B$3),"",IF(C14=Data!$B$2,"L","S"))</f>
        <v/>
      </c>
      <c r="F14" s="185" t="str">
        <f t="shared" si="9"/>
        <v/>
      </c>
      <c r="G14" s="186" t="str">
        <f t="shared" si="0"/>
        <v/>
      </c>
      <c r="H14" s="187"/>
      <c r="I14" s="188" t="str">
        <f t="shared" si="10"/>
        <v/>
      </c>
      <c r="J14" s="188" t="str">
        <f t="shared" si="11"/>
        <v/>
      </c>
      <c r="K14" s="189" t="str">
        <f t="shared" si="12"/>
        <v/>
      </c>
      <c r="L14" s="189" t="str">
        <f t="shared" si="13"/>
        <v/>
      </c>
      <c r="M14" s="190"/>
      <c r="N14" s="190"/>
      <c r="O14" s="188" t="str">
        <f t="shared" si="14"/>
        <v/>
      </c>
      <c r="P14" s="191" t="str">
        <f t="shared" si="1"/>
        <v/>
      </c>
      <c r="Q14" s="192" t="str">
        <f t="shared" si="15"/>
        <v/>
      </c>
      <c r="R14" s="191" t="str">
        <f t="shared" si="2"/>
        <v/>
      </c>
      <c r="S14" s="193" t="str">
        <f t="shared" si="16"/>
        <v/>
      </c>
      <c r="T14" s="194" t="str">
        <f t="shared" si="3"/>
        <v/>
      </c>
      <c r="U14" s="192" t="str">
        <f t="shared" si="17"/>
        <v/>
      </c>
      <c r="V14" s="195" t="str">
        <f t="shared" si="4"/>
        <v/>
      </c>
      <c r="W14" s="195" t="str">
        <f t="shared" si="5"/>
        <v/>
      </c>
      <c r="X14" s="196" t="str">
        <f t="shared" si="18"/>
        <v/>
      </c>
      <c r="Y14" s="191" t="str">
        <f t="shared" si="19"/>
        <v/>
      </c>
      <c r="Z14" s="197" t="str">
        <f t="shared" si="6"/>
        <v/>
      </c>
      <c r="AA14" s="197" t="str">
        <f t="shared" si="7"/>
        <v/>
      </c>
      <c r="AB14" s="218"/>
      <c r="AC14" s="205"/>
    </row>
    <row r="15" spans="1:34">
      <c r="A15" s="219" t="str">
        <f t="shared" si="8"/>
        <v/>
      </c>
      <c r="B15" s="219"/>
      <c r="C15" s="184"/>
      <c r="D15" s="185"/>
      <c r="E15" s="185" t="str">
        <f>IF(OR(C15="",C15=Data!$B$3),"",IF(C15=Data!$B$2,"L","S"))</f>
        <v/>
      </c>
      <c r="F15" s="185" t="str">
        <f t="shared" si="9"/>
        <v/>
      </c>
      <c r="G15" s="186" t="str">
        <f t="shared" si="0"/>
        <v/>
      </c>
      <c r="H15" s="187"/>
      <c r="I15" s="188" t="str">
        <f t="shared" si="10"/>
        <v/>
      </c>
      <c r="J15" s="188" t="str">
        <f t="shared" si="11"/>
        <v/>
      </c>
      <c r="K15" s="189" t="str">
        <f t="shared" si="12"/>
        <v/>
      </c>
      <c r="L15" s="189" t="str">
        <f t="shared" si="13"/>
        <v/>
      </c>
      <c r="M15" s="190"/>
      <c r="N15" s="190"/>
      <c r="O15" s="188" t="str">
        <f t="shared" si="14"/>
        <v/>
      </c>
      <c r="P15" s="191" t="str">
        <f t="shared" si="1"/>
        <v/>
      </c>
      <c r="Q15" s="192" t="str">
        <f t="shared" si="15"/>
        <v/>
      </c>
      <c r="R15" s="191" t="str">
        <f t="shared" si="2"/>
        <v/>
      </c>
      <c r="S15" s="193" t="str">
        <f t="shared" si="16"/>
        <v/>
      </c>
      <c r="T15" s="194" t="str">
        <f t="shared" si="3"/>
        <v/>
      </c>
      <c r="U15" s="192" t="str">
        <f t="shared" si="17"/>
        <v/>
      </c>
      <c r="V15" s="195" t="str">
        <f t="shared" si="4"/>
        <v/>
      </c>
      <c r="W15" s="195" t="str">
        <f t="shared" si="5"/>
        <v/>
      </c>
      <c r="X15" s="196" t="str">
        <f t="shared" si="18"/>
        <v/>
      </c>
      <c r="Y15" s="191" t="str">
        <f t="shared" si="19"/>
        <v/>
      </c>
      <c r="Z15" s="197" t="str">
        <f t="shared" si="6"/>
        <v/>
      </c>
      <c r="AA15" s="197" t="str">
        <f t="shared" si="7"/>
        <v/>
      </c>
      <c r="AB15" s="218"/>
      <c r="AC15" s="205"/>
    </row>
    <row r="16" spans="1:34">
      <c r="A16" s="219" t="str">
        <f t="shared" si="8"/>
        <v/>
      </c>
      <c r="B16" s="219"/>
      <c r="C16" s="184"/>
      <c r="D16" s="185"/>
      <c r="E16" s="185" t="str">
        <f>IF(OR(C16="",C16=Data!$B$3),"",IF(C16=Data!$B$2,"L","S"))</f>
        <v/>
      </c>
      <c r="F16" s="185" t="str">
        <f t="shared" si="9"/>
        <v/>
      </c>
      <c r="G16" s="186" t="str">
        <f t="shared" si="0"/>
        <v/>
      </c>
      <c r="H16" s="187"/>
      <c r="I16" s="188" t="str">
        <f t="shared" si="10"/>
        <v/>
      </c>
      <c r="J16" s="188" t="str">
        <f t="shared" si="11"/>
        <v/>
      </c>
      <c r="K16" s="189" t="str">
        <f t="shared" si="12"/>
        <v/>
      </c>
      <c r="L16" s="189" t="str">
        <f t="shared" si="13"/>
        <v/>
      </c>
      <c r="M16" s="190"/>
      <c r="N16" s="190"/>
      <c r="O16" s="188" t="str">
        <f t="shared" si="14"/>
        <v/>
      </c>
      <c r="P16" s="191" t="str">
        <f t="shared" si="1"/>
        <v/>
      </c>
      <c r="Q16" s="192" t="str">
        <f t="shared" si="15"/>
        <v/>
      </c>
      <c r="R16" s="191" t="str">
        <f t="shared" si="2"/>
        <v/>
      </c>
      <c r="S16" s="193" t="str">
        <f t="shared" si="16"/>
        <v/>
      </c>
      <c r="T16" s="194" t="str">
        <f t="shared" si="3"/>
        <v/>
      </c>
      <c r="U16" s="192" t="str">
        <f t="shared" si="17"/>
        <v/>
      </c>
      <c r="V16" s="195" t="str">
        <f t="shared" si="4"/>
        <v/>
      </c>
      <c r="W16" s="195" t="str">
        <f t="shared" si="5"/>
        <v/>
      </c>
      <c r="X16" s="196" t="str">
        <f t="shared" si="18"/>
        <v/>
      </c>
      <c r="Y16" s="191" t="str">
        <f t="shared" si="19"/>
        <v/>
      </c>
      <c r="Z16" s="197" t="str">
        <f t="shared" si="6"/>
        <v/>
      </c>
      <c r="AA16" s="197" t="str">
        <f t="shared" si="7"/>
        <v/>
      </c>
      <c r="AB16" s="218"/>
      <c r="AC16" s="205"/>
    </row>
    <row r="17" spans="1:29">
      <c r="A17" s="219" t="str">
        <f t="shared" si="8"/>
        <v/>
      </c>
      <c r="B17" s="219"/>
      <c r="C17" s="184"/>
      <c r="D17" s="185"/>
      <c r="E17" s="185" t="str">
        <f>IF(OR(C17="",C17=Data!$B$3),"",IF(C17=Data!$B$2,"L","S"))</f>
        <v/>
      </c>
      <c r="F17" s="185" t="str">
        <f t="shared" si="9"/>
        <v/>
      </c>
      <c r="G17" s="186" t="str">
        <f t="shared" si="0"/>
        <v/>
      </c>
      <c r="H17" s="187"/>
      <c r="I17" s="188" t="str">
        <f t="shared" si="10"/>
        <v/>
      </c>
      <c r="J17" s="188" t="str">
        <f t="shared" si="11"/>
        <v/>
      </c>
      <c r="K17" s="189" t="str">
        <f t="shared" si="12"/>
        <v/>
      </c>
      <c r="L17" s="189" t="str">
        <f t="shared" si="13"/>
        <v/>
      </c>
      <c r="M17" s="190"/>
      <c r="N17" s="190"/>
      <c r="O17" s="188" t="str">
        <f t="shared" si="14"/>
        <v/>
      </c>
      <c r="P17" s="191" t="str">
        <f t="shared" si="1"/>
        <v/>
      </c>
      <c r="Q17" s="192" t="str">
        <f t="shared" si="15"/>
        <v/>
      </c>
      <c r="R17" s="191" t="str">
        <f t="shared" si="2"/>
        <v/>
      </c>
      <c r="S17" s="193" t="str">
        <f t="shared" si="16"/>
        <v/>
      </c>
      <c r="T17" s="194" t="str">
        <f t="shared" si="3"/>
        <v/>
      </c>
      <c r="U17" s="192" t="str">
        <f t="shared" si="17"/>
        <v/>
      </c>
      <c r="V17" s="195" t="str">
        <f t="shared" si="4"/>
        <v/>
      </c>
      <c r="W17" s="195" t="str">
        <f t="shared" si="5"/>
        <v/>
      </c>
      <c r="X17" s="196" t="str">
        <f t="shared" si="18"/>
        <v/>
      </c>
      <c r="Y17" s="191" t="str">
        <f>IF(Y16="","",IF(T17="","",Y16+T17))</f>
        <v/>
      </c>
      <c r="Z17" s="197" t="str">
        <f t="shared" si="6"/>
        <v/>
      </c>
      <c r="AA17" s="197" t="str">
        <f t="shared" si="7"/>
        <v/>
      </c>
      <c r="AB17" s="218"/>
      <c r="AC17" s="205"/>
    </row>
    <row r="18" spans="1:29">
      <c r="A18" s="219" t="str">
        <f t="shared" si="8"/>
        <v/>
      </c>
      <c r="B18" s="219"/>
      <c r="C18" s="184"/>
      <c r="D18" s="185"/>
      <c r="E18" s="185" t="str">
        <f>IF(OR(C18="",C18=Data!$B$3),"",IF(C18=Data!$B$2,"L","S"))</f>
        <v/>
      </c>
      <c r="F18" s="185" t="str">
        <f t="shared" si="9"/>
        <v/>
      </c>
      <c r="G18" s="186" t="str">
        <f t="shared" si="0"/>
        <v/>
      </c>
      <c r="H18" s="187"/>
      <c r="I18" s="188" t="str">
        <f t="shared" si="10"/>
        <v/>
      </c>
      <c r="J18" s="188" t="str">
        <f t="shared" si="11"/>
        <v/>
      </c>
      <c r="K18" s="189" t="str">
        <f t="shared" si="12"/>
        <v/>
      </c>
      <c r="L18" s="189" t="str">
        <f t="shared" si="13"/>
        <v/>
      </c>
      <c r="M18" s="190"/>
      <c r="N18" s="190"/>
      <c r="O18" s="188" t="str">
        <f t="shared" si="14"/>
        <v/>
      </c>
      <c r="P18" s="191" t="str">
        <f t="shared" si="1"/>
        <v/>
      </c>
      <c r="Q18" s="192" t="str">
        <f t="shared" si="15"/>
        <v/>
      </c>
      <c r="R18" s="191" t="str">
        <f t="shared" si="2"/>
        <v/>
      </c>
      <c r="S18" s="193" t="str">
        <f t="shared" si="16"/>
        <v/>
      </c>
      <c r="T18" s="194" t="str">
        <f t="shared" si="3"/>
        <v/>
      </c>
      <c r="U18" s="192" t="str">
        <f t="shared" si="17"/>
        <v/>
      </c>
      <c r="V18" s="195" t="str">
        <f t="shared" si="4"/>
        <v/>
      </c>
      <c r="W18" s="195" t="str">
        <f t="shared" si="5"/>
        <v/>
      </c>
      <c r="X18" s="196" t="str">
        <f t="shared" si="18"/>
        <v/>
      </c>
      <c r="Y18" s="191" t="str">
        <f t="shared" si="19"/>
        <v/>
      </c>
      <c r="Z18" s="197" t="str">
        <f t="shared" si="6"/>
        <v/>
      </c>
      <c r="AA18" s="197" t="str">
        <f t="shared" si="7"/>
        <v/>
      </c>
      <c r="AB18" s="218"/>
      <c r="AC18" s="205"/>
    </row>
    <row r="19" spans="1:29">
      <c r="A19" s="219" t="str">
        <f t="shared" si="8"/>
        <v/>
      </c>
      <c r="B19" s="219"/>
      <c r="C19" s="184"/>
      <c r="D19" s="185"/>
      <c r="E19" s="185" t="str">
        <f>IF(OR(C19="",C19=Data!$B$3),"",IF(C19=Data!$B$2,"L","S"))</f>
        <v/>
      </c>
      <c r="F19" s="185" t="str">
        <f t="shared" si="9"/>
        <v/>
      </c>
      <c r="G19" s="186" t="str">
        <f t="shared" si="0"/>
        <v/>
      </c>
      <c r="H19" s="187"/>
      <c r="I19" s="188" t="str">
        <f t="shared" si="10"/>
        <v/>
      </c>
      <c r="J19" s="188" t="str">
        <f t="shared" si="11"/>
        <v/>
      </c>
      <c r="K19" s="189" t="str">
        <f t="shared" si="12"/>
        <v/>
      </c>
      <c r="L19" s="189" t="str">
        <f t="shared" si="13"/>
        <v/>
      </c>
      <c r="M19" s="190"/>
      <c r="N19" s="190"/>
      <c r="O19" s="188" t="str">
        <f t="shared" si="14"/>
        <v/>
      </c>
      <c r="P19" s="191" t="str">
        <f t="shared" si="1"/>
        <v/>
      </c>
      <c r="Q19" s="192" t="str">
        <f t="shared" si="15"/>
        <v/>
      </c>
      <c r="R19" s="191" t="str">
        <f t="shared" si="2"/>
        <v/>
      </c>
      <c r="S19" s="193" t="str">
        <f t="shared" si="16"/>
        <v/>
      </c>
      <c r="T19" s="194" t="str">
        <f t="shared" si="3"/>
        <v/>
      </c>
      <c r="U19" s="192" t="str">
        <f t="shared" si="17"/>
        <v/>
      </c>
      <c r="V19" s="195" t="str">
        <f t="shared" si="4"/>
        <v/>
      </c>
      <c r="W19" s="195" t="str">
        <f t="shared" si="5"/>
        <v/>
      </c>
      <c r="X19" s="196" t="str">
        <f t="shared" si="18"/>
        <v/>
      </c>
      <c r="Y19" s="191" t="str">
        <f t="shared" si="19"/>
        <v/>
      </c>
      <c r="Z19" s="197" t="str">
        <f t="shared" si="6"/>
        <v/>
      </c>
      <c r="AA19" s="197" t="str">
        <f t="shared" si="7"/>
        <v/>
      </c>
      <c r="AB19" s="218"/>
      <c r="AC19" s="205"/>
    </row>
    <row r="20" spans="1:29">
      <c r="A20" s="219" t="str">
        <f t="shared" si="8"/>
        <v/>
      </c>
      <c r="B20" s="219"/>
      <c r="C20" s="184"/>
      <c r="D20" s="185"/>
      <c r="E20" s="185" t="str">
        <f>IF(OR(C20="",C20=Data!$B$3),"",IF(C20=Data!$B$2,"L","S"))</f>
        <v/>
      </c>
      <c r="F20" s="185" t="str">
        <f t="shared" si="9"/>
        <v/>
      </c>
      <c r="G20" s="186" t="str">
        <f t="shared" si="0"/>
        <v/>
      </c>
      <c r="H20" s="187"/>
      <c r="I20" s="188" t="str">
        <f t="shared" si="10"/>
        <v/>
      </c>
      <c r="J20" s="188" t="str">
        <f t="shared" si="11"/>
        <v/>
      </c>
      <c r="K20" s="189" t="str">
        <f t="shared" si="12"/>
        <v/>
      </c>
      <c r="L20" s="189" t="str">
        <f t="shared" si="13"/>
        <v/>
      </c>
      <c r="M20" s="190"/>
      <c r="N20" s="190"/>
      <c r="O20" s="188" t="str">
        <f t="shared" si="14"/>
        <v/>
      </c>
      <c r="P20" s="191" t="str">
        <f t="shared" si="1"/>
        <v/>
      </c>
      <c r="Q20" s="192" t="str">
        <f t="shared" si="15"/>
        <v/>
      </c>
      <c r="R20" s="191" t="str">
        <f t="shared" si="2"/>
        <v/>
      </c>
      <c r="S20" s="193" t="str">
        <f t="shared" si="16"/>
        <v/>
      </c>
      <c r="T20" s="194" t="str">
        <f t="shared" si="3"/>
        <v/>
      </c>
      <c r="U20" s="192" t="str">
        <f t="shared" si="17"/>
        <v/>
      </c>
      <c r="V20" s="195" t="str">
        <f t="shared" si="4"/>
        <v/>
      </c>
      <c r="W20" s="195" t="str">
        <f t="shared" si="5"/>
        <v/>
      </c>
      <c r="X20" s="196" t="str">
        <f t="shared" si="18"/>
        <v/>
      </c>
      <c r="Y20" s="191" t="str">
        <f t="shared" ref="Y20:Y83" si="20">IF(Y19="","",IF(T20="","",Y19+T20))</f>
        <v/>
      </c>
      <c r="Z20" s="197" t="str">
        <f t="shared" si="6"/>
        <v/>
      </c>
      <c r="AA20" s="197" t="str">
        <f t="shared" si="7"/>
        <v/>
      </c>
      <c r="AB20" s="218"/>
      <c r="AC20" s="205"/>
    </row>
    <row r="21" spans="1:29">
      <c r="A21" s="219" t="str">
        <f t="shared" si="8"/>
        <v/>
      </c>
      <c r="B21" s="219"/>
      <c r="C21" s="184"/>
      <c r="D21" s="185"/>
      <c r="E21" s="185" t="str">
        <f>IF(OR(C21="",C21=Data!$B$3),"",IF(C21=Data!$B$2,"L","S"))</f>
        <v/>
      </c>
      <c r="F21" s="185" t="str">
        <f t="shared" si="9"/>
        <v/>
      </c>
      <c r="G21" s="186" t="str">
        <f t="shared" si="0"/>
        <v/>
      </c>
      <c r="H21" s="187"/>
      <c r="I21" s="188" t="str">
        <f t="shared" si="10"/>
        <v/>
      </c>
      <c r="J21" s="188" t="str">
        <f t="shared" si="11"/>
        <v/>
      </c>
      <c r="K21" s="189" t="str">
        <f t="shared" si="12"/>
        <v/>
      </c>
      <c r="L21" s="189" t="str">
        <f t="shared" si="13"/>
        <v/>
      </c>
      <c r="M21" s="190"/>
      <c r="N21" s="190"/>
      <c r="O21" s="188" t="str">
        <f t="shared" si="14"/>
        <v/>
      </c>
      <c r="P21" s="191" t="str">
        <f t="shared" si="1"/>
        <v/>
      </c>
      <c r="Q21" s="192" t="str">
        <f t="shared" si="15"/>
        <v/>
      </c>
      <c r="R21" s="191" t="str">
        <f t="shared" si="2"/>
        <v/>
      </c>
      <c r="S21" s="193" t="str">
        <f t="shared" si="16"/>
        <v/>
      </c>
      <c r="T21" s="194" t="str">
        <f t="shared" si="3"/>
        <v/>
      </c>
      <c r="U21" s="192" t="str">
        <f t="shared" si="17"/>
        <v/>
      </c>
      <c r="V21" s="195" t="str">
        <f t="shared" si="4"/>
        <v/>
      </c>
      <c r="W21" s="195" t="str">
        <f t="shared" si="5"/>
        <v/>
      </c>
      <c r="X21" s="196" t="str">
        <f t="shared" si="18"/>
        <v/>
      </c>
      <c r="Y21" s="191" t="str">
        <f t="shared" si="20"/>
        <v/>
      </c>
      <c r="Z21" s="197" t="str">
        <f t="shared" si="6"/>
        <v/>
      </c>
      <c r="AA21" s="197" t="str">
        <f t="shared" si="7"/>
        <v/>
      </c>
      <c r="AB21" s="218"/>
      <c r="AC21" s="205"/>
    </row>
    <row r="22" spans="1:29">
      <c r="A22" s="219" t="str">
        <f t="shared" si="8"/>
        <v/>
      </c>
      <c r="B22" s="219"/>
      <c r="C22" s="184"/>
      <c r="D22" s="185"/>
      <c r="E22" s="185" t="str">
        <f>IF(OR(C22="",C22=Data!$B$3),"",IF(C22=Data!$B$2,"L","S"))</f>
        <v/>
      </c>
      <c r="F22" s="185" t="str">
        <f t="shared" si="9"/>
        <v/>
      </c>
      <c r="G22" s="186" t="str">
        <f t="shared" si="0"/>
        <v/>
      </c>
      <c r="H22" s="187"/>
      <c r="I22" s="188" t="str">
        <f t="shared" si="10"/>
        <v/>
      </c>
      <c r="J22" s="188" t="str">
        <f t="shared" si="11"/>
        <v/>
      </c>
      <c r="K22" s="189" t="str">
        <f t="shared" si="12"/>
        <v/>
      </c>
      <c r="L22" s="189" t="str">
        <f t="shared" si="13"/>
        <v/>
      </c>
      <c r="M22" s="190"/>
      <c r="N22" s="190"/>
      <c r="O22" s="188" t="str">
        <f t="shared" si="14"/>
        <v/>
      </c>
      <c r="P22" s="191" t="str">
        <f t="shared" si="1"/>
        <v/>
      </c>
      <c r="Q22" s="192" t="str">
        <f t="shared" si="15"/>
        <v/>
      </c>
      <c r="R22" s="191" t="str">
        <f t="shared" si="2"/>
        <v/>
      </c>
      <c r="S22" s="193" t="str">
        <f t="shared" si="16"/>
        <v/>
      </c>
      <c r="T22" s="194" t="str">
        <f t="shared" si="3"/>
        <v/>
      </c>
      <c r="U22" s="192" t="str">
        <f t="shared" si="17"/>
        <v/>
      </c>
      <c r="V22" s="195" t="str">
        <f t="shared" si="4"/>
        <v/>
      </c>
      <c r="W22" s="195" t="str">
        <f t="shared" si="5"/>
        <v/>
      </c>
      <c r="X22" s="196" t="str">
        <f t="shared" si="18"/>
        <v/>
      </c>
      <c r="Y22" s="191" t="str">
        <f t="shared" si="20"/>
        <v/>
      </c>
      <c r="Z22" s="197" t="str">
        <f t="shared" si="6"/>
        <v/>
      </c>
      <c r="AA22" s="197" t="str">
        <f t="shared" si="7"/>
        <v/>
      </c>
      <c r="AB22" s="218"/>
      <c r="AC22" s="205"/>
    </row>
    <row r="23" spans="1:29">
      <c r="A23" s="219" t="str">
        <f t="shared" si="8"/>
        <v/>
      </c>
      <c r="B23" s="219"/>
      <c r="C23" s="184"/>
      <c r="D23" s="185"/>
      <c r="E23" s="185" t="str">
        <f>IF(OR(C23="",C23=Data!$B$3),"",IF(C23=Data!$B$2,"L","S"))</f>
        <v/>
      </c>
      <c r="F23" s="185" t="str">
        <f t="shared" si="9"/>
        <v/>
      </c>
      <c r="G23" s="186" t="str">
        <f t="shared" si="0"/>
        <v/>
      </c>
      <c r="H23" s="187"/>
      <c r="I23" s="188" t="str">
        <f t="shared" si="10"/>
        <v/>
      </c>
      <c r="J23" s="188" t="str">
        <f t="shared" si="11"/>
        <v/>
      </c>
      <c r="K23" s="189" t="str">
        <f t="shared" si="12"/>
        <v/>
      </c>
      <c r="L23" s="189" t="str">
        <f t="shared" si="13"/>
        <v/>
      </c>
      <c r="M23" s="190"/>
      <c r="N23" s="190"/>
      <c r="O23" s="188" t="str">
        <f t="shared" si="14"/>
        <v/>
      </c>
      <c r="P23" s="191" t="str">
        <f t="shared" si="1"/>
        <v/>
      </c>
      <c r="Q23" s="192" t="str">
        <f t="shared" si="15"/>
        <v/>
      </c>
      <c r="R23" s="191" t="str">
        <f t="shared" si="2"/>
        <v/>
      </c>
      <c r="S23" s="193" t="str">
        <f t="shared" si="16"/>
        <v/>
      </c>
      <c r="T23" s="194" t="str">
        <f t="shared" si="3"/>
        <v/>
      </c>
      <c r="U23" s="192" t="str">
        <f t="shared" si="17"/>
        <v/>
      </c>
      <c r="V23" s="195" t="str">
        <f t="shared" si="4"/>
        <v/>
      </c>
      <c r="W23" s="195" t="str">
        <f t="shared" si="5"/>
        <v/>
      </c>
      <c r="X23" s="196" t="str">
        <f t="shared" si="18"/>
        <v/>
      </c>
      <c r="Y23" s="191" t="str">
        <f t="shared" si="20"/>
        <v/>
      </c>
      <c r="Z23" s="197" t="str">
        <f t="shared" si="6"/>
        <v/>
      </c>
      <c r="AA23" s="197" t="str">
        <f t="shared" si="7"/>
        <v/>
      </c>
      <c r="AB23" s="218"/>
      <c r="AC23" s="205"/>
    </row>
    <row r="24" spans="1:29">
      <c r="A24" s="219" t="str">
        <f t="shared" si="8"/>
        <v/>
      </c>
      <c r="B24" s="219"/>
      <c r="C24" s="184"/>
      <c r="D24" s="185"/>
      <c r="E24" s="185" t="str">
        <f>IF(OR(C24="",C24=Data!$B$3),"",IF(C24=Data!$B$2,"L","S"))</f>
        <v/>
      </c>
      <c r="F24" s="185" t="str">
        <f t="shared" si="9"/>
        <v/>
      </c>
      <c r="G24" s="186" t="str">
        <f t="shared" si="0"/>
        <v/>
      </c>
      <c r="H24" s="187"/>
      <c r="I24" s="188" t="str">
        <f t="shared" si="10"/>
        <v/>
      </c>
      <c r="J24" s="188" t="str">
        <f t="shared" si="11"/>
        <v/>
      </c>
      <c r="K24" s="189" t="str">
        <f t="shared" si="12"/>
        <v/>
      </c>
      <c r="L24" s="189" t="str">
        <f t="shared" si="13"/>
        <v/>
      </c>
      <c r="M24" s="190"/>
      <c r="N24" s="198"/>
      <c r="O24" s="188" t="str">
        <f t="shared" si="14"/>
        <v/>
      </c>
      <c r="P24" s="191" t="str">
        <f t="shared" ref="P24:P29" si="21">IF(O24="","",IF(L24*F24*G24=0,0,L24*F24*G24))</f>
        <v/>
      </c>
      <c r="Q24" s="192" t="str">
        <f t="shared" si="15"/>
        <v/>
      </c>
      <c r="R24" s="191" t="str">
        <f t="shared" ref="R24:R29" si="22">IF(O24&lt;&gt;"",IF(K24*F24*G24=0,"",K24*F24*G24),"")</f>
        <v/>
      </c>
      <c r="S24" s="193" t="str">
        <f t="shared" si="16"/>
        <v/>
      </c>
      <c r="T24" s="194" t="str">
        <f t="shared" si="3"/>
        <v/>
      </c>
      <c r="U24" s="192" t="str">
        <f t="shared" si="17"/>
        <v/>
      </c>
      <c r="V24" s="195" t="str">
        <f t="shared" ref="V24:V29" si="23">IF(O24="","",IF(AND(O24&gt;I24,E24="L"),1, IF(AND(I24&gt;O24,E24="S"),1,0)))</f>
        <v/>
      </c>
      <c r="W24" s="195" t="str">
        <f t="shared" ref="W24:W29" si="24">IF(O24="","",IF(AND(O24&lt;I24,E24="L"),1, IF(AND(I24&lt;O24,E24="S"),1,0)))</f>
        <v/>
      </c>
      <c r="X24" s="196" t="str">
        <f t="shared" si="18"/>
        <v/>
      </c>
      <c r="Y24" s="191" t="str">
        <f t="shared" si="20"/>
        <v/>
      </c>
      <c r="Z24" s="197" t="str">
        <f>IF(M27="","",MONTH(M27))</f>
        <v/>
      </c>
      <c r="AA24" s="197" t="str">
        <f>IF(M27="","",YEAR(M27))</f>
        <v/>
      </c>
      <c r="AB24" s="218"/>
      <c r="AC24" s="205"/>
    </row>
    <row r="25" spans="1:29">
      <c r="A25" s="219" t="str">
        <f t="shared" si="8"/>
        <v/>
      </c>
      <c r="B25" s="219"/>
      <c r="C25" s="184"/>
      <c r="D25" s="185"/>
      <c r="E25" s="185" t="str">
        <f>IF(OR(C25="",C25=Data!$B$3),"",IF(C25=Data!$B$2,"L","S"))</f>
        <v/>
      </c>
      <c r="F25" s="185" t="str">
        <f t="shared" si="9"/>
        <v/>
      </c>
      <c r="G25" s="186" t="str">
        <f t="shared" si="0"/>
        <v/>
      </c>
      <c r="H25" s="187"/>
      <c r="I25" s="188" t="str">
        <f t="shared" si="10"/>
        <v/>
      </c>
      <c r="J25" s="188" t="str">
        <f t="shared" si="11"/>
        <v/>
      </c>
      <c r="K25" s="189" t="str">
        <f t="shared" si="12"/>
        <v/>
      </c>
      <c r="L25" s="189" t="str">
        <f t="shared" si="13"/>
        <v/>
      </c>
      <c r="M25" s="190"/>
      <c r="N25" s="198"/>
      <c r="O25" s="188" t="str">
        <f t="shared" si="14"/>
        <v/>
      </c>
      <c r="P25" s="191" t="str">
        <f t="shared" si="21"/>
        <v/>
      </c>
      <c r="Q25" s="192" t="str">
        <f t="shared" si="15"/>
        <v/>
      </c>
      <c r="R25" s="191" t="str">
        <f t="shared" si="22"/>
        <v/>
      </c>
      <c r="S25" s="193" t="str">
        <f t="shared" si="16"/>
        <v/>
      </c>
      <c r="T25" s="194" t="str">
        <f t="shared" si="3"/>
        <v/>
      </c>
      <c r="U25" s="192" t="str">
        <f t="shared" si="17"/>
        <v/>
      </c>
      <c r="V25" s="195" t="str">
        <f t="shared" si="23"/>
        <v/>
      </c>
      <c r="W25" s="195" t="str">
        <f t="shared" si="24"/>
        <v/>
      </c>
      <c r="X25" s="196" t="str">
        <f t="shared" si="18"/>
        <v/>
      </c>
      <c r="Y25" s="191" t="str">
        <f t="shared" si="20"/>
        <v/>
      </c>
      <c r="Z25" s="197" t="str">
        <f>IF(M28="","",MONTH(M28))</f>
        <v/>
      </c>
      <c r="AA25" s="197" t="str">
        <f>IF(M28="","",YEAR(M28))</f>
        <v/>
      </c>
      <c r="AB25" s="218"/>
      <c r="AC25" s="205"/>
    </row>
    <row r="26" spans="1:29">
      <c r="A26" s="219" t="str">
        <f t="shared" si="8"/>
        <v/>
      </c>
      <c r="B26" s="219"/>
      <c r="C26" s="184"/>
      <c r="D26" s="185"/>
      <c r="E26" s="185" t="str">
        <f>IF(OR(C26="",C26=Data!$B$3),"",IF(C26=Data!$B$2,"L","S"))</f>
        <v/>
      </c>
      <c r="F26" s="185" t="str">
        <f t="shared" si="9"/>
        <v/>
      </c>
      <c r="G26" s="186" t="str">
        <f t="shared" si="0"/>
        <v/>
      </c>
      <c r="H26" s="187"/>
      <c r="I26" s="188" t="str">
        <f t="shared" si="10"/>
        <v/>
      </c>
      <c r="J26" s="188" t="str">
        <f t="shared" si="11"/>
        <v/>
      </c>
      <c r="K26" s="189" t="str">
        <f t="shared" si="12"/>
        <v/>
      </c>
      <c r="L26" s="189" t="str">
        <f t="shared" si="13"/>
        <v/>
      </c>
      <c r="M26" s="190"/>
      <c r="N26" s="190"/>
      <c r="O26" s="188" t="str">
        <f t="shared" si="14"/>
        <v/>
      </c>
      <c r="P26" s="191" t="str">
        <f t="shared" si="21"/>
        <v/>
      </c>
      <c r="Q26" s="192" t="str">
        <f t="shared" si="15"/>
        <v/>
      </c>
      <c r="R26" s="191" t="str">
        <f t="shared" si="22"/>
        <v/>
      </c>
      <c r="S26" s="193" t="str">
        <f t="shared" si="16"/>
        <v/>
      </c>
      <c r="T26" s="194" t="str">
        <f t="shared" si="3"/>
        <v/>
      </c>
      <c r="U26" s="192" t="str">
        <f t="shared" si="17"/>
        <v/>
      </c>
      <c r="V26" s="195" t="str">
        <f t="shared" si="23"/>
        <v/>
      </c>
      <c r="W26" s="195" t="str">
        <f t="shared" si="24"/>
        <v/>
      </c>
      <c r="X26" s="196" t="str">
        <f t="shared" si="18"/>
        <v/>
      </c>
      <c r="Y26" s="191" t="str">
        <f t="shared" si="20"/>
        <v/>
      </c>
      <c r="Z26" s="197" t="str">
        <f>IF(M29="","",MONTH(M29))</f>
        <v/>
      </c>
      <c r="AA26" s="197" t="str">
        <f>IF(M29="","",YEAR(M29))</f>
        <v/>
      </c>
      <c r="AB26" s="218"/>
      <c r="AC26" s="205"/>
    </row>
    <row r="27" spans="1:29">
      <c r="A27" s="219" t="str">
        <f t="shared" si="8"/>
        <v/>
      </c>
      <c r="B27" s="219"/>
      <c r="C27" s="184"/>
      <c r="D27" s="185"/>
      <c r="E27" s="185" t="str">
        <f>IF(OR(C27="",C27=Data!$B$3),"",IF(C27=Data!$B$2,"L","S"))</f>
        <v/>
      </c>
      <c r="F27" s="185" t="str">
        <f t="shared" si="9"/>
        <v/>
      </c>
      <c r="G27" s="186" t="str">
        <f t="shared" si="0"/>
        <v/>
      </c>
      <c r="H27" s="187"/>
      <c r="I27" s="188" t="str">
        <f t="shared" si="10"/>
        <v/>
      </c>
      <c r="J27" s="188" t="str">
        <f t="shared" si="11"/>
        <v/>
      </c>
      <c r="K27" s="189" t="str">
        <f t="shared" si="12"/>
        <v/>
      </c>
      <c r="L27" s="189" t="str">
        <f t="shared" si="13"/>
        <v/>
      </c>
      <c r="M27" s="190"/>
      <c r="N27" s="190"/>
      <c r="O27" s="188" t="str">
        <f t="shared" si="14"/>
        <v/>
      </c>
      <c r="P27" s="191" t="str">
        <f t="shared" si="21"/>
        <v/>
      </c>
      <c r="Q27" s="192" t="str">
        <f t="shared" si="15"/>
        <v/>
      </c>
      <c r="R27" s="191" t="str">
        <f t="shared" si="22"/>
        <v/>
      </c>
      <c r="S27" s="193" t="str">
        <f t="shared" si="16"/>
        <v/>
      </c>
      <c r="T27" s="194" t="str">
        <f t="shared" si="3"/>
        <v/>
      </c>
      <c r="U27" s="192" t="str">
        <f t="shared" si="17"/>
        <v/>
      </c>
      <c r="V27" s="195" t="str">
        <f t="shared" si="23"/>
        <v/>
      </c>
      <c r="W27" s="195" t="str">
        <f t="shared" si="24"/>
        <v/>
      </c>
      <c r="X27" s="196" t="str">
        <f t="shared" si="18"/>
        <v/>
      </c>
      <c r="Y27" s="191" t="str">
        <f t="shared" si="20"/>
        <v/>
      </c>
      <c r="Z27" s="197" t="e">
        <f>IF(#REF!="","",MONTH(#REF!))</f>
        <v>#REF!</v>
      </c>
      <c r="AA27" s="197" t="e">
        <f>IF(#REF!="","",YEAR(#REF!))</f>
        <v>#REF!</v>
      </c>
      <c r="AB27" s="218"/>
      <c r="AC27" s="205"/>
    </row>
    <row r="28" spans="1:29">
      <c r="A28" s="219" t="str">
        <f t="shared" si="8"/>
        <v/>
      </c>
      <c r="B28" s="219"/>
      <c r="C28" s="184"/>
      <c r="D28" s="185"/>
      <c r="E28" s="185" t="str">
        <f>IF(OR(C28="",C28=Data!$B$3),"",IF(C28=Data!$B$2,"L","S"))</f>
        <v/>
      </c>
      <c r="F28" s="185" t="str">
        <f t="shared" si="9"/>
        <v/>
      </c>
      <c r="G28" s="186" t="str">
        <f t="shared" si="0"/>
        <v/>
      </c>
      <c r="H28" s="187"/>
      <c r="I28" s="188" t="str">
        <f t="shared" si="10"/>
        <v/>
      </c>
      <c r="J28" s="188" t="str">
        <f t="shared" si="11"/>
        <v/>
      </c>
      <c r="K28" s="189" t="str">
        <f t="shared" si="12"/>
        <v/>
      </c>
      <c r="L28" s="189" t="str">
        <f t="shared" si="13"/>
        <v/>
      </c>
      <c r="M28" s="190"/>
      <c r="N28" s="190"/>
      <c r="O28" s="188" t="str">
        <f t="shared" si="14"/>
        <v/>
      </c>
      <c r="P28" s="191" t="str">
        <f t="shared" si="21"/>
        <v/>
      </c>
      <c r="Q28" s="192" t="str">
        <f t="shared" si="15"/>
        <v/>
      </c>
      <c r="R28" s="191" t="str">
        <f t="shared" si="22"/>
        <v/>
      </c>
      <c r="S28" s="193" t="str">
        <f t="shared" si="16"/>
        <v/>
      </c>
      <c r="T28" s="194" t="str">
        <f t="shared" si="3"/>
        <v/>
      </c>
      <c r="U28" s="192" t="str">
        <f t="shared" si="17"/>
        <v/>
      </c>
      <c r="V28" s="195" t="str">
        <f t="shared" si="23"/>
        <v/>
      </c>
      <c r="W28" s="195" t="str">
        <f t="shared" si="24"/>
        <v/>
      </c>
      <c r="X28" s="196" t="str">
        <f t="shared" si="18"/>
        <v/>
      </c>
      <c r="Y28" s="191" t="str">
        <f t="shared" si="20"/>
        <v/>
      </c>
      <c r="Z28" s="197" t="e">
        <f>IF(#REF!="","",MONTH(#REF!))</f>
        <v>#REF!</v>
      </c>
      <c r="AA28" s="197" t="e">
        <f>IF(#REF!="","",YEAR(#REF!))</f>
        <v>#REF!</v>
      </c>
      <c r="AB28" s="218"/>
      <c r="AC28" s="205"/>
    </row>
    <row r="29" spans="1:29">
      <c r="A29" s="219" t="str">
        <f t="shared" si="8"/>
        <v/>
      </c>
      <c r="B29" s="219"/>
      <c r="C29" s="184"/>
      <c r="D29" s="185"/>
      <c r="E29" s="185" t="str">
        <f>IF(OR(C29="",C29=Data!$B$3),"",IF(C29=Data!$B$2,"L","S"))</f>
        <v/>
      </c>
      <c r="F29" s="185" t="str">
        <f t="shared" si="9"/>
        <v/>
      </c>
      <c r="G29" s="186" t="str">
        <f t="shared" si="0"/>
        <v/>
      </c>
      <c r="H29" s="187"/>
      <c r="I29" s="188" t="str">
        <f t="shared" si="10"/>
        <v/>
      </c>
      <c r="J29" s="188" t="str">
        <f t="shared" si="11"/>
        <v/>
      </c>
      <c r="K29" s="189" t="str">
        <f t="shared" si="12"/>
        <v/>
      </c>
      <c r="L29" s="189" t="str">
        <f t="shared" si="13"/>
        <v/>
      </c>
      <c r="M29" s="190"/>
      <c r="N29" s="190"/>
      <c r="O29" s="188" t="str">
        <f t="shared" si="14"/>
        <v/>
      </c>
      <c r="P29" s="191" t="str">
        <f t="shared" si="21"/>
        <v/>
      </c>
      <c r="Q29" s="192" t="str">
        <f t="shared" si="15"/>
        <v/>
      </c>
      <c r="R29" s="191" t="str">
        <f t="shared" si="22"/>
        <v/>
      </c>
      <c r="S29" s="193" t="str">
        <f t="shared" si="16"/>
        <v/>
      </c>
      <c r="T29" s="194" t="str">
        <f t="shared" si="3"/>
        <v/>
      </c>
      <c r="U29" s="192" t="str">
        <f t="shared" si="17"/>
        <v/>
      </c>
      <c r="V29" s="195" t="str">
        <f t="shared" si="23"/>
        <v/>
      </c>
      <c r="W29" s="195" t="str">
        <f t="shared" si="24"/>
        <v/>
      </c>
      <c r="X29" s="196" t="str">
        <f t="shared" si="18"/>
        <v/>
      </c>
      <c r="Y29" s="191" t="str">
        <f t="shared" si="20"/>
        <v/>
      </c>
      <c r="Z29" s="197" t="e">
        <f>IF(#REF!="","",MONTH(#REF!))</f>
        <v>#REF!</v>
      </c>
      <c r="AA29" s="197" t="e">
        <f>IF(#REF!="","",YEAR(#REF!))</f>
        <v>#REF!</v>
      </c>
      <c r="AB29" s="218"/>
      <c r="AC29" s="205"/>
    </row>
    <row r="30" spans="1:29">
      <c r="A30" s="219" t="str">
        <f t="shared" si="8"/>
        <v/>
      </c>
      <c r="B30" s="219"/>
      <c r="C30" s="184"/>
      <c r="D30" s="185"/>
      <c r="E30" s="185" t="str">
        <f>IF(OR(C30="",C30=Data!$B$3),"",IF(C30=Data!$B$2,"L","S"))</f>
        <v/>
      </c>
      <c r="F30" s="185" t="str">
        <f t="shared" si="9"/>
        <v/>
      </c>
      <c r="G30" s="186" t="str">
        <f t="shared" si="0"/>
        <v/>
      </c>
      <c r="H30" s="187"/>
      <c r="I30" s="188" t="str">
        <f t="shared" si="10"/>
        <v/>
      </c>
      <c r="J30" s="188" t="str">
        <f t="shared" si="11"/>
        <v/>
      </c>
      <c r="K30" s="189" t="str">
        <f t="shared" si="12"/>
        <v/>
      </c>
      <c r="L30" s="189" t="str">
        <f t="shared" si="13"/>
        <v/>
      </c>
      <c r="M30" s="190"/>
      <c r="N30" s="190"/>
      <c r="O30" s="188" t="str">
        <f t="shared" si="14"/>
        <v/>
      </c>
      <c r="P30" s="191" t="str">
        <f t="shared" si="1"/>
        <v/>
      </c>
      <c r="Q30" s="192" t="str">
        <f t="shared" si="15"/>
        <v/>
      </c>
      <c r="R30" s="191" t="str">
        <f t="shared" si="2"/>
        <v/>
      </c>
      <c r="S30" s="193" t="str">
        <f t="shared" si="16"/>
        <v/>
      </c>
      <c r="T30" s="194" t="str">
        <f t="shared" si="3"/>
        <v/>
      </c>
      <c r="U30" s="192" t="str">
        <f t="shared" si="17"/>
        <v/>
      </c>
      <c r="V30" s="195" t="str">
        <f t="shared" si="4"/>
        <v/>
      </c>
      <c r="W30" s="195" t="str">
        <f t="shared" si="5"/>
        <v/>
      </c>
      <c r="X30" s="196" t="str">
        <f t="shared" si="18"/>
        <v/>
      </c>
      <c r="Y30" s="191" t="str">
        <f t="shared" si="20"/>
        <v/>
      </c>
      <c r="Z30" s="197" t="str">
        <f t="shared" si="6"/>
        <v/>
      </c>
      <c r="AA30" s="197" t="str">
        <f t="shared" si="7"/>
        <v/>
      </c>
      <c r="AB30" s="218"/>
      <c r="AC30" s="205"/>
    </row>
    <row r="31" spans="1:29">
      <c r="A31" s="219" t="str">
        <f t="shared" si="8"/>
        <v/>
      </c>
      <c r="B31" s="219"/>
      <c r="C31" s="184"/>
      <c r="D31" s="185"/>
      <c r="E31" s="185" t="str">
        <f>IF(OR(C31="",C31=Data!$B$3),"",IF(C31=Data!$B$2,"L","S"))</f>
        <v/>
      </c>
      <c r="F31" s="185" t="str">
        <f t="shared" si="9"/>
        <v/>
      </c>
      <c r="G31" s="186" t="str">
        <f t="shared" si="0"/>
        <v/>
      </c>
      <c r="H31" s="187"/>
      <c r="I31" s="188" t="str">
        <f t="shared" si="10"/>
        <v/>
      </c>
      <c r="J31" s="188" t="str">
        <f t="shared" si="11"/>
        <v/>
      </c>
      <c r="K31" s="189" t="str">
        <f t="shared" si="12"/>
        <v/>
      </c>
      <c r="L31" s="189" t="str">
        <f t="shared" si="13"/>
        <v/>
      </c>
      <c r="M31" s="190"/>
      <c r="N31" s="190"/>
      <c r="O31" s="188" t="str">
        <f t="shared" si="14"/>
        <v/>
      </c>
      <c r="P31" s="191" t="str">
        <f t="shared" si="1"/>
        <v/>
      </c>
      <c r="Q31" s="192" t="str">
        <f t="shared" si="15"/>
        <v/>
      </c>
      <c r="R31" s="191" t="str">
        <f t="shared" si="2"/>
        <v/>
      </c>
      <c r="S31" s="193" t="str">
        <f t="shared" si="16"/>
        <v/>
      </c>
      <c r="T31" s="194" t="str">
        <f t="shared" si="3"/>
        <v/>
      </c>
      <c r="U31" s="192" t="str">
        <f t="shared" si="17"/>
        <v/>
      </c>
      <c r="V31" s="195" t="str">
        <f t="shared" si="4"/>
        <v/>
      </c>
      <c r="W31" s="195" t="str">
        <f t="shared" si="5"/>
        <v/>
      </c>
      <c r="X31" s="196" t="str">
        <f t="shared" si="18"/>
        <v/>
      </c>
      <c r="Y31" s="191" t="str">
        <f t="shared" si="20"/>
        <v/>
      </c>
      <c r="Z31" s="197" t="str">
        <f t="shared" si="6"/>
        <v/>
      </c>
      <c r="AA31" s="197" t="str">
        <f t="shared" si="7"/>
        <v/>
      </c>
      <c r="AB31" s="218"/>
      <c r="AC31" s="205"/>
    </row>
    <row r="32" spans="1:29">
      <c r="A32" s="219" t="str">
        <f t="shared" si="8"/>
        <v/>
      </c>
      <c r="B32" s="219"/>
      <c r="C32" s="184"/>
      <c r="D32" s="185"/>
      <c r="E32" s="185" t="str">
        <f>IF(OR(C32="",C32=Data!$B$3),"",IF(C32=Data!$B$2,"L","S"))</f>
        <v/>
      </c>
      <c r="F32" s="185" t="str">
        <f t="shared" si="9"/>
        <v/>
      </c>
      <c r="G32" s="186" t="str">
        <f t="shared" si="0"/>
        <v/>
      </c>
      <c r="H32" s="187"/>
      <c r="I32" s="188" t="str">
        <f t="shared" si="10"/>
        <v/>
      </c>
      <c r="J32" s="188" t="str">
        <f t="shared" si="11"/>
        <v/>
      </c>
      <c r="K32" s="189" t="str">
        <f t="shared" si="12"/>
        <v/>
      </c>
      <c r="L32" s="189" t="str">
        <f t="shared" si="13"/>
        <v/>
      </c>
      <c r="M32" s="190"/>
      <c r="N32" s="190"/>
      <c r="O32" s="188" t="str">
        <f t="shared" si="14"/>
        <v/>
      </c>
      <c r="P32" s="191" t="str">
        <f t="shared" si="1"/>
        <v/>
      </c>
      <c r="Q32" s="192" t="str">
        <f t="shared" si="15"/>
        <v/>
      </c>
      <c r="R32" s="191" t="str">
        <f t="shared" si="2"/>
        <v/>
      </c>
      <c r="S32" s="193" t="str">
        <f t="shared" si="16"/>
        <v/>
      </c>
      <c r="T32" s="194" t="str">
        <f t="shared" si="3"/>
        <v/>
      </c>
      <c r="U32" s="192" t="str">
        <f t="shared" si="17"/>
        <v/>
      </c>
      <c r="V32" s="195" t="str">
        <f t="shared" si="4"/>
        <v/>
      </c>
      <c r="W32" s="195" t="str">
        <f t="shared" si="5"/>
        <v/>
      </c>
      <c r="X32" s="196" t="str">
        <f t="shared" si="18"/>
        <v/>
      </c>
      <c r="Y32" s="191" t="str">
        <f t="shared" si="20"/>
        <v/>
      </c>
      <c r="Z32" s="197" t="str">
        <f t="shared" si="6"/>
        <v/>
      </c>
      <c r="AA32" s="197" t="str">
        <f t="shared" si="7"/>
        <v/>
      </c>
      <c r="AB32" s="218"/>
      <c r="AC32" s="205"/>
    </row>
    <row r="33" spans="1:29">
      <c r="A33" s="219" t="str">
        <f t="shared" si="8"/>
        <v/>
      </c>
      <c r="B33" s="219"/>
      <c r="C33" s="184"/>
      <c r="D33" s="185"/>
      <c r="E33" s="185" t="str">
        <f>IF(OR(C33="",C33=Data!$B$3),"",IF(C33=Data!$B$2,"L","S"))</f>
        <v/>
      </c>
      <c r="F33" s="185" t="str">
        <f t="shared" si="9"/>
        <v/>
      </c>
      <c r="G33" s="186" t="str">
        <f t="shared" si="0"/>
        <v/>
      </c>
      <c r="H33" s="187"/>
      <c r="I33" s="188" t="str">
        <f t="shared" si="10"/>
        <v/>
      </c>
      <c r="J33" s="188" t="str">
        <f t="shared" si="11"/>
        <v/>
      </c>
      <c r="K33" s="189" t="str">
        <f t="shared" si="12"/>
        <v/>
      </c>
      <c r="L33" s="189" t="str">
        <f t="shared" si="13"/>
        <v/>
      </c>
      <c r="M33" s="190"/>
      <c r="N33" s="190"/>
      <c r="O33" s="188" t="str">
        <f t="shared" si="14"/>
        <v/>
      </c>
      <c r="P33" s="191" t="str">
        <f t="shared" si="1"/>
        <v/>
      </c>
      <c r="Q33" s="192" t="str">
        <f t="shared" si="15"/>
        <v/>
      </c>
      <c r="R33" s="191" t="str">
        <f t="shared" si="2"/>
        <v/>
      </c>
      <c r="S33" s="193" t="str">
        <f t="shared" si="16"/>
        <v/>
      </c>
      <c r="T33" s="194" t="str">
        <f t="shared" si="3"/>
        <v/>
      </c>
      <c r="U33" s="192" t="str">
        <f t="shared" si="17"/>
        <v/>
      </c>
      <c r="V33" s="195" t="str">
        <f t="shared" si="4"/>
        <v/>
      </c>
      <c r="W33" s="195" t="str">
        <f t="shared" si="5"/>
        <v/>
      </c>
      <c r="X33" s="196" t="str">
        <f t="shared" si="18"/>
        <v/>
      </c>
      <c r="Y33" s="191" t="str">
        <f t="shared" si="20"/>
        <v/>
      </c>
      <c r="Z33" s="197" t="str">
        <f t="shared" si="6"/>
        <v/>
      </c>
      <c r="AA33" s="197" t="str">
        <f t="shared" si="7"/>
        <v/>
      </c>
      <c r="AB33" s="218"/>
      <c r="AC33" s="205"/>
    </row>
    <row r="34" spans="1:29">
      <c r="A34" s="219" t="str">
        <f t="shared" si="8"/>
        <v/>
      </c>
      <c r="B34" s="219"/>
      <c r="C34" s="184"/>
      <c r="D34" s="185"/>
      <c r="E34" s="185" t="str">
        <f>IF(OR(C34="",C34=Data!$B$3),"",IF(C34=Data!$B$2,"L","S"))</f>
        <v/>
      </c>
      <c r="F34" s="185" t="str">
        <f t="shared" si="9"/>
        <v/>
      </c>
      <c r="G34" s="186" t="str">
        <f t="shared" si="0"/>
        <v/>
      </c>
      <c r="H34" s="187"/>
      <c r="I34" s="188" t="str">
        <f t="shared" si="10"/>
        <v/>
      </c>
      <c r="J34" s="188" t="str">
        <f t="shared" si="11"/>
        <v/>
      </c>
      <c r="K34" s="189" t="str">
        <f t="shared" si="12"/>
        <v/>
      </c>
      <c r="L34" s="189" t="str">
        <f t="shared" si="13"/>
        <v/>
      </c>
      <c r="M34" s="190"/>
      <c r="N34" s="190"/>
      <c r="O34" s="188" t="str">
        <f t="shared" si="14"/>
        <v/>
      </c>
      <c r="P34" s="191" t="str">
        <f t="shared" si="1"/>
        <v/>
      </c>
      <c r="Q34" s="192" t="str">
        <f t="shared" si="15"/>
        <v/>
      </c>
      <c r="R34" s="191" t="str">
        <f t="shared" si="2"/>
        <v/>
      </c>
      <c r="S34" s="193" t="str">
        <f t="shared" si="16"/>
        <v/>
      </c>
      <c r="T34" s="194" t="str">
        <f t="shared" si="3"/>
        <v/>
      </c>
      <c r="U34" s="192" t="str">
        <f t="shared" si="17"/>
        <v/>
      </c>
      <c r="V34" s="195" t="str">
        <f t="shared" si="4"/>
        <v/>
      </c>
      <c r="W34" s="195" t="str">
        <f t="shared" si="5"/>
        <v/>
      </c>
      <c r="X34" s="196" t="str">
        <f t="shared" si="18"/>
        <v/>
      </c>
      <c r="Y34" s="191" t="str">
        <f t="shared" si="20"/>
        <v/>
      </c>
      <c r="Z34" s="197" t="str">
        <f t="shared" si="6"/>
        <v/>
      </c>
      <c r="AA34" s="197" t="str">
        <f t="shared" si="7"/>
        <v/>
      </c>
      <c r="AB34" s="218"/>
      <c r="AC34" s="205"/>
    </row>
    <row r="35" spans="1:29">
      <c r="A35" s="219" t="str">
        <f t="shared" si="8"/>
        <v/>
      </c>
      <c r="B35" s="219"/>
      <c r="C35" s="184"/>
      <c r="D35" s="185"/>
      <c r="E35" s="185" t="str">
        <f>IF(OR(C35="",C35=Data!$B$3),"",IF(C35=Data!$B$2,"L","S"))</f>
        <v/>
      </c>
      <c r="F35" s="185" t="str">
        <f t="shared" si="9"/>
        <v/>
      </c>
      <c r="G35" s="186" t="str">
        <f t="shared" si="0"/>
        <v/>
      </c>
      <c r="H35" s="187"/>
      <c r="I35" s="188" t="str">
        <f t="shared" si="10"/>
        <v/>
      </c>
      <c r="J35" s="188" t="str">
        <f t="shared" si="11"/>
        <v/>
      </c>
      <c r="K35" s="189" t="str">
        <f t="shared" si="12"/>
        <v/>
      </c>
      <c r="L35" s="189" t="str">
        <f t="shared" si="13"/>
        <v/>
      </c>
      <c r="M35" s="190"/>
      <c r="N35" s="190"/>
      <c r="O35" s="188" t="str">
        <f t="shared" si="14"/>
        <v/>
      </c>
      <c r="P35" s="191" t="str">
        <f t="shared" si="1"/>
        <v/>
      </c>
      <c r="Q35" s="192" t="str">
        <f t="shared" si="15"/>
        <v/>
      </c>
      <c r="R35" s="191" t="str">
        <f t="shared" si="2"/>
        <v/>
      </c>
      <c r="S35" s="193" t="str">
        <f t="shared" si="16"/>
        <v/>
      </c>
      <c r="T35" s="194" t="str">
        <f t="shared" si="3"/>
        <v/>
      </c>
      <c r="U35" s="192" t="str">
        <f t="shared" si="17"/>
        <v/>
      </c>
      <c r="V35" s="195" t="str">
        <f t="shared" si="4"/>
        <v/>
      </c>
      <c r="W35" s="195" t="str">
        <f t="shared" si="5"/>
        <v/>
      </c>
      <c r="X35" s="196" t="str">
        <f t="shared" si="18"/>
        <v/>
      </c>
      <c r="Y35" s="191" t="str">
        <f t="shared" si="20"/>
        <v/>
      </c>
      <c r="Z35" s="197" t="str">
        <f t="shared" si="6"/>
        <v/>
      </c>
      <c r="AA35" s="197" t="str">
        <f t="shared" si="7"/>
        <v/>
      </c>
      <c r="AB35" s="218"/>
      <c r="AC35" s="205"/>
    </row>
    <row r="36" spans="1:29">
      <c r="A36" s="219" t="str">
        <f t="shared" si="8"/>
        <v/>
      </c>
      <c r="B36" s="219"/>
      <c r="C36" s="184"/>
      <c r="D36" s="185"/>
      <c r="E36" s="185" t="str">
        <f>IF(OR(C36="",C36=Data!$B$3),"",IF(C36=Data!$B$2,"L","S"))</f>
        <v/>
      </c>
      <c r="F36" s="185" t="str">
        <f t="shared" si="9"/>
        <v/>
      </c>
      <c r="G36" s="186" t="str">
        <f t="shared" si="0"/>
        <v/>
      </c>
      <c r="H36" s="187"/>
      <c r="I36" s="188" t="str">
        <f t="shared" si="10"/>
        <v/>
      </c>
      <c r="J36" s="188" t="str">
        <f t="shared" si="11"/>
        <v/>
      </c>
      <c r="K36" s="189" t="str">
        <f t="shared" si="12"/>
        <v/>
      </c>
      <c r="L36" s="189" t="str">
        <f t="shared" si="13"/>
        <v/>
      </c>
      <c r="M36" s="190"/>
      <c r="N36" s="190"/>
      <c r="O36" s="188" t="str">
        <f t="shared" si="14"/>
        <v/>
      </c>
      <c r="P36" s="191" t="str">
        <f t="shared" si="1"/>
        <v/>
      </c>
      <c r="Q36" s="192" t="str">
        <f t="shared" si="15"/>
        <v/>
      </c>
      <c r="R36" s="191" t="str">
        <f t="shared" si="2"/>
        <v/>
      </c>
      <c r="S36" s="193" t="str">
        <f t="shared" si="16"/>
        <v/>
      </c>
      <c r="T36" s="194" t="str">
        <f t="shared" si="3"/>
        <v/>
      </c>
      <c r="U36" s="192" t="str">
        <f t="shared" si="17"/>
        <v/>
      </c>
      <c r="V36" s="195" t="str">
        <f t="shared" si="4"/>
        <v/>
      </c>
      <c r="W36" s="195" t="str">
        <f t="shared" si="5"/>
        <v/>
      </c>
      <c r="X36" s="196" t="str">
        <f t="shared" si="18"/>
        <v/>
      </c>
      <c r="Y36" s="191" t="str">
        <f t="shared" si="20"/>
        <v/>
      </c>
      <c r="Z36" s="197" t="str">
        <f t="shared" si="6"/>
        <v/>
      </c>
      <c r="AA36" s="197" t="str">
        <f t="shared" si="7"/>
        <v/>
      </c>
      <c r="AB36" s="218"/>
      <c r="AC36" s="205"/>
    </row>
    <row r="37" spans="1:29">
      <c r="A37" s="219" t="str">
        <f t="shared" si="8"/>
        <v/>
      </c>
      <c r="B37" s="219"/>
      <c r="C37" s="184"/>
      <c r="D37" s="185"/>
      <c r="E37" s="185" t="str">
        <f>IF(OR(C37="",C37=Data!$B$3),"",IF(C37=Data!$B$2,"L","S"))</f>
        <v/>
      </c>
      <c r="F37" s="185" t="str">
        <f t="shared" si="9"/>
        <v/>
      </c>
      <c r="G37" s="186" t="str">
        <f t="shared" si="0"/>
        <v/>
      </c>
      <c r="H37" s="187"/>
      <c r="I37" s="188" t="str">
        <f t="shared" si="10"/>
        <v/>
      </c>
      <c r="J37" s="188" t="str">
        <f t="shared" si="11"/>
        <v/>
      </c>
      <c r="K37" s="189" t="str">
        <f t="shared" si="12"/>
        <v/>
      </c>
      <c r="L37" s="189" t="str">
        <f t="shared" si="13"/>
        <v/>
      </c>
      <c r="M37" s="190"/>
      <c r="N37" s="190"/>
      <c r="O37" s="188" t="str">
        <f t="shared" si="14"/>
        <v/>
      </c>
      <c r="P37" s="191" t="str">
        <f t="shared" si="1"/>
        <v/>
      </c>
      <c r="Q37" s="192" t="str">
        <f t="shared" si="15"/>
        <v/>
      </c>
      <c r="R37" s="191" t="str">
        <f t="shared" si="2"/>
        <v/>
      </c>
      <c r="S37" s="193" t="str">
        <f t="shared" si="16"/>
        <v/>
      </c>
      <c r="T37" s="194" t="str">
        <f t="shared" si="3"/>
        <v/>
      </c>
      <c r="U37" s="192" t="str">
        <f t="shared" si="17"/>
        <v/>
      </c>
      <c r="V37" s="195" t="str">
        <f t="shared" si="4"/>
        <v/>
      </c>
      <c r="W37" s="195" t="str">
        <f t="shared" si="5"/>
        <v/>
      </c>
      <c r="X37" s="196" t="str">
        <f t="shared" si="18"/>
        <v/>
      </c>
      <c r="Y37" s="191" t="str">
        <f t="shared" si="20"/>
        <v/>
      </c>
      <c r="Z37" s="197" t="str">
        <f t="shared" si="6"/>
        <v/>
      </c>
      <c r="AA37" s="197" t="str">
        <f t="shared" si="7"/>
        <v/>
      </c>
      <c r="AB37" s="218"/>
      <c r="AC37" s="205"/>
    </row>
    <row r="38" spans="1:29">
      <c r="A38" s="219" t="str">
        <f t="shared" si="8"/>
        <v/>
      </c>
      <c r="B38" s="219"/>
      <c r="C38" s="184"/>
      <c r="D38" s="185"/>
      <c r="E38" s="185" t="str">
        <f>IF(OR(C38="",C38=Data!$B$3),"",IF(C38=Data!$B$2,"L","S"))</f>
        <v/>
      </c>
      <c r="F38" s="185" t="str">
        <f t="shared" si="9"/>
        <v/>
      </c>
      <c r="G38" s="186" t="str">
        <f t="shared" si="0"/>
        <v/>
      </c>
      <c r="H38" s="187"/>
      <c r="I38" s="188" t="str">
        <f t="shared" si="10"/>
        <v/>
      </c>
      <c r="J38" s="188" t="str">
        <f t="shared" si="11"/>
        <v/>
      </c>
      <c r="K38" s="189" t="str">
        <f t="shared" si="12"/>
        <v/>
      </c>
      <c r="L38" s="189" t="str">
        <f t="shared" si="13"/>
        <v/>
      </c>
      <c r="M38" s="190"/>
      <c r="N38" s="190"/>
      <c r="O38" s="188" t="str">
        <f t="shared" si="14"/>
        <v/>
      </c>
      <c r="P38" s="191" t="str">
        <f t="shared" si="1"/>
        <v/>
      </c>
      <c r="Q38" s="192" t="str">
        <f t="shared" si="15"/>
        <v/>
      </c>
      <c r="R38" s="191" t="str">
        <f t="shared" si="2"/>
        <v/>
      </c>
      <c r="S38" s="193" t="str">
        <f t="shared" si="16"/>
        <v/>
      </c>
      <c r="T38" s="194" t="str">
        <f t="shared" si="3"/>
        <v/>
      </c>
      <c r="U38" s="192" t="str">
        <f t="shared" si="17"/>
        <v/>
      </c>
      <c r="V38" s="195" t="str">
        <f t="shared" si="4"/>
        <v/>
      </c>
      <c r="W38" s="195" t="str">
        <f t="shared" si="5"/>
        <v/>
      </c>
      <c r="X38" s="196" t="str">
        <f t="shared" si="18"/>
        <v/>
      </c>
      <c r="Y38" s="191" t="str">
        <f t="shared" si="20"/>
        <v/>
      </c>
      <c r="Z38" s="197" t="str">
        <f t="shared" si="6"/>
        <v/>
      </c>
      <c r="AA38" s="197" t="str">
        <f t="shared" si="7"/>
        <v/>
      </c>
      <c r="AB38" s="218"/>
      <c r="AC38" s="205"/>
    </row>
    <row r="39" spans="1:29">
      <c r="A39" s="219" t="str">
        <f t="shared" si="8"/>
        <v/>
      </c>
      <c r="B39" s="219"/>
      <c r="C39" s="184"/>
      <c r="D39" s="185"/>
      <c r="E39" s="185" t="str">
        <f>IF(OR(C39="",C39=Data!$B$3),"",IF(C39=Data!$B$2,"L","S"))</f>
        <v/>
      </c>
      <c r="F39" s="185" t="str">
        <f t="shared" si="9"/>
        <v/>
      </c>
      <c r="G39" s="186" t="str">
        <f t="shared" si="0"/>
        <v/>
      </c>
      <c r="H39" s="187"/>
      <c r="I39" s="188" t="str">
        <f t="shared" si="10"/>
        <v/>
      </c>
      <c r="J39" s="188" t="str">
        <f t="shared" si="11"/>
        <v/>
      </c>
      <c r="K39" s="189" t="str">
        <f t="shared" si="12"/>
        <v/>
      </c>
      <c r="L39" s="189" t="str">
        <f t="shared" si="13"/>
        <v/>
      </c>
      <c r="M39" s="190"/>
      <c r="N39" s="190"/>
      <c r="O39" s="188" t="str">
        <f t="shared" si="14"/>
        <v/>
      </c>
      <c r="P39" s="191" t="str">
        <f t="shared" si="1"/>
        <v/>
      </c>
      <c r="Q39" s="192" t="str">
        <f t="shared" si="15"/>
        <v/>
      </c>
      <c r="R39" s="191" t="str">
        <f t="shared" si="2"/>
        <v/>
      </c>
      <c r="S39" s="193" t="str">
        <f t="shared" si="16"/>
        <v/>
      </c>
      <c r="T39" s="194" t="str">
        <f t="shared" si="3"/>
        <v/>
      </c>
      <c r="U39" s="192" t="str">
        <f t="shared" si="17"/>
        <v/>
      </c>
      <c r="V39" s="195" t="str">
        <f t="shared" si="4"/>
        <v/>
      </c>
      <c r="W39" s="195" t="str">
        <f t="shared" si="5"/>
        <v/>
      </c>
      <c r="X39" s="196" t="str">
        <f t="shared" si="18"/>
        <v/>
      </c>
      <c r="Y39" s="191" t="str">
        <f t="shared" si="20"/>
        <v/>
      </c>
      <c r="Z39" s="197" t="str">
        <f t="shared" si="6"/>
        <v/>
      </c>
      <c r="AA39" s="197" t="str">
        <f t="shared" si="7"/>
        <v/>
      </c>
      <c r="AB39" s="218"/>
      <c r="AC39" s="205"/>
    </row>
    <row r="40" spans="1:29">
      <c r="A40" s="219" t="str">
        <f t="shared" si="8"/>
        <v/>
      </c>
      <c r="B40" s="219"/>
      <c r="C40" s="184"/>
      <c r="D40" s="185"/>
      <c r="E40" s="185" t="str">
        <f>IF(OR(C40="",C40=Data!$B$3),"",IF(C40=Data!$B$2,"L","S"))</f>
        <v/>
      </c>
      <c r="F40" s="185" t="str">
        <f t="shared" si="9"/>
        <v/>
      </c>
      <c r="G40" s="186" t="str">
        <f t="shared" si="0"/>
        <v/>
      </c>
      <c r="H40" s="187"/>
      <c r="I40" s="188" t="str">
        <f t="shared" si="10"/>
        <v/>
      </c>
      <c r="J40" s="188" t="str">
        <f t="shared" si="11"/>
        <v/>
      </c>
      <c r="K40" s="189" t="str">
        <f t="shared" si="12"/>
        <v/>
      </c>
      <c r="L40" s="189" t="str">
        <f t="shared" si="13"/>
        <v/>
      </c>
      <c r="M40" s="190"/>
      <c r="N40" s="190"/>
      <c r="O40" s="188" t="str">
        <f t="shared" si="14"/>
        <v/>
      </c>
      <c r="P40" s="191" t="str">
        <f t="shared" si="1"/>
        <v/>
      </c>
      <c r="Q40" s="192" t="str">
        <f t="shared" si="15"/>
        <v/>
      </c>
      <c r="R40" s="191" t="str">
        <f t="shared" si="2"/>
        <v/>
      </c>
      <c r="S40" s="193" t="str">
        <f t="shared" si="16"/>
        <v/>
      </c>
      <c r="T40" s="194" t="str">
        <f t="shared" si="3"/>
        <v/>
      </c>
      <c r="U40" s="192" t="str">
        <f t="shared" si="17"/>
        <v/>
      </c>
      <c r="V40" s="195" t="str">
        <f t="shared" si="4"/>
        <v/>
      </c>
      <c r="W40" s="195" t="str">
        <f t="shared" si="5"/>
        <v/>
      </c>
      <c r="X40" s="196" t="str">
        <f t="shared" si="18"/>
        <v/>
      </c>
      <c r="Y40" s="191" t="str">
        <f t="shared" si="20"/>
        <v/>
      </c>
      <c r="Z40" s="197" t="str">
        <f t="shared" si="6"/>
        <v/>
      </c>
      <c r="AA40" s="197" t="str">
        <f t="shared" si="7"/>
        <v/>
      </c>
      <c r="AB40" s="218"/>
      <c r="AC40" s="205"/>
    </row>
    <row r="41" spans="1:29">
      <c r="A41" s="219" t="str">
        <f t="shared" si="8"/>
        <v/>
      </c>
      <c r="B41" s="219"/>
      <c r="C41" s="184"/>
      <c r="D41" s="185"/>
      <c r="E41" s="185" t="str">
        <f>IF(OR(C41="",C41=Data!$B$3),"",IF(C41=Data!$B$2,"L","S"))</f>
        <v/>
      </c>
      <c r="F41" s="185" t="str">
        <f t="shared" si="9"/>
        <v/>
      </c>
      <c r="G41" s="186" t="str">
        <f t="shared" si="0"/>
        <v/>
      </c>
      <c r="H41" s="187"/>
      <c r="I41" s="188" t="str">
        <f t="shared" si="10"/>
        <v/>
      </c>
      <c r="J41" s="188" t="str">
        <f t="shared" si="11"/>
        <v/>
      </c>
      <c r="K41" s="189" t="str">
        <f t="shared" si="12"/>
        <v/>
      </c>
      <c r="L41" s="189" t="str">
        <f t="shared" si="13"/>
        <v/>
      </c>
      <c r="M41" s="190"/>
      <c r="N41" s="190"/>
      <c r="O41" s="188" t="str">
        <f t="shared" si="14"/>
        <v/>
      </c>
      <c r="P41" s="191" t="str">
        <f t="shared" si="1"/>
        <v/>
      </c>
      <c r="Q41" s="192" t="str">
        <f t="shared" si="15"/>
        <v/>
      </c>
      <c r="R41" s="191" t="str">
        <f t="shared" si="2"/>
        <v/>
      </c>
      <c r="S41" s="193" t="str">
        <f t="shared" si="16"/>
        <v/>
      </c>
      <c r="T41" s="194" t="str">
        <f t="shared" si="3"/>
        <v/>
      </c>
      <c r="U41" s="192" t="str">
        <f t="shared" si="17"/>
        <v/>
      </c>
      <c r="V41" s="195" t="str">
        <f t="shared" si="4"/>
        <v/>
      </c>
      <c r="W41" s="195" t="str">
        <f t="shared" si="5"/>
        <v/>
      </c>
      <c r="X41" s="196" t="str">
        <f t="shared" si="18"/>
        <v/>
      </c>
      <c r="Y41" s="191" t="str">
        <f t="shared" si="20"/>
        <v/>
      </c>
      <c r="Z41" s="197" t="str">
        <f t="shared" si="6"/>
        <v/>
      </c>
      <c r="AA41" s="197" t="str">
        <f t="shared" si="7"/>
        <v/>
      </c>
      <c r="AB41" s="218"/>
      <c r="AC41" s="205"/>
    </row>
    <row r="42" spans="1:29">
      <c r="A42" s="219" t="str">
        <f t="shared" si="8"/>
        <v/>
      </c>
      <c r="B42" s="219"/>
      <c r="C42" s="184"/>
      <c r="D42" s="185"/>
      <c r="E42" s="185" t="str">
        <f>IF(OR(C42="",C42=Data!$B$3),"",IF(C42=Data!$B$2,"L","S"))</f>
        <v/>
      </c>
      <c r="F42" s="185" t="str">
        <f t="shared" si="9"/>
        <v/>
      </c>
      <c r="G42" s="186" t="str">
        <f t="shared" si="0"/>
        <v/>
      </c>
      <c r="H42" s="187"/>
      <c r="I42" s="188" t="str">
        <f t="shared" si="10"/>
        <v/>
      </c>
      <c r="J42" s="188" t="str">
        <f t="shared" si="11"/>
        <v/>
      </c>
      <c r="K42" s="189" t="str">
        <f t="shared" si="12"/>
        <v/>
      </c>
      <c r="L42" s="189" t="str">
        <f t="shared" si="13"/>
        <v/>
      </c>
      <c r="M42" s="190"/>
      <c r="N42" s="190"/>
      <c r="O42" s="188" t="str">
        <f t="shared" si="14"/>
        <v/>
      </c>
      <c r="P42" s="191" t="str">
        <f t="shared" si="1"/>
        <v/>
      </c>
      <c r="Q42" s="192" t="str">
        <f t="shared" si="15"/>
        <v/>
      </c>
      <c r="R42" s="191" t="str">
        <f t="shared" si="2"/>
        <v/>
      </c>
      <c r="S42" s="193" t="str">
        <f t="shared" si="16"/>
        <v/>
      </c>
      <c r="T42" s="194" t="str">
        <f t="shared" si="3"/>
        <v/>
      </c>
      <c r="U42" s="192" t="str">
        <f t="shared" si="17"/>
        <v/>
      </c>
      <c r="V42" s="195" t="str">
        <f t="shared" si="4"/>
        <v/>
      </c>
      <c r="W42" s="195" t="str">
        <f t="shared" si="5"/>
        <v/>
      </c>
      <c r="X42" s="196" t="str">
        <f t="shared" si="18"/>
        <v/>
      </c>
      <c r="Y42" s="191" t="str">
        <f t="shared" si="20"/>
        <v/>
      </c>
      <c r="Z42" s="197" t="str">
        <f t="shared" si="6"/>
        <v/>
      </c>
      <c r="AA42" s="197" t="str">
        <f t="shared" si="7"/>
        <v/>
      </c>
      <c r="AB42" s="218"/>
      <c r="AC42" s="205"/>
    </row>
    <row r="43" spans="1:29">
      <c r="A43" s="219" t="str">
        <f t="shared" si="8"/>
        <v/>
      </c>
      <c r="B43" s="219"/>
      <c r="C43" s="184"/>
      <c r="D43" s="185"/>
      <c r="E43" s="185" t="str">
        <f>IF(OR(C43="",C43=Data!$B$3),"",IF(C43=Data!$B$2,"L","S"))</f>
        <v/>
      </c>
      <c r="F43" s="185" t="str">
        <f t="shared" si="9"/>
        <v/>
      </c>
      <c r="G43" s="186" t="str">
        <f t="shared" si="0"/>
        <v/>
      </c>
      <c r="H43" s="187"/>
      <c r="I43" s="188" t="str">
        <f t="shared" si="10"/>
        <v/>
      </c>
      <c r="J43" s="188" t="str">
        <f t="shared" si="11"/>
        <v/>
      </c>
      <c r="K43" s="189" t="str">
        <f t="shared" si="12"/>
        <v/>
      </c>
      <c r="L43" s="189" t="str">
        <f t="shared" si="13"/>
        <v/>
      </c>
      <c r="M43" s="190"/>
      <c r="N43" s="190"/>
      <c r="O43" s="188" t="str">
        <f t="shared" si="14"/>
        <v/>
      </c>
      <c r="P43" s="191" t="str">
        <f t="shared" si="1"/>
        <v/>
      </c>
      <c r="Q43" s="192" t="str">
        <f t="shared" si="15"/>
        <v/>
      </c>
      <c r="R43" s="191" t="str">
        <f t="shared" si="2"/>
        <v/>
      </c>
      <c r="S43" s="193" t="str">
        <f t="shared" si="16"/>
        <v/>
      </c>
      <c r="T43" s="194" t="str">
        <f t="shared" si="3"/>
        <v/>
      </c>
      <c r="U43" s="192" t="str">
        <f t="shared" si="17"/>
        <v/>
      </c>
      <c r="V43" s="195" t="str">
        <f t="shared" si="4"/>
        <v/>
      </c>
      <c r="W43" s="195" t="str">
        <f t="shared" si="5"/>
        <v/>
      </c>
      <c r="X43" s="196" t="str">
        <f t="shared" si="18"/>
        <v/>
      </c>
      <c r="Y43" s="191" t="str">
        <f t="shared" si="20"/>
        <v/>
      </c>
      <c r="Z43" s="197" t="str">
        <f t="shared" si="6"/>
        <v/>
      </c>
      <c r="AA43" s="197" t="str">
        <f t="shared" si="7"/>
        <v/>
      </c>
      <c r="AB43" s="218"/>
      <c r="AC43" s="205"/>
    </row>
    <row r="44" spans="1:29">
      <c r="A44" s="219" t="str">
        <f t="shared" si="8"/>
        <v/>
      </c>
      <c r="B44" s="219"/>
      <c r="C44" s="184"/>
      <c r="D44" s="185"/>
      <c r="E44" s="185" t="str">
        <f>IF(OR(C44="",C44=Data!$B$3),"",IF(C44=Data!$B$2,"L","S"))</f>
        <v/>
      </c>
      <c r="F44" s="185" t="str">
        <f t="shared" si="9"/>
        <v/>
      </c>
      <c r="G44" s="186" t="str">
        <f t="shared" si="0"/>
        <v/>
      </c>
      <c r="H44" s="187"/>
      <c r="I44" s="188" t="str">
        <f t="shared" si="10"/>
        <v/>
      </c>
      <c r="J44" s="188" t="str">
        <f t="shared" si="11"/>
        <v/>
      </c>
      <c r="K44" s="189" t="str">
        <f t="shared" si="12"/>
        <v/>
      </c>
      <c r="L44" s="189" t="str">
        <f t="shared" si="13"/>
        <v/>
      </c>
      <c r="M44" s="190"/>
      <c r="N44" s="190"/>
      <c r="O44" s="188" t="str">
        <f t="shared" si="14"/>
        <v/>
      </c>
      <c r="P44" s="191" t="str">
        <f t="shared" si="1"/>
        <v/>
      </c>
      <c r="Q44" s="192" t="str">
        <f t="shared" si="15"/>
        <v/>
      </c>
      <c r="R44" s="191" t="str">
        <f t="shared" si="2"/>
        <v/>
      </c>
      <c r="S44" s="193" t="str">
        <f t="shared" si="16"/>
        <v/>
      </c>
      <c r="T44" s="194" t="str">
        <f t="shared" si="3"/>
        <v/>
      </c>
      <c r="U44" s="192" t="str">
        <f t="shared" si="17"/>
        <v/>
      </c>
      <c r="V44" s="195" t="str">
        <f t="shared" si="4"/>
        <v/>
      </c>
      <c r="W44" s="195" t="str">
        <f t="shared" si="5"/>
        <v/>
      </c>
      <c r="X44" s="196" t="str">
        <f t="shared" si="18"/>
        <v/>
      </c>
      <c r="Y44" s="191" t="str">
        <f t="shared" si="20"/>
        <v/>
      </c>
      <c r="Z44" s="197" t="str">
        <f t="shared" si="6"/>
        <v/>
      </c>
      <c r="AA44" s="197" t="str">
        <f t="shared" si="7"/>
        <v/>
      </c>
      <c r="AB44" s="218"/>
      <c r="AC44" s="205"/>
    </row>
    <row r="45" spans="1:29">
      <c r="A45" s="219" t="str">
        <f t="shared" si="8"/>
        <v/>
      </c>
      <c r="B45" s="219"/>
      <c r="C45" s="184"/>
      <c r="D45" s="185"/>
      <c r="E45" s="185" t="str">
        <f>IF(OR(C45="",C45=Data!$B$3),"",IF(C45=Data!$B$2,"L","S"))</f>
        <v/>
      </c>
      <c r="F45" s="185" t="str">
        <f t="shared" si="9"/>
        <v/>
      </c>
      <c r="G45" s="186" t="str">
        <f t="shared" si="0"/>
        <v/>
      </c>
      <c r="H45" s="187"/>
      <c r="I45" s="188" t="str">
        <f t="shared" si="10"/>
        <v/>
      </c>
      <c r="J45" s="188" t="str">
        <f t="shared" si="11"/>
        <v/>
      </c>
      <c r="K45" s="189" t="str">
        <f t="shared" si="12"/>
        <v/>
      </c>
      <c r="L45" s="189" t="str">
        <f t="shared" si="13"/>
        <v/>
      </c>
      <c r="M45" s="190"/>
      <c r="N45" s="190"/>
      <c r="O45" s="188" t="str">
        <f t="shared" si="14"/>
        <v/>
      </c>
      <c r="P45" s="191" t="str">
        <f t="shared" si="1"/>
        <v/>
      </c>
      <c r="Q45" s="192" t="str">
        <f t="shared" si="15"/>
        <v/>
      </c>
      <c r="R45" s="191" t="str">
        <f t="shared" si="2"/>
        <v/>
      </c>
      <c r="S45" s="193" t="str">
        <f t="shared" si="16"/>
        <v/>
      </c>
      <c r="T45" s="194" t="str">
        <f t="shared" si="3"/>
        <v/>
      </c>
      <c r="U45" s="192" t="str">
        <f t="shared" si="17"/>
        <v/>
      </c>
      <c r="V45" s="195" t="str">
        <f t="shared" si="4"/>
        <v/>
      </c>
      <c r="W45" s="195" t="str">
        <f t="shared" si="5"/>
        <v/>
      </c>
      <c r="X45" s="196" t="str">
        <f t="shared" si="18"/>
        <v/>
      </c>
      <c r="Y45" s="191" t="str">
        <f t="shared" si="20"/>
        <v/>
      </c>
      <c r="Z45" s="197" t="str">
        <f t="shared" si="6"/>
        <v/>
      </c>
      <c r="AA45" s="197" t="str">
        <f t="shared" si="7"/>
        <v/>
      </c>
      <c r="AB45" s="218"/>
      <c r="AC45" s="205"/>
    </row>
    <row r="46" spans="1:29">
      <c r="A46" s="219" t="str">
        <f t="shared" si="8"/>
        <v/>
      </c>
      <c r="B46" s="219"/>
      <c r="C46" s="184"/>
      <c r="D46" s="185"/>
      <c r="E46" s="185" t="str">
        <f>IF(OR(C46="",C46=Data!$B$3),"",IF(C46=Data!$B$2,"L","S"))</f>
        <v/>
      </c>
      <c r="F46" s="185" t="str">
        <f t="shared" si="9"/>
        <v/>
      </c>
      <c r="G46" s="186" t="str">
        <f t="shared" si="0"/>
        <v/>
      </c>
      <c r="H46" s="187"/>
      <c r="I46" s="188" t="str">
        <f t="shared" si="10"/>
        <v/>
      </c>
      <c r="J46" s="188" t="str">
        <f t="shared" si="11"/>
        <v/>
      </c>
      <c r="K46" s="189" t="str">
        <f t="shared" si="12"/>
        <v/>
      </c>
      <c r="L46" s="189" t="str">
        <f t="shared" si="13"/>
        <v/>
      </c>
      <c r="M46" s="190"/>
      <c r="N46" s="190"/>
      <c r="O46" s="188" t="str">
        <f t="shared" si="14"/>
        <v/>
      </c>
      <c r="P46" s="191" t="str">
        <f t="shared" si="1"/>
        <v/>
      </c>
      <c r="Q46" s="192" t="str">
        <f t="shared" si="15"/>
        <v/>
      </c>
      <c r="R46" s="191" t="str">
        <f t="shared" si="2"/>
        <v/>
      </c>
      <c r="S46" s="193" t="str">
        <f t="shared" si="16"/>
        <v/>
      </c>
      <c r="T46" s="194" t="str">
        <f t="shared" si="3"/>
        <v/>
      </c>
      <c r="U46" s="192" t="str">
        <f t="shared" si="17"/>
        <v/>
      </c>
      <c r="V46" s="195" t="str">
        <f t="shared" si="4"/>
        <v/>
      </c>
      <c r="W46" s="195" t="str">
        <f t="shared" si="5"/>
        <v/>
      </c>
      <c r="X46" s="196" t="str">
        <f t="shared" si="18"/>
        <v/>
      </c>
      <c r="Y46" s="191" t="str">
        <f t="shared" si="20"/>
        <v/>
      </c>
      <c r="Z46" s="197" t="str">
        <f t="shared" si="6"/>
        <v/>
      </c>
      <c r="AA46" s="197" t="str">
        <f t="shared" si="7"/>
        <v/>
      </c>
      <c r="AB46" s="218"/>
      <c r="AC46" s="205"/>
    </row>
    <row r="47" spans="1:29">
      <c r="A47" s="219" t="str">
        <f t="shared" si="8"/>
        <v/>
      </c>
      <c r="B47" s="219"/>
      <c r="C47" s="184"/>
      <c r="D47" s="185"/>
      <c r="E47" s="185" t="str">
        <f>IF(OR(C47="",C47=Data!$B$3),"",IF(C47=Data!$B$2,"L","S"))</f>
        <v/>
      </c>
      <c r="F47" s="185" t="str">
        <f t="shared" si="9"/>
        <v/>
      </c>
      <c r="G47" s="186" t="str">
        <f t="shared" si="0"/>
        <v/>
      </c>
      <c r="H47" s="187"/>
      <c r="I47" s="188" t="str">
        <f t="shared" si="10"/>
        <v/>
      </c>
      <c r="J47" s="188" t="str">
        <f t="shared" si="11"/>
        <v/>
      </c>
      <c r="K47" s="189" t="str">
        <f t="shared" si="12"/>
        <v/>
      </c>
      <c r="L47" s="189" t="str">
        <f t="shared" si="13"/>
        <v/>
      </c>
      <c r="M47" s="190"/>
      <c r="N47" s="190"/>
      <c r="O47" s="188" t="str">
        <f t="shared" si="14"/>
        <v/>
      </c>
      <c r="P47" s="191" t="str">
        <f t="shared" si="1"/>
        <v/>
      </c>
      <c r="Q47" s="192" t="str">
        <f t="shared" si="15"/>
        <v/>
      </c>
      <c r="R47" s="191" t="str">
        <f t="shared" si="2"/>
        <v/>
      </c>
      <c r="S47" s="193" t="str">
        <f t="shared" si="16"/>
        <v/>
      </c>
      <c r="T47" s="194" t="str">
        <f t="shared" si="3"/>
        <v/>
      </c>
      <c r="U47" s="192" t="str">
        <f t="shared" si="17"/>
        <v/>
      </c>
      <c r="V47" s="195" t="str">
        <f t="shared" si="4"/>
        <v/>
      </c>
      <c r="W47" s="195" t="str">
        <f t="shared" si="5"/>
        <v/>
      </c>
      <c r="X47" s="196" t="str">
        <f t="shared" si="18"/>
        <v/>
      </c>
      <c r="Y47" s="191" t="str">
        <f t="shared" si="20"/>
        <v/>
      </c>
      <c r="Z47" s="197" t="str">
        <f t="shared" si="6"/>
        <v/>
      </c>
      <c r="AA47" s="197" t="str">
        <f t="shared" si="7"/>
        <v/>
      </c>
      <c r="AB47" s="218"/>
      <c r="AC47" s="205"/>
    </row>
    <row r="48" spans="1:29">
      <c r="A48" s="219" t="str">
        <f t="shared" si="8"/>
        <v/>
      </c>
      <c r="B48" s="219"/>
      <c r="C48" s="184"/>
      <c r="D48" s="185"/>
      <c r="E48" s="185" t="str">
        <f>IF(OR(C48="",C48=Data!$B$3),"",IF(C48=Data!$B$2,"L","S"))</f>
        <v/>
      </c>
      <c r="F48" s="185" t="str">
        <f t="shared" si="9"/>
        <v/>
      </c>
      <c r="G48" s="186" t="str">
        <f t="shared" si="0"/>
        <v/>
      </c>
      <c r="H48" s="187"/>
      <c r="I48" s="188" t="str">
        <f t="shared" si="10"/>
        <v/>
      </c>
      <c r="J48" s="188" t="str">
        <f t="shared" si="11"/>
        <v/>
      </c>
      <c r="K48" s="189" t="str">
        <f t="shared" si="12"/>
        <v/>
      </c>
      <c r="L48" s="189" t="str">
        <f t="shared" si="13"/>
        <v/>
      </c>
      <c r="M48" s="190"/>
      <c r="N48" s="190"/>
      <c r="O48" s="188" t="str">
        <f t="shared" si="14"/>
        <v/>
      </c>
      <c r="P48" s="191" t="str">
        <f t="shared" si="1"/>
        <v/>
      </c>
      <c r="Q48" s="192" t="str">
        <f t="shared" si="15"/>
        <v/>
      </c>
      <c r="R48" s="191" t="str">
        <f t="shared" si="2"/>
        <v/>
      </c>
      <c r="S48" s="193" t="str">
        <f t="shared" si="16"/>
        <v/>
      </c>
      <c r="T48" s="194" t="str">
        <f t="shared" si="3"/>
        <v/>
      </c>
      <c r="U48" s="192" t="str">
        <f t="shared" si="17"/>
        <v/>
      </c>
      <c r="V48" s="195" t="str">
        <f t="shared" si="4"/>
        <v/>
      </c>
      <c r="W48" s="195" t="str">
        <f t="shared" si="5"/>
        <v/>
      </c>
      <c r="X48" s="196" t="str">
        <f t="shared" si="18"/>
        <v/>
      </c>
      <c r="Y48" s="191" t="str">
        <f t="shared" si="20"/>
        <v/>
      </c>
      <c r="Z48" s="197" t="str">
        <f t="shared" si="6"/>
        <v/>
      </c>
      <c r="AA48" s="197" t="str">
        <f t="shared" si="7"/>
        <v/>
      </c>
      <c r="AB48" s="218"/>
      <c r="AC48" s="205"/>
    </row>
    <row r="49" spans="1:29">
      <c r="A49" s="219" t="str">
        <f t="shared" si="8"/>
        <v/>
      </c>
      <c r="B49" s="219"/>
      <c r="C49" s="184"/>
      <c r="D49" s="185"/>
      <c r="E49" s="185" t="str">
        <f>IF(OR(C49="",C49=Data!$B$3),"",IF(C49=Data!$B$2,"L","S"))</f>
        <v/>
      </c>
      <c r="F49" s="185" t="str">
        <f t="shared" si="9"/>
        <v/>
      </c>
      <c r="G49" s="186" t="str">
        <f t="shared" si="0"/>
        <v/>
      </c>
      <c r="H49" s="187"/>
      <c r="I49" s="188" t="str">
        <f t="shared" si="10"/>
        <v/>
      </c>
      <c r="J49" s="188" t="str">
        <f t="shared" si="11"/>
        <v/>
      </c>
      <c r="K49" s="189" t="str">
        <f t="shared" si="12"/>
        <v/>
      </c>
      <c r="L49" s="189" t="str">
        <f t="shared" si="13"/>
        <v/>
      </c>
      <c r="M49" s="190"/>
      <c r="N49" s="190"/>
      <c r="O49" s="188" t="str">
        <f t="shared" si="14"/>
        <v/>
      </c>
      <c r="P49" s="191" t="str">
        <f t="shared" si="1"/>
        <v/>
      </c>
      <c r="Q49" s="192" t="str">
        <f t="shared" si="15"/>
        <v/>
      </c>
      <c r="R49" s="191" t="str">
        <f t="shared" si="2"/>
        <v/>
      </c>
      <c r="S49" s="193" t="str">
        <f t="shared" si="16"/>
        <v/>
      </c>
      <c r="T49" s="194" t="str">
        <f t="shared" si="3"/>
        <v/>
      </c>
      <c r="U49" s="192" t="str">
        <f t="shared" si="17"/>
        <v/>
      </c>
      <c r="V49" s="195" t="str">
        <f t="shared" si="4"/>
        <v/>
      </c>
      <c r="W49" s="195" t="str">
        <f t="shared" si="5"/>
        <v/>
      </c>
      <c r="X49" s="196" t="str">
        <f t="shared" si="18"/>
        <v/>
      </c>
      <c r="Y49" s="191" t="str">
        <f t="shared" si="20"/>
        <v/>
      </c>
      <c r="Z49" s="197" t="str">
        <f t="shared" si="6"/>
        <v/>
      </c>
      <c r="AA49" s="197" t="str">
        <f t="shared" si="7"/>
        <v/>
      </c>
      <c r="AB49" s="218"/>
      <c r="AC49" s="205"/>
    </row>
    <row r="50" spans="1:29">
      <c r="A50" s="219" t="str">
        <f t="shared" si="8"/>
        <v/>
      </c>
      <c r="B50" s="219"/>
      <c r="C50" s="184"/>
      <c r="D50" s="185"/>
      <c r="E50" s="185" t="str">
        <f>IF(OR(C50="",C50=Data!$B$3),"",IF(C50=Data!$B$2,"L","S"))</f>
        <v/>
      </c>
      <c r="F50" s="185" t="str">
        <f t="shared" si="9"/>
        <v/>
      </c>
      <c r="G50" s="186" t="str">
        <f t="shared" si="0"/>
        <v/>
      </c>
      <c r="H50" s="187"/>
      <c r="I50" s="188" t="str">
        <f t="shared" si="10"/>
        <v/>
      </c>
      <c r="J50" s="188" t="str">
        <f t="shared" si="11"/>
        <v/>
      </c>
      <c r="K50" s="189" t="str">
        <f t="shared" si="12"/>
        <v/>
      </c>
      <c r="L50" s="189" t="str">
        <f t="shared" si="13"/>
        <v/>
      </c>
      <c r="M50" s="190"/>
      <c r="N50" s="190"/>
      <c r="O50" s="188" t="str">
        <f t="shared" si="14"/>
        <v/>
      </c>
      <c r="P50" s="191" t="str">
        <f t="shared" si="1"/>
        <v/>
      </c>
      <c r="Q50" s="192" t="str">
        <f t="shared" si="15"/>
        <v/>
      </c>
      <c r="R50" s="191" t="str">
        <f t="shared" si="2"/>
        <v/>
      </c>
      <c r="S50" s="193" t="str">
        <f t="shared" si="16"/>
        <v/>
      </c>
      <c r="T50" s="194" t="str">
        <f t="shared" si="3"/>
        <v/>
      </c>
      <c r="U50" s="192" t="str">
        <f t="shared" si="17"/>
        <v/>
      </c>
      <c r="V50" s="195" t="str">
        <f t="shared" si="4"/>
        <v/>
      </c>
      <c r="W50" s="195" t="str">
        <f t="shared" si="5"/>
        <v/>
      </c>
      <c r="X50" s="196" t="str">
        <f t="shared" si="18"/>
        <v/>
      </c>
      <c r="Y50" s="191" t="str">
        <f t="shared" si="20"/>
        <v/>
      </c>
      <c r="Z50" s="197" t="str">
        <f t="shared" si="6"/>
        <v/>
      </c>
      <c r="AA50" s="197" t="str">
        <f t="shared" si="7"/>
        <v/>
      </c>
      <c r="AB50" s="218"/>
      <c r="AC50" s="205"/>
    </row>
    <row r="51" spans="1:29">
      <c r="A51" s="219" t="str">
        <f t="shared" si="8"/>
        <v/>
      </c>
      <c r="B51" s="219"/>
      <c r="C51" s="184"/>
      <c r="D51" s="185"/>
      <c r="E51" s="185" t="str">
        <f>IF(OR(C51="",C51=Data!$B$3),"",IF(C51=Data!$B$2,"L","S"))</f>
        <v/>
      </c>
      <c r="F51" s="185" t="str">
        <f t="shared" si="9"/>
        <v/>
      </c>
      <c r="G51" s="186" t="str">
        <f t="shared" si="0"/>
        <v/>
      </c>
      <c r="H51" s="187"/>
      <c r="I51" s="188" t="str">
        <f t="shared" si="10"/>
        <v/>
      </c>
      <c r="J51" s="188" t="str">
        <f t="shared" si="11"/>
        <v/>
      </c>
      <c r="K51" s="189" t="str">
        <f t="shared" si="12"/>
        <v/>
      </c>
      <c r="L51" s="189" t="str">
        <f t="shared" si="13"/>
        <v/>
      </c>
      <c r="M51" s="190"/>
      <c r="N51" s="190"/>
      <c r="O51" s="188" t="str">
        <f t="shared" si="14"/>
        <v/>
      </c>
      <c r="P51" s="191" t="str">
        <f t="shared" si="1"/>
        <v/>
      </c>
      <c r="Q51" s="192" t="str">
        <f t="shared" si="15"/>
        <v/>
      </c>
      <c r="R51" s="191" t="str">
        <f t="shared" si="2"/>
        <v/>
      </c>
      <c r="S51" s="193" t="str">
        <f t="shared" si="16"/>
        <v/>
      </c>
      <c r="T51" s="194" t="str">
        <f t="shared" si="3"/>
        <v/>
      </c>
      <c r="U51" s="192" t="str">
        <f t="shared" si="17"/>
        <v/>
      </c>
      <c r="V51" s="195" t="str">
        <f t="shared" si="4"/>
        <v/>
      </c>
      <c r="W51" s="195" t="str">
        <f t="shared" si="5"/>
        <v/>
      </c>
      <c r="X51" s="196" t="str">
        <f t="shared" si="18"/>
        <v/>
      </c>
      <c r="Y51" s="191" t="str">
        <f t="shared" si="20"/>
        <v/>
      </c>
      <c r="Z51" s="197" t="str">
        <f t="shared" si="6"/>
        <v/>
      </c>
      <c r="AA51" s="197" t="str">
        <f t="shared" si="7"/>
        <v/>
      </c>
      <c r="AB51" s="218"/>
      <c r="AC51" s="205"/>
    </row>
    <row r="52" spans="1:29">
      <c r="A52" s="219" t="str">
        <f t="shared" si="8"/>
        <v/>
      </c>
      <c r="B52" s="219"/>
      <c r="C52" s="184"/>
      <c r="D52" s="185"/>
      <c r="E52" s="185" t="str">
        <f>IF(OR(C52="",C52=Data!$B$3),"",IF(C52=Data!$B$2,"L","S"))</f>
        <v/>
      </c>
      <c r="F52" s="185" t="str">
        <f t="shared" si="9"/>
        <v/>
      </c>
      <c r="G52" s="186" t="str">
        <f t="shared" si="0"/>
        <v/>
      </c>
      <c r="H52" s="187"/>
      <c r="I52" s="188" t="str">
        <f t="shared" si="10"/>
        <v/>
      </c>
      <c r="J52" s="188" t="str">
        <f t="shared" si="11"/>
        <v/>
      </c>
      <c r="K52" s="189" t="str">
        <f t="shared" si="12"/>
        <v/>
      </c>
      <c r="L52" s="189" t="str">
        <f t="shared" si="13"/>
        <v/>
      </c>
      <c r="M52" s="190"/>
      <c r="N52" s="190"/>
      <c r="O52" s="188" t="str">
        <f t="shared" si="14"/>
        <v/>
      </c>
      <c r="P52" s="191" t="str">
        <f t="shared" si="1"/>
        <v/>
      </c>
      <c r="Q52" s="192" t="str">
        <f t="shared" si="15"/>
        <v/>
      </c>
      <c r="R52" s="191" t="str">
        <f t="shared" si="2"/>
        <v/>
      </c>
      <c r="S52" s="193" t="str">
        <f t="shared" si="16"/>
        <v/>
      </c>
      <c r="T52" s="194" t="str">
        <f t="shared" si="3"/>
        <v/>
      </c>
      <c r="U52" s="192" t="str">
        <f t="shared" si="17"/>
        <v/>
      </c>
      <c r="V52" s="195" t="str">
        <f t="shared" si="4"/>
        <v/>
      </c>
      <c r="W52" s="195" t="str">
        <f t="shared" si="5"/>
        <v/>
      </c>
      <c r="X52" s="196" t="str">
        <f t="shared" si="18"/>
        <v/>
      </c>
      <c r="Y52" s="191" t="str">
        <f t="shared" si="20"/>
        <v/>
      </c>
      <c r="Z52" s="197" t="str">
        <f t="shared" si="6"/>
        <v/>
      </c>
      <c r="AA52" s="197" t="str">
        <f t="shared" si="7"/>
        <v/>
      </c>
      <c r="AB52" s="218"/>
      <c r="AC52" s="205"/>
    </row>
    <row r="53" spans="1:29">
      <c r="A53" s="219" t="str">
        <f t="shared" si="8"/>
        <v/>
      </c>
      <c r="B53" s="219"/>
      <c r="C53" s="184"/>
      <c r="D53" s="185"/>
      <c r="E53" s="185" t="str">
        <f>IF(OR(C53="",C53=Data!$B$3),"",IF(C53=Data!$B$2,"L","S"))</f>
        <v/>
      </c>
      <c r="F53" s="185" t="str">
        <f t="shared" si="9"/>
        <v/>
      </c>
      <c r="G53" s="186" t="str">
        <f t="shared" si="0"/>
        <v/>
      </c>
      <c r="H53" s="187"/>
      <c r="I53" s="188" t="str">
        <f t="shared" si="10"/>
        <v/>
      </c>
      <c r="J53" s="188" t="str">
        <f t="shared" si="11"/>
        <v/>
      </c>
      <c r="K53" s="189" t="str">
        <f t="shared" si="12"/>
        <v/>
      </c>
      <c r="L53" s="189" t="str">
        <f t="shared" si="13"/>
        <v/>
      </c>
      <c r="M53" s="190"/>
      <c r="N53" s="190"/>
      <c r="O53" s="188" t="str">
        <f t="shared" si="14"/>
        <v/>
      </c>
      <c r="P53" s="191" t="str">
        <f t="shared" si="1"/>
        <v/>
      </c>
      <c r="Q53" s="192" t="str">
        <f t="shared" si="15"/>
        <v/>
      </c>
      <c r="R53" s="191" t="str">
        <f t="shared" si="2"/>
        <v/>
      </c>
      <c r="S53" s="193" t="str">
        <f t="shared" si="16"/>
        <v/>
      </c>
      <c r="T53" s="194" t="str">
        <f t="shared" si="3"/>
        <v/>
      </c>
      <c r="U53" s="192" t="str">
        <f t="shared" si="17"/>
        <v/>
      </c>
      <c r="V53" s="195" t="str">
        <f t="shared" si="4"/>
        <v/>
      </c>
      <c r="W53" s="195" t="str">
        <f t="shared" si="5"/>
        <v/>
      </c>
      <c r="X53" s="196" t="str">
        <f t="shared" si="18"/>
        <v/>
      </c>
      <c r="Y53" s="191" t="str">
        <f t="shared" si="20"/>
        <v/>
      </c>
      <c r="Z53" s="197" t="str">
        <f t="shared" si="6"/>
        <v/>
      </c>
      <c r="AA53" s="197" t="str">
        <f t="shared" si="7"/>
        <v/>
      </c>
      <c r="AB53" s="218"/>
      <c r="AC53" s="205"/>
    </row>
    <row r="54" spans="1:29">
      <c r="A54" s="219" t="str">
        <f t="shared" si="8"/>
        <v/>
      </c>
      <c r="B54" s="219"/>
      <c r="C54" s="184"/>
      <c r="D54" s="185"/>
      <c r="E54" s="185" t="str">
        <f>IF(OR(C54="",C54=Data!$B$3),"",IF(C54=Data!$B$2,"L","S"))</f>
        <v/>
      </c>
      <c r="F54" s="185" t="str">
        <f t="shared" si="9"/>
        <v/>
      </c>
      <c r="G54" s="186" t="str">
        <f t="shared" si="0"/>
        <v/>
      </c>
      <c r="H54" s="187"/>
      <c r="I54" s="188" t="str">
        <f t="shared" si="10"/>
        <v/>
      </c>
      <c r="J54" s="188" t="str">
        <f t="shared" si="11"/>
        <v/>
      </c>
      <c r="K54" s="189" t="str">
        <f t="shared" si="12"/>
        <v/>
      </c>
      <c r="L54" s="189" t="str">
        <f t="shared" si="13"/>
        <v/>
      </c>
      <c r="M54" s="190"/>
      <c r="N54" s="190"/>
      <c r="O54" s="188" t="str">
        <f t="shared" si="14"/>
        <v/>
      </c>
      <c r="P54" s="191" t="str">
        <f t="shared" si="1"/>
        <v/>
      </c>
      <c r="Q54" s="192" t="str">
        <f t="shared" si="15"/>
        <v/>
      </c>
      <c r="R54" s="191" t="str">
        <f t="shared" si="2"/>
        <v/>
      </c>
      <c r="S54" s="193" t="str">
        <f t="shared" si="16"/>
        <v/>
      </c>
      <c r="T54" s="194" t="str">
        <f t="shared" si="3"/>
        <v/>
      </c>
      <c r="U54" s="192" t="str">
        <f t="shared" si="17"/>
        <v/>
      </c>
      <c r="V54" s="195" t="str">
        <f t="shared" si="4"/>
        <v/>
      </c>
      <c r="W54" s="195" t="str">
        <f t="shared" si="5"/>
        <v/>
      </c>
      <c r="X54" s="196" t="str">
        <f t="shared" si="18"/>
        <v/>
      </c>
      <c r="Y54" s="191" t="str">
        <f t="shared" si="20"/>
        <v/>
      </c>
      <c r="Z54" s="197" t="str">
        <f t="shared" si="6"/>
        <v/>
      </c>
      <c r="AA54" s="197" t="str">
        <f t="shared" si="7"/>
        <v/>
      </c>
      <c r="AB54" s="218"/>
      <c r="AC54" s="205"/>
    </row>
    <row r="55" spans="1:29">
      <c r="A55" s="219" t="str">
        <f t="shared" si="8"/>
        <v/>
      </c>
      <c r="B55" s="219"/>
      <c r="C55" s="184"/>
      <c r="D55" s="185"/>
      <c r="E55" s="185" t="str">
        <f>IF(OR(C55="",C55=Data!$B$3),"",IF(C55=Data!$B$2,"L","S"))</f>
        <v/>
      </c>
      <c r="F55" s="185" t="str">
        <f t="shared" si="9"/>
        <v/>
      </c>
      <c r="G55" s="186" t="str">
        <f t="shared" si="0"/>
        <v/>
      </c>
      <c r="H55" s="187"/>
      <c r="I55" s="188" t="str">
        <f t="shared" si="10"/>
        <v/>
      </c>
      <c r="J55" s="188" t="str">
        <f t="shared" si="11"/>
        <v/>
      </c>
      <c r="K55" s="189" t="str">
        <f t="shared" si="12"/>
        <v/>
      </c>
      <c r="L55" s="189" t="str">
        <f t="shared" si="13"/>
        <v/>
      </c>
      <c r="M55" s="190"/>
      <c r="N55" s="190"/>
      <c r="O55" s="188" t="str">
        <f t="shared" si="14"/>
        <v/>
      </c>
      <c r="P55" s="191" t="str">
        <f t="shared" si="1"/>
        <v/>
      </c>
      <c r="Q55" s="192" t="str">
        <f t="shared" si="15"/>
        <v/>
      </c>
      <c r="R55" s="191" t="str">
        <f t="shared" si="2"/>
        <v/>
      </c>
      <c r="S55" s="193" t="str">
        <f t="shared" si="16"/>
        <v/>
      </c>
      <c r="T55" s="194" t="str">
        <f t="shared" si="3"/>
        <v/>
      </c>
      <c r="U55" s="192" t="str">
        <f t="shared" si="17"/>
        <v/>
      </c>
      <c r="V55" s="195" t="str">
        <f t="shared" si="4"/>
        <v/>
      </c>
      <c r="W55" s="195" t="str">
        <f t="shared" si="5"/>
        <v/>
      </c>
      <c r="X55" s="196" t="str">
        <f t="shared" si="18"/>
        <v/>
      </c>
      <c r="Y55" s="191" t="str">
        <f t="shared" si="20"/>
        <v/>
      </c>
      <c r="Z55" s="197" t="str">
        <f t="shared" si="6"/>
        <v/>
      </c>
      <c r="AA55" s="197" t="str">
        <f t="shared" si="7"/>
        <v/>
      </c>
      <c r="AB55" s="218"/>
      <c r="AC55" s="205"/>
    </row>
    <row r="56" spans="1:29">
      <c r="A56" s="219" t="str">
        <f t="shared" si="8"/>
        <v/>
      </c>
      <c r="B56" s="219"/>
      <c r="C56" s="184"/>
      <c r="D56" s="185"/>
      <c r="E56" s="185" t="str">
        <f>IF(OR(C56="",C56=Data!$B$3),"",IF(C56=Data!$B$2,"L","S"))</f>
        <v/>
      </c>
      <c r="F56" s="185" t="str">
        <f t="shared" si="9"/>
        <v/>
      </c>
      <c r="G56" s="186" t="str">
        <f t="shared" si="0"/>
        <v/>
      </c>
      <c r="H56" s="187"/>
      <c r="I56" s="188" t="str">
        <f t="shared" si="10"/>
        <v/>
      </c>
      <c r="J56" s="188" t="str">
        <f t="shared" si="11"/>
        <v/>
      </c>
      <c r="K56" s="189" t="str">
        <f t="shared" si="12"/>
        <v/>
      </c>
      <c r="L56" s="189" t="str">
        <f t="shared" si="13"/>
        <v/>
      </c>
      <c r="M56" s="190"/>
      <c r="N56" s="190"/>
      <c r="O56" s="188" t="str">
        <f t="shared" si="14"/>
        <v/>
      </c>
      <c r="P56" s="191" t="str">
        <f t="shared" si="1"/>
        <v/>
      </c>
      <c r="Q56" s="192" t="str">
        <f t="shared" si="15"/>
        <v/>
      </c>
      <c r="R56" s="191" t="str">
        <f t="shared" si="2"/>
        <v/>
      </c>
      <c r="S56" s="193" t="str">
        <f t="shared" si="16"/>
        <v/>
      </c>
      <c r="T56" s="194" t="str">
        <f t="shared" si="3"/>
        <v/>
      </c>
      <c r="U56" s="192" t="str">
        <f t="shared" si="17"/>
        <v/>
      </c>
      <c r="V56" s="195" t="str">
        <f t="shared" si="4"/>
        <v/>
      </c>
      <c r="W56" s="195" t="str">
        <f t="shared" si="5"/>
        <v/>
      </c>
      <c r="X56" s="196" t="str">
        <f t="shared" si="18"/>
        <v/>
      </c>
      <c r="Y56" s="191" t="str">
        <f t="shared" si="20"/>
        <v/>
      </c>
      <c r="Z56" s="197" t="str">
        <f t="shared" si="6"/>
        <v/>
      </c>
      <c r="AA56" s="197" t="str">
        <f t="shared" si="7"/>
        <v/>
      </c>
      <c r="AB56" s="218"/>
      <c r="AC56" s="205"/>
    </row>
    <row r="57" spans="1:29">
      <c r="A57" s="219" t="str">
        <f t="shared" si="8"/>
        <v/>
      </c>
      <c r="B57" s="219"/>
      <c r="C57" s="184"/>
      <c r="D57" s="185"/>
      <c r="E57" s="185" t="str">
        <f>IF(OR(C57="",C57=Data!$B$3),"",IF(C57=Data!$B$2,"L","S"))</f>
        <v/>
      </c>
      <c r="F57" s="185" t="str">
        <f t="shared" si="9"/>
        <v/>
      </c>
      <c r="G57" s="186" t="str">
        <f t="shared" si="0"/>
        <v/>
      </c>
      <c r="H57" s="187"/>
      <c r="I57" s="188" t="str">
        <f t="shared" si="10"/>
        <v/>
      </c>
      <c r="J57" s="188" t="str">
        <f t="shared" si="11"/>
        <v/>
      </c>
      <c r="K57" s="189" t="str">
        <f t="shared" si="12"/>
        <v/>
      </c>
      <c r="L57" s="189" t="str">
        <f t="shared" si="13"/>
        <v/>
      </c>
      <c r="M57" s="190"/>
      <c r="N57" s="190"/>
      <c r="O57" s="188" t="str">
        <f t="shared" si="14"/>
        <v/>
      </c>
      <c r="P57" s="191" t="str">
        <f t="shared" si="1"/>
        <v/>
      </c>
      <c r="Q57" s="192" t="str">
        <f t="shared" si="15"/>
        <v/>
      </c>
      <c r="R57" s="191" t="str">
        <f t="shared" si="2"/>
        <v/>
      </c>
      <c r="S57" s="193" t="str">
        <f t="shared" si="16"/>
        <v/>
      </c>
      <c r="T57" s="194" t="str">
        <f t="shared" si="3"/>
        <v/>
      </c>
      <c r="U57" s="192" t="str">
        <f t="shared" si="17"/>
        <v/>
      </c>
      <c r="V57" s="195" t="str">
        <f t="shared" si="4"/>
        <v/>
      </c>
      <c r="W57" s="195" t="str">
        <f t="shared" si="5"/>
        <v/>
      </c>
      <c r="X57" s="196" t="str">
        <f t="shared" si="18"/>
        <v/>
      </c>
      <c r="Y57" s="191" t="str">
        <f t="shared" si="20"/>
        <v/>
      </c>
      <c r="Z57" s="197" t="str">
        <f t="shared" si="6"/>
        <v/>
      </c>
      <c r="AA57" s="197" t="str">
        <f t="shared" si="7"/>
        <v/>
      </c>
      <c r="AB57" s="218"/>
      <c r="AC57" s="205"/>
    </row>
    <row r="58" spans="1:29">
      <c r="A58" s="219" t="str">
        <f t="shared" si="8"/>
        <v/>
      </c>
      <c r="B58" s="219"/>
      <c r="C58" s="184"/>
      <c r="D58" s="185"/>
      <c r="E58" s="185" t="str">
        <f>IF(OR(C58="",C58=Data!$B$3),"",IF(C58=Data!$B$2,"L","S"))</f>
        <v/>
      </c>
      <c r="F58" s="185" t="str">
        <f t="shared" si="9"/>
        <v/>
      </c>
      <c r="G58" s="186" t="str">
        <f t="shared" si="0"/>
        <v/>
      </c>
      <c r="H58" s="187"/>
      <c r="I58" s="188" t="str">
        <f t="shared" si="10"/>
        <v/>
      </c>
      <c r="J58" s="188" t="str">
        <f t="shared" si="11"/>
        <v/>
      </c>
      <c r="K58" s="189" t="str">
        <f t="shared" si="12"/>
        <v/>
      </c>
      <c r="L58" s="189" t="str">
        <f t="shared" si="13"/>
        <v/>
      </c>
      <c r="M58" s="190"/>
      <c r="N58" s="190"/>
      <c r="O58" s="188" t="str">
        <f t="shared" si="14"/>
        <v/>
      </c>
      <c r="P58" s="191" t="str">
        <f t="shared" si="1"/>
        <v/>
      </c>
      <c r="Q58" s="192" t="str">
        <f t="shared" si="15"/>
        <v/>
      </c>
      <c r="R58" s="191" t="str">
        <f t="shared" si="2"/>
        <v/>
      </c>
      <c r="S58" s="193" t="str">
        <f t="shared" si="16"/>
        <v/>
      </c>
      <c r="T58" s="194" t="str">
        <f t="shared" si="3"/>
        <v/>
      </c>
      <c r="U58" s="192" t="str">
        <f t="shared" si="17"/>
        <v/>
      </c>
      <c r="V58" s="195" t="str">
        <f t="shared" si="4"/>
        <v/>
      </c>
      <c r="W58" s="195" t="str">
        <f t="shared" si="5"/>
        <v/>
      </c>
      <c r="X58" s="196" t="str">
        <f t="shared" si="18"/>
        <v/>
      </c>
      <c r="Y58" s="191" t="str">
        <f t="shared" si="20"/>
        <v/>
      </c>
      <c r="Z58" s="197" t="str">
        <f t="shared" si="6"/>
        <v/>
      </c>
      <c r="AA58" s="197" t="str">
        <f t="shared" si="7"/>
        <v/>
      </c>
      <c r="AB58" s="218"/>
      <c r="AC58" s="205"/>
    </row>
    <row r="59" spans="1:29">
      <c r="A59" s="219" t="str">
        <f t="shared" si="8"/>
        <v/>
      </c>
      <c r="B59" s="219"/>
      <c r="C59" s="184"/>
      <c r="D59" s="185"/>
      <c r="E59" s="185" t="str">
        <f>IF(OR(C59="",C59=Data!$B$3),"",IF(C59=Data!$B$2,"L","S"))</f>
        <v/>
      </c>
      <c r="F59" s="185" t="str">
        <f t="shared" si="9"/>
        <v/>
      </c>
      <c r="G59" s="186" t="str">
        <f t="shared" si="0"/>
        <v/>
      </c>
      <c r="H59" s="187"/>
      <c r="I59" s="188" t="str">
        <f t="shared" si="10"/>
        <v/>
      </c>
      <c r="J59" s="188" t="str">
        <f t="shared" si="11"/>
        <v/>
      </c>
      <c r="K59" s="189" t="str">
        <f t="shared" si="12"/>
        <v/>
      </c>
      <c r="L59" s="189" t="str">
        <f t="shared" si="13"/>
        <v/>
      </c>
      <c r="M59" s="190"/>
      <c r="N59" s="190"/>
      <c r="O59" s="188" t="str">
        <f t="shared" si="14"/>
        <v/>
      </c>
      <c r="P59" s="191" t="str">
        <f t="shared" si="1"/>
        <v/>
      </c>
      <c r="Q59" s="192" t="str">
        <f t="shared" si="15"/>
        <v/>
      </c>
      <c r="R59" s="191" t="str">
        <f t="shared" si="2"/>
        <v/>
      </c>
      <c r="S59" s="193" t="str">
        <f t="shared" si="16"/>
        <v/>
      </c>
      <c r="T59" s="194" t="str">
        <f t="shared" si="3"/>
        <v/>
      </c>
      <c r="U59" s="192" t="str">
        <f t="shared" si="17"/>
        <v/>
      </c>
      <c r="V59" s="195" t="str">
        <f t="shared" si="4"/>
        <v/>
      </c>
      <c r="W59" s="195" t="str">
        <f t="shared" si="5"/>
        <v/>
      </c>
      <c r="X59" s="196" t="str">
        <f t="shared" si="18"/>
        <v/>
      </c>
      <c r="Y59" s="191" t="str">
        <f t="shared" si="20"/>
        <v/>
      </c>
      <c r="Z59" s="197" t="str">
        <f t="shared" si="6"/>
        <v/>
      </c>
      <c r="AA59" s="197" t="str">
        <f t="shared" si="7"/>
        <v/>
      </c>
      <c r="AB59" s="218"/>
      <c r="AC59" s="205"/>
    </row>
    <row r="60" spans="1:29">
      <c r="A60" s="219" t="str">
        <f t="shared" si="8"/>
        <v/>
      </c>
      <c r="B60" s="219"/>
      <c r="C60" s="184"/>
      <c r="D60" s="185"/>
      <c r="E60" s="185" t="str">
        <f>IF(OR(C60="",C60=Data!$B$3),"",IF(C60=Data!$B$2,"L","S"))</f>
        <v/>
      </c>
      <c r="F60" s="185" t="str">
        <f t="shared" si="9"/>
        <v/>
      </c>
      <c r="G60" s="186" t="str">
        <f t="shared" si="0"/>
        <v/>
      </c>
      <c r="H60" s="187"/>
      <c r="I60" s="188" t="str">
        <f t="shared" si="10"/>
        <v/>
      </c>
      <c r="J60" s="188" t="str">
        <f t="shared" si="11"/>
        <v/>
      </c>
      <c r="K60" s="189" t="str">
        <f t="shared" si="12"/>
        <v/>
      </c>
      <c r="L60" s="189" t="str">
        <f t="shared" si="13"/>
        <v/>
      </c>
      <c r="M60" s="190"/>
      <c r="N60" s="190"/>
      <c r="O60" s="188" t="str">
        <f t="shared" si="14"/>
        <v/>
      </c>
      <c r="P60" s="191" t="str">
        <f t="shared" si="1"/>
        <v/>
      </c>
      <c r="Q60" s="192" t="str">
        <f t="shared" si="15"/>
        <v/>
      </c>
      <c r="R60" s="191" t="str">
        <f t="shared" si="2"/>
        <v/>
      </c>
      <c r="S60" s="193" t="str">
        <f t="shared" si="16"/>
        <v/>
      </c>
      <c r="T60" s="194" t="str">
        <f t="shared" si="3"/>
        <v/>
      </c>
      <c r="U60" s="192" t="str">
        <f t="shared" si="17"/>
        <v/>
      </c>
      <c r="V60" s="195" t="str">
        <f t="shared" si="4"/>
        <v/>
      </c>
      <c r="W60" s="195" t="str">
        <f t="shared" si="5"/>
        <v/>
      </c>
      <c r="X60" s="196" t="str">
        <f t="shared" si="18"/>
        <v/>
      </c>
      <c r="Y60" s="191" t="str">
        <f t="shared" si="20"/>
        <v/>
      </c>
      <c r="Z60" s="197" t="str">
        <f t="shared" si="6"/>
        <v/>
      </c>
      <c r="AA60" s="197" t="str">
        <f t="shared" si="7"/>
        <v/>
      </c>
      <c r="AB60" s="218"/>
      <c r="AC60" s="205"/>
    </row>
    <row r="61" spans="1:29">
      <c r="A61" s="219" t="str">
        <f t="shared" si="8"/>
        <v/>
      </c>
      <c r="B61" s="219"/>
      <c r="C61" s="184"/>
      <c r="D61" s="185"/>
      <c r="E61" s="185" t="str">
        <f>IF(OR(C61="",C61=Data!$B$3),"",IF(C61=Data!$B$2,"L","S"))</f>
        <v/>
      </c>
      <c r="F61" s="185" t="str">
        <f t="shared" si="9"/>
        <v/>
      </c>
      <c r="G61" s="186" t="str">
        <f t="shared" si="0"/>
        <v/>
      </c>
      <c r="H61" s="187"/>
      <c r="I61" s="188" t="str">
        <f t="shared" si="10"/>
        <v/>
      </c>
      <c r="J61" s="188" t="str">
        <f t="shared" si="11"/>
        <v/>
      </c>
      <c r="K61" s="189" t="str">
        <f t="shared" si="12"/>
        <v/>
      </c>
      <c r="L61" s="189" t="str">
        <f t="shared" si="13"/>
        <v/>
      </c>
      <c r="M61" s="190"/>
      <c r="N61" s="190"/>
      <c r="O61" s="188" t="str">
        <f t="shared" si="14"/>
        <v/>
      </c>
      <c r="P61" s="191" t="str">
        <f t="shared" si="1"/>
        <v/>
      </c>
      <c r="Q61" s="192" t="str">
        <f t="shared" si="15"/>
        <v/>
      </c>
      <c r="R61" s="191" t="str">
        <f t="shared" si="2"/>
        <v/>
      </c>
      <c r="S61" s="193" t="str">
        <f t="shared" si="16"/>
        <v/>
      </c>
      <c r="T61" s="194" t="str">
        <f t="shared" si="3"/>
        <v/>
      </c>
      <c r="U61" s="192" t="str">
        <f t="shared" si="17"/>
        <v/>
      </c>
      <c r="V61" s="195" t="str">
        <f t="shared" si="4"/>
        <v/>
      </c>
      <c r="W61" s="195" t="str">
        <f t="shared" si="5"/>
        <v/>
      </c>
      <c r="X61" s="196" t="str">
        <f t="shared" si="18"/>
        <v/>
      </c>
      <c r="Y61" s="191" t="str">
        <f t="shared" si="20"/>
        <v/>
      </c>
      <c r="Z61" s="197" t="str">
        <f t="shared" si="6"/>
        <v/>
      </c>
      <c r="AA61" s="197" t="str">
        <f t="shared" si="7"/>
        <v/>
      </c>
      <c r="AB61" s="218"/>
      <c r="AC61" s="205"/>
    </row>
    <row r="62" spans="1:29">
      <c r="A62" s="219" t="str">
        <f t="shared" si="8"/>
        <v/>
      </c>
      <c r="B62" s="219"/>
      <c r="C62" s="184"/>
      <c r="D62" s="185"/>
      <c r="E62" s="185" t="str">
        <f>IF(OR(C62="",C62=Data!$B$3),"",IF(C62=Data!$B$2,"L","S"))</f>
        <v/>
      </c>
      <c r="F62" s="185" t="str">
        <f t="shared" si="9"/>
        <v/>
      </c>
      <c r="G62" s="186" t="str">
        <f t="shared" si="0"/>
        <v/>
      </c>
      <c r="H62" s="187"/>
      <c r="I62" s="188" t="str">
        <f t="shared" si="10"/>
        <v/>
      </c>
      <c r="J62" s="188" t="str">
        <f t="shared" si="11"/>
        <v/>
      </c>
      <c r="K62" s="189" t="str">
        <f t="shared" si="12"/>
        <v/>
      </c>
      <c r="L62" s="189" t="str">
        <f t="shared" si="13"/>
        <v/>
      </c>
      <c r="M62" s="190"/>
      <c r="N62" s="190"/>
      <c r="O62" s="188" t="str">
        <f t="shared" si="14"/>
        <v/>
      </c>
      <c r="P62" s="191" t="str">
        <f t="shared" si="1"/>
        <v/>
      </c>
      <c r="Q62" s="192" t="str">
        <f t="shared" si="15"/>
        <v/>
      </c>
      <c r="R62" s="191" t="str">
        <f t="shared" si="2"/>
        <v/>
      </c>
      <c r="S62" s="193" t="str">
        <f t="shared" si="16"/>
        <v/>
      </c>
      <c r="T62" s="194" t="str">
        <f t="shared" si="3"/>
        <v/>
      </c>
      <c r="U62" s="192" t="str">
        <f t="shared" si="17"/>
        <v/>
      </c>
      <c r="V62" s="195" t="str">
        <f t="shared" si="4"/>
        <v/>
      </c>
      <c r="W62" s="195" t="str">
        <f t="shared" si="5"/>
        <v/>
      </c>
      <c r="X62" s="196" t="str">
        <f t="shared" si="18"/>
        <v/>
      </c>
      <c r="Y62" s="191" t="str">
        <f t="shared" si="20"/>
        <v/>
      </c>
      <c r="Z62" s="197" t="str">
        <f t="shared" si="6"/>
        <v/>
      </c>
      <c r="AA62" s="197" t="str">
        <f t="shared" si="7"/>
        <v/>
      </c>
      <c r="AB62" s="218"/>
      <c r="AC62" s="205"/>
    </row>
    <row r="63" spans="1:29">
      <c r="A63" s="219" t="str">
        <f t="shared" si="8"/>
        <v/>
      </c>
      <c r="B63" s="219"/>
      <c r="C63" s="184"/>
      <c r="D63" s="185"/>
      <c r="E63" s="185" t="str">
        <f>IF(OR(C63="",C63=Data!$B$3),"",IF(C63=Data!$B$2,"L","S"))</f>
        <v/>
      </c>
      <c r="F63" s="185" t="str">
        <f t="shared" si="9"/>
        <v/>
      </c>
      <c r="G63" s="186" t="str">
        <f t="shared" si="0"/>
        <v/>
      </c>
      <c r="H63" s="187"/>
      <c r="I63" s="188" t="str">
        <f t="shared" si="10"/>
        <v/>
      </c>
      <c r="J63" s="188" t="str">
        <f t="shared" si="11"/>
        <v/>
      </c>
      <c r="K63" s="189" t="str">
        <f t="shared" si="12"/>
        <v/>
      </c>
      <c r="L63" s="189" t="str">
        <f t="shared" si="13"/>
        <v/>
      </c>
      <c r="M63" s="190"/>
      <c r="N63" s="190"/>
      <c r="O63" s="188" t="str">
        <f t="shared" si="14"/>
        <v/>
      </c>
      <c r="P63" s="191" t="str">
        <f t="shared" si="1"/>
        <v/>
      </c>
      <c r="Q63" s="192" t="str">
        <f t="shared" si="15"/>
        <v/>
      </c>
      <c r="R63" s="191" t="str">
        <f t="shared" si="2"/>
        <v/>
      </c>
      <c r="S63" s="193" t="str">
        <f t="shared" si="16"/>
        <v/>
      </c>
      <c r="T63" s="194" t="str">
        <f t="shared" si="3"/>
        <v/>
      </c>
      <c r="U63" s="192" t="str">
        <f t="shared" si="17"/>
        <v/>
      </c>
      <c r="V63" s="195" t="str">
        <f t="shared" si="4"/>
        <v/>
      </c>
      <c r="W63" s="195" t="str">
        <f t="shared" si="5"/>
        <v/>
      </c>
      <c r="X63" s="196" t="str">
        <f t="shared" si="18"/>
        <v/>
      </c>
      <c r="Y63" s="191" t="str">
        <f t="shared" si="20"/>
        <v/>
      </c>
      <c r="Z63" s="197" t="str">
        <f t="shared" si="6"/>
        <v/>
      </c>
      <c r="AA63" s="197" t="str">
        <f t="shared" si="7"/>
        <v/>
      </c>
      <c r="AB63" s="218"/>
      <c r="AC63" s="205"/>
    </row>
    <row r="64" spans="1:29">
      <c r="A64" s="219" t="str">
        <f t="shared" si="8"/>
        <v/>
      </c>
      <c r="B64" s="219"/>
      <c r="C64" s="184"/>
      <c r="D64" s="185"/>
      <c r="E64" s="185" t="str">
        <f>IF(OR(C64="",C64=Data!$B$3),"",IF(C64=Data!$B$2,"L","S"))</f>
        <v/>
      </c>
      <c r="F64" s="185" t="str">
        <f t="shared" si="9"/>
        <v/>
      </c>
      <c r="G64" s="186" t="str">
        <f t="shared" si="0"/>
        <v/>
      </c>
      <c r="H64" s="187"/>
      <c r="I64" s="188" t="str">
        <f t="shared" si="10"/>
        <v/>
      </c>
      <c r="J64" s="188" t="str">
        <f t="shared" si="11"/>
        <v/>
      </c>
      <c r="K64" s="189" t="str">
        <f t="shared" si="12"/>
        <v/>
      </c>
      <c r="L64" s="189" t="str">
        <f t="shared" si="13"/>
        <v/>
      </c>
      <c r="M64" s="190"/>
      <c r="N64" s="190"/>
      <c r="O64" s="188" t="str">
        <f t="shared" si="14"/>
        <v/>
      </c>
      <c r="P64" s="191" t="str">
        <f t="shared" si="1"/>
        <v/>
      </c>
      <c r="Q64" s="192" t="str">
        <f t="shared" si="15"/>
        <v/>
      </c>
      <c r="R64" s="191" t="str">
        <f t="shared" si="2"/>
        <v/>
      </c>
      <c r="S64" s="193" t="str">
        <f t="shared" si="16"/>
        <v/>
      </c>
      <c r="T64" s="194" t="str">
        <f t="shared" si="3"/>
        <v/>
      </c>
      <c r="U64" s="192" t="str">
        <f t="shared" si="17"/>
        <v/>
      </c>
      <c r="V64" s="195" t="str">
        <f t="shared" si="4"/>
        <v/>
      </c>
      <c r="W64" s="195" t="str">
        <f t="shared" si="5"/>
        <v/>
      </c>
      <c r="X64" s="196" t="str">
        <f t="shared" si="18"/>
        <v/>
      </c>
      <c r="Y64" s="191" t="str">
        <f t="shared" si="20"/>
        <v/>
      </c>
      <c r="Z64" s="197" t="str">
        <f t="shared" si="6"/>
        <v/>
      </c>
      <c r="AA64" s="197" t="str">
        <f t="shared" si="7"/>
        <v/>
      </c>
      <c r="AB64" s="218"/>
      <c r="AC64" s="205"/>
    </row>
    <row r="65" spans="1:29">
      <c r="A65" s="219" t="str">
        <f t="shared" si="8"/>
        <v/>
      </c>
      <c r="B65" s="219"/>
      <c r="C65" s="184"/>
      <c r="D65" s="185"/>
      <c r="E65" s="185" t="str">
        <f>IF(OR(C65="",C65=Data!$B$3),"",IF(C65=Data!$B$2,"L","S"))</f>
        <v/>
      </c>
      <c r="F65" s="185" t="str">
        <f t="shared" si="9"/>
        <v/>
      </c>
      <c r="G65" s="186" t="str">
        <f t="shared" si="0"/>
        <v/>
      </c>
      <c r="H65" s="187"/>
      <c r="I65" s="188" t="str">
        <f t="shared" si="10"/>
        <v/>
      </c>
      <c r="J65" s="188" t="str">
        <f t="shared" si="11"/>
        <v/>
      </c>
      <c r="K65" s="189" t="str">
        <f t="shared" si="12"/>
        <v/>
      </c>
      <c r="L65" s="189" t="str">
        <f t="shared" si="13"/>
        <v/>
      </c>
      <c r="M65" s="190"/>
      <c r="N65" s="190"/>
      <c r="O65" s="188" t="str">
        <f t="shared" si="14"/>
        <v/>
      </c>
      <c r="P65" s="191" t="str">
        <f t="shared" si="1"/>
        <v/>
      </c>
      <c r="Q65" s="192" t="str">
        <f t="shared" si="15"/>
        <v/>
      </c>
      <c r="R65" s="191" t="str">
        <f t="shared" si="2"/>
        <v/>
      </c>
      <c r="S65" s="193" t="str">
        <f t="shared" si="16"/>
        <v/>
      </c>
      <c r="T65" s="194" t="str">
        <f t="shared" si="3"/>
        <v/>
      </c>
      <c r="U65" s="192" t="str">
        <f t="shared" si="17"/>
        <v/>
      </c>
      <c r="V65" s="195" t="str">
        <f t="shared" si="4"/>
        <v/>
      </c>
      <c r="W65" s="195" t="str">
        <f t="shared" si="5"/>
        <v/>
      </c>
      <c r="X65" s="196" t="str">
        <f t="shared" si="18"/>
        <v/>
      </c>
      <c r="Y65" s="191" t="str">
        <f t="shared" si="20"/>
        <v/>
      </c>
      <c r="Z65" s="197" t="str">
        <f t="shared" si="6"/>
        <v/>
      </c>
      <c r="AA65" s="197" t="str">
        <f t="shared" si="7"/>
        <v/>
      </c>
      <c r="AB65" s="218"/>
      <c r="AC65" s="205"/>
    </row>
    <row r="66" spans="1:29">
      <c r="A66" s="219" t="str">
        <f t="shared" si="8"/>
        <v/>
      </c>
      <c r="B66" s="219"/>
      <c r="C66" s="184"/>
      <c r="D66" s="185"/>
      <c r="E66" s="185" t="str">
        <f>IF(OR(C66="",C66=Data!$B$3),"",IF(C66=Data!$B$2,"L","S"))</f>
        <v/>
      </c>
      <c r="F66" s="185" t="str">
        <f t="shared" si="9"/>
        <v/>
      </c>
      <c r="G66" s="186" t="str">
        <f t="shared" si="0"/>
        <v/>
      </c>
      <c r="H66" s="187"/>
      <c r="I66" s="188" t="str">
        <f t="shared" si="10"/>
        <v/>
      </c>
      <c r="J66" s="188" t="str">
        <f t="shared" si="11"/>
        <v/>
      </c>
      <c r="K66" s="189" t="str">
        <f t="shared" si="12"/>
        <v/>
      </c>
      <c r="L66" s="189" t="str">
        <f t="shared" si="13"/>
        <v/>
      </c>
      <c r="M66" s="190"/>
      <c r="N66" s="190"/>
      <c r="O66" s="188" t="str">
        <f t="shared" si="14"/>
        <v/>
      </c>
      <c r="P66" s="191" t="str">
        <f t="shared" si="1"/>
        <v/>
      </c>
      <c r="Q66" s="192" t="str">
        <f t="shared" si="15"/>
        <v/>
      </c>
      <c r="R66" s="191" t="str">
        <f t="shared" si="2"/>
        <v/>
      </c>
      <c r="S66" s="193" t="str">
        <f t="shared" si="16"/>
        <v/>
      </c>
      <c r="T66" s="194" t="str">
        <f t="shared" si="3"/>
        <v/>
      </c>
      <c r="U66" s="192" t="str">
        <f t="shared" si="17"/>
        <v/>
      </c>
      <c r="V66" s="195" t="str">
        <f t="shared" si="4"/>
        <v/>
      </c>
      <c r="W66" s="195" t="str">
        <f t="shared" si="5"/>
        <v/>
      </c>
      <c r="X66" s="196" t="str">
        <f t="shared" si="18"/>
        <v/>
      </c>
      <c r="Y66" s="191" t="str">
        <f t="shared" si="20"/>
        <v/>
      </c>
      <c r="Z66" s="197" t="str">
        <f t="shared" si="6"/>
        <v/>
      </c>
      <c r="AA66" s="197" t="str">
        <f t="shared" si="7"/>
        <v/>
      </c>
      <c r="AB66" s="218"/>
      <c r="AC66" s="205"/>
    </row>
    <row r="67" spans="1:29">
      <c r="A67" s="219" t="str">
        <f t="shared" si="8"/>
        <v/>
      </c>
      <c r="B67" s="219"/>
      <c r="C67" s="184"/>
      <c r="D67" s="185"/>
      <c r="E67" s="185" t="str">
        <f>IF(OR(C67="",C67=Data!$B$3),"",IF(C67=Data!$B$2,"L","S"))</f>
        <v/>
      </c>
      <c r="F67" s="185" t="str">
        <f t="shared" si="9"/>
        <v/>
      </c>
      <c r="G67" s="186" t="str">
        <f t="shared" si="0"/>
        <v/>
      </c>
      <c r="H67" s="187"/>
      <c r="I67" s="188" t="str">
        <f t="shared" si="10"/>
        <v/>
      </c>
      <c r="J67" s="188" t="str">
        <f t="shared" si="11"/>
        <v/>
      </c>
      <c r="K67" s="189" t="str">
        <f t="shared" si="12"/>
        <v/>
      </c>
      <c r="L67" s="189" t="str">
        <f t="shared" si="13"/>
        <v/>
      </c>
      <c r="M67" s="190"/>
      <c r="N67" s="190"/>
      <c r="O67" s="188" t="str">
        <f t="shared" si="14"/>
        <v/>
      </c>
      <c r="P67" s="191" t="str">
        <f t="shared" si="1"/>
        <v/>
      </c>
      <c r="Q67" s="192" t="str">
        <f t="shared" si="15"/>
        <v/>
      </c>
      <c r="R67" s="191" t="str">
        <f t="shared" si="2"/>
        <v/>
      </c>
      <c r="S67" s="193" t="str">
        <f t="shared" si="16"/>
        <v/>
      </c>
      <c r="T67" s="194" t="str">
        <f t="shared" si="3"/>
        <v/>
      </c>
      <c r="U67" s="192" t="str">
        <f t="shared" si="17"/>
        <v/>
      </c>
      <c r="V67" s="195" t="str">
        <f t="shared" si="4"/>
        <v/>
      </c>
      <c r="W67" s="195" t="str">
        <f t="shared" si="5"/>
        <v/>
      </c>
      <c r="X67" s="196" t="str">
        <f t="shared" si="18"/>
        <v/>
      </c>
      <c r="Y67" s="191" t="str">
        <f t="shared" si="20"/>
        <v/>
      </c>
      <c r="Z67" s="197" t="str">
        <f t="shared" si="6"/>
        <v/>
      </c>
      <c r="AA67" s="197" t="str">
        <f t="shared" si="7"/>
        <v/>
      </c>
      <c r="AB67" s="218"/>
      <c r="AC67" s="205"/>
    </row>
    <row r="68" spans="1:29">
      <c r="A68" s="219" t="str">
        <f t="shared" si="8"/>
        <v/>
      </c>
      <c r="B68" s="219"/>
      <c r="C68" s="184"/>
      <c r="D68" s="185"/>
      <c r="E68" s="185" t="str">
        <f>IF(OR(C68="",C68=Data!$B$3),"",IF(C68=Data!$B$2,"L","S"))</f>
        <v/>
      </c>
      <c r="F68" s="185" t="str">
        <f t="shared" si="9"/>
        <v/>
      </c>
      <c r="G68" s="186" t="str">
        <f t="shared" si="0"/>
        <v/>
      </c>
      <c r="H68" s="187"/>
      <c r="I68" s="188" t="str">
        <f t="shared" si="10"/>
        <v/>
      </c>
      <c r="J68" s="188" t="str">
        <f t="shared" si="11"/>
        <v/>
      </c>
      <c r="K68" s="189" t="str">
        <f t="shared" si="12"/>
        <v/>
      </c>
      <c r="L68" s="189" t="str">
        <f t="shared" si="13"/>
        <v/>
      </c>
      <c r="M68" s="190"/>
      <c r="N68" s="190"/>
      <c r="O68" s="188" t="str">
        <f t="shared" si="14"/>
        <v/>
      </c>
      <c r="P68" s="191" t="str">
        <f t="shared" si="1"/>
        <v/>
      </c>
      <c r="Q68" s="192" t="str">
        <f t="shared" si="15"/>
        <v/>
      </c>
      <c r="R68" s="191" t="str">
        <f t="shared" si="2"/>
        <v/>
      </c>
      <c r="S68" s="193" t="str">
        <f t="shared" si="16"/>
        <v/>
      </c>
      <c r="T68" s="194" t="str">
        <f t="shared" si="3"/>
        <v/>
      </c>
      <c r="U68" s="192" t="str">
        <f t="shared" si="17"/>
        <v/>
      </c>
      <c r="V68" s="195" t="str">
        <f t="shared" si="4"/>
        <v/>
      </c>
      <c r="W68" s="195" t="str">
        <f t="shared" si="5"/>
        <v/>
      </c>
      <c r="X68" s="196" t="str">
        <f t="shared" si="18"/>
        <v/>
      </c>
      <c r="Y68" s="191" t="str">
        <f t="shared" si="20"/>
        <v/>
      </c>
      <c r="Z68" s="197" t="str">
        <f t="shared" si="6"/>
        <v/>
      </c>
      <c r="AA68" s="197" t="str">
        <f t="shared" si="7"/>
        <v/>
      </c>
      <c r="AB68" s="218"/>
      <c r="AC68" s="205"/>
    </row>
    <row r="69" spans="1:29">
      <c r="A69" s="219" t="str">
        <f t="shared" si="8"/>
        <v/>
      </c>
      <c r="B69" s="219"/>
      <c r="C69" s="184"/>
      <c r="D69" s="185"/>
      <c r="E69" s="185" t="str">
        <f>IF(OR(C69="",C69=Data!$B$3),"",IF(C69=Data!$B$2,"L","S"))</f>
        <v/>
      </c>
      <c r="F69" s="185" t="str">
        <f t="shared" si="9"/>
        <v/>
      </c>
      <c r="G69" s="186" t="str">
        <f t="shared" si="0"/>
        <v/>
      </c>
      <c r="H69" s="187"/>
      <c r="I69" s="188" t="str">
        <f t="shared" si="10"/>
        <v/>
      </c>
      <c r="J69" s="188" t="str">
        <f t="shared" si="11"/>
        <v/>
      </c>
      <c r="K69" s="189" t="str">
        <f t="shared" si="12"/>
        <v/>
      </c>
      <c r="L69" s="189" t="str">
        <f t="shared" si="13"/>
        <v/>
      </c>
      <c r="M69" s="190"/>
      <c r="N69" s="190"/>
      <c r="O69" s="188" t="str">
        <f t="shared" si="14"/>
        <v/>
      </c>
      <c r="P69" s="191" t="str">
        <f t="shared" si="1"/>
        <v/>
      </c>
      <c r="Q69" s="192" t="str">
        <f t="shared" si="15"/>
        <v/>
      </c>
      <c r="R69" s="191" t="str">
        <f t="shared" si="2"/>
        <v/>
      </c>
      <c r="S69" s="193" t="str">
        <f t="shared" si="16"/>
        <v/>
      </c>
      <c r="T69" s="194" t="str">
        <f t="shared" si="3"/>
        <v/>
      </c>
      <c r="U69" s="192" t="str">
        <f t="shared" si="17"/>
        <v/>
      </c>
      <c r="V69" s="195" t="str">
        <f t="shared" si="4"/>
        <v/>
      </c>
      <c r="W69" s="195" t="str">
        <f t="shared" si="5"/>
        <v/>
      </c>
      <c r="X69" s="196" t="str">
        <f t="shared" si="18"/>
        <v/>
      </c>
      <c r="Y69" s="191" t="str">
        <f t="shared" si="20"/>
        <v/>
      </c>
      <c r="Z69" s="197" t="str">
        <f t="shared" si="6"/>
        <v/>
      </c>
      <c r="AA69" s="197" t="str">
        <f t="shared" si="7"/>
        <v/>
      </c>
      <c r="AB69" s="218"/>
      <c r="AC69" s="205"/>
    </row>
    <row r="70" spans="1:29">
      <c r="A70" s="219" t="str">
        <f t="shared" si="8"/>
        <v/>
      </c>
      <c r="B70" s="219"/>
      <c r="C70" s="184"/>
      <c r="D70" s="185"/>
      <c r="E70" s="185" t="str">
        <f>IF(OR(C70="",C70=Data!$B$3),"",IF(C70=Data!$B$2,"L","S"))</f>
        <v/>
      </c>
      <c r="F70" s="185" t="str">
        <f t="shared" si="9"/>
        <v/>
      </c>
      <c r="G70" s="186" t="str">
        <f t="shared" si="0"/>
        <v/>
      </c>
      <c r="H70" s="187"/>
      <c r="I70" s="188" t="str">
        <f t="shared" si="10"/>
        <v/>
      </c>
      <c r="J70" s="188" t="str">
        <f t="shared" si="11"/>
        <v/>
      </c>
      <c r="K70" s="189" t="str">
        <f t="shared" si="12"/>
        <v/>
      </c>
      <c r="L70" s="189" t="str">
        <f t="shared" si="13"/>
        <v/>
      </c>
      <c r="M70" s="190"/>
      <c r="N70" s="190"/>
      <c r="O70" s="188" t="str">
        <f t="shared" si="14"/>
        <v/>
      </c>
      <c r="P70" s="191" t="str">
        <f t="shared" si="1"/>
        <v/>
      </c>
      <c r="Q70" s="192" t="str">
        <f t="shared" si="15"/>
        <v/>
      </c>
      <c r="R70" s="191" t="str">
        <f t="shared" si="2"/>
        <v/>
      </c>
      <c r="S70" s="193" t="str">
        <f t="shared" si="16"/>
        <v/>
      </c>
      <c r="T70" s="194" t="str">
        <f t="shared" si="3"/>
        <v/>
      </c>
      <c r="U70" s="192" t="str">
        <f t="shared" si="17"/>
        <v/>
      </c>
      <c r="V70" s="195" t="str">
        <f t="shared" si="4"/>
        <v/>
      </c>
      <c r="W70" s="195" t="str">
        <f t="shared" si="5"/>
        <v/>
      </c>
      <c r="X70" s="196" t="str">
        <f t="shared" si="18"/>
        <v/>
      </c>
      <c r="Y70" s="191" t="str">
        <f t="shared" si="20"/>
        <v/>
      </c>
      <c r="Z70" s="197" t="str">
        <f t="shared" si="6"/>
        <v/>
      </c>
      <c r="AA70" s="197" t="str">
        <f t="shared" si="7"/>
        <v/>
      </c>
      <c r="AB70" s="218"/>
      <c r="AC70" s="205"/>
    </row>
    <row r="71" spans="1:29">
      <c r="A71" s="219" t="str">
        <f t="shared" si="8"/>
        <v/>
      </c>
      <c r="B71" s="219"/>
      <c r="C71" s="184"/>
      <c r="D71" s="185"/>
      <c r="E71" s="185" t="str">
        <f>IF(OR(C71="",C71=Data!$B$3),"",IF(C71=Data!$B$2,"L","S"))</f>
        <v/>
      </c>
      <c r="F71" s="185" t="str">
        <f t="shared" si="9"/>
        <v/>
      </c>
      <c r="G71" s="186" t="str">
        <f t="shared" si="0"/>
        <v/>
      </c>
      <c r="H71" s="187"/>
      <c r="I71" s="188" t="str">
        <f t="shared" si="10"/>
        <v/>
      </c>
      <c r="J71" s="188" t="str">
        <f t="shared" si="11"/>
        <v/>
      </c>
      <c r="K71" s="189" t="str">
        <f t="shared" si="12"/>
        <v/>
      </c>
      <c r="L71" s="189" t="str">
        <f t="shared" si="13"/>
        <v/>
      </c>
      <c r="M71" s="190"/>
      <c r="N71" s="190"/>
      <c r="O71" s="188" t="str">
        <f t="shared" si="14"/>
        <v/>
      </c>
      <c r="P71" s="191" t="str">
        <f t="shared" si="1"/>
        <v/>
      </c>
      <c r="Q71" s="192" t="str">
        <f t="shared" si="15"/>
        <v/>
      </c>
      <c r="R71" s="191" t="str">
        <f t="shared" si="2"/>
        <v/>
      </c>
      <c r="S71" s="193" t="str">
        <f t="shared" si="16"/>
        <v/>
      </c>
      <c r="T71" s="194" t="str">
        <f t="shared" si="3"/>
        <v/>
      </c>
      <c r="U71" s="192" t="str">
        <f t="shared" si="17"/>
        <v/>
      </c>
      <c r="V71" s="195" t="str">
        <f t="shared" si="4"/>
        <v/>
      </c>
      <c r="W71" s="195" t="str">
        <f t="shared" si="5"/>
        <v/>
      </c>
      <c r="X71" s="196" t="str">
        <f t="shared" si="18"/>
        <v/>
      </c>
      <c r="Y71" s="191" t="str">
        <f t="shared" si="20"/>
        <v/>
      </c>
      <c r="Z71" s="197" t="str">
        <f t="shared" si="6"/>
        <v/>
      </c>
      <c r="AA71" s="197" t="str">
        <f t="shared" si="7"/>
        <v/>
      </c>
      <c r="AB71" s="218"/>
      <c r="AC71" s="205"/>
    </row>
    <row r="72" spans="1:29">
      <c r="A72" s="219" t="str">
        <f t="shared" si="8"/>
        <v/>
      </c>
      <c r="B72" s="219"/>
      <c r="C72" s="184"/>
      <c r="D72" s="185"/>
      <c r="E72" s="185" t="str">
        <f>IF(OR(C72="",C72=Data!$B$3),"",IF(C72=Data!$B$2,"L","S"))</f>
        <v/>
      </c>
      <c r="F72" s="185" t="str">
        <f t="shared" si="9"/>
        <v/>
      </c>
      <c r="G72" s="186" t="str">
        <f t="shared" si="0"/>
        <v/>
      </c>
      <c r="H72" s="187"/>
      <c r="I72" s="188" t="str">
        <f t="shared" si="10"/>
        <v/>
      </c>
      <c r="J72" s="188" t="str">
        <f t="shared" si="11"/>
        <v/>
      </c>
      <c r="K72" s="189" t="str">
        <f t="shared" si="12"/>
        <v/>
      </c>
      <c r="L72" s="189" t="str">
        <f t="shared" si="13"/>
        <v/>
      </c>
      <c r="M72" s="190"/>
      <c r="N72" s="190"/>
      <c r="O72" s="188" t="str">
        <f t="shared" si="14"/>
        <v/>
      </c>
      <c r="P72" s="191" t="str">
        <f t="shared" si="1"/>
        <v/>
      </c>
      <c r="Q72" s="192" t="str">
        <f t="shared" si="15"/>
        <v/>
      </c>
      <c r="R72" s="191" t="str">
        <f t="shared" si="2"/>
        <v/>
      </c>
      <c r="S72" s="193" t="str">
        <f t="shared" si="16"/>
        <v/>
      </c>
      <c r="T72" s="194" t="str">
        <f t="shared" si="3"/>
        <v/>
      </c>
      <c r="U72" s="192" t="str">
        <f t="shared" si="17"/>
        <v/>
      </c>
      <c r="V72" s="195" t="str">
        <f t="shared" si="4"/>
        <v/>
      </c>
      <c r="W72" s="195" t="str">
        <f t="shared" si="5"/>
        <v/>
      </c>
      <c r="X72" s="196" t="str">
        <f t="shared" si="18"/>
        <v/>
      </c>
      <c r="Y72" s="191" t="str">
        <f t="shared" si="20"/>
        <v/>
      </c>
      <c r="Z72" s="197" t="str">
        <f t="shared" si="6"/>
        <v/>
      </c>
      <c r="AA72" s="197" t="str">
        <f t="shared" si="7"/>
        <v/>
      </c>
      <c r="AB72" s="218"/>
      <c r="AC72" s="205"/>
    </row>
    <row r="73" spans="1:29">
      <c r="A73" s="219" t="str">
        <f t="shared" si="8"/>
        <v/>
      </c>
      <c r="B73" s="219"/>
      <c r="C73" s="184"/>
      <c r="D73" s="185"/>
      <c r="E73" s="185" t="str">
        <f>IF(OR(C73="",C73=Data!$B$3),"",IF(C73=Data!$B$2,"L","S"))</f>
        <v/>
      </c>
      <c r="F73" s="185" t="str">
        <f t="shared" si="9"/>
        <v/>
      </c>
      <c r="G73" s="186" t="str">
        <f t="shared" si="0"/>
        <v/>
      </c>
      <c r="H73" s="187"/>
      <c r="I73" s="188" t="str">
        <f t="shared" si="10"/>
        <v/>
      </c>
      <c r="J73" s="188" t="str">
        <f t="shared" si="11"/>
        <v/>
      </c>
      <c r="K73" s="189" t="str">
        <f t="shared" si="12"/>
        <v/>
      </c>
      <c r="L73" s="189" t="str">
        <f t="shared" si="13"/>
        <v/>
      </c>
      <c r="M73" s="190"/>
      <c r="N73" s="190"/>
      <c r="O73" s="188" t="str">
        <f t="shared" si="14"/>
        <v/>
      </c>
      <c r="P73" s="191" t="str">
        <f t="shared" si="1"/>
        <v/>
      </c>
      <c r="Q73" s="192" t="str">
        <f t="shared" si="15"/>
        <v/>
      </c>
      <c r="R73" s="191" t="str">
        <f t="shared" si="2"/>
        <v/>
      </c>
      <c r="S73" s="193" t="str">
        <f t="shared" si="16"/>
        <v/>
      </c>
      <c r="T73" s="194" t="str">
        <f t="shared" si="3"/>
        <v/>
      </c>
      <c r="U73" s="192" t="str">
        <f t="shared" si="17"/>
        <v/>
      </c>
      <c r="V73" s="195" t="str">
        <f t="shared" si="4"/>
        <v/>
      </c>
      <c r="W73" s="195" t="str">
        <f t="shared" si="5"/>
        <v/>
      </c>
      <c r="X73" s="196" t="str">
        <f t="shared" si="18"/>
        <v/>
      </c>
      <c r="Y73" s="191" t="str">
        <f t="shared" si="20"/>
        <v/>
      </c>
      <c r="Z73" s="197" t="str">
        <f t="shared" si="6"/>
        <v/>
      </c>
      <c r="AA73" s="197" t="str">
        <f t="shared" si="7"/>
        <v/>
      </c>
      <c r="AB73" s="218"/>
      <c r="AC73" s="205"/>
    </row>
    <row r="74" spans="1:29">
      <c r="A74" s="219" t="str">
        <f t="shared" si="8"/>
        <v/>
      </c>
      <c r="B74" s="219"/>
      <c r="C74" s="184"/>
      <c r="D74" s="185"/>
      <c r="E74" s="185" t="str">
        <f>IF(OR(C74="",C74=Data!$B$3),"",IF(C74=Data!$B$2,"L","S"))</f>
        <v/>
      </c>
      <c r="F74" s="185" t="str">
        <f t="shared" si="9"/>
        <v/>
      </c>
      <c r="G74" s="186" t="str">
        <f t="shared" si="0"/>
        <v/>
      </c>
      <c r="H74" s="187"/>
      <c r="I74" s="188" t="str">
        <f t="shared" si="10"/>
        <v/>
      </c>
      <c r="J74" s="188" t="str">
        <f t="shared" si="11"/>
        <v/>
      </c>
      <c r="K74" s="189" t="str">
        <f t="shared" si="12"/>
        <v/>
      </c>
      <c r="L74" s="189" t="str">
        <f t="shared" si="13"/>
        <v/>
      </c>
      <c r="M74" s="190"/>
      <c r="N74" s="190"/>
      <c r="O74" s="188" t="str">
        <f t="shared" si="14"/>
        <v/>
      </c>
      <c r="P74" s="191" t="str">
        <f t="shared" si="1"/>
        <v/>
      </c>
      <c r="Q74" s="192" t="str">
        <f t="shared" si="15"/>
        <v/>
      </c>
      <c r="R74" s="191" t="str">
        <f t="shared" si="2"/>
        <v/>
      </c>
      <c r="S74" s="193" t="str">
        <f t="shared" si="16"/>
        <v/>
      </c>
      <c r="T74" s="194" t="str">
        <f t="shared" si="3"/>
        <v/>
      </c>
      <c r="U74" s="192" t="str">
        <f t="shared" si="17"/>
        <v/>
      </c>
      <c r="V74" s="195" t="str">
        <f t="shared" si="4"/>
        <v/>
      </c>
      <c r="W74" s="195" t="str">
        <f t="shared" si="5"/>
        <v/>
      </c>
      <c r="X74" s="196" t="str">
        <f t="shared" si="18"/>
        <v/>
      </c>
      <c r="Y74" s="191" t="str">
        <f t="shared" si="20"/>
        <v/>
      </c>
      <c r="Z74" s="197" t="str">
        <f t="shared" si="6"/>
        <v/>
      </c>
      <c r="AA74" s="197" t="str">
        <f t="shared" si="7"/>
        <v/>
      </c>
      <c r="AB74" s="218"/>
      <c r="AC74" s="205"/>
    </row>
    <row r="75" spans="1:29">
      <c r="A75" s="219" t="str">
        <f t="shared" si="8"/>
        <v/>
      </c>
      <c r="B75" s="219"/>
      <c r="C75" s="184"/>
      <c r="D75" s="185"/>
      <c r="E75" s="185" t="str">
        <f>IF(OR(C75="",C75=Data!$B$3),"",IF(C75=Data!$B$2,"L","S"))</f>
        <v/>
      </c>
      <c r="F75" s="185" t="str">
        <f t="shared" si="9"/>
        <v/>
      </c>
      <c r="G75" s="186" t="str">
        <f t="shared" si="0"/>
        <v/>
      </c>
      <c r="H75" s="187"/>
      <c r="I75" s="188" t="str">
        <f t="shared" si="10"/>
        <v/>
      </c>
      <c r="J75" s="188" t="str">
        <f t="shared" si="11"/>
        <v/>
      </c>
      <c r="K75" s="189" t="str">
        <f t="shared" si="12"/>
        <v/>
      </c>
      <c r="L75" s="189" t="str">
        <f t="shared" si="13"/>
        <v/>
      </c>
      <c r="M75" s="190"/>
      <c r="N75" s="190"/>
      <c r="O75" s="188" t="str">
        <f t="shared" si="14"/>
        <v/>
      </c>
      <c r="P75" s="191" t="str">
        <f t="shared" si="1"/>
        <v/>
      </c>
      <c r="Q75" s="192" t="str">
        <f t="shared" si="15"/>
        <v/>
      </c>
      <c r="R75" s="191" t="str">
        <f t="shared" si="2"/>
        <v/>
      </c>
      <c r="S75" s="193" t="str">
        <f t="shared" si="16"/>
        <v/>
      </c>
      <c r="T75" s="194" t="str">
        <f t="shared" si="3"/>
        <v/>
      </c>
      <c r="U75" s="192" t="str">
        <f t="shared" si="17"/>
        <v/>
      </c>
      <c r="V75" s="195" t="str">
        <f t="shared" si="4"/>
        <v/>
      </c>
      <c r="W75" s="195" t="str">
        <f t="shared" si="5"/>
        <v/>
      </c>
      <c r="X75" s="196" t="str">
        <f t="shared" si="18"/>
        <v/>
      </c>
      <c r="Y75" s="191" t="str">
        <f t="shared" si="20"/>
        <v/>
      </c>
      <c r="Z75" s="197" t="str">
        <f t="shared" si="6"/>
        <v/>
      </c>
      <c r="AA75" s="197" t="str">
        <f t="shared" si="7"/>
        <v/>
      </c>
      <c r="AB75" s="218"/>
      <c r="AC75" s="205"/>
    </row>
    <row r="76" spans="1:29">
      <c r="A76" s="219" t="str">
        <f t="shared" si="8"/>
        <v/>
      </c>
      <c r="B76" s="219"/>
      <c r="C76" s="184"/>
      <c r="D76" s="185"/>
      <c r="E76" s="185" t="str">
        <f>IF(OR(C76="",C76=Data!$B$3),"",IF(C76=Data!$B$2,"L","S"))</f>
        <v/>
      </c>
      <c r="F76" s="185" t="str">
        <f t="shared" si="9"/>
        <v/>
      </c>
      <c r="G76" s="186" t="str">
        <f t="shared" ref="G76:G139" si="25">IF(A76="","",$D$3)</f>
        <v/>
      </c>
      <c r="H76" s="187"/>
      <c r="I76" s="188" t="str">
        <f t="shared" si="10"/>
        <v/>
      </c>
      <c r="J76" s="188" t="str">
        <f t="shared" si="11"/>
        <v/>
      </c>
      <c r="K76" s="189" t="str">
        <f t="shared" si="12"/>
        <v/>
      </c>
      <c r="L76" s="189" t="str">
        <f t="shared" si="13"/>
        <v/>
      </c>
      <c r="M76" s="190"/>
      <c r="N76" s="190"/>
      <c r="O76" s="188" t="str">
        <f t="shared" si="14"/>
        <v/>
      </c>
      <c r="P76" s="191" t="str">
        <f t="shared" ref="P76:P139" si="26">IF(O76="","",IF(L76*F76*G76=0,0,L76*F76*G76))</f>
        <v/>
      </c>
      <c r="Q76" s="192" t="str">
        <f t="shared" si="15"/>
        <v/>
      </c>
      <c r="R76" s="191" t="str">
        <f t="shared" ref="R76:R139" si="27">IF(O76&lt;&gt;"",IF(K76*F76*G76=0,"",K76*F76*G76),"")</f>
        <v/>
      </c>
      <c r="S76" s="193" t="str">
        <f t="shared" si="16"/>
        <v/>
      </c>
      <c r="T76" s="194" t="str">
        <f t="shared" ref="T76:T139" si="28">IF(X76="","",X76*F76*G76)</f>
        <v/>
      </c>
      <c r="U76" s="192" t="str">
        <f t="shared" si="17"/>
        <v/>
      </c>
      <c r="V76" s="195" t="str">
        <f t="shared" ref="V76:V139" si="29">IF(O76="","",IF(AND(O76&gt;I76,E76="L"),1, IF(AND(I76&gt;O76,E76="S"),1,0)))</f>
        <v/>
      </c>
      <c r="W76" s="195" t="str">
        <f t="shared" ref="W76:W139" si="30">IF(O76="","",IF(AND(O76&lt;I76,E76="L"),1, IF(AND(I76&lt;O76,E76="S"),1,0)))</f>
        <v/>
      </c>
      <c r="X76" s="196" t="str">
        <f t="shared" si="18"/>
        <v/>
      </c>
      <c r="Y76" s="191" t="str">
        <f t="shared" si="20"/>
        <v/>
      </c>
      <c r="Z76" s="197" t="str">
        <f t="shared" ref="Z76:Z139" si="31">IF(M76="","",MONTH(M76))</f>
        <v/>
      </c>
      <c r="AA76" s="197" t="str">
        <f t="shared" ref="AA76:AA139" si="32">IF(M76="","",YEAR(M76))</f>
        <v/>
      </c>
      <c r="AB76" s="218"/>
      <c r="AC76" s="205"/>
    </row>
    <row r="77" spans="1:29">
      <c r="A77" s="219" t="str">
        <f t="shared" ref="A77:A140" si="33">IF(C77="","",1)</f>
        <v/>
      </c>
      <c r="B77" s="219"/>
      <c r="C77" s="184"/>
      <c r="D77" s="185"/>
      <c r="E77" s="185" t="str">
        <f>IF(OR(C77="",C77=Data!$B$3),"",IF(C77=Data!$B$2,"L","S"))</f>
        <v/>
      </c>
      <c r="F77" s="185" t="str">
        <f t="shared" ref="F77:F140" si="34">IF(A77&lt;&gt;"",$D$2,"")</f>
        <v/>
      </c>
      <c r="G77" s="186" t="str">
        <f t="shared" si="25"/>
        <v/>
      </c>
      <c r="H77" s="187"/>
      <c r="I77" s="188" t="str">
        <f t="shared" ref="I77:I140" si="35">IF(H77="","",IF(E77="L",H77+$D$4*0.0001,H77-$D$4*0.0001))</f>
        <v/>
      </c>
      <c r="J77" s="188" t="str">
        <f t="shared" ref="J77:J140" si="36">IF(AND(H77&lt;&gt;"",I77&lt;&gt;""),IF(E77="L",I77+(I77-H77)*3,I77-(H77-I77)*3),"")</f>
        <v/>
      </c>
      <c r="K77" s="189" t="str">
        <f t="shared" ref="K77:K140" si="37">IF(AND(E77&lt;&gt;"",AND(I77&lt;&gt;"",J77&lt;&gt;"")),IF(E77="L",(J77-I77)*IF(I77&gt;10,IF(SEARCH("JPY",D77),10,100),10000),(I77-J77)*IF(I77&gt;10,IF(SEARCH("JPY",D77),10,100),10000)),"")</f>
        <v/>
      </c>
      <c r="L77" s="189" t="str">
        <f t="shared" ref="L77:L140" si="38">IF(AND(E77&lt;&gt;"",AND(H77&lt;&gt;"",I77&lt;&gt;"")),IF(E77="L",(I77-H77)*IF(I77&gt;10,IF(SEARCH("JPY",D77),10,100),10000),(H77-I77)*IF(I77&gt;10,IF(SEARCH("JPY",D77),10,100),10000)),"")</f>
        <v/>
      </c>
      <c r="M77" s="190"/>
      <c r="N77" s="190"/>
      <c r="O77" s="188" t="str">
        <f t="shared" ref="O77:O140" si="39">J77</f>
        <v/>
      </c>
      <c r="P77" s="191" t="str">
        <f t="shared" si="26"/>
        <v/>
      </c>
      <c r="Q77" s="192" t="str">
        <f t="shared" ref="Q77:Q140" si="40">IF(P77="","",IF(P77=0,0,P77/$I$4))</f>
        <v/>
      </c>
      <c r="R77" s="191" t="str">
        <f t="shared" si="27"/>
        <v/>
      </c>
      <c r="S77" s="193" t="str">
        <f t="shared" ref="S77:S140" si="41">IF(P77="","",IF(P77=0,0,R77/P77))</f>
        <v/>
      </c>
      <c r="T77" s="194" t="str">
        <f t="shared" si="28"/>
        <v/>
      </c>
      <c r="U77" s="192" t="str">
        <f t="shared" ref="U77:U140" si="42">IF(T77="","",IF($I$4="","",T77/$I$4))</f>
        <v/>
      </c>
      <c r="V77" s="195" t="str">
        <f t="shared" si="29"/>
        <v/>
      </c>
      <c r="W77" s="195" t="str">
        <f t="shared" si="30"/>
        <v/>
      </c>
      <c r="X77" s="196" t="str">
        <f t="shared" ref="X77:X140" si="43">IF((O77=""),"",IF(E77="L",1,-1)*(O77-I77)*IF(O77&gt;10,IF(SEARCH("JPY",D77),10,100),10000))</f>
        <v/>
      </c>
      <c r="Y77" s="191" t="str">
        <f t="shared" si="20"/>
        <v/>
      </c>
      <c r="Z77" s="197" t="str">
        <f t="shared" si="31"/>
        <v/>
      </c>
      <c r="AA77" s="197" t="str">
        <f t="shared" si="32"/>
        <v/>
      </c>
      <c r="AB77" s="218"/>
      <c r="AC77" s="205"/>
    </row>
    <row r="78" spans="1:29">
      <c r="A78" s="219" t="str">
        <f t="shared" si="33"/>
        <v/>
      </c>
      <c r="B78" s="219"/>
      <c r="C78" s="184"/>
      <c r="D78" s="185"/>
      <c r="E78" s="185" t="str">
        <f>IF(OR(C78="",C78=Data!$B$3),"",IF(C78=Data!$B$2,"L","S"))</f>
        <v/>
      </c>
      <c r="F78" s="185" t="str">
        <f t="shared" si="34"/>
        <v/>
      </c>
      <c r="G78" s="186" t="str">
        <f t="shared" si="25"/>
        <v/>
      </c>
      <c r="H78" s="187"/>
      <c r="I78" s="188" t="str">
        <f t="shared" si="35"/>
        <v/>
      </c>
      <c r="J78" s="188" t="str">
        <f t="shared" si="36"/>
        <v/>
      </c>
      <c r="K78" s="189" t="str">
        <f t="shared" si="37"/>
        <v/>
      </c>
      <c r="L78" s="189" t="str">
        <f t="shared" si="38"/>
        <v/>
      </c>
      <c r="M78" s="190"/>
      <c r="N78" s="190"/>
      <c r="O78" s="188" t="str">
        <f t="shared" si="39"/>
        <v/>
      </c>
      <c r="P78" s="191" t="str">
        <f t="shared" si="26"/>
        <v/>
      </c>
      <c r="Q78" s="192" t="str">
        <f t="shared" si="40"/>
        <v/>
      </c>
      <c r="R78" s="191" t="str">
        <f t="shared" si="27"/>
        <v/>
      </c>
      <c r="S78" s="193" t="str">
        <f t="shared" si="41"/>
        <v/>
      </c>
      <c r="T78" s="194" t="str">
        <f t="shared" si="28"/>
        <v/>
      </c>
      <c r="U78" s="192" t="str">
        <f t="shared" si="42"/>
        <v/>
      </c>
      <c r="V78" s="195" t="str">
        <f t="shared" si="29"/>
        <v/>
      </c>
      <c r="W78" s="195" t="str">
        <f t="shared" si="30"/>
        <v/>
      </c>
      <c r="X78" s="196" t="str">
        <f t="shared" si="43"/>
        <v/>
      </c>
      <c r="Y78" s="191" t="str">
        <f t="shared" si="20"/>
        <v/>
      </c>
      <c r="Z78" s="197" t="str">
        <f t="shared" si="31"/>
        <v/>
      </c>
      <c r="AA78" s="197" t="str">
        <f t="shared" si="32"/>
        <v/>
      </c>
      <c r="AB78" s="218"/>
      <c r="AC78" s="205"/>
    </row>
    <row r="79" spans="1:29">
      <c r="A79" s="219" t="str">
        <f t="shared" si="33"/>
        <v/>
      </c>
      <c r="B79" s="219"/>
      <c r="C79" s="184"/>
      <c r="D79" s="185"/>
      <c r="E79" s="185" t="str">
        <f>IF(OR(C79="",C79=Data!$B$3),"",IF(C79=Data!$B$2,"L","S"))</f>
        <v/>
      </c>
      <c r="F79" s="185" t="str">
        <f t="shared" si="34"/>
        <v/>
      </c>
      <c r="G79" s="186" t="str">
        <f t="shared" si="25"/>
        <v/>
      </c>
      <c r="H79" s="187"/>
      <c r="I79" s="188" t="str">
        <f t="shared" si="35"/>
        <v/>
      </c>
      <c r="J79" s="188" t="str">
        <f t="shared" si="36"/>
        <v/>
      </c>
      <c r="K79" s="189" t="str">
        <f t="shared" si="37"/>
        <v/>
      </c>
      <c r="L79" s="189" t="str">
        <f t="shared" si="38"/>
        <v/>
      </c>
      <c r="M79" s="190"/>
      <c r="N79" s="190"/>
      <c r="O79" s="188" t="str">
        <f t="shared" si="39"/>
        <v/>
      </c>
      <c r="P79" s="191" t="str">
        <f t="shared" si="26"/>
        <v/>
      </c>
      <c r="Q79" s="192" t="str">
        <f t="shared" si="40"/>
        <v/>
      </c>
      <c r="R79" s="191" t="str">
        <f t="shared" si="27"/>
        <v/>
      </c>
      <c r="S79" s="193" t="str">
        <f t="shared" si="41"/>
        <v/>
      </c>
      <c r="T79" s="194" t="str">
        <f t="shared" si="28"/>
        <v/>
      </c>
      <c r="U79" s="192" t="str">
        <f t="shared" si="42"/>
        <v/>
      </c>
      <c r="V79" s="195" t="str">
        <f t="shared" si="29"/>
        <v/>
      </c>
      <c r="W79" s="195" t="str">
        <f t="shared" si="30"/>
        <v/>
      </c>
      <c r="X79" s="196" t="str">
        <f t="shared" si="43"/>
        <v/>
      </c>
      <c r="Y79" s="191" t="str">
        <f t="shared" si="20"/>
        <v/>
      </c>
      <c r="Z79" s="197" t="str">
        <f t="shared" si="31"/>
        <v/>
      </c>
      <c r="AA79" s="197" t="str">
        <f t="shared" si="32"/>
        <v/>
      </c>
      <c r="AB79" s="218"/>
      <c r="AC79" s="205"/>
    </row>
    <row r="80" spans="1:29">
      <c r="A80" s="219" t="str">
        <f t="shared" si="33"/>
        <v/>
      </c>
      <c r="B80" s="219"/>
      <c r="C80" s="184"/>
      <c r="D80" s="185"/>
      <c r="E80" s="185" t="str">
        <f>IF(OR(C80="",C80=Data!$B$3),"",IF(C80=Data!$B$2,"L","S"))</f>
        <v/>
      </c>
      <c r="F80" s="185" t="str">
        <f t="shared" si="34"/>
        <v/>
      </c>
      <c r="G80" s="186" t="str">
        <f t="shared" si="25"/>
        <v/>
      </c>
      <c r="H80" s="187"/>
      <c r="I80" s="188" t="str">
        <f t="shared" si="35"/>
        <v/>
      </c>
      <c r="J80" s="188" t="str">
        <f t="shared" si="36"/>
        <v/>
      </c>
      <c r="K80" s="189" t="str">
        <f t="shared" si="37"/>
        <v/>
      </c>
      <c r="L80" s="189" t="str">
        <f t="shared" si="38"/>
        <v/>
      </c>
      <c r="M80" s="190"/>
      <c r="N80" s="190"/>
      <c r="O80" s="188" t="str">
        <f t="shared" si="39"/>
        <v/>
      </c>
      <c r="P80" s="191" t="str">
        <f t="shared" si="26"/>
        <v/>
      </c>
      <c r="Q80" s="192" t="str">
        <f t="shared" si="40"/>
        <v/>
      </c>
      <c r="R80" s="191" t="str">
        <f t="shared" si="27"/>
        <v/>
      </c>
      <c r="S80" s="193" t="str">
        <f t="shared" si="41"/>
        <v/>
      </c>
      <c r="T80" s="194" t="str">
        <f t="shared" si="28"/>
        <v/>
      </c>
      <c r="U80" s="192" t="str">
        <f t="shared" si="42"/>
        <v/>
      </c>
      <c r="V80" s="195" t="str">
        <f t="shared" si="29"/>
        <v/>
      </c>
      <c r="W80" s="195" t="str">
        <f t="shared" si="30"/>
        <v/>
      </c>
      <c r="X80" s="196" t="str">
        <f t="shared" si="43"/>
        <v/>
      </c>
      <c r="Y80" s="191" t="str">
        <f t="shared" si="20"/>
        <v/>
      </c>
      <c r="Z80" s="197" t="str">
        <f t="shared" si="31"/>
        <v/>
      </c>
      <c r="AA80" s="197" t="str">
        <f t="shared" si="32"/>
        <v/>
      </c>
      <c r="AB80" s="218"/>
      <c r="AC80" s="205"/>
    </row>
    <row r="81" spans="1:29">
      <c r="A81" s="219" t="str">
        <f t="shared" si="33"/>
        <v/>
      </c>
      <c r="B81" s="219"/>
      <c r="C81" s="184"/>
      <c r="D81" s="185"/>
      <c r="E81" s="185" t="str">
        <f>IF(OR(C81="",C81=Data!$B$3),"",IF(C81=Data!$B$2,"L","S"))</f>
        <v/>
      </c>
      <c r="F81" s="185" t="str">
        <f t="shared" si="34"/>
        <v/>
      </c>
      <c r="G81" s="186" t="str">
        <f t="shared" si="25"/>
        <v/>
      </c>
      <c r="H81" s="187"/>
      <c r="I81" s="188" t="str">
        <f t="shared" si="35"/>
        <v/>
      </c>
      <c r="J81" s="188" t="str">
        <f t="shared" si="36"/>
        <v/>
      </c>
      <c r="K81" s="189" t="str">
        <f t="shared" si="37"/>
        <v/>
      </c>
      <c r="L81" s="189" t="str">
        <f t="shared" si="38"/>
        <v/>
      </c>
      <c r="M81" s="190"/>
      <c r="N81" s="190"/>
      <c r="O81" s="188" t="str">
        <f t="shared" si="39"/>
        <v/>
      </c>
      <c r="P81" s="191" t="str">
        <f t="shared" si="26"/>
        <v/>
      </c>
      <c r="Q81" s="192" t="str">
        <f t="shared" si="40"/>
        <v/>
      </c>
      <c r="R81" s="191" t="str">
        <f t="shared" si="27"/>
        <v/>
      </c>
      <c r="S81" s="193" t="str">
        <f t="shared" si="41"/>
        <v/>
      </c>
      <c r="T81" s="194" t="str">
        <f t="shared" si="28"/>
        <v/>
      </c>
      <c r="U81" s="192" t="str">
        <f t="shared" si="42"/>
        <v/>
      </c>
      <c r="V81" s="195" t="str">
        <f t="shared" si="29"/>
        <v/>
      </c>
      <c r="W81" s="195" t="str">
        <f t="shared" si="30"/>
        <v/>
      </c>
      <c r="X81" s="196" t="str">
        <f t="shared" si="43"/>
        <v/>
      </c>
      <c r="Y81" s="191" t="str">
        <f t="shared" si="20"/>
        <v/>
      </c>
      <c r="Z81" s="197" t="str">
        <f t="shared" si="31"/>
        <v/>
      </c>
      <c r="AA81" s="197" t="str">
        <f t="shared" si="32"/>
        <v/>
      </c>
      <c r="AB81" s="218"/>
      <c r="AC81" s="205"/>
    </row>
    <row r="82" spans="1:29">
      <c r="A82" s="219" t="str">
        <f t="shared" si="33"/>
        <v/>
      </c>
      <c r="B82" s="219"/>
      <c r="C82" s="184"/>
      <c r="D82" s="185"/>
      <c r="E82" s="185" t="str">
        <f>IF(OR(C82="",C82=Data!$B$3),"",IF(C82=Data!$B$2,"L","S"))</f>
        <v/>
      </c>
      <c r="F82" s="185" t="str">
        <f t="shared" si="34"/>
        <v/>
      </c>
      <c r="G82" s="186" t="str">
        <f t="shared" si="25"/>
        <v/>
      </c>
      <c r="H82" s="187"/>
      <c r="I82" s="188" t="str">
        <f t="shared" si="35"/>
        <v/>
      </c>
      <c r="J82" s="188" t="str">
        <f t="shared" si="36"/>
        <v/>
      </c>
      <c r="K82" s="189" t="str">
        <f t="shared" si="37"/>
        <v/>
      </c>
      <c r="L82" s="189" t="str">
        <f t="shared" si="38"/>
        <v/>
      </c>
      <c r="M82" s="190"/>
      <c r="N82" s="190"/>
      <c r="O82" s="188" t="str">
        <f t="shared" si="39"/>
        <v/>
      </c>
      <c r="P82" s="191" t="str">
        <f t="shared" si="26"/>
        <v/>
      </c>
      <c r="Q82" s="192" t="str">
        <f t="shared" si="40"/>
        <v/>
      </c>
      <c r="R82" s="191" t="str">
        <f t="shared" si="27"/>
        <v/>
      </c>
      <c r="S82" s="193" t="str">
        <f t="shared" si="41"/>
        <v/>
      </c>
      <c r="T82" s="194" t="str">
        <f t="shared" si="28"/>
        <v/>
      </c>
      <c r="U82" s="192" t="str">
        <f t="shared" si="42"/>
        <v/>
      </c>
      <c r="V82" s="195" t="str">
        <f t="shared" si="29"/>
        <v/>
      </c>
      <c r="W82" s="195" t="str">
        <f t="shared" si="30"/>
        <v/>
      </c>
      <c r="X82" s="196" t="str">
        <f t="shared" si="43"/>
        <v/>
      </c>
      <c r="Y82" s="191" t="str">
        <f t="shared" si="20"/>
        <v/>
      </c>
      <c r="Z82" s="197" t="str">
        <f t="shared" si="31"/>
        <v/>
      </c>
      <c r="AA82" s="197" t="str">
        <f t="shared" si="32"/>
        <v/>
      </c>
      <c r="AB82" s="218"/>
      <c r="AC82" s="205"/>
    </row>
    <row r="83" spans="1:29">
      <c r="A83" s="219" t="str">
        <f t="shared" si="33"/>
        <v/>
      </c>
      <c r="B83" s="219"/>
      <c r="C83" s="184"/>
      <c r="D83" s="185"/>
      <c r="E83" s="185" t="str">
        <f>IF(OR(C83="",C83=Data!$B$3),"",IF(C83=Data!$B$2,"L","S"))</f>
        <v/>
      </c>
      <c r="F83" s="185" t="str">
        <f t="shared" si="34"/>
        <v/>
      </c>
      <c r="G83" s="186" t="str">
        <f t="shared" si="25"/>
        <v/>
      </c>
      <c r="H83" s="187"/>
      <c r="I83" s="188" t="str">
        <f t="shared" si="35"/>
        <v/>
      </c>
      <c r="J83" s="188" t="str">
        <f t="shared" si="36"/>
        <v/>
      </c>
      <c r="K83" s="189" t="str">
        <f t="shared" si="37"/>
        <v/>
      </c>
      <c r="L83" s="189" t="str">
        <f t="shared" si="38"/>
        <v/>
      </c>
      <c r="M83" s="190"/>
      <c r="N83" s="190"/>
      <c r="O83" s="188" t="str">
        <f t="shared" si="39"/>
        <v/>
      </c>
      <c r="P83" s="191" t="str">
        <f t="shared" si="26"/>
        <v/>
      </c>
      <c r="Q83" s="192" t="str">
        <f t="shared" si="40"/>
        <v/>
      </c>
      <c r="R83" s="191" t="str">
        <f t="shared" si="27"/>
        <v/>
      </c>
      <c r="S83" s="193" t="str">
        <f t="shared" si="41"/>
        <v/>
      </c>
      <c r="T83" s="194" t="str">
        <f t="shared" si="28"/>
        <v/>
      </c>
      <c r="U83" s="192" t="str">
        <f t="shared" si="42"/>
        <v/>
      </c>
      <c r="V83" s="195" t="str">
        <f t="shared" si="29"/>
        <v/>
      </c>
      <c r="W83" s="195" t="str">
        <f t="shared" si="30"/>
        <v/>
      </c>
      <c r="X83" s="196" t="str">
        <f t="shared" si="43"/>
        <v/>
      </c>
      <c r="Y83" s="191" t="str">
        <f t="shared" si="20"/>
        <v/>
      </c>
      <c r="Z83" s="197" t="str">
        <f t="shared" si="31"/>
        <v/>
      </c>
      <c r="AA83" s="197" t="str">
        <f t="shared" si="32"/>
        <v/>
      </c>
      <c r="AB83" s="218"/>
      <c r="AC83" s="205"/>
    </row>
    <row r="84" spans="1:29">
      <c r="A84" s="219" t="str">
        <f t="shared" si="33"/>
        <v/>
      </c>
      <c r="B84" s="219"/>
      <c r="C84" s="184"/>
      <c r="D84" s="185"/>
      <c r="E84" s="185" t="str">
        <f>IF(OR(C84="",C84=Data!$B$3),"",IF(C84=Data!$B$2,"L","S"))</f>
        <v/>
      </c>
      <c r="F84" s="185" t="str">
        <f t="shared" si="34"/>
        <v/>
      </c>
      <c r="G84" s="186" t="str">
        <f t="shared" si="25"/>
        <v/>
      </c>
      <c r="H84" s="187"/>
      <c r="I84" s="188" t="str">
        <f t="shared" si="35"/>
        <v/>
      </c>
      <c r="J84" s="188" t="str">
        <f t="shared" si="36"/>
        <v/>
      </c>
      <c r="K84" s="189" t="str">
        <f t="shared" si="37"/>
        <v/>
      </c>
      <c r="L84" s="189" t="str">
        <f t="shared" si="38"/>
        <v/>
      </c>
      <c r="M84" s="190"/>
      <c r="N84" s="190"/>
      <c r="O84" s="188" t="str">
        <f t="shared" si="39"/>
        <v/>
      </c>
      <c r="P84" s="191" t="str">
        <f t="shared" si="26"/>
        <v/>
      </c>
      <c r="Q84" s="192" t="str">
        <f t="shared" si="40"/>
        <v/>
      </c>
      <c r="R84" s="191" t="str">
        <f t="shared" si="27"/>
        <v/>
      </c>
      <c r="S84" s="193" t="str">
        <f t="shared" si="41"/>
        <v/>
      </c>
      <c r="T84" s="194" t="str">
        <f t="shared" si="28"/>
        <v/>
      </c>
      <c r="U84" s="192" t="str">
        <f t="shared" si="42"/>
        <v/>
      </c>
      <c r="V84" s="195" t="str">
        <f t="shared" si="29"/>
        <v/>
      </c>
      <c r="W84" s="195" t="str">
        <f t="shared" si="30"/>
        <v/>
      </c>
      <c r="X84" s="196" t="str">
        <f t="shared" si="43"/>
        <v/>
      </c>
      <c r="Y84" s="191" t="str">
        <f t="shared" ref="Y84:Y147" si="44">IF(Y83="","",IF(T84="","",Y83+T84))</f>
        <v/>
      </c>
      <c r="Z84" s="197" t="str">
        <f t="shared" si="31"/>
        <v/>
      </c>
      <c r="AA84" s="197" t="str">
        <f t="shared" si="32"/>
        <v/>
      </c>
      <c r="AB84" s="218"/>
      <c r="AC84" s="205"/>
    </row>
    <row r="85" spans="1:29">
      <c r="A85" s="219" t="str">
        <f t="shared" si="33"/>
        <v/>
      </c>
      <c r="B85" s="219"/>
      <c r="C85" s="184"/>
      <c r="D85" s="185"/>
      <c r="E85" s="185" t="str">
        <f>IF(OR(C85="",C85=Data!$B$3),"",IF(C85=Data!$B$2,"L","S"))</f>
        <v/>
      </c>
      <c r="F85" s="185" t="str">
        <f t="shared" si="34"/>
        <v/>
      </c>
      <c r="G85" s="186" t="str">
        <f t="shared" si="25"/>
        <v/>
      </c>
      <c r="H85" s="187"/>
      <c r="I85" s="188" t="str">
        <f t="shared" si="35"/>
        <v/>
      </c>
      <c r="J85" s="188" t="str">
        <f t="shared" si="36"/>
        <v/>
      </c>
      <c r="K85" s="189" t="str">
        <f t="shared" si="37"/>
        <v/>
      </c>
      <c r="L85" s="189" t="str">
        <f t="shared" si="38"/>
        <v/>
      </c>
      <c r="M85" s="190"/>
      <c r="N85" s="190"/>
      <c r="O85" s="188" t="str">
        <f t="shared" si="39"/>
        <v/>
      </c>
      <c r="P85" s="191" t="str">
        <f t="shared" si="26"/>
        <v/>
      </c>
      <c r="Q85" s="192" t="str">
        <f t="shared" si="40"/>
        <v/>
      </c>
      <c r="R85" s="191" t="str">
        <f t="shared" si="27"/>
        <v/>
      </c>
      <c r="S85" s="193" t="str">
        <f t="shared" si="41"/>
        <v/>
      </c>
      <c r="T85" s="194" t="str">
        <f t="shared" si="28"/>
        <v/>
      </c>
      <c r="U85" s="192" t="str">
        <f t="shared" si="42"/>
        <v/>
      </c>
      <c r="V85" s="195" t="str">
        <f t="shared" si="29"/>
        <v/>
      </c>
      <c r="W85" s="195" t="str">
        <f t="shared" si="30"/>
        <v/>
      </c>
      <c r="X85" s="196" t="str">
        <f t="shared" si="43"/>
        <v/>
      </c>
      <c r="Y85" s="191" t="str">
        <f t="shared" si="44"/>
        <v/>
      </c>
      <c r="Z85" s="197" t="str">
        <f t="shared" si="31"/>
        <v/>
      </c>
      <c r="AA85" s="197" t="str">
        <f t="shared" si="32"/>
        <v/>
      </c>
      <c r="AB85" s="218"/>
      <c r="AC85" s="205"/>
    </row>
    <row r="86" spans="1:29">
      <c r="A86" s="219" t="str">
        <f t="shared" si="33"/>
        <v/>
      </c>
      <c r="B86" s="219"/>
      <c r="C86" s="184"/>
      <c r="D86" s="185"/>
      <c r="E86" s="185" t="str">
        <f>IF(OR(C86="",C86=Data!$B$3),"",IF(C86=Data!$B$2,"L","S"))</f>
        <v/>
      </c>
      <c r="F86" s="185" t="str">
        <f t="shared" si="34"/>
        <v/>
      </c>
      <c r="G86" s="186" t="str">
        <f t="shared" si="25"/>
        <v/>
      </c>
      <c r="H86" s="187"/>
      <c r="I86" s="188" t="str">
        <f t="shared" si="35"/>
        <v/>
      </c>
      <c r="J86" s="188" t="str">
        <f t="shared" si="36"/>
        <v/>
      </c>
      <c r="K86" s="189" t="str">
        <f t="shared" si="37"/>
        <v/>
      </c>
      <c r="L86" s="189" t="str">
        <f t="shared" si="38"/>
        <v/>
      </c>
      <c r="M86" s="190"/>
      <c r="N86" s="190"/>
      <c r="O86" s="188" t="str">
        <f t="shared" si="39"/>
        <v/>
      </c>
      <c r="P86" s="191" t="str">
        <f t="shared" si="26"/>
        <v/>
      </c>
      <c r="Q86" s="192" t="str">
        <f t="shared" si="40"/>
        <v/>
      </c>
      <c r="R86" s="191" t="str">
        <f t="shared" si="27"/>
        <v/>
      </c>
      <c r="S86" s="193" t="str">
        <f t="shared" si="41"/>
        <v/>
      </c>
      <c r="T86" s="194" t="str">
        <f t="shared" si="28"/>
        <v/>
      </c>
      <c r="U86" s="192" t="str">
        <f t="shared" si="42"/>
        <v/>
      </c>
      <c r="V86" s="195" t="str">
        <f t="shared" si="29"/>
        <v/>
      </c>
      <c r="W86" s="195" t="str">
        <f t="shared" si="30"/>
        <v/>
      </c>
      <c r="X86" s="196" t="str">
        <f t="shared" si="43"/>
        <v/>
      </c>
      <c r="Y86" s="191" t="str">
        <f t="shared" si="44"/>
        <v/>
      </c>
      <c r="Z86" s="197" t="str">
        <f t="shared" si="31"/>
        <v/>
      </c>
      <c r="AA86" s="197" t="str">
        <f t="shared" si="32"/>
        <v/>
      </c>
      <c r="AB86" s="218"/>
      <c r="AC86" s="205"/>
    </row>
    <row r="87" spans="1:29">
      <c r="A87" s="219" t="str">
        <f t="shared" si="33"/>
        <v/>
      </c>
      <c r="B87" s="219"/>
      <c r="C87" s="184"/>
      <c r="D87" s="185"/>
      <c r="E87" s="185" t="str">
        <f>IF(OR(C87="",C87=Data!$B$3),"",IF(C87=Data!$B$2,"L","S"))</f>
        <v/>
      </c>
      <c r="F87" s="185" t="str">
        <f t="shared" si="34"/>
        <v/>
      </c>
      <c r="G87" s="186" t="str">
        <f t="shared" si="25"/>
        <v/>
      </c>
      <c r="H87" s="187"/>
      <c r="I87" s="188" t="str">
        <f t="shared" si="35"/>
        <v/>
      </c>
      <c r="J87" s="188" t="str">
        <f t="shared" si="36"/>
        <v/>
      </c>
      <c r="K87" s="189" t="str">
        <f t="shared" si="37"/>
        <v/>
      </c>
      <c r="L87" s="189" t="str">
        <f t="shared" si="38"/>
        <v/>
      </c>
      <c r="M87" s="190"/>
      <c r="N87" s="190"/>
      <c r="O87" s="188" t="str">
        <f t="shared" si="39"/>
        <v/>
      </c>
      <c r="P87" s="191" t="str">
        <f t="shared" si="26"/>
        <v/>
      </c>
      <c r="Q87" s="192" t="str">
        <f t="shared" si="40"/>
        <v/>
      </c>
      <c r="R87" s="191" t="str">
        <f t="shared" si="27"/>
        <v/>
      </c>
      <c r="S87" s="193" t="str">
        <f t="shared" si="41"/>
        <v/>
      </c>
      <c r="T87" s="194" t="str">
        <f t="shared" si="28"/>
        <v/>
      </c>
      <c r="U87" s="192" t="str">
        <f t="shared" si="42"/>
        <v/>
      </c>
      <c r="V87" s="195" t="str">
        <f t="shared" si="29"/>
        <v/>
      </c>
      <c r="W87" s="195" t="str">
        <f t="shared" si="30"/>
        <v/>
      </c>
      <c r="X87" s="196" t="str">
        <f t="shared" si="43"/>
        <v/>
      </c>
      <c r="Y87" s="191" t="str">
        <f t="shared" si="44"/>
        <v/>
      </c>
      <c r="Z87" s="197" t="str">
        <f t="shared" si="31"/>
        <v/>
      </c>
      <c r="AA87" s="197" t="str">
        <f t="shared" si="32"/>
        <v/>
      </c>
      <c r="AB87" s="218"/>
      <c r="AC87" s="205"/>
    </row>
    <row r="88" spans="1:29">
      <c r="A88" s="219" t="str">
        <f t="shared" si="33"/>
        <v/>
      </c>
      <c r="B88" s="219"/>
      <c r="C88" s="184"/>
      <c r="D88" s="185"/>
      <c r="E88" s="185" t="str">
        <f>IF(OR(C88="",C88=Data!$B$3),"",IF(C88=Data!$B$2,"L","S"))</f>
        <v/>
      </c>
      <c r="F88" s="185" t="str">
        <f t="shared" si="34"/>
        <v/>
      </c>
      <c r="G88" s="186" t="str">
        <f t="shared" si="25"/>
        <v/>
      </c>
      <c r="H88" s="187"/>
      <c r="I88" s="188" t="str">
        <f t="shared" si="35"/>
        <v/>
      </c>
      <c r="J88" s="188" t="str">
        <f t="shared" si="36"/>
        <v/>
      </c>
      <c r="K88" s="189" t="str">
        <f t="shared" si="37"/>
        <v/>
      </c>
      <c r="L88" s="189" t="str">
        <f t="shared" si="38"/>
        <v/>
      </c>
      <c r="M88" s="190"/>
      <c r="N88" s="190"/>
      <c r="O88" s="188" t="str">
        <f t="shared" si="39"/>
        <v/>
      </c>
      <c r="P88" s="191" t="str">
        <f t="shared" si="26"/>
        <v/>
      </c>
      <c r="Q88" s="192" t="str">
        <f t="shared" si="40"/>
        <v/>
      </c>
      <c r="R88" s="191" t="str">
        <f t="shared" si="27"/>
        <v/>
      </c>
      <c r="S88" s="193" t="str">
        <f t="shared" si="41"/>
        <v/>
      </c>
      <c r="T88" s="194" t="str">
        <f t="shared" si="28"/>
        <v/>
      </c>
      <c r="U88" s="192" t="str">
        <f t="shared" si="42"/>
        <v/>
      </c>
      <c r="V88" s="195" t="str">
        <f t="shared" si="29"/>
        <v/>
      </c>
      <c r="W88" s="195" t="str">
        <f t="shared" si="30"/>
        <v/>
      </c>
      <c r="X88" s="196" t="str">
        <f t="shared" si="43"/>
        <v/>
      </c>
      <c r="Y88" s="191" t="str">
        <f t="shared" si="44"/>
        <v/>
      </c>
      <c r="Z88" s="197" t="str">
        <f t="shared" si="31"/>
        <v/>
      </c>
      <c r="AA88" s="197" t="str">
        <f t="shared" si="32"/>
        <v/>
      </c>
      <c r="AB88" s="218"/>
      <c r="AC88" s="205"/>
    </row>
    <row r="89" spans="1:29">
      <c r="A89" s="219" t="str">
        <f t="shared" si="33"/>
        <v/>
      </c>
      <c r="B89" s="219"/>
      <c r="C89" s="184"/>
      <c r="D89" s="185"/>
      <c r="E89" s="185" t="str">
        <f>IF(OR(C89="",C89=Data!$B$3),"",IF(C89=Data!$B$2,"L","S"))</f>
        <v/>
      </c>
      <c r="F89" s="185" t="str">
        <f t="shared" si="34"/>
        <v/>
      </c>
      <c r="G89" s="186" t="str">
        <f t="shared" si="25"/>
        <v/>
      </c>
      <c r="H89" s="187"/>
      <c r="I89" s="188" t="str">
        <f t="shared" si="35"/>
        <v/>
      </c>
      <c r="J89" s="188" t="str">
        <f t="shared" si="36"/>
        <v/>
      </c>
      <c r="K89" s="189" t="str">
        <f t="shared" si="37"/>
        <v/>
      </c>
      <c r="L89" s="189" t="str">
        <f t="shared" si="38"/>
        <v/>
      </c>
      <c r="M89" s="190"/>
      <c r="N89" s="190"/>
      <c r="O89" s="188" t="str">
        <f t="shared" si="39"/>
        <v/>
      </c>
      <c r="P89" s="191" t="str">
        <f t="shared" si="26"/>
        <v/>
      </c>
      <c r="Q89" s="192" t="str">
        <f t="shared" si="40"/>
        <v/>
      </c>
      <c r="R89" s="191" t="str">
        <f t="shared" si="27"/>
        <v/>
      </c>
      <c r="S89" s="193" t="str">
        <f t="shared" si="41"/>
        <v/>
      </c>
      <c r="T89" s="194" t="str">
        <f t="shared" si="28"/>
        <v/>
      </c>
      <c r="U89" s="192" t="str">
        <f t="shared" si="42"/>
        <v/>
      </c>
      <c r="V89" s="195" t="str">
        <f t="shared" si="29"/>
        <v/>
      </c>
      <c r="W89" s="195" t="str">
        <f t="shared" si="30"/>
        <v/>
      </c>
      <c r="X89" s="196" t="str">
        <f t="shared" si="43"/>
        <v/>
      </c>
      <c r="Y89" s="191" t="str">
        <f t="shared" si="44"/>
        <v/>
      </c>
      <c r="Z89" s="197" t="str">
        <f t="shared" si="31"/>
        <v/>
      </c>
      <c r="AA89" s="197" t="str">
        <f t="shared" si="32"/>
        <v/>
      </c>
      <c r="AB89" s="218"/>
      <c r="AC89" s="205"/>
    </row>
    <row r="90" spans="1:29">
      <c r="A90" s="219" t="str">
        <f t="shared" si="33"/>
        <v/>
      </c>
      <c r="B90" s="219"/>
      <c r="C90" s="184"/>
      <c r="D90" s="185"/>
      <c r="E90" s="185" t="str">
        <f>IF(OR(C90="",C90=Data!$B$3),"",IF(C90=Data!$B$2,"L","S"))</f>
        <v/>
      </c>
      <c r="F90" s="185" t="str">
        <f t="shared" si="34"/>
        <v/>
      </c>
      <c r="G90" s="186" t="str">
        <f t="shared" si="25"/>
        <v/>
      </c>
      <c r="H90" s="187"/>
      <c r="I90" s="188" t="str">
        <f t="shared" si="35"/>
        <v/>
      </c>
      <c r="J90" s="188" t="str">
        <f t="shared" si="36"/>
        <v/>
      </c>
      <c r="K90" s="189" t="str">
        <f t="shared" si="37"/>
        <v/>
      </c>
      <c r="L90" s="189" t="str">
        <f t="shared" si="38"/>
        <v/>
      </c>
      <c r="M90" s="190"/>
      <c r="N90" s="190"/>
      <c r="O90" s="188" t="str">
        <f t="shared" si="39"/>
        <v/>
      </c>
      <c r="P90" s="191" t="str">
        <f t="shared" si="26"/>
        <v/>
      </c>
      <c r="Q90" s="192" t="str">
        <f t="shared" si="40"/>
        <v/>
      </c>
      <c r="R90" s="191" t="str">
        <f t="shared" si="27"/>
        <v/>
      </c>
      <c r="S90" s="193" t="str">
        <f t="shared" si="41"/>
        <v/>
      </c>
      <c r="T90" s="194" t="str">
        <f t="shared" si="28"/>
        <v/>
      </c>
      <c r="U90" s="192" t="str">
        <f t="shared" si="42"/>
        <v/>
      </c>
      <c r="V90" s="195" t="str">
        <f t="shared" si="29"/>
        <v/>
      </c>
      <c r="W90" s="195" t="str">
        <f t="shared" si="30"/>
        <v/>
      </c>
      <c r="X90" s="196" t="str">
        <f t="shared" si="43"/>
        <v/>
      </c>
      <c r="Y90" s="191" t="str">
        <f t="shared" si="44"/>
        <v/>
      </c>
      <c r="Z90" s="197" t="str">
        <f t="shared" si="31"/>
        <v/>
      </c>
      <c r="AA90" s="197" t="str">
        <f t="shared" si="32"/>
        <v/>
      </c>
      <c r="AB90" s="218"/>
      <c r="AC90" s="205"/>
    </row>
    <row r="91" spans="1:29">
      <c r="A91" s="219" t="str">
        <f t="shared" si="33"/>
        <v/>
      </c>
      <c r="B91" s="219"/>
      <c r="C91" s="184"/>
      <c r="D91" s="185"/>
      <c r="E91" s="185" t="str">
        <f>IF(OR(C91="",C91=Data!$B$3),"",IF(C91=Data!$B$2,"L","S"))</f>
        <v/>
      </c>
      <c r="F91" s="185" t="str">
        <f t="shared" si="34"/>
        <v/>
      </c>
      <c r="G91" s="186" t="str">
        <f t="shared" si="25"/>
        <v/>
      </c>
      <c r="H91" s="187"/>
      <c r="I91" s="188" t="str">
        <f t="shared" si="35"/>
        <v/>
      </c>
      <c r="J91" s="188" t="str">
        <f t="shared" si="36"/>
        <v/>
      </c>
      <c r="K91" s="189" t="str">
        <f t="shared" si="37"/>
        <v/>
      </c>
      <c r="L91" s="189" t="str">
        <f t="shared" si="38"/>
        <v/>
      </c>
      <c r="M91" s="190"/>
      <c r="N91" s="190"/>
      <c r="O91" s="188" t="str">
        <f t="shared" si="39"/>
        <v/>
      </c>
      <c r="P91" s="191" t="str">
        <f t="shared" si="26"/>
        <v/>
      </c>
      <c r="Q91" s="192" t="str">
        <f t="shared" si="40"/>
        <v/>
      </c>
      <c r="R91" s="191" t="str">
        <f t="shared" si="27"/>
        <v/>
      </c>
      <c r="S91" s="193" t="str">
        <f t="shared" si="41"/>
        <v/>
      </c>
      <c r="T91" s="194" t="str">
        <f t="shared" si="28"/>
        <v/>
      </c>
      <c r="U91" s="192" t="str">
        <f t="shared" si="42"/>
        <v/>
      </c>
      <c r="V91" s="195" t="str">
        <f t="shared" si="29"/>
        <v/>
      </c>
      <c r="W91" s="195" t="str">
        <f t="shared" si="30"/>
        <v/>
      </c>
      <c r="X91" s="196" t="str">
        <f t="shared" si="43"/>
        <v/>
      </c>
      <c r="Y91" s="191" t="str">
        <f t="shared" si="44"/>
        <v/>
      </c>
      <c r="Z91" s="197" t="str">
        <f t="shared" si="31"/>
        <v/>
      </c>
      <c r="AA91" s="197" t="str">
        <f t="shared" si="32"/>
        <v/>
      </c>
      <c r="AB91" s="218"/>
      <c r="AC91" s="205"/>
    </row>
    <row r="92" spans="1:29">
      <c r="A92" s="219" t="str">
        <f t="shared" si="33"/>
        <v/>
      </c>
      <c r="B92" s="219"/>
      <c r="C92" s="184"/>
      <c r="D92" s="185"/>
      <c r="E92" s="185" t="str">
        <f>IF(OR(C92="",C92=Data!$B$3),"",IF(C92=Data!$B$2,"L","S"))</f>
        <v/>
      </c>
      <c r="F92" s="185" t="str">
        <f t="shared" si="34"/>
        <v/>
      </c>
      <c r="G92" s="186" t="str">
        <f t="shared" si="25"/>
        <v/>
      </c>
      <c r="H92" s="187"/>
      <c r="I92" s="188" t="str">
        <f t="shared" si="35"/>
        <v/>
      </c>
      <c r="J92" s="188" t="str">
        <f t="shared" si="36"/>
        <v/>
      </c>
      <c r="K92" s="189" t="str">
        <f t="shared" si="37"/>
        <v/>
      </c>
      <c r="L92" s="189" t="str">
        <f t="shared" si="38"/>
        <v/>
      </c>
      <c r="M92" s="190"/>
      <c r="N92" s="190"/>
      <c r="O92" s="188" t="str">
        <f t="shared" si="39"/>
        <v/>
      </c>
      <c r="P92" s="191" t="str">
        <f t="shared" si="26"/>
        <v/>
      </c>
      <c r="Q92" s="192" t="str">
        <f t="shared" si="40"/>
        <v/>
      </c>
      <c r="R92" s="191" t="str">
        <f t="shared" si="27"/>
        <v/>
      </c>
      <c r="S92" s="193" t="str">
        <f t="shared" si="41"/>
        <v/>
      </c>
      <c r="T92" s="194" t="str">
        <f t="shared" si="28"/>
        <v/>
      </c>
      <c r="U92" s="192" t="str">
        <f t="shared" si="42"/>
        <v/>
      </c>
      <c r="V92" s="195" t="str">
        <f t="shared" si="29"/>
        <v/>
      </c>
      <c r="W92" s="195" t="str">
        <f t="shared" si="30"/>
        <v/>
      </c>
      <c r="X92" s="196" t="str">
        <f t="shared" si="43"/>
        <v/>
      </c>
      <c r="Y92" s="191" t="str">
        <f t="shared" si="44"/>
        <v/>
      </c>
      <c r="Z92" s="197" t="str">
        <f t="shared" si="31"/>
        <v/>
      </c>
      <c r="AA92" s="197" t="str">
        <f t="shared" si="32"/>
        <v/>
      </c>
      <c r="AB92" s="218"/>
      <c r="AC92" s="205"/>
    </row>
    <row r="93" spans="1:29">
      <c r="A93" s="219" t="str">
        <f t="shared" si="33"/>
        <v/>
      </c>
      <c r="B93" s="219"/>
      <c r="C93" s="184"/>
      <c r="D93" s="185"/>
      <c r="E93" s="185" t="str">
        <f>IF(OR(C93="",C93=Data!$B$3),"",IF(C93=Data!$B$2,"L","S"))</f>
        <v/>
      </c>
      <c r="F93" s="185" t="str">
        <f t="shared" si="34"/>
        <v/>
      </c>
      <c r="G93" s="186" t="str">
        <f t="shared" si="25"/>
        <v/>
      </c>
      <c r="H93" s="187"/>
      <c r="I93" s="188" t="str">
        <f t="shared" si="35"/>
        <v/>
      </c>
      <c r="J93" s="188" t="str">
        <f t="shared" si="36"/>
        <v/>
      </c>
      <c r="K93" s="189" t="str">
        <f t="shared" si="37"/>
        <v/>
      </c>
      <c r="L93" s="189" t="str">
        <f t="shared" si="38"/>
        <v/>
      </c>
      <c r="M93" s="190"/>
      <c r="N93" s="190"/>
      <c r="O93" s="188" t="str">
        <f t="shared" si="39"/>
        <v/>
      </c>
      <c r="P93" s="191" t="str">
        <f t="shared" si="26"/>
        <v/>
      </c>
      <c r="Q93" s="192" t="str">
        <f t="shared" si="40"/>
        <v/>
      </c>
      <c r="R93" s="191" t="str">
        <f t="shared" si="27"/>
        <v/>
      </c>
      <c r="S93" s="193" t="str">
        <f t="shared" si="41"/>
        <v/>
      </c>
      <c r="T93" s="194" t="str">
        <f t="shared" si="28"/>
        <v/>
      </c>
      <c r="U93" s="192" t="str">
        <f t="shared" si="42"/>
        <v/>
      </c>
      <c r="V93" s="195" t="str">
        <f t="shared" si="29"/>
        <v/>
      </c>
      <c r="W93" s="195" t="str">
        <f t="shared" si="30"/>
        <v/>
      </c>
      <c r="X93" s="196" t="str">
        <f t="shared" si="43"/>
        <v/>
      </c>
      <c r="Y93" s="191" t="str">
        <f t="shared" si="44"/>
        <v/>
      </c>
      <c r="Z93" s="197" t="str">
        <f t="shared" si="31"/>
        <v/>
      </c>
      <c r="AA93" s="197" t="str">
        <f t="shared" si="32"/>
        <v/>
      </c>
      <c r="AB93" s="218"/>
      <c r="AC93" s="205"/>
    </row>
    <row r="94" spans="1:29">
      <c r="A94" s="219" t="str">
        <f t="shared" si="33"/>
        <v/>
      </c>
      <c r="B94" s="219"/>
      <c r="C94" s="184"/>
      <c r="D94" s="185"/>
      <c r="E94" s="185" t="str">
        <f>IF(OR(C94="",C94=Data!$B$3),"",IF(C94=Data!$B$2,"L","S"))</f>
        <v/>
      </c>
      <c r="F94" s="185" t="str">
        <f t="shared" si="34"/>
        <v/>
      </c>
      <c r="G94" s="186" t="str">
        <f t="shared" si="25"/>
        <v/>
      </c>
      <c r="H94" s="187"/>
      <c r="I94" s="188" t="str">
        <f t="shared" si="35"/>
        <v/>
      </c>
      <c r="J94" s="188" t="str">
        <f t="shared" si="36"/>
        <v/>
      </c>
      <c r="K94" s="189" t="str">
        <f t="shared" si="37"/>
        <v/>
      </c>
      <c r="L94" s="189" t="str">
        <f t="shared" si="38"/>
        <v/>
      </c>
      <c r="M94" s="190"/>
      <c r="N94" s="190"/>
      <c r="O94" s="188" t="str">
        <f t="shared" si="39"/>
        <v/>
      </c>
      <c r="P94" s="191" t="str">
        <f t="shared" si="26"/>
        <v/>
      </c>
      <c r="Q94" s="192" t="str">
        <f t="shared" si="40"/>
        <v/>
      </c>
      <c r="R94" s="191" t="str">
        <f t="shared" si="27"/>
        <v/>
      </c>
      <c r="S94" s="193" t="str">
        <f t="shared" si="41"/>
        <v/>
      </c>
      <c r="T94" s="194" t="str">
        <f t="shared" si="28"/>
        <v/>
      </c>
      <c r="U94" s="192" t="str">
        <f t="shared" si="42"/>
        <v/>
      </c>
      <c r="V94" s="195" t="str">
        <f t="shared" si="29"/>
        <v/>
      </c>
      <c r="W94" s="195" t="str">
        <f t="shared" si="30"/>
        <v/>
      </c>
      <c r="X94" s="196" t="str">
        <f t="shared" si="43"/>
        <v/>
      </c>
      <c r="Y94" s="191" t="str">
        <f t="shared" si="44"/>
        <v/>
      </c>
      <c r="Z94" s="197" t="str">
        <f t="shared" si="31"/>
        <v/>
      </c>
      <c r="AA94" s="197" t="str">
        <f t="shared" si="32"/>
        <v/>
      </c>
      <c r="AB94" s="218"/>
      <c r="AC94" s="205"/>
    </row>
    <row r="95" spans="1:29">
      <c r="A95" s="219" t="str">
        <f t="shared" si="33"/>
        <v/>
      </c>
      <c r="B95" s="219"/>
      <c r="C95" s="184"/>
      <c r="D95" s="185"/>
      <c r="E95" s="185" t="str">
        <f>IF(OR(C95="",C95=Data!$B$3),"",IF(C95=Data!$B$2,"L","S"))</f>
        <v/>
      </c>
      <c r="F95" s="185" t="str">
        <f t="shared" si="34"/>
        <v/>
      </c>
      <c r="G95" s="186" t="str">
        <f t="shared" si="25"/>
        <v/>
      </c>
      <c r="H95" s="187"/>
      <c r="I95" s="188" t="str">
        <f t="shared" si="35"/>
        <v/>
      </c>
      <c r="J95" s="188" t="str">
        <f t="shared" si="36"/>
        <v/>
      </c>
      <c r="K95" s="189" t="str">
        <f t="shared" si="37"/>
        <v/>
      </c>
      <c r="L95" s="189" t="str">
        <f t="shared" si="38"/>
        <v/>
      </c>
      <c r="M95" s="190"/>
      <c r="N95" s="190"/>
      <c r="O95" s="188" t="str">
        <f t="shared" si="39"/>
        <v/>
      </c>
      <c r="P95" s="191" t="str">
        <f t="shared" si="26"/>
        <v/>
      </c>
      <c r="Q95" s="192" t="str">
        <f t="shared" si="40"/>
        <v/>
      </c>
      <c r="R95" s="191" t="str">
        <f t="shared" si="27"/>
        <v/>
      </c>
      <c r="S95" s="193" t="str">
        <f t="shared" si="41"/>
        <v/>
      </c>
      <c r="T95" s="194" t="str">
        <f t="shared" si="28"/>
        <v/>
      </c>
      <c r="U95" s="192" t="str">
        <f t="shared" si="42"/>
        <v/>
      </c>
      <c r="V95" s="195" t="str">
        <f t="shared" si="29"/>
        <v/>
      </c>
      <c r="W95" s="195" t="str">
        <f t="shared" si="30"/>
        <v/>
      </c>
      <c r="X95" s="196" t="str">
        <f t="shared" si="43"/>
        <v/>
      </c>
      <c r="Y95" s="191" t="str">
        <f t="shared" si="44"/>
        <v/>
      </c>
      <c r="Z95" s="197" t="str">
        <f t="shared" si="31"/>
        <v/>
      </c>
      <c r="AA95" s="197" t="str">
        <f t="shared" si="32"/>
        <v/>
      </c>
      <c r="AB95" s="218"/>
      <c r="AC95" s="205"/>
    </row>
    <row r="96" spans="1:29">
      <c r="A96" s="219" t="str">
        <f t="shared" si="33"/>
        <v/>
      </c>
      <c r="B96" s="219"/>
      <c r="C96" s="184"/>
      <c r="D96" s="185"/>
      <c r="E96" s="185" t="str">
        <f>IF(OR(C96="",C96=Data!$B$3),"",IF(C96=Data!$B$2,"L","S"))</f>
        <v/>
      </c>
      <c r="F96" s="185" t="str">
        <f t="shared" si="34"/>
        <v/>
      </c>
      <c r="G96" s="186" t="str">
        <f t="shared" si="25"/>
        <v/>
      </c>
      <c r="H96" s="187"/>
      <c r="I96" s="188" t="str">
        <f t="shared" si="35"/>
        <v/>
      </c>
      <c r="J96" s="188" t="str">
        <f t="shared" si="36"/>
        <v/>
      </c>
      <c r="K96" s="189" t="str">
        <f t="shared" si="37"/>
        <v/>
      </c>
      <c r="L96" s="189" t="str">
        <f t="shared" si="38"/>
        <v/>
      </c>
      <c r="M96" s="190"/>
      <c r="N96" s="190"/>
      <c r="O96" s="188" t="str">
        <f t="shared" si="39"/>
        <v/>
      </c>
      <c r="P96" s="191" t="str">
        <f t="shared" si="26"/>
        <v/>
      </c>
      <c r="Q96" s="192" t="str">
        <f t="shared" si="40"/>
        <v/>
      </c>
      <c r="R96" s="191" t="str">
        <f t="shared" si="27"/>
        <v/>
      </c>
      <c r="S96" s="193" t="str">
        <f t="shared" si="41"/>
        <v/>
      </c>
      <c r="T96" s="194" t="str">
        <f t="shared" si="28"/>
        <v/>
      </c>
      <c r="U96" s="192" t="str">
        <f t="shared" si="42"/>
        <v/>
      </c>
      <c r="V96" s="195" t="str">
        <f t="shared" si="29"/>
        <v/>
      </c>
      <c r="W96" s="195" t="str">
        <f t="shared" si="30"/>
        <v/>
      </c>
      <c r="X96" s="196" t="str">
        <f t="shared" si="43"/>
        <v/>
      </c>
      <c r="Y96" s="191" t="str">
        <f t="shared" si="44"/>
        <v/>
      </c>
      <c r="Z96" s="197" t="str">
        <f t="shared" si="31"/>
        <v/>
      </c>
      <c r="AA96" s="197" t="str">
        <f t="shared" si="32"/>
        <v/>
      </c>
      <c r="AB96" s="218"/>
      <c r="AC96" s="205"/>
    </row>
    <row r="97" spans="1:29">
      <c r="A97" s="219" t="str">
        <f t="shared" si="33"/>
        <v/>
      </c>
      <c r="B97" s="219"/>
      <c r="C97" s="184"/>
      <c r="D97" s="185"/>
      <c r="E97" s="185" t="str">
        <f>IF(OR(C97="",C97=Data!$B$3),"",IF(C97=Data!$B$2,"L","S"))</f>
        <v/>
      </c>
      <c r="F97" s="185" t="str">
        <f t="shared" si="34"/>
        <v/>
      </c>
      <c r="G97" s="186" t="str">
        <f t="shared" si="25"/>
        <v/>
      </c>
      <c r="H97" s="187"/>
      <c r="I97" s="188" t="str">
        <f t="shared" si="35"/>
        <v/>
      </c>
      <c r="J97" s="188" t="str">
        <f t="shared" si="36"/>
        <v/>
      </c>
      <c r="K97" s="189" t="str">
        <f t="shared" si="37"/>
        <v/>
      </c>
      <c r="L97" s="189" t="str">
        <f t="shared" si="38"/>
        <v/>
      </c>
      <c r="M97" s="190"/>
      <c r="N97" s="190"/>
      <c r="O97" s="188" t="str">
        <f t="shared" si="39"/>
        <v/>
      </c>
      <c r="P97" s="191" t="str">
        <f t="shared" si="26"/>
        <v/>
      </c>
      <c r="Q97" s="192" t="str">
        <f t="shared" si="40"/>
        <v/>
      </c>
      <c r="R97" s="191" t="str">
        <f t="shared" si="27"/>
        <v/>
      </c>
      <c r="S97" s="193" t="str">
        <f t="shared" si="41"/>
        <v/>
      </c>
      <c r="T97" s="194" t="str">
        <f t="shared" si="28"/>
        <v/>
      </c>
      <c r="U97" s="192" t="str">
        <f t="shared" si="42"/>
        <v/>
      </c>
      <c r="V97" s="195" t="str">
        <f t="shared" si="29"/>
        <v/>
      </c>
      <c r="W97" s="195" t="str">
        <f t="shared" si="30"/>
        <v/>
      </c>
      <c r="X97" s="196" t="str">
        <f t="shared" si="43"/>
        <v/>
      </c>
      <c r="Y97" s="191" t="str">
        <f t="shared" si="44"/>
        <v/>
      </c>
      <c r="Z97" s="197" t="str">
        <f t="shared" si="31"/>
        <v/>
      </c>
      <c r="AA97" s="197" t="str">
        <f t="shared" si="32"/>
        <v/>
      </c>
      <c r="AB97" s="218"/>
      <c r="AC97" s="205"/>
    </row>
    <row r="98" spans="1:29">
      <c r="A98" s="219" t="str">
        <f t="shared" si="33"/>
        <v/>
      </c>
      <c r="B98" s="219"/>
      <c r="C98" s="184"/>
      <c r="D98" s="185"/>
      <c r="E98" s="185" t="str">
        <f>IF(OR(C98="",C98=Data!$B$3),"",IF(C98=Data!$B$2,"L","S"))</f>
        <v/>
      </c>
      <c r="F98" s="185" t="str">
        <f t="shared" si="34"/>
        <v/>
      </c>
      <c r="G98" s="186" t="str">
        <f t="shared" si="25"/>
        <v/>
      </c>
      <c r="H98" s="187"/>
      <c r="I98" s="188" t="str">
        <f t="shared" si="35"/>
        <v/>
      </c>
      <c r="J98" s="188" t="str">
        <f t="shared" si="36"/>
        <v/>
      </c>
      <c r="K98" s="189" t="str">
        <f t="shared" si="37"/>
        <v/>
      </c>
      <c r="L98" s="189" t="str">
        <f t="shared" si="38"/>
        <v/>
      </c>
      <c r="M98" s="190"/>
      <c r="N98" s="190"/>
      <c r="O98" s="188" t="str">
        <f t="shared" si="39"/>
        <v/>
      </c>
      <c r="P98" s="191" t="str">
        <f t="shared" si="26"/>
        <v/>
      </c>
      <c r="Q98" s="192" t="str">
        <f t="shared" si="40"/>
        <v/>
      </c>
      <c r="R98" s="191" t="str">
        <f t="shared" si="27"/>
        <v/>
      </c>
      <c r="S98" s="193" t="str">
        <f t="shared" si="41"/>
        <v/>
      </c>
      <c r="T98" s="194" t="str">
        <f t="shared" si="28"/>
        <v/>
      </c>
      <c r="U98" s="192" t="str">
        <f t="shared" si="42"/>
        <v/>
      </c>
      <c r="V98" s="195" t="str">
        <f t="shared" si="29"/>
        <v/>
      </c>
      <c r="W98" s="195" t="str">
        <f t="shared" si="30"/>
        <v/>
      </c>
      <c r="X98" s="196" t="str">
        <f t="shared" si="43"/>
        <v/>
      </c>
      <c r="Y98" s="191" t="str">
        <f t="shared" si="44"/>
        <v/>
      </c>
      <c r="Z98" s="197" t="str">
        <f t="shared" si="31"/>
        <v/>
      </c>
      <c r="AA98" s="197" t="str">
        <f t="shared" si="32"/>
        <v/>
      </c>
      <c r="AB98" s="218"/>
      <c r="AC98" s="205"/>
    </row>
    <row r="99" spans="1:29">
      <c r="A99" s="219" t="str">
        <f t="shared" si="33"/>
        <v/>
      </c>
      <c r="B99" s="219"/>
      <c r="C99" s="184"/>
      <c r="D99" s="185"/>
      <c r="E99" s="185" t="str">
        <f>IF(OR(C99="",C99=Data!$B$3),"",IF(C99=Data!$B$2,"L","S"))</f>
        <v/>
      </c>
      <c r="F99" s="185" t="str">
        <f t="shared" si="34"/>
        <v/>
      </c>
      <c r="G99" s="186" t="str">
        <f t="shared" si="25"/>
        <v/>
      </c>
      <c r="H99" s="187"/>
      <c r="I99" s="188" t="str">
        <f t="shared" si="35"/>
        <v/>
      </c>
      <c r="J99" s="188" t="str">
        <f t="shared" si="36"/>
        <v/>
      </c>
      <c r="K99" s="189" t="str">
        <f t="shared" si="37"/>
        <v/>
      </c>
      <c r="L99" s="189" t="str">
        <f t="shared" si="38"/>
        <v/>
      </c>
      <c r="M99" s="190"/>
      <c r="N99" s="190"/>
      <c r="O99" s="188" t="str">
        <f t="shared" si="39"/>
        <v/>
      </c>
      <c r="P99" s="191" t="str">
        <f t="shared" si="26"/>
        <v/>
      </c>
      <c r="Q99" s="192" t="str">
        <f t="shared" si="40"/>
        <v/>
      </c>
      <c r="R99" s="191" t="str">
        <f t="shared" si="27"/>
        <v/>
      </c>
      <c r="S99" s="193" t="str">
        <f t="shared" si="41"/>
        <v/>
      </c>
      <c r="T99" s="194" t="str">
        <f t="shared" si="28"/>
        <v/>
      </c>
      <c r="U99" s="192" t="str">
        <f t="shared" si="42"/>
        <v/>
      </c>
      <c r="V99" s="195" t="str">
        <f t="shared" si="29"/>
        <v/>
      </c>
      <c r="W99" s="195" t="str">
        <f t="shared" si="30"/>
        <v/>
      </c>
      <c r="X99" s="196" t="str">
        <f t="shared" si="43"/>
        <v/>
      </c>
      <c r="Y99" s="191" t="str">
        <f t="shared" si="44"/>
        <v/>
      </c>
      <c r="Z99" s="197" t="str">
        <f t="shared" si="31"/>
        <v/>
      </c>
      <c r="AA99" s="197" t="str">
        <f t="shared" si="32"/>
        <v/>
      </c>
      <c r="AB99" s="218"/>
      <c r="AC99" s="205"/>
    </row>
    <row r="100" spans="1:29">
      <c r="A100" s="219" t="str">
        <f t="shared" si="33"/>
        <v/>
      </c>
      <c r="B100" s="219"/>
      <c r="C100" s="184"/>
      <c r="D100" s="185"/>
      <c r="E100" s="185" t="str">
        <f>IF(OR(C100="",C100=Data!$B$3),"",IF(C100=Data!$B$2,"L","S"))</f>
        <v/>
      </c>
      <c r="F100" s="185" t="str">
        <f t="shared" si="34"/>
        <v/>
      </c>
      <c r="G100" s="186" t="str">
        <f t="shared" si="25"/>
        <v/>
      </c>
      <c r="H100" s="187"/>
      <c r="I100" s="188" t="str">
        <f t="shared" si="35"/>
        <v/>
      </c>
      <c r="J100" s="188" t="str">
        <f t="shared" si="36"/>
        <v/>
      </c>
      <c r="K100" s="189" t="str">
        <f t="shared" si="37"/>
        <v/>
      </c>
      <c r="L100" s="189" t="str">
        <f t="shared" si="38"/>
        <v/>
      </c>
      <c r="M100" s="190"/>
      <c r="N100" s="190"/>
      <c r="O100" s="188" t="str">
        <f t="shared" si="39"/>
        <v/>
      </c>
      <c r="P100" s="191" t="str">
        <f t="shared" si="26"/>
        <v/>
      </c>
      <c r="Q100" s="192" t="str">
        <f t="shared" si="40"/>
        <v/>
      </c>
      <c r="R100" s="191" t="str">
        <f t="shared" si="27"/>
        <v/>
      </c>
      <c r="S100" s="193" t="str">
        <f t="shared" si="41"/>
        <v/>
      </c>
      <c r="T100" s="194" t="str">
        <f t="shared" si="28"/>
        <v/>
      </c>
      <c r="U100" s="192" t="str">
        <f t="shared" si="42"/>
        <v/>
      </c>
      <c r="V100" s="195" t="str">
        <f t="shared" si="29"/>
        <v/>
      </c>
      <c r="W100" s="195" t="str">
        <f t="shared" si="30"/>
        <v/>
      </c>
      <c r="X100" s="196" t="str">
        <f t="shared" si="43"/>
        <v/>
      </c>
      <c r="Y100" s="191" t="str">
        <f t="shared" si="44"/>
        <v/>
      </c>
      <c r="Z100" s="197" t="str">
        <f t="shared" si="31"/>
        <v/>
      </c>
      <c r="AA100" s="197" t="str">
        <f t="shared" si="32"/>
        <v/>
      </c>
      <c r="AB100" s="218"/>
      <c r="AC100" s="205"/>
    </row>
    <row r="101" spans="1:29">
      <c r="A101" s="219" t="str">
        <f t="shared" si="33"/>
        <v/>
      </c>
      <c r="B101" s="219"/>
      <c r="C101" s="184"/>
      <c r="D101" s="185"/>
      <c r="E101" s="185" t="str">
        <f>IF(OR(C101="",C101=Data!$B$3),"",IF(C101=Data!$B$2,"L","S"))</f>
        <v/>
      </c>
      <c r="F101" s="185" t="str">
        <f t="shared" si="34"/>
        <v/>
      </c>
      <c r="G101" s="186" t="str">
        <f t="shared" si="25"/>
        <v/>
      </c>
      <c r="H101" s="187"/>
      <c r="I101" s="188" t="str">
        <f t="shared" si="35"/>
        <v/>
      </c>
      <c r="J101" s="188" t="str">
        <f t="shared" si="36"/>
        <v/>
      </c>
      <c r="K101" s="189" t="str">
        <f t="shared" si="37"/>
        <v/>
      </c>
      <c r="L101" s="189" t="str">
        <f t="shared" si="38"/>
        <v/>
      </c>
      <c r="M101" s="190"/>
      <c r="N101" s="190"/>
      <c r="O101" s="188" t="str">
        <f t="shared" si="39"/>
        <v/>
      </c>
      <c r="P101" s="191" t="str">
        <f t="shared" si="26"/>
        <v/>
      </c>
      <c r="Q101" s="192" t="str">
        <f t="shared" si="40"/>
        <v/>
      </c>
      <c r="R101" s="191" t="str">
        <f t="shared" si="27"/>
        <v/>
      </c>
      <c r="S101" s="193" t="str">
        <f t="shared" si="41"/>
        <v/>
      </c>
      <c r="T101" s="194" t="str">
        <f t="shared" si="28"/>
        <v/>
      </c>
      <c r="U101" s="192" t="str">
        <f t="shared" si="42"/>
        <v/>
      </c>
      <c r="V101" s="195" t="str">
        <f t="shared" si="29"/>
        <v/>
      </c>
      <c r="W101" s="195" t="str">
        <f t="shared" si="30"/>
        <v/>
      </c>
      <c r="X101" s="196" t="str">
        <f t="shared" si="43"/>
        <v/>
      </c>
      <c r="Y101" s="191" t="str">
        <f t="shared" si="44"/>
        <v/>
      </c>
      <c r="Z101" s="197" t="str">
        <f t="shared" si="31"/>
        <v/>
      </c>
      <c r="AA101" s="197" t="str">
        <f t="shared" si="32"/>
        <v/>
      </c>
      <c r="AB101" s="218"/>
      <c r="AC101" s="205"/>
    </row>
    <row r="102" spans="1:29">
      <c r="A102" s="219" t="str">
        <f t="shared" si="33"/>
        <v/>
      </c>
      <c r="B102" s="219"/>
      <c r="C102" s="184"/>
      <c r="D102" s="185"/>
      <c r="E102" s="185" t="str">
        <f>IF(OR(C102="",C102=Data!$B$3),"",IF(C102=Data!$B$2,"L","S"))</f>
        <v/>
      </c>
      <c r="F102" s="185" t="str">
        <f t="shared" si="34"/>
        <v/>
      </c>
      <c r="G102" s="186" t="str">
        <f t="shared" si="25"/>
        <v/>
      </c>
      <c r="H102" s="187"/>
      <c r="I102" s="188" t="str">
        <f t="shared" si="35"/>
        <v/>
      </c>
      <c r="J102" s="188" t="str">
        <f t="shared" si="36"/>
        <v/>
      </c>
      <c r="K102" s="189" t="str">
        <f t="shared" si="37"/>
        <v/>
      </c>
      <c r="L102" s="189" t="str">
        <f t="shared" si="38"/>
        <v/>
      </c>
      <c r="M102" s="190"/>
      <c r="N102" s="190"/>
      <c r="O102" s="188" t="str">
        <f t="shared" si="39"/>
        <v/>
      </c>
      <c r="P102" s="191" t="str">
        <f t="shared" si="26"/>
        <v/>
      </c>
      <c r="Q102" s="192" t="str">
        <f t="shared" si="40"/>
        <v/>
      </c>
      <c r="R102" s="191" t="str">
        <f t="shared" si="27"/>
        <v/>
      </c>
      <c r="S102" s="193" t="str">
        <f t="shared" si="41"/>
        <v/>
      </c>
      <c r="T102" s="194" t="str">
        <f t="shared" si="28"/>
        <v/>
      </c>
      <c r="U102" s="192" t="str">
        <f t="shared" si="42"/>
        <v/>
      </c>
      <c r="V102" s="195" t="str">
        <f t="shared" si="29"/>
        <v/>
      </c>
      <c r="W102" s="195" t="str">
        <f t="shared" si="30"/>
        <v/>
      </c>
      <c r="X102" s="196" t="str">
        <f t="shared" si="43"/>
        <v/>
      </c>
      <c r="Y102" s="191" t="str">
        <f t="shared" si="44"/>
        <v/>
      </c>
      <c r="Z102" s="197" t="str">
        <f t="shared" si="31"/>
        <v/>
      </c>
      <c r="AA102" s="197" t="str">
        <f t="shared" si="32"/>
        <v/>
      </c>
      <c r="AB102" s="218"/>
      <c r="AC102" s="205"/>
    </row>
    <row r="103" spans="1:29">
      <c r="A103" s="219" t="str">
        <f t="shared" si="33"/>
        <v/>
      </c>
      <c r="B103" s="219"/>
      <c r="C103" s="184"/>
      <c r="D103" s="185"/>
      <c r="E103" s="185" t="str">
        <f>IF(OR(C103="",C103=Data!$B$3),"",IF(C103=Data!$B$2,"L","S"))</f>
        <v/>
      </c>
      <c r="F103" s="185" t="str">
        <f t="shared" si="34"/>
        <v/>
      </c>
      <c r="G103" s="186" t="str">
        <f t="shared" si="25"/>
        <v/>
      </c>
      <c r="H103" s="187"/>
      <c r="I103" s="188" t="str">
        <f t="shared" si="35"/>
        <v/>
      </c>
      <c r="J103" s="188" t="str">
        <f t="shared" si="36"/>
        <v/>
      </c>
      <c r="K103" s="189" t="str">
        <f t="shared" si="37"/>
        <v/>
      </c>
      <c r="L103" s="189" t="str">
        <f t="shared" si="38"/>
        <v/>
      </c>
      <c r="M103" s="190"/>
      <c r="N103" s="190"/>
      <c r="O103" s="188" t="str">
        <f t="shared" si="39"/>
        <v/>
      </c>
      <c r="P103" s="191" t="str">
        <f t="shared" si="26"/>
        <v/>
      </c>
      <c r="Q103" s="192" t="str">
        <f t="shared" si="40"/>
        <v/>
      </c>
      <c r="R103" s="191" t="str">
        <f t="shared" si="27"/>
        <v/>
      </c>
      <c r="S103" s="193" t="str">
        <f t="shared" si="41"/>
        <v/>
      </c>
      <c r="T103" s="194" t="str">
        <f t="shared" si="28"/>
        <v/>
      </c>
      <c r="U103" s="192" t="str">
        <f t="shared" si="42"/>
        <v/>
      </c>
      <c r="V103" s="195" t="str">
        <f t="shared" si="29"/>
        <v/>
      </c>
      <c r="W103" s="195" t="str">
        <f t="shared" si="30"/>
        <v/>
      </c>
      <c r="X103" s="196" t="str">
        <f t="shared" si="43"/>
        <v/>
      </c>
      <c r="Y103" s="191" t="str">
        <f t="shared" si="44"/>
        <v/>
      </c>
      <c r="Z103" s="197" t="str">
        <f t="shared" si="31"/>
        <v/>
      </c>
      <c r="AA103" s="197" t="str">
        <f t="shared" si="32"/>
        <v/>
      </c>
      <c r="AB103" s="218"/>
      <c r="AC103" s="205"/>
    </row>
    <row r="104" spans="1:29">
      <c r="A104" s="219" t="str">
        <f t="shared" si="33"/>
        <v/>
      </c>
      <c r="B104" s="219"/>
      <c r="C104" s="184"/>
      <c r="D104" s="185"/>
      <c r="E104" s="185" t="str">
        <f>IF(OR(C104="",C104=Data!$B$3),"",IF(C104=Data!$B$2,"L","S"))</f>
        <v/>
      </c>
      <c r="F104" s="185" t="str">
        <f t="shared" si="34"/>
        <v/>
      </c>
      <c r="G104" s="186" t="str">
        <f t="shared" si="25"/>
        <v/>
      </c>
      <c r="H104" s="187"/>
      <c r="I104" s="188" t="str">
        <f t="shared" si="35"/>
        <v/>
      </c>
      <c r="J104" s="188" t="str">
        <f t="shared" si="36"/>
        <v/>
      </c>
      <c r="K104" s="189" t="str">
        <f t="shared" si="37"/>
        <v/>
      </c>
      <c r="L104" s="189" t="str">
        <f t="shared" si="38"/>
        <v/>
      </c>
      <c r="M104" s="190"/>
      <c r="N104" s="190"/>
      <c r="O104" s="188" t="str">
        <f t="shared" si="39"/>
        <v/>
      </c>
      <c r="P104" s="191" t="str">
        <f t="shared" si="26"/>
        <v/>
      </c>
      <c r="Q104" s="192" t="str">
        <f t="shared" si="40"/>
        <v/>
      </c>
      <c r="R104" s="191" t="str">
        <f t="shared" si="27"/>
        <v/>
      </c>
      <c r="S104" s="193" t="str">
        <f t="shared" si="41"/>
        <v/>
      </c>
      <c r="T104" s="194" t="str">
        <f t="shared" si="28"/>
        <v/>
      </c>
      <c r="U104" s="192" t="str">
        <f t="shared" si="42"/>
        <v/>
      </c>
      <c r="V104" s="195" t="str">
        <f t="shared" si="29"/>
        <v/>
      </c>
      <c r="W104" s="195" t="str">
        <f t="shared" si="30"/>
        <v/>
      </c>
      <c r="X104" s="196" t="str">
        <f t="shared" si="43"/>
        <v/>
      </c>
      <c r="Y104" s="191" t="str">
        <f t="shared" si="44"/>
        <v/>
      </c>
      <c r="Z104" s="197" t="str">
        <f t="shared" si="31"/>
        <v/>
      </c>
      <c r="AA104" s="197" t="str">
        <f t="shared" si="32"/>
        <v/>
      </c>
      <c r="AB104" s="218"/>
      <c r="AC104" s="205"/>
    </row>
    <row r="105" spans="1:29">
      <c r="A105" s="219" t="str">
        <f t="shared" si="33"/>
        <v/>
      </c>
      <c r="B105" s="219"/>
      <c r="C105" s="184"/>
      <c r="D105" s="185"/>
      <c r="E105" s="185" t="str">
        <f>IF(OR(C105="",C105=Data!$B$3),"",IF(C105=Data!$B$2,"L","S"))</f>
        <v/>
      </c>
      <c r="F105" s="185" t="str">
        <f t="shared" si="34"/>
        <v/>
      </c>
      <c r="G105" s="186" t="str">
        <f t="shared" si="25"/>
        <v/>
      </c>
      <c r="H105" s="187"/>
      <c r="I105" s="188" t="str">
        <f t="shared" si="35"/>
        <v/>
      </c>
      <c r="J105" s="188" t="str">
        <f t="shared" si="36"/>
        <v/>
      </c>
      <c r="K105" s="189" t="str">
        <f t="shared" si="37"/>
        <v/>
      </c>
      <c r="L105" s="189" t="str">
        <f t="shared" si="38"/>
        <v/>
      </c>
      <c r="M105" s="190"/>
      <c r="N105" s="190"/>
      <c r="O105" s="188" t="str">
        <f t="shared" si="39"/>
        <v/>
      </c>
      <c r="P105" s="191" t="str">
        <f t="shared" si="26"/>
        <v/>
      </c>
      <c r="Q105" s="192" t="str">
        <f t="shared" si="40"/>
        <v/>
      </c>
      <c r="R105" s="191" t="str">
        <f t="shared" si="27"/>
        <v/>
      </c>
      <c r="S105" s="193" t="str">
        <f t="shared" si="41"/>
        <v/>
      </c>
      <c r="T105" s="194" t="str">
        <f t="shared" si="28"/>
        <v/>
      </c>
      <c r="U105" s="192" t="str">
        <f t="shared" si="42"/>
        <v/>
      </c>
      <c r="V105" s="195" t="str">
        <f t="shared" si="29"/>
        <v/>
      </c>
      <c r="W105" s="195" t="str">
        <f t="shared" si="30"/>
        <v/>
      </c>
      <c r="X105" s="196" t="str">
        <f t="shared" si="43"/>
        <v/>
      </c>
      <c r="Y105" s="191" t="str">
        <f t="shared" si="44"/>
        <v/>
      </c>
      <c r="Z105" s="197" t="str">
        <f t="shared" si="31"/>
        <v/>
      </c>
      <c r="AA105" s="197" t="str">
        <f t="shared" si="32"/>
        <v/>
      </c>
      <c r="AB105" s="218"/>
      <c r="AC105" s="205"/>
    </row>
    <row r="106" spans="1:29">
      <c r="A106" s="219" t="str">
        <f t="shared" si="33"/>
        <v/>
      </c>
      <c r="B106" s="219"/>
      <c r="C106" s="184"/>
      <c r="D106" s="185"/>
      <c r="E106" s="185" t="str">
        <f>IF(OR(C106="",C106=Data!$B$3),"",IF(C106=Data!$B$2,"L","S"))</f>
        <v/>
      </c>
      <c r="F106" s="185" t="str">
        <f t="shared" si="34"/>
        <v/>
      </c>
      <c r="G106" s="186" t="str">
        <f t="shared" si="25"/>
        <v/>
      </c>
      <c r="H106" s="187"/>
      <c r="I106" s="188" t="str">
        <f t="shared" si="35"/>
        <v/>
      </c>
      <c r="J106" s="188" t="str">
        <f t="shared" si="36"/>
        <v/>
      </c>
      <c r="K106" s="189" t="str">
        <f t="shared" si="37"/>
        <v/>
      </c>
      <c r="L106" s="189" t="str">
        <f t="shared" si="38"/>
        <v/>
      </c>
      <c r="M106" s="190"/>
      <c r="N106" s="190"/>
      <c r="O106" s="188" t="str">
        <f t="shared" si="39"/>
        <v/>
      </c>
      <c r="P106" s="191" t="str">
        <f t="shared" si="26"/>
        <v/>
      </c>
      <c r="Q106" s="192" t="str">
        <f t="shared" si="40"/>
        <v/>
      </c>
      <c r="R106" s="191" t="str">
        <f t="shared" si="27"/>
        <v/>
      </c>
      <c r="S106" s="193" t="str">
        <f t="shared" si="41"/>
        <v/>
      </c>
      <c r="T106" s="194" t="str">
        <f t="shared" si="28"/>
        <v/>
      </c>
      <c r="U106" s="192" t="str">
        <f t="shared" si="42"/>
        <v/>
      </c>
      <c r="V106" s="195" t="str">
        <f t="shared" si="29"/>
        <v/>
      </c>
      <c r="W106" s="195" t="str">
        <f t="shared" si="30"/>
        <v/>
      </c>
      <c r="X106" s="196" t="str">
        <f t="shared" si="43"/>
        <v/>
      </c>
      <c r="Y106" s="191" t="str">
        <f t="shared" si="44"/>
        <v/>
      </c>
      <c r="Z106" s="197" t="str">
        <f t="shared" si="31"/>
        <v/>
      </c>
      <c r="AA106" s="197" t="str">
        <f t="shared" si="32"/>
        <v/>
      </c>
      <c r="AB106" s="218"/>
      <c r="AC106" s="205"/>
    </row>
    <row r="107" spans="1:29">
      <c r="A107" s="219" t="str">
        <f t="shared" si="33"/>
        <v/>
      </c>
      <c r="B107" s="219"/>
      <c r="C107" s="184"/>
      <c r="D107" s="185"/>
      <c r="E107" s="185" t="str">
        <f>IF(OR(C107="",C107=Data!$B$3),"",IF(C107=Data!$B$2,"L","S"))</f>
        <v/>
      </c>
      <c r="F107" s="185" t="str">
        <f t="shared" si="34"/>
        <v/>
      </c>
      <c r="G107" s="186" t="str">
        <f t="shared" si="25"/>
        <v/>
      </c>
      <c r="H107" s="187"/>
      <c r="I107" s="188" t="str">
        <f t="shared" si="35"/>
        <v/>
      </c>
      <c r="J107" s="188" t="str">
        <f t="shared" si="36"/>
        <v/>
      </c>
      <c r="K107" s="189" t="str">
        <f t="shared" si="37"/>
        <v/>
      </c>
      <c r="L107" s="189" t="str">
        <f t="shared" si="38"/>
        <v/>
      </c>
      <c r="M107" s="190"/>
      <c r="N107" s="190"/>
      <c r="O107" s="188" t="str">
        <f t="shared" si="39"/>
        <v/>
      </c>
      <c r="P107" s="191" t="str">
        <f t="shared" si="26"/>
        <v/>
      </c>
      <c r="Q107" s="192" t="str">
        <f t="shared" si="40"/>
        <v/>
      </c>
      <c r="R107" s="191" t="str">
        <f t="shared" si="27"/>
        <v/>
      </c>
      <c r="S107" s="193" t="str">
        <f t="shared" si="41"/>
        <v/>
      </c>
      <c r="T107" s="194" t="str">
        <f t="shared" si="28"/>
        <v/>
      </c>
      <c r="U107" s="192" t="str">
        <f t="shared" si="42"/>
        <v/>
      </c>
      <c r="V107" s="195" t="str">
        <f t="shared" si="29"/>
        <v/>
      </c>
      <c r="W107" s="195" t="str">
        <f t="shared" si="30"/>
        <v/>
      </c>
      <c r="X107" s="196" t="str">
        <f t="shared" si="43"/>
        <v/>
      </c>
      <c r="Y107" s="191" t="str">
        <f t="shared" si="44"/>
        <v/>
      </c>
      <c r="Z107" s="197" t="str">
        <f t="shared" si="31"/>
        <v/>
      </c>
      <c r="AA107" s="197" t="str">
        <f t="shared" si="32"/>
        <v/>
      </c>
      <c r="AB107" s="218"/>
      <c r="AC107" s="205"/>
    </row>
    <row r="108" spans="1:29">
      <c r="A108" s="219" t="str">
        <f t="shared" si="33"/>
        <v/>
      </c>
      <c r="B108" s="219"/>
      <c r="C108" s="184"/>
      <c r="D108" s="185"/>
      <c r="E108" s="185" t="str">
        <f>IF(OR(C108="",C108=Data!$B$3),"",IF(C108=Data!$B$2,"L","S"))</f>
        <v/>
      </c>
      <c r="F108" s="185" t="str">
        <f t="shared" si="34"/>
        <v/>
      </c>
      <c r="G108" s="186" t="str">
        <f t="shared" si="25"/>
        <v/>
      </c>
      <c r="H108" s="187"/>
      <c r="I108" s="188" t="str">
        <f t="shared" si="35"/>
        <v/>
      </c>
      <c r="J108" s="188" t="str">
        <f t="shared" si="36"/>
        <v/>
      </c>
      <c r="K108" s="189" t="str">
        <f t="shared" si="37"/>
        <v/>
      </c>
      <c r="L108" s="189" t="str">
        <f t="shared" si="38"/>
        <v/>
      </c>
      <c r="M108" s="190"/>
      <c r="N108" s="190"/>
      <c r="O108" s="188" t="str">
        <f t="shared" si="39"/>
        <v/>
      </c>
      <c r="P108" s="191" t="str">
        <f t="shared" si="26"/>
        <v/>
      </c>
      <c r="Q108" s="192" t="str">
        <f t="shared" si="40"/>
        <v/>
      </c>
      <c r="R108" s="191" t="str">
        <f t="shared" si="27"/>
        <v/>
      </c>
      <c r="S108" s="193" t="str">
        <f t="shared" si="41"/>
        <v/>
      </c>
      <c r="T108" s="194" t="str">
        <f t="shared" si="28"/>
        <v/>
      </c>
      <c r="U108" s="192" t="str">
        <f t="shared" si="42"/>
        <v/>
      </c>
      <c r="V108" s="195" t="str">
        <f t="shared" si="29"/>
        <v/>
      </c>
      <c r="W108" s="195" t="str">
        <f t="shared" si="30"/>
        <v/>
      </c>
      <c r="X108" s="196" t="str">
        <f t="shared" si="43"/>
        <v/>
      </c>
      <c r="Y108" s="191" t="str">
        <f t="shared" si="44"/>
        <v/>
      </c>
      <c r="Z108" s="197" t="str">
        <f t="shared" si="31"/>
        <v/>
      </c>
      <c r="AA108" s="197" t="str">
        <f t="shared" si="32"/>
        <v/>
      </c>
      <c r="AB108" s="218"/>
      <c r="AC108" s="205"/>
    </row>
    <row r="109" spans="1:29">
      <c r="A109" s="219" t="str">
        <f t="shared" si="33"/>
        <v/>
      </c>
      <c r="B109" s="219"/>
      <c r="C109" s="184"/>
      <c r="D109" s="185"/>
      <c r="E109" s="185" t="str">
        <f>IF(OR(C109="",C109=Data!$B$3),"",IF(C109=Data!$B$2,"L","S"))</f>
        <v/>
      </c>
      <c r="F109" s="185" t="str">
        <f t="shared" si="34"/>
        <v/>
      </c>
      <c r="G109" s="186" t="str">
        <f t="shared" si="25"/>
        <v/>
      </c>
      <c r="H109" s="187"/>
      <c r="I109" s="188" t="str">
        <f t="shared" si="35"/>
        <v/>
      </c>
      <c r="J109" s="188" t="str">
        <f t="shared" si="36"/>
        <v/>
      </c>
      <c r="K109" s="189" t="str">
        <f t="shared" si="37"/>
        <v/>
      </c>
      <c r="L109" s="189" t="str">
        <f t="shared" si="38"/>
        <v/>
      </c>
      <c r="M109" s="190"/>
      <c r="N109" s="190"/>
      <c r="O109" s="188" t="str">
        <f t="shared" si="39"/>
        <v/>
      </c>
      <c r="P109" s="191" t="str">
        <f t="shared" si="26"/>
        <v/>
      </c>
      <c r="Q109" s="192" t="str">
        <f t="shared" si="40"/>
        <v/>
      </c>
      <c r="R109" s="191" t="str">
        <f t="shared" si="27"/>
        <v/>
      </c>
      <c r="S109" s="193" t="str">
        <f t="shared" si="41"/>
        <v/>
      </c>
      <c r="T109" s="194" t="str">
        <f t="shared" si="28"/>
        <v/>
      </c>
      <c r="U109" s="192" t="str">
        <f t="shared" si="42"/>
        <v/>
      </c>
      <c r="V109" s="195" t="str">
        <f t="shared" si="29"/>
        <v/>
      </c>
      <c r="W109" s="195" t="str">
        <f t="shared" si="30"/>
        <v/>
      </c>
      <c r="X109" s="196" t="str">
        <f t="shared" si="43"/>
        <v/>
      </c>
      <c r="Y109" s="191" t="str">
        <f t="shared" si="44"/>
        <v/>
      </c>
      <c r="Z109" s="197" t="str">
        <f t="shared" si="31"/>
        <v/>
      </c>
      <c r="AA109" s="197" t="str">
        <f t="shared" si="32"/>
        <v/>
      </c>
      <c r="AB109" s="218"/>
      <c r="AC109" s="205"/>
    </row>
    <row r="110" spans="1:29">
      <c r="A110" s="219" t="str">
        <f t="shared" si="33"/>
        <v/>
      </c>
      <c r="B110" s="219"/>
      <c r="C110" s="184"/>
      <c r="D110" s="185"/>
      <c r="E110" s="185" t="str">
        <f>IF(OR(C110="",C110=Data!$B$3),"",IF(C110=Data!$B$2,"L","S"))</f>
        <v/>
      </c>
      <c r="F110" s="185" t="str">
        <f t="shared" si="34"/>
        <v/>
      </c>
      <c r="G110" s="186" t="str">
        <f t="shared" si="25"/>
        <v/>
      </c>
      <c r="H110" s="187"/>
      <c r="I110" s="188" t="str">
        <f t="shared" si="35"/>
        <v/>
      </c>
      <c r="J110" s="188" t="str">
        <f t="shared" si="36"/>
        <v/>
      </c>
      <c r="K110" s="189" t="str">
        <f t="shared" si="37"/>
        <v/>
      </c>
      <c r="L110" s="189" t="str">
        <f t="shared" si="38"/>
        <v/>
      </c>
      <c r="M110" s="190"/>
      <c r="N110" s="190"/>
      <c r="O110" s="188" t="str">
        <f t="shared" si="39"/>
        <v/>
      </c>
      <c r="P110" s="191" t="str">
        <f t="shared" si="26"/>
        <v/>
      </c>
      <c r="Q110" s="192" t="str">
        <f t="shared" si="40"/>
        <v/>
      </c>
      <c r="R110" s="191" t="str">
        <f t="shared" si="27"/>
        <v/>
      </c>
      <c r="S110" s="193" t="str">
        <f t="shared" si="41"/>
        <v/>
      </c>
      <c r="T110" s="194" t="str">
        <f t="shared" si="28"/>
        <v/>
      </c>
      <c r="U110" s="192" t="str">
        <f t="shared" si="42"/>
        <v/>
      </c>
      <c r="V110" s="195" t="str">
        <f t="shared" si="29"/>
        <v/>
      </c>
      <c r="W110" s="195" t="str">
        <f t="shared" si="30"/>
        <v/>
      </c>
      <c r="X110" s="196" t="str">
        <f t="shared" si="43"/>
        <v/>
      </c>
      <c r="Y110" s="191" t="str">
        <f t="shared" si="44"/>
        <v/>
      </c>
      <c r="Z110" s="197" t="str">
        <f t="shared" si="31"/>
        <v/>
      </c>
      <c r="AA110" s="197" t="str">
        <f t="shared" si="32"/>
        <v/>
      </c>
      <c r="AB110" s="218"/>
      <c r="AC110" s="205"/>
    </row>
    <row r="111" spans="1:29">
      <c r="A111" s="219" t="str">
        <f t="shared" si="33"/>
        <v/>
      </c>
      <c r="B111" s="219"/>
      <c r="C111" s="184"/>
      <c r="D111" s="185"/>
      <c r="E111" s="185" t="str">
        <f>IF(OR(C111="",C111=Data!$B$3),"",IF(C111=Data!$B$2,"L","S"))</f>
        <v/>
      </c>
      <c r="F111" s="185" t="str">
        <f t="shared" si="34"/>
        <v/>
      </c>
      <c r="G111" s="186" t="str">
        <f t="shared" si="25"/>
        <v/>
      </c>
      <c r="H111" s="187"/>
      <c r="I111" s="188" t="str">
        <f t="shared" si="35"/>
        <v/>
      </c>
      <c r="J111" s="188" t="str">
        <f t="shared" si="36"/>
        <v/>
      </c>
      <c r="K111" s="189" t="str">
        <f t="shared" si="37"/>
        <v/>
      </c>
      <c r="L111" s="189" t="str">
        <f t="shared" si="38"/>
        <v/>
      </c>
      <c r="M111" s="190"/>
      <c r="N111" s="190"/>
      <c r="O111" s="188" t="str">
        <f t="shared" si="39"/>
        <v/>
      </c>
      <c r="P111" s="191" t="str">
        <f t="shared" si="26"/>
        <v/>
      </c>
      <c r="Q111" s="192" t="str">
        <f t="shared" si="40"/>
        <v/>
      </c>
      <c r="R111" s="191" t="str">
        <f t="shared" si="27"/>
        <v/>
      </c>
      <c r="S111" s="193" t="str">
        <f t="shared" si="41"/>
        <v/>
      </c>
      <c r="T111" s="194" t="str">
        <f t="shared" si="28"/>
        <v/>
      </c>
      <c r="U111" s="192" t="str">
        <f t="shared" si="42"/>
        <v/>
      </c>
      <c r="V111" s="195" t="str">
        <f t="shared" si="29"/>
        <v/>
      </c>
      <c r="W111" s="195" t="str">
        <f t="shared" si="30"/>
        <v/>
      </c>
      <c r="X111" s="196" t="str">
        <f t="shared" si="43"/>
        <v/>
      </c>
      <c r="Y111" s="191" t="str">
        <f t="shared" si="44"/>
        <v/>
      </c>
      <c r="Z111" s="197" t="str">
        <f t="shared" si="31"/>
        <v/>
      </c>
      <c r="AA111" s="197" t="str">
        <f t="shared" si="32"/>
        <v/>
      </c>
      <c r="AB111" s="218"/>
      <c r="AC111" s="205"/>
    </row>
    <row r="112" spans="1:29">
      <c r="A112" s="219" t="str">
        <f t="shared" si="33"/>
        <v/>
      </c>
      <c r="B112" s="219"/>
      <c r="C112" s="184"/>
      <c r="D112" s="185"/>
      <c r="E112" s="185" t="str">
        <f>IF(OR(C112="",C112=Data!$B$3),"",IF(C112=Data!$B$2,"L","S"))</f>
        <v/>
      </c>
      <c r="F112" s="185" t="str">
        <f t="shared" si="34"/>
        <v/>
      </c>
      <c r="G112" s="186" t="str">
        <f t="shared" si="25"/>
        <v/>
      </c>
      <c r="H112" s="187"/>
      <c r="I112" s="188" t="str">
        <f t="shared" si="35"/>
        <v/>
      </c>
      <c r="J112" s="188" t="str">
        <f t="shared" si="36"/>
        <v/>
      </c>
      <c r="K112" s="189" t="str">
        <f t="shared" si="37"/>
        <v/>
      </c>
      <c r="L112" s="189" t="str">
        <f t="shared" si="38"/>
        <v/>
      </c>
      <c r="M112" s="190"/>
      <c r="N112" s="190"/>
      <c r="O112" s="188" t="str">
        <f t="shared" si="39"/>
        <v/>
      </c>
      <c r="P112" s="191" t="str">
        <f t="shared" si="26"/>
        <v/>
      </c>
      <c r="Q112" s="192" t="str">
        <f t="shared" si="40"/>
        <v/>
      </c>
      <c r="R112" s="191" t="str">
        <f t="shared" si="27"/>
        <v/>
      </c>
      <c r="S112" s="193" t="str">
        <f t="shared" si="41"/>
        <v/>
      </c>
      <c r="T112" s="194" t="str">
        <f t="shared" si="28"/>
        <v/>
      </c>
      <c r="U112" s="192" t="str">
        <f t="shared" si="42"/>
        <v/>
      </c>
      <c r="V112" s="195" t="str">
        <f t="shared" si="29"/>
        <v/>
      </c>
      <c r="W112" s="195" t="str">
        <f t="shared" si="30"/>
        <v/>
      </c>
      <c r="X112" s="196" t="str">
        <f t="shared" si="43"/>
        <v/>
      </c>
      <c r="Y112" s="191" t="str">
        <f t="shared" si="44"/>
        <v/>
      </c>
      <c r="Z112" s="197" t="str">
        <f t="shared" si="31"/>
        <v/>
      </c>
      <c r="AA112" s="197" t="str">
        <f t="shared" si="32"/>
        <v/>
      </c>
      <c r="AB112" s="218"/>
      <c r="AC112" s="205"/>
    </row>
    <row r="113" spans="1:29">
      <c r="A113" s="219" t="str">
        <f t="shared" si="33"/>
        <v/>
      </c>
      <c r="B113" s="219"/>
      <c r="C113" s="184"/>
      <c r="D113" s="185"/>
      <c r="E113" s="185" t="str">
        <f>IF(OR(C113="",C113=Data!$B$3),"",IF(C113=Data!$B$2,"L","S"))</f>
        <v/>
      </c>
      <c r="F113" s="185" t="str">
        <f t="shared" si="34"/>
        <v/>
      </c>
      <c r="G113" s="186" t="str">
        <f t="shared" si="25"/>
        <v/>
      </c>
      <c r="H113" s="187"/>
      <c r="I113" s="188" t="str">
        <f t="shared" si="35"/>
        <v/>
      </c>
      <c r="J113" s="188" t="str">
        <f t="shared" si="36"/>
        <v/>
      </c>
      <c r="K113" s="189" t="str">
        <f t="shared" si="37"/>
        <v/>
      </c>
      <c r="L113" s="189" t="str">
        <f t="shared" si="38"/>
        <v/>
      </c>
      <c r="M113" s="190"/>
      <c r="N113" s="190"/>
      <c r="O113" s="188" t="str">
        <f t="shared" si="39"/>
        <v/>
      </c>
      <c r="P113" s="191" t="str">
        <f t="shared" si="26"/>
        <v/>
      </c>
      <c r="Q113" s="192" t="str">
        <f t="shared" si="40"/>
        <v/>
      </c>
      <c r="R113" s="191" t="str">
        <f t="shared" si="27"/>
        <v/>
      </c>
      <c r="S113" s="193" t="str">
        <f t="shared" si="41"/>
        <v/>
      </c>
      <c r="T113" s="194" t="str">
        <f t="shared" si="28"/>
        <v/>
      </c>
      <c r="U113" s="192" t="str">
        <f t="shared" si="42"/>
        <v/>
      </c>
      <c r="V113" s="195" t="str">
        <f t="shared" si="29"/>
        <v/>
      </c>
      <c r="W113" s="195" t="str">
        <f t="shared" si="30"/>
        <v/>
      </c>
      <c r="X113" s="196" t="str">
        <f t="shared" si="43"/>
        <v/>
      </c>
      <c r="Y113" s="191" t="str">
        <f t="shared" si="44"/>
        <v/>
      </c>
      <c r="Z113" s="197" t="str">
        <f t="shared" si="31"/>
        <v/>
      </c>
      <c r="AA113" s="197" t="str">
        <f t="shared" si="32"/>
        <v/>
      </c>
      <c r="AB113" s="218"/>
      <c r="AC113" s="205"/>
    </row>
    <row r="114" spans="1:29">
      <c r="A114" s="219" t="str">
        <f t="shared" si="33"/>
        <v/>
      </c>
      <c r="B114" s="219"/>
      <c r="C114" s="184"/>
      <c r="D114" s="185"/>
      <c r="E114" s="185" t="str">
        <f>IF(OR(C114="",C114=Data!$B$3),"",IF(C114=Data!$B$2,"L","S"))</f>
        <v/>
      </c>
      <c r="F114" s="185" t="str">
        <f t="shared" si="34"/>
        <v/>
      </c>
      <c r="G114" s="186" t="str">
        <f t="shared" si="25"/>
        <v/>
      </c>
      <c r="H114" s="187"/>
      <c r="I114" s="188" t="str">
        <f t="shared" si="35"/>
        <v/>
      </c>
      <c r="J114" s="188" t="str">
        <f t="shared" si="36"/>
        <v/>
      </c>
      <c r="K114" s="189" t="str">
        <f t="shared" si="37"/>
        <v/>
      </c>
      <c r="L114" s="189" t="str">
        <f t="shared" si="38"/>
        <v/>
      </c>
      <c r="M114" s="190"/>
      <c r="N114" s="190"/>
      <c r="O114" s="188" t="str">
        <f t="shared" si="39"/>
        <v/>
      </c>
      <c r="P114" s="191" t="str">
        <f t="shared" si="26"/>
        <v/>
      </c>
      <c r="Q114" s="192" t="str">
        <f t="shared" si="40"/>
        <v/>
      </c>
      <c r="R114" s="191" t="str">
        <f t="shared" si="27"/>
        <v/>
      </c>
      <c r="S114" s="193" t="str">
        <f t="shared" si="41"/>
        <v/>
      </c>
      <c r="T114" s="194" t="str">
        <f t="shared" si="28"/>
        <v/>
      </c>
      <c r="U114" s="192" t="str">
        <f t="shared" si="42"/>
        <v/>
      </c>
      <c r="V114" s="195" t="str">
        <f t="shared" si="29"/>
        <v/>
      </c>
      <c r="W114" s="195" t="str">
        <f t="shared" si="30"/>
        <v/>
      </c>
      <c r="X114" s="196" t="str">
        <f t="shared" si="43"/>
        <v/>
      </c>
      <c r="Y114" s="191" t="str">
        <f t="shared" si="44"/>
        <v/>
      </c>
      <c r="Z114" s="197" t="str">
        <f t="shared" si="31"/>
        <v/>
      </c>
      <c r="AA114" s="197" t="str">
        <f t="shared" si="32"/>
        <v/>
      </c>
      <c r="AB114" s="218"/>
      <c r="AC114" s="205"/>
    </row>
    <row r="115" spans="1:29">
      <c r="A115" s="219" t="str">
        <f t="shared" si="33"/>
        <v/>
      </c>
      <c r="B115" s="219"/>
      <c r="C115" s="184"/>
      <c r="D115" s="185"/>
      <c r="E115" s="185" t="str">
        <f>IF(OR(C115="",C115=Data!$B$3),"",IF(C115=Data!$B$2,"L","S"))</f>
        <v/>
      </c>
      <c r="F115" s="185" t="str">
        <f t="shared" si="34"/>
        <v/>
      </c>
      <c r="G115" s="186" t="str">
        <f t="shared" si="25"/>
        <v/>
      </c>
      <c r="H115" s="187"/>
      <c r="I115" s="188" t="str">
        <f t="shared" si="35"/>
        <v/>
      </c>
      <c r="J115" s="188" t="str">
        <f t="shared" si="36"/>
        <v/>
      </c>
      <c r="K115" s="189" t="str">
        <f t="shared" si="37"/>
        <v/>
      </c>
      <c r="L115" s="189" t="str">
        <f t="shared" si="38"/>
        <v/>
      </c>
      <c r="M115" s="190"/>
      <c r="N115" s="190"/>
      <c r="O115" s="188" t="str">
        <f t="shared" si="39"/>
        <v/>
      </c>
      <c r="P115" s="191" t="str">
        <f t="shared" si="26"/>
        <v/>
      </c>
      <c r="Q115" s="192" t="str">
        <f t="shared" si="40"/>
        <v/>
      </c>
      <c r="R115" s="191" t="str">
        <f t="shared" si="27"/>
        <v/>
      </c>
      <c r="S115" s="193" t="str">
        <f t="shared" si="41"/>
        <v/>
      </c>
      <c r="T115" s="194" t="str">
        <f t="shared" si="28"/>
        <v/>
      </c>
      <c r="U115" s="192" t="str">
        <f t="shared" si="42"/>
        <v/>
      </c>
      <c r="V115" s="195" t="str">
        <f t="shared" si="29"/>
        <v/>
      </c>
      <c r="W115" s="195" t="str">
        <f t="shared" si="30"/>
        <v/>
      </c>
      <c r="X115" s="196" t="str">
        <f t="shared" si="43"/>
        <v/>
      </c>
      <c r="Y115" s="191" t="str">
        <f t="shared" si="44"/>
        <v/>
      </c>
      <c r="Z115" s="197" t="str">
        <f t="shared" si="31"/>
        <v/>
      </c>
      <c r="AA115" s="197" t="str">
        <f t="shared" si="32"/>
        <v/>
      </c>
      <c r="AB115" s="218"/>
      <c r="AC115" s="205"/>
    </row>
    <row r="116" spans="1:29">
      <c r="A116" s="219" t="str">
        <f t="shared" si="33"/>
        <v/>
      </c>
      <c r="B116" s="219"/>
      <c r="C116" s="184"/>
      <c r="D116" s="185"/>
      <c r="E116" s="185" t="str">
        <f>IF(OR(C116="",C116=Data!$B$3),"",IF(C116=Data!$B$2,"L","S"))</f>
        <v/>
      </c>
      <c r="F116" s="185" t="str">
        <f t="shared" si="34"/>
        <v/>
      </c>
      <c r="G116" s="186" t="str">
        <f t="shared" si="25"/>
        <v/>
      </c>
      <c r="H116" s="187"/>
      <c r="I116" s="188" t="str">
        <f t="shared" si="35"/>
        <v/>
      </c>
      <c r="J116" s="188" t="str">
        <f t="shared" si="36"/>
        <v/>
      </c>
      <c r="K116" s="189" t="str">
        <f t="shared" si="37"/>
        <v/>
      </c>
      <c r="L116" s="189" t="str">
        <f t="shared" si="38"/>
        <v/>
      </c>
      <c r="M116" s="190"/>
      <c r="N116" s="190"/>
      <c r="O116" s="188" t="str">
        <f t="shared" si="39"/>
        <v/>
      </c>
      <c r="P116" s="191" t="str">
        <f t="shared" si="26"/>
        <v/>
      </c>
      <c r="Q116" s="192" t="str">
        <f t="shared" si="40"/>
        <v/>
      </c>
      <c r="R116" s="191" t="str">
        <f t="shared" si="27"/>
        <v/>
      </c>
      <c r="S116" s="193" t="str">
        <f t="shared" si="41"/>
        <v/>
      </c>
      <c r="T116" s="194" t="str">
        <f t="shared" si="28"/>
        <v/>
      </c>
      <c r="U116" s="192" t="str">
        <f t="shared" si="42"/>
        <v/>
      </c>
      <c r="V116" s="195" t="str">
        <f t="shared" si="29"/>
        <v/>
      </c>
      <c r="W116" s="195" t="str">
        <f t="shared" si="30"/>
        <v/>
      </c>
      <c r="X116" s="196" t="str">
        <f t="shared" si="43"/>
        <v/>
      </c>
      <c r="Y116" s="191" t="str">
        <f t="shared" si="44"/>
        <v/>
      </c>
      <c r="Z116" s="197" t="str">
        <f t="shared" si="31"/>
        <v/>
      </c>
      <c r="AA116" s="197" t="str">
        <f t="shared" si="32"/>
        <v/>
      </c>
      <c r="AB116" s="218"/>
      <c r="AC116" s="205"/>
    </row>
    <row r="117" spans="1:29">
      <c r="A117" s="219" t="str">
        <f t="shared" si="33"/>
        <v/>
      </c>
      <c r="B117" s="219"/>
      <c r="C117" s="184"/>
      <c r="D117" s="185"/>
      <c r="E117" s="185" t="str">
        <f>IF(OR(C117="",C117=Data!$B$3),"",IF(C117=Data!$B$2,"L","S"))</f>
        <v/>
      </c>
      <c r="F117" s="185" t="str">
        <f t="shared" si="34"/>
        <v/>
      </c>
      <c r="G117" s="186" t="str">
        <f t="shared" si="25"/>
        <v/>
      </c>
      <c r="H117" s="187"/>
      <c r="I117" s="188" t="str">
        <f t="shared" si="35"/>
        <v/>
      </c>
      <c r="J117" s="188" t="str">
        <f t="shared" si="36"/>
        <v/>
      </c>
      <c r="K117" s="189" t="str">
        <f t="shared" si="37"/>
        <v/>
      </c>
      <c r="L117" s="189" t="str">
        <f t="shared" si="38"/>
        <v/>
      </c>
      <c r="M117" s="190"/>
      <c r="N117" s="190"/>
      <c r="O117" s="188" t="str">
        <f t="shared" si="39"/>
        <v/>
      </c>
      <c r="P117" s="191" t="str">
        <f t="shared" si="26"/>
        <v/>
      </c>
      <c r="Q117" s="192" t="str">
        <f t="shared" si="40"/>
        <v/>
      </c>
      <c r="R117" s="191" t="str">
        <f t="shared" si="27"/>
        <v/>
      </c>
      <c r="S117" s="193" t="str">
        <f t="shared" si="41"/>
        <v/>
      </c>
      <c r="T117" s="194" t="str">
        <f t="shared" si="28"/>
        <v/>
      </c>
      <c r="U117" s="192" t="str">
        <f t="shared" si="42"/>
        <v/>
      </c>
      <c r="V117" s="195" t="str">
        <f t="shared" si="29"/>
        <v/>
      </c>
      <c r="W117" s="195" t="str">
        <f t="shared" si="30"/>
        <v/>
      </c>
      <c r="X117" s="196" t="str">
        <f t="shared" si="43"/>
        <v/>
      </c>
      <c r="Y117" s="191" t="str">
        <f t="shared" si="44"/>
        <v/>
      </c>
      <c r="Z117" s="197" t="str">
        <f t="shared" si="31"/>
        <v/>
      </c>
      <c r="AA117" s="197" t="str">
        <f t="shared" si="32"/>
        <v/>
      </c>
      <c r="AB117" s="218"/>
      <c r="AC117" s="205"/>
    </row>
    <row r="118" spans="1:29">
      <c r="A118" s="219" t="str">
        <f t="shared" si="33"/>
        <v/>
      </c>
      <c r="B118" s="219"/>
      <c r="C118" s="184"/>
      <c r="D118" s="185"/>
      <c r="E118" s="185" t="str">
        <f>IF(OR(C118="",C118=Data!$B$3),"",IF(C118=Data!$B$2,"L","S"))</f>
        <v/>
      </c>
      <c r="F118" s="185" t="str">
        <f t="shared" si="34"/>
        <v/>
      </c>
      <c r="G118" s="186" t="str">
        <f t="shared" si="25"/>
        <v/>
      </c>
      <c r="H118" s="187"/>
      <c r="I118" s="188" t="str">
        <f t="shared" si="35"/>
        <v/>
      </c>
      <c r="J118" s="188" t="str">
        <f t="shared" si="36"/>
        <v/>
      </c>
      <c r="K118" s="189" t="str">
        <f t="shared" si="37"/>
        <v/>
      </c>
      <c r="L118" s="189" t="str">
        <f t="shared" si="38"/>
        <v/>
      </c>
      <c r="M118" s="190"/>
      <c r="N118" s="190"/>
      <c r="O118" s="188" t="str">
        <f t="shared" si="39"/>
        <v/>
      </c>
      <c r="P118" s="191" t="str">
        <f t="shared" si="26"/>
        <v/>
      </c>
      <c r="Q118" s="192" t="str">
        <f t="shared" si="40"/>
        <v/>
      </c>
      <c r="R118" s="191" t="str">
        <f t="shared" si="27"/>
        <v/>
      </c>
      <c r="S118" s="193" t="str">
        <f t="shared" si="41"/>
        <v/>
      </c>
      <c r="T118" s="194" t="str">
        <f t="shared" si="28"/>
        <v/>
      </c>
      <c r="U118" s="192" t="str">
        <f t="shared" si="42"/>
        <v/>
      </c>
      <c r="V118" s="195" t="str">
        <f t="shared" si="29"/>
        <v/>
      </c>
      <c r="W118" s="195" t="str">
        <f t="shared" si="30"/>
        <v/>
      </c>
      <c r="X118" s="196" t="str">
        <f t="shared" si="43"/>
        <v/>
      </c>
      <c r="Y118" s="191" t="str">
        <f t="shared" si="44"/>
        <v/>
      </c>
      <c r="Z118" s="197" t="str">
        <f t="shared" si="31"/>
        <v/>
      </c>
      <c r="AA118" s="197" t="str">
        <f t="shared" si="32"/>
        <v/>
      </c>
      <c r="AB118" s="218"/>
      <c r="AC118" s="205"/>
    </row>
    <row r="119" spans="1:29">
      <c r="A119" s="219" t="str">
        <f t="shared" si="33"/>
        <v/>
      </c>
      <c r="B119" s="219"/>
      <c r="C119" s="184"/>
      <c r="D119" s="185"/>
      <c r="E119" s="185" t="str">
        <f>IF(OR(C119="",C119=Data!$B$3),"",IF(C119=Data!$B$2,"L","S"))</f>
        <v/>
      </c>
      <c r="F119" s="185" t="str">
        <f t="shared" si="34"/>
        <v/>
      </c>
      <c r="G119" s="186" t="str">
        <f t="shared" si="25"/>
        <v/>
      </c>
      <c r="H119" s="187"/>
      <c r="I119" s="188" t="str">
        <f t="shared" si="35"/>
        <v/>
      </c>
      <c r="J119" s="188" t="str">
        <f t="shared" si="36"/>
        <v/>
      </c>
      <c r="K119" s="189" t="str">
        <f t="shared" si="37"/>
        <v/>
      </c>
      <c r="L119" s="189" t="str">
        <f t="shared" si="38"/>
        <v/>
      </c>
      <c r="M119" s="190"/>
      <c r="N119" s="190"/>
      <c r="O119" s="188" t="str">
        <f t="shared" si="39"/>
        <v/>
      </c>
      <c r="P119" s="191" t="str">
        <f t="shared" si="26"/>
        <v/>
      </c>
      <c r="Q119" s="192" t="str">
        <f t="shared" si="40"/>
        <v/>
      </c>
      <c r="R119" s="191" t="str">
        <f t="shared" si="27"/>
        <v/>
      </c>
      <c r="S119" s="193" t="str">
        <f t="shared" si="41"/>
        <v/>
      </c>
      <c r="T119" s="194" t="str">
        <f t="shared" si="28"/>
        <v/>
      </c>
      <c r="U119" s="192" t="str">
        <f t="shared" si="42"/>
        <v/>
      </c>
      <c r="V119" s="195" t="str">
        <f t="shared" si="29"/>
        <v/>
      </c>
      <c r="W119" s="195" t="str">
        <f t="shared" si="30"/>
        <v/>
      </c>
      <c r="X119" s="196" t="str">
        <f t="shared" si="43"/>
        <v/>
      </c>
      <c r="Y119" s="191" t="str">
        <f t="shared" si="44"/>
        <v/>
      </c>
      <c r="Z119" s="197" t="str">
        <f t="shared" si="31"/>
        <v/>
      </c>
      <c r="AA119" s="197" t="str">
        <f t="shared" si="32"/>
        <v/>
      </c>
      <c r="AB119" s="218"/>
      <c r="AC119" s="205"/>
    </row>
    <row r="120" spans="1:29">
      <c r="A120" s="219" t="str">
        <f t="shared" si="33"/>
        <v/>
      </c>
      <c r="B120" s="219"/>
      <c r="C120" s="184"/>
      <c r="D120" s="185"/>
      <c r="E120" s="185" t="str">
        <f>IF(OR(C120="",C120=Data!$B$3),"",IF(C120=Data!$B$2,"L","S"))</f>
        <v/>
      </c>
      <c r="F120" s="185" t="str">
        <f t="shared" si="34"/>
        <v/>
      </c>
      <c r="G120" s="186" t="str">
        <f t="shared" si="25"/>
        <v/>
      </c>
      <c r="H120" s="187"/>
      <c r="I120" s="188" t="str">
        <f t="shared" si="35"/>
        <v/>
      </c>
      <c r="J120" s="188" t="str">
        <f t="shared" si="36"/>
        <v/>
      </c>
      <c r="K120" s="189" t="str">
        <f t="shared" si="37"/>
        <v/>
      </c>
      <c r="L120" s="189" t="str">
        <f t="shared" si="38"/>
        <v/>
      </c>
      <c r="M120" s="190"/>
      <c r="N120" s="190"/>
      <c r="O120" s="188" t="str">
        <f t="shared" si="39"/>
        <v/>
      </c>
      <c r="P120" s="191" t="str">
        <f t="shared" si="26"/>
        <v/>
      </c>
      <c r="Q120" s="192" t="str">
        <f t="shared" si="40"/>
        <v/>
      </c>
      <c r="R120" s="191" t="str">
        <f t="shared" si="27"/>
        <v/>
      </c>
      <c r="S120" s="193" t="str">
        <f t="shared" si="41"/>
        <v/>
      </c>
      <c r="T120" s="194" t="str">
        <f t="shared" si="28"/>
        <v/>
      </c>
      <c r="U120" s="192" t="str">
        <f t="shared" si="42"/>
        <v/>
      </c>
      <c r="V120" s="195" t="str">
        <f t="shared" si="29"/>
        <v/>
      </c>
      <c r="W120" s="195" t="str">
        <f t="shared" si="30"/>
        <v/>
      </c>
      <c r="X120" s="196" t="str">
        <f t="shared" si="43"/>
        <v/>
      </c>
      <c r="Y120" s="191" t="str">
        <f t="shared" si="44"/>
        <v/>
      </c>
      <c r="Z120" s="197" t="str">
        <f t="shared" si="31"/>
        <v/>
      </c>
      <c r="AA120" s="197" t="str">
        <f t="shared" si="32"/>
        <v/>
      </c>
      <c r="AB120" s="218"/>
      <c r="AC120" s="205"/>
    </row>
    <row r="121" spans="1:29">
      <c r="A121" s="219" t="str">
        <f t="shared" si="33"/>
        <v/>
      </c>
      <c r="B121" s="219"/>
      <c r="C121" s="184"/>
      <c r="D121" s="185"/>
      <c r="E121" s="185" t="str">
        <f>IF(OR(C121="",C121=Data!$B$3),"",IF(C121=Data!$B$2,"L","S"))</f>
        <v/>
      </c>
      <c r="F121" s="185" t="str">
        <f t="shared" si="34"/>
        <v/>
      </c>
      <c r="G121" s="186" t="str">
        <f t="shared" si="25"/>
        <v/>
      </c>
      <c r="H121" s="187"/>
      <c r="I121" s="188" t="str">
        <f t="shared" si="35"/>
        <v/>
      </c>
      <c r="J121" s="188" t="str">
        <f t="shared" si="36"/>
        <v/>
      </c>
      <c r="K121" s="189" t="str">
        <f t="shared" si="37"/>
        <v/>
      </c>
      <c r="L121" s="189" t="str">
        <f t="shared" si="38"/>
        <v/>
      </c>
      <c r="M121" s="190"/>
      <c r="N121" s="190"/>
      <c r="O121" s="188" t="str">
        <f t="shared" si="39"/>
        <v/>
      </c>
      <c r="P121" s="191" t="str">
        <f t="shared" si="26"/>
        <v/>
      </c>
      <c r="Q121" s="192" t="str">
        <f t="shared" si="40"/>
        <v/>
      </c>
      <c r="R121" s="191" t="str">
        <f t="shared" si="27"/>
        <v/>
      </c>
      <c r="S121" s="193" t="str">
        <f t="shared" si="41"/>
        <v/>
      </c>
      <c r="T121" s="194" t="str">
        <f t="shared" si="28"/>
        <v/>
      </c>
      <c r="U121" s="192" t="str">
        <f t="shared" si="42"/>
        <v/>
      </c>
      <c r="V121" s="195" t="str">
        <f t="shared" si="29"/>
        <v/>
      </c>
      <c r="W121" s="195" t="str">
        <f t="shared" si="30"/>
        <v/>
      </c>
      <c r="X121" s="196" t="str">
        <f t="shared" si="43"/>
        <v/>
      </c>
      <c r="Y121" s="191" t="str">
        <f t="shared" si="44"/>
        <v/>
      </c>
      <c r="Z121" s="197" t="str">
        <f t="shared" si="31"/>
        <v/>
      </c>
      <c r="AA121" s="197" t="str">
        <f t="shared" si="32"/>
        <v/>
      </c>
      <c r="AB121" s="218"/>
      <c r="AC121" s="205"/>
    </row>
    <row r="122" spans="1:29">
      <c r="A122" s="219" t="str">
        <f t="shared" si="33"/>
        <v/>
      </c>
      <c r="B122" s="219"/>
      <c r="C122" s="184"/>
      <c r="D122" s="185"/>
      <c r="E122" s="185" t="str">
        <f>IF(OR(C122="",C122=Data!$B$3),"",IF(C122=Data!$B$2,"L","S"))</f>
        <v/>
      </c>
      <c r="F122" s="185" t="str">
        <f t="shared" si="34"/>
        <v/>
      </c>
      <c r="G122" s="186" t="str">
        <f t="shared" si="25"/>
        <v/>
      </c>
      <c r="H122" s="187"/>
      <c r="I122" s="188" t="str">
        <f t="shared" si="35"/>
        <v/>
      </c>
      <c r="J122" s="188" t="str">
        <f t="shared" si="36"/>
        <v/>
      </c>
      <c r="K122" s="189" t="str">
        <f t="shared" si="37"/>
        <v/>
      </c>
      <c r="L122" s="189" t="str">
        <f t="shared" si="38"/>
        <v/>
      </c>
      <c r="M122" s="190"/>
      <c r="N122" s="190"/>
      <c r="O122" s="188" t="str">
        <f t="shared" si="39"/>
        <v/>
      </c>
      <c r="P122" s="191" t="str">
        <f t="shared" si="26"/>
        <v/>
      </c>
      <c r="Q122" s="192" t="str">
        <f t="shared" si="40"/>
        <v/>
      </c>
      <c r="R122" s="191" t="str">
        <f t="shared" si="27"/>
        <v/>
      </c>
      <c r="S122" s="193" t="str">
        <f t="shared" si="41"/>
        <v/>
      </c>
      <c r="T122" s="194" t="str">
        <f t="shared" si="28"/>
        <v/>
      </c>
      <c r="U122" s="192" t="str">
        <f t="shared" si="42"/>
        <v/>
      </c>
      <c r="V122" s="195" t="str">
        <f t="shared" si="29"/>
        <v/>
      </c>
      <c r="W122" s="195" t="str">
        <f t="shared" si="30"/>
        <v/>
      </c>
      <c r="X122" s="196" t="str">
        <f t="shared" si="43"/>
        <v/>
      </c>
      <c r="Y122" s="191" t="str">
        <f t="shared" si="44"/>
        <v/>
      </c>
      <c r="Z122" s="197" t="str">
        <f t="shared" si="31"/>
        <v/>
      </c>
      <c r="AA122" s="197" t="str">
        <f t="shared" si="32"/>
        <v/>
      </c>
      <c r="AB122" s="218"/>
      <c r="AC122" s="205"/>
    </row>
    <row r="123" spans="1:29">
      <c r="A123" s="219" t="str">
        <f t="shared" si="33"/>
        <v/>
      </c>
      <c r="B123" s="219"/>
      <c r="C123" s="184"/>
      <c r="D123" s="185"/>
      <c r="E123" s="185" t="str">
        <f>IF(OR(C123="",C123=Data!$B$3),"",IF(C123=Data!$B$2,"L","S"))</f>
        <v/>
      </c>
      <c r="F123" s="185" t="str">
        <f t="shared" si="34"/>
        <v/>
      </c>
      <c r="G123" s="186" t="str">
        <f t="shared" si="25"/>
        <v/>
      </c>
      <c r="H123" s="187"/>
      <c r="I123" s="188" t="str">
        <f t="shared" si="35"/>
        <v/>
      </c>
      <c r="J123" s="188" t="str">
        <f t="shared" si="36"/>
        <v/>
      </c>
      <c r="K123" s="189" t="str">
        <f t="shared" si="37"/>
        <v/>
      </c>
      <c r="L123" s="189" t="str">
        <f t="shared" si="38"/>
        <v/>
      </c>
      <c r="M123" s="190"/>
      <c r="N123" s="190"/>
      <c r="O123" s="188" t="str">
        <f t="shared" si="39"/>
        <v/>
      </c>
      <c r="P123" s="191" t="str">
        <f t="shared" si="26"/>
        <v/>
      </c>
      <c r="Q123" s="192" t="str">
        <f t="shared" si="40"/>
        <v/>
      </c>
      <c r="R123" s="191" t="str">
        <f t="shared" si="27"/>
        <v/>
      </c>
      <c r="S123" s="193" t="str">
        <f t="shared" si="41"/>
        <v/>
      </c>
      <c r="T123" s="194" t="str">
        <f t="shared" si="28"/>
        <v/>
      </c>
      <c r="U123" s="192" t="str">
        <f t="shared" si="42"/>
        <v/>
      </c>
      <c r="V123" s="195" t="str">
        <f t="shared" si="29"/>
        <v/>
      </c>
      <c r="W123" s="195" t="str">
        <f t="shared" si="30"/>
        <v/>
      </c>
      <c r="X123" s="196" t="str">
        <f t="shared" si="43"/>
        <v/>
      </c>
      <c r="Y123" s="191" t="str">
        <f t="shared" si="44"/>
        <v/>
      </c>
      <c r="Z123" s="197" t="str">
        <f t="shared" si="31"/>
        <v/>
      </c>
      <c r="AA123" s="197" t="str">
        <f t="shared" si="32"/>
        <v/>
      </c>
      <c r="AB123" s="218"/>
      <c r="AC123" s="205"/>
    </row>
    <row r="124" spans="1:29">
      <c r="A124" s="219" t="str">
        <f t="shared" si="33"/>
        <v/>
      </c>
      <c r="B124" s="219"/>
      <c r="C124" s="184"/>
      <c r="D124" s="185"/>
      <c r="E124" s="185" t="str">
        <f>IF(OR(C124="",C124=Data!$B$3),"",IF(C124=Data!$B$2,"L","S"))</f>
        <v/>
      </c>
      <c r="F124" s="185" t="str">
        <f t="shared" si="34"/>
        <v/>
      </c>
      <c r="G124" s="186" t="str">
        <f t="shared" si="25"/>
        <v/>
      </c>
      <c r="H124" s="187"/>
      <c r="I124" s="188" t="str">
        <f t="shared" si="35"/>
        <v/>
      </c>
      <c r="J124" s="188" t="str">
        <f t="shared" si="36"/>
        <v/>
      </c>
      <c r="K124" s="189" t="str">
        <f t="shared" si="37"/>
        <v/>
      </c>
      <c r="L124" s="189" t="str">
        <f t="shared" si="38"/>
        <v/>
      </c>
      <c r="M124" s="190"/>
      <c r="N124" s="190"/>
      <c r="O124" s="188" t="str">
        <f t="shared" si="39"/>
        <v/>
      </c>
      <c r="P124" s="191" t="str">
        <f t="shared" si="26"/>
        <v/>
      </c>
      <c r="Q124" s="192" t="str">
        <f t="shared" si="40"/>
        <v/>
      </c>
      <c r="R124" s="191" t="str">
        <f t="shared" si="27"/>
        <v/>
      </c>
      <c r="S124" s="193" t="str">
        <f t="shared" si="41"/>
        <v/>
      </c>
      <c r="T124" s="194" t="str">
        <f t="shared" si="28"/>
        <v/>
      </c>
      <c r="U124" s="192" t="str">
        <f t="shared" si="42"/>
        <v/>
      </c>
      <c r="V124" s="195" t="str">
        <f t="shared" si="29"/>
        <v/>
      </c>
      <c r="W124" s="195" t="str">
        <f t="shared" si="30"/>
        <v/>
      </c>
      <c r="X124" s="196" t="str">
        <f t="shared" si="43"/>
        <v/>
      </c>
      <c r="Y124" s="191" t="str">
        <f t="shared" si="44"/>
        <v/>
      </c>
      <c r="Z124" s="197" t="str">
        <f t="shared" si="31"/>
        <v/>
      </c>
      <c r="AA124" s="197" t="str">
        <f t="shared" si="32"/>
        <v/>
      </c>
      <c r="AB124" s="218"/>
      <c r="AC124" s="205"/>
    </row>
    <row r="125" spans="1:29">
      <c r="A125" s="219" t="str">
        <f t="shared" si="33"/>
        <v/>
      </c>
      <c r="B125" s="219"/>
      <c r="C125" s="184"/>
      <c r="D125" s="185"/>
      <c r="E125" s="185" t="str">
        <f>IF(OR(C125="",C125=Data!$B$3),"",IF(C125=Data!$B$2,"L","S"))</f>
        <v/>
      </c>
      <c r="F125" s="185" t="str">
        <f t="shared" si="34"/>
        <v/>
      </c>
      <c r="G125" s="186" t="str">
        <f t="shared" si="25"/>
        <v/>
      </c>
      <c r="H125" s="187"/>
      <c r="I125" s="188" t="str">
        <f t="shared" si="35"/>
        <v/>
      </c>
      <c r="J125" s="188" t="str">
        <f t="shared" si="36"/>
        <v/>
      </c>
      <c r="K125" s="189" t="str">
        <f t="shared" si="37"/>
        <v/>
      </c>
      <c r="L125" s="189" t="str">
        <f t="shared" si="38"/>
        <v/>
      </c>
      <c r="M125" s="190"/>
      <c r="N125" s="190"/>
      <c r="O125" s="188" t="str">
        <f t="shared" si="39"/>
        <v/>
      </c>
      <c r="P125" s="191" t="str">
        <f t="shared" si="26"/>
        <v/>
      </c>
      <c r="Q125" s="192" t="str">
        <f t="shared" si="40"/>
        <v/>
      </c>
      <c r="R125" s="191" t="str">
        <f t="shared" si="27"/>
        <v/>
      </c>
      <c r="S125" s="193" t="str">
        <f t="shared" si="41"/>
        <v/>
      </c>
      <c r="T125" s="194" t="str">
        <f t="shared" si="28"/>
        <v/>
      </c>
      <c r="U125" s="192" t="str">
        <f t="shared" si="42"/>
        <v/>
      </c>
      <c r="V125" s="195" t="str">
        <f t="shared" si="29"/>
        <v/>
      </c>
      <c r="W125" s="195" t="str">
        <f t="shared" si="30"/>
        <v/>
      </c>
      <c r="X125" s="196" t="str">
        <f t="shared" si="43"/>
        <v/>
      </c>
      <c r="Y125" s="191" t="str">
        <f t="shared" si="44"/>
        <v/>
      </c>
      <c r="Z125" s="197" t="str">
        <f t="shared" si="31"/>
        <v/>
      </c>
      <c r="AA125" s="197" t="str">
        <f t="shared" si="32"/>
        <v/>
      </c>
      <c r="AB125" s="218"/>
      <c r="AC125" s="205"/>
    </row>
    <row r="126" spans="1:29">
      <c r="A126" s="219" t="str">
        <f t="shared" si="33"/>
        <v/>
      </c>
      <c r="B126" s="219"/>
      <c r="C126" s="184"/>
      <c r="D126" s="185"/>
      <c r="E126" s="185" t="str">
        <f>IF(OR(C126="",C126=Data!$B$3),"",IF(C126=Data!$B$2,"L","S"))</f>
        <v/>
      </c>
      <c r="F126" s="185" t="str">
        <f t="shared" si="34"/>
        <v/>
      </c>
      <c r="G126" s="186" t="str">
        <f t="shared" si="25"/>
        <v/>
      </c>
      <c r="H126" s="187"/>
      <c r="I126" s="188" t="str">
        <f t="shared" si="35"/>
        <v/>
      </c>
      <c r="J126" s="188" t="str">
        <f t="shared" si="36"/>
        <v/>
      </c>
      <c r="K126" s="189" t="str">
        <f t="shared" si="37"/>
        <v/>
      </c>
      <c r="L126" s="189" t="str">
        <f t="shared" si="38"/>
        <v/>
      </c>
      <c r="M126" s="190"/>
      <c r="N126" s="190"/>
      <c r="O126" s="188" t="str">
        <f t="shared" si="39"/>
        <v/>
      </c>
      <c r="P126" s="191" t="str">
        <f t="shared" si="26"/>
        <v/>
      </c>
      <c r="Q126" s="192" t="str">
        <f t="shared" si="40"/>
        <v/>
      </c>
      <c r="R126" s="191" t="str">
        <f t="shared" si="27"/>
        <v/>
      </c>
      <c r="S126" s="193" t="str">
        <f t="shared" si="41"/>
        <v/>
      </c>
      <c r="T126" s="194" t="str">
        <f t="shared" si="28"/>
        <v/>
      </c>
      <c r="U126" s="192" t="str">
        <f t="shared" si="42"/>
        <v/>
      </c>
      <c r="V126" s="195" t="str">
        <f t="shared" si="29"/>
        <v/>
      </c>
      <c r="W126" s="195" t="str">
        <f t="shared" si="30"/>
        <v/>
      </c>
      <c r="X126" s="196" t="str">
        <f t="shared" si="43"/>
        <v/>
      </c>
      <c r="Y126" s="191" t="str">
        <f t="shared" si="44"/>
        <v/>
      </c>
      <c r="Z126" s="197" t="str">
        <f t="shared" si="31"/>
        <v/>
      </c>
      <c r="AA126" s="197" t="str">
        <f t="shared" si="32"/>
        <v/>
      </c>
      <c r="AB126" s="218"/>
      <c r="AC126" s="205"/>
    </row>
    <row r="127" spans="1:29">
      <c r="A127" s="219" t="str">
        <f t="shared" si="33"/>
        <v/>
      </c>
      <c r="B127" s="219"/>
      <c r="C127" s="184"/>
      <c r="D127" s="185"/>
      <c r="E127" s="185" t="str">
        <f>IF(OR(C127="",C127=Data!$B$3),"",IF(C127=Data!$B$2,"L","S"))</f>
        <v/>
      </c>
      <c r="F127" s="185" t="str">
        <f t="shared" si="34"/>
        <v/>
      </c>
      <c r="G127" s="186" t="str">
        <f t="shared" si="25"/>
        <v/>
      </c>
      <c r="H127" s="187"/>
      <c r="I127" s="188" t="str">
        <f t="shared" si="35"/>
        <v/>
      </c>
      <c r="J127" s="188" t="str">
        <f t="shared" si="36"/>
        <v/>
      </c>
      <c r="K127" s="189" t="str">
        <f t="shared" si="37"/>
        <v/>
      </c>
      <c r="L127" s="189" t="str">
        <f t="shared" si="38"/>
        <v/>
      </c>
      <c r="M127" s="190"/>
      <c r="N127" s="190"/>
      <c r="O127" s="188" t="str">
        <f t="shared" si="39"/>
        <v/>
      </c>
      <c r="P127" s="191" t="str">
        <f t="shared" si="26"/>
        <v/>
      </c>
      <c r="Q127" s="192" t="str">
        <f t="shared" si="40"/>
        <v/>
      </c>
      <c r="R127" s="191" t="str">
        <f t="shared" si="27"/>
        <v/>
      </c>
      <c r="S127" s="193" t="str">
        <f t="shared" si="41"/>
        <v/>
      </c>
      <c r="T127" s="194" t="str">
        <f t="shared" si="28"/>
        <v/>
      </c>
      <c r="U127" s="192" t="str">
        <f t="shared" si="42"/>
        <v/>
      </c>
      <c r="V127" s="195" t="str">
        <f t="shared" si="29"/>
        <v/>
      </c>
      <c r="W127" s="195" t="str">
        <f t="shared" si="30"/>
        <v/>
      </c>
      <c r="X127" s="196" t="str">
        <f t="shared" si="43"/>
        <v/>
      </c>
      <c r="Y127" s="191" t="str">
        <f t="shared" si="44"/>
        <v/>
      </c>
      <c r="Z127" s="197" t="str">
        <f t="shared" si="31"/>
        <v/>
      </c>
      <c r="AA127" s="197" t="str">
        <f t="shared" si="32"/>
        <v/>
      </c>
      <c r="AB127" s="218"/>
      <c r="AC127" s="205"/>
    </row>
    <row r="128" spans="1:29">
      <c r="A128" s="219" t="str">
        <f t="shared" si="33"/>
        <v/>
      </c>
      <c r="B128" s="219"/>
      <c r="C128" s="184"/>
      <c r="D128" s="185"/>
      <c r="E128" s="185" t="str">
        <f>IF(OR(C128="",C128=Data!$B$3),"",IF(C128=Data!$B$2,"L","S"))</f>
        <v/>
      </c>
      <c r="F128" s="185" t="str">
        <f t="shared" si="34"/>
        <v/>
      </c>
      <c r="G128" s="186" t="str">
        <f t="shared" si="25"/>
        <v/>
      </c>
      <c r="H128" s="187"/>
      <c r="I128" s="188" t="str">
        <f t="shared" si="35"/>
        <v/>
      </c>
      <c r="J128" s="188" t="str">
        <f t="shared" si="36"/>
        <v/>
      </c>
      <c r="K128" s="189" t="str">
        <f t="shared" si="37"/>
        <v/>
      </c>
      <c r="L128" s="189" t="str">
        <f t="shared" si="38"/>
        <v/>
      </c>
      <c r="M128" s="190"/>
      <c r="N128" s="190"/>
      <c r="O128" s="188" t="str">
        <f t="shared" si="39"/>
        <v/>
      </c>
      <c r="P128" s="191" t="str">
        <f t="shared" si="26"/>
        <v/>
      </c>
      <c r="Q128" s="192" t="str">
        <f t="shared" si="40"/>
        <v/>
      </c>
      <c r="R128" s="191" t="str">
        <f t="shared" si="27"/>
        <v/>
      </c>
      <c r="S128" s="193" t="str">
        <f t="shared" si="41"/>
        <v/>
      </c>
      <c r="T128" s="194" t="str">
        <f t="shared" si="28"/>
        <v/>
      </c>
      <c r="U128" s="192" t="str">
        <f t="shared" si="42"/>
        <v/>
      </c>
      <c r="V128" s="195" t="str">
        <f t="shared" si="29"/>
        <v/>
      </c>
      <c r="W128" s="195" t="str">
        <f t="shared" si="30"/>
        <v/>
      </c>
      <c r="X128" s="196" t="str">
        <f t="shared" si="43"/>
        <v/>
      </c>
      <c r="Y128" s="191" t="str">
        <f t="shared" si="44"/>
        <v/>
      </c>
      <c r="Z128" s="197" t="str">
        <f t="shared" si="31"/>
        <v/>
      </c>
      <c r="AA128" s="197" t="str">
        <f t="shared" si="32"/>
        <v/>
      </c>
      <c r="AB128" s="218"/>
      <c r="AC128" s="205"/>
    </row>
    <row r="129" spans="1:29">
      <c r="A129" s="219" t="str">
        <f t="shared" si="33"/>
        <v/>
      </c>
      <c r="B129" s="219"/>
      <c r="C129" s="184"/>
      <c r="D129" s="185"/>
      <c r="E129" s="185" t="str">
        <f>IF(OR(C129="",C129=Data!$B$3),"",IF(C129=Data!$B$2,"L","S"))</f>
        <v/>
      </c>
      <c r="F129" s="185" t="str">
        <f t="shared" si="34"/>
        <v/>
      </c>
      <c r="G129" s="186" t="str">
        <f t="shared" si="25"/>
        <v/>
      </c>
      <c r="H129" s="187"/>
      <c r="I129" s="188" t="str">
        <f t="shared" si="35"/>
        <v/>
      </c>
      <c r="J129" s="188" t="str">
        <f t="shared" si="36"/>
        <v/>
      </c>
      <c r="K129" s="189" t="str">
        <f t="shared" si="37"/>
        <v/>
      </c>
      <c r="L129" s="189" t="str">
        <f t="shared" si="38"/>
        <v/>
      </c>
      <c r="M129" s="190"/>
      <c r="N129" s="190"/>
      <c r="O129" s="188" t="str">
        <f t="shared" si="39"/>
        <v/>
      </c>
      <c r="P129" s="191" t="str">
        <f t="shared" si="26"/>
        <v/>
      </c>
      <c r="Q129" s="192" t="str">
        <f t="shared" si="40"/>
        <v/>
      </c>
      <c r="R129" s="191" t="str">
        <f t="shared" si="27"/>
        <v/>
      </c>
      <c r="S129" s="193" t="str">
        <f t="shared" si="41"/>
        <v/>
      </c>
      <c r="T129" s="194" t="str">
        <f t="shared" si="28"/>
        <v/>
      </c>
      <c r="U129" s="192" t="str">
        <f t="shared" si="42"/>
        <v/>
      </c>
      <c r="V129" s="195" t="str">
        <f t="shared" si="29"/>
        <v/>
      </c>
      <c r="W129" s="195" t="str">
        <f t="shared" si="30"/>
        <v/>
      </c>
      <c r="X129" s="196" t="str">
        <f t="shared" si="43"/>
        <v/>
      </c>
      <c r="Y129" s="191" t="str">
        <f t="shared" si="44"/>
        <v/>
      </c>
      <c r="Z129" s="197" t="str">
        <f t="shared" si="31"/>
        <v/>
      </c>
      <c r="AA129" s="197" t="str">
        <f t="shared" si="32"/>
        <v/>
      </c>
      <c r="AB129" s="218"/>
      <c r="AC129" s="205"/>
    </row>
    <row r="130" spans="1:29">
      <c r="A130" s="219" t="str">
        <f t="shared" si="33"/>
        <v/>
      </c>
      <c r="B130" s="219"/>
      <c r="C130" s="184"/>
      <c r="D130" s="185"/>
      <c r="E130" s="185" t="str">
        <f>IF(OR(C130="",C130=Data!$B$3),"",IF(C130=Data!$B$2,"L","S"))</f>
        <v/>
      </c>
      <c r="F130" s="185" t="str">
        <f t="shared" si="34"/>
        <v/>
      </c>
      <c r="G130" s="186" t="str">
        <f t="shared" si="25"/>
        <v/>
      </c>
      <c r="H130" s="187"/>
      <c r="I130" s="188" t="str">
        <f t="shared" si="35"/>
        <v/>
      </c>
      <c r="J130" s="188" t="str">
        <f t="shared" si="36"/>
        <v/>
      </c>
      <c r="K130" s="189" t="str">
        <f t="shared" si="37"/>
        <v/>
      </c>
      <c r="L130" s="189" t="str">
        <f t="shared" si="38"/>
        <v/>
      </c>
      <c r="M130" s="190"/>
      <c r="N130" s="190"/>
      <c r="O130" s="188" t="str">
        <f t="shared" si="39"/>
        <v/>
      </c>
      <c r="P130" s="191" t="str">
        <f t="shared" si="26"/>
        <v/>
      </c>
      <c r="Q130" s="192" t="str">
        <f t="shared" si="40"/>
        <v/>
      </c>
      <c r="R130" s="191" t="str">
        <f t="shared" si="27"/>
        <v/>
      </c>
      <c r="S130" s="193" t="str">
        <f t="shared" si="41"/>
        <v/>
      </c>
      <c r="T130" s="194" t="str">
        <f t="shared" si="28"/>
        <v/>
      </c>
      <c r="U130" s="192" t="str">
        <f t="shared" si="42"/>
        <v/>
      </c>
      <c r="V130" s="195" t="str">
        <f t="shared" si="29"/>
        <v/>
      </c>
      <c r="W130" s="195" t="str">
        <f t="shared" si="30"/>
        <v/>
      </c>
      <c r="X130" s="196" t="str">
        <f t="shared" si="43"/>
        <v/>
      </c>
      <c r="Y130" s="191" t="str">
        <f t="shared" si="44"/>
        <v/>
      </c>
      <c r="Z130" s="197" t="str">
        <f t="shared" si="31"/>
        <v/>
      </c>
      <c r="AA130" s="197" t="str">
        <f t="shared" si="32"/>
        <v/>
      </c>
      <c r="AB130" s="218"/>
      <c r="AC130" s="205"/>
    </row>
    <row r="131" spans="1:29">
      <c r="A131" s="219" t="str">
        <f t="shared" si="33"/>
        <v/>
      </c>
      <c r="B131" s="219"/>
      <c r="C131" s="184"/>
      <c r="D131" s="185"/>
      <c r="E131" s="185" t="str">
        <f>IF(OR(C131="",C131=Data!$B$3),"",IF(C131=Data!$B$2,"L","S"))</f>
        <v/>
      </c>
      <c r="F131" s="185" t="str">
        <f t="shared" si="34"/>
        <v/>
      </c>
      <c r="G131" s="186" t="str">
        <f t="shared" si="25"/>
        <v/>
      </c>
      <c r="H131" s="187"/>
      <c r="I131" s="188" t="str">
        <f t="shared" si="35"/>
        <v/>
      </c>
      <c r="J131" s="188" t="str">
        <f t="shared" si="36"/>
        <v/>
      </c>
      <c r="K131" s="189" t="str">
        <f t="shared" si="37"/>
        <v/>
      </c>
      <c r="L131" s="189" t="str">
        <f t="shared" si="38"/>
        <v/>
      </c>
      <c r="M131" s="190"/>
      <c r="N131" s="190"/>
      <c r="O131" s="188" t="str">
        <f t="shared" si="39"/>
        <v/>
      </c>
      <c r="P131" s="191" t="str">
        <f t="shared" si="26"/>
        <v/>
      </c>
      <c r="Q131" s="192" t="str">
        <f t="shared" si="40"/>
        <v/>
      </c>
      <c r="R131" s="191" t="str">
        <f t="shared" si="27"/>
        <v/>
      </c>
      <c r="S131" s="193" t="str">
        <f t="shared" si="41"/>
        <v/>
      </c>
      <c r="T131" s="194" t="str">
        <f t="shared" si="28"/>
        <v/>
      </c>
      <c r="U131" s="192" t="str">
        <f t="shared" si="42"/>
        <v/>
      </c>
      <c r="V131" s="195" t="str">
        <f t="shared" si="29"/>
        <v/>
      </c>
      <c r="W131" s="195" t="str">
        <f t="shared" si="30"/>
        <v/>
      </c>
      <c r="X131" s="196" t="str">
        <f t="shared" si="43"/>
        <v/>
      </c>
      <c r="Y131" s="191" t="str">
        <f t="shared" si="44"/>
        <v/>
      </c>
      <c r="Z131" s="197" t="str">
        <f t="shared" si="31"/>
        <v/>
      </c>
      <c r="AA131" s="197" t="str">
        <f t="shared" si="32"/>
        <v/>
      </c>
      <c r="AB131" s="218"/>
      <c r="AC131" s="205"/>
    </row>
    <row r="132" spans="1:29">
      <c r="A132" s="219" t="str">
        <f t="shared" si="33"/>
        <v/>
      </c>
      <c r="B132" s="219"/>
      <c r="C132" s="184"/>
      <c r="D132" s="185"/>
      <c r="E132" s="185" t="str">
        <f>IF(OR(C132="",C132=Data!$B$3),"",IF(C132=Data!$B$2,"L","S"))</f>
        <v/>
      </c>
      <c r="F132" s="185" t="str">
        <f t="shared" si="34"/>
        <v/>
      </c>
      <c r="G132" s="186" t="str">
        <f t="shared" si="25"/>
        <v/>
      </c>
      <c r="H132" s="187"/>
      <c r="I132" s="188" t="str">
        <f t="shared" si="35"/>
        <v/>
      </c>
      <c r="J132" s="188" t="str">
        <f t="shared" si="36"/>
        <v/>
      </c>
      <c r="K132" s="189" t="str">
        <f t="shared" si="37"/>
        <v/>
      </c>
      <c r="L132" s="189" t="str">
        <f t="shared" si="38"/>
        <v/>
      </c>
      <c r="M132" s="190"/>
      <c r="N132" s="190"/>
      <c r="O132" s="188" t="str">
        <f t="shared" si="39"/>
        <v/>
      </c>
      <c r="P132" s="191" t="str">
        <f t="shared" si="26"/>
        <v/>
      </c>
      <c r="Q132" s="192" t="str">
        <f t="shared" si="40"/>
        <v/>
      </c>
      <c r="R132" s="191" t="str">
        <f t="shared" si="27"/>
        <v/>
      </c>
      <c r="S132" s="193" t="str">
        <f t="shared" si="41"/>
        <v/>
      </c>
      <c r="T132" s="194" t="str">
        <f t="shared" si="28"/>
        <v/>
      </c>
      <c r="U132" s="192" t="str">
        <f t="shared" si="42"/>
        <v/>
      </c>
      <c r="V132" s="195" t="str">
        <f t="shared" si="29"/>
        <v/>
      </c>
      <c r="W132" s="195" t="str">
        <f t="shared" si="30"/>
        <v/>
      </c>
      <c r="X132" s="196" t="str">
        <f t="shared" si="43"/>
        <v/>
      </c>
      <c r="Y132" s="191" t="str">
        <f t="shared" si="44"/>
        <v/>
      </c>
      <c r="Z132" s="197" t="str">
        <f t="shared" si="31"/>
        <v/>
      </c>
      <c r="AA132" s="197" t="str">
        <f t="shared" si="32"/>
        <v/>
      </c>
      <c r="AB132" s="218"/>
      <c r="AC132" s="205"/>
    </row>
    <row r="133" spans="1:29">
      <c r="A133" s="219" t="str">
        <f t="shared" si="33"/>
        <v/>
      </c>
      <c r="B133" s="219"/>
      <c r="C133" s="184"/>
      <c r="D133" s="185"/>
      <c r="E133" s="185" t="str">
        <f>IF(OR(C133="",C133=Data!$B$3),"",IF(C133=Data!$B$2,"L","S"))</f>
        <v/>
      </c>
      <c r="F133" s="185" t="str">
        <f t="shared" si="34"/>
        <v/>
      </c>
      <c r="G133" s="186" t="str">
        <f t="shared" si="25"/>
        <v/>
      </c>
      <c r="H133" s="187"/>
      <c r="I133" s="188" t="str">
        <f t="shared" si="35"/>
        <v/>
      </c>
      <c r="J133" s="188" t="str">
        <f t="shared" si="36"/>
        <v/>
      </c>
      <c r="K133" s="189" t="str">
        <f t="shared" si="37"/>
        <v/>
      </c>
      <c r="L133" s="189" t="str">
        <f t="shared" si="38"/>
        <v/>
      </c>
      <c r="M133" s="190"/>
      <c r="N133" s="190"/>
      <c r="O133" s="188" t="str">
        <f t="shared" si="39"/>
        <v/>
      </c>
      <c r="P133" s="191" t="str">
        <f t="shared" si="26"/>
        <v/>
      </c>
      <c r="Q133" s="192" t="str">
        <f t="shared" si="40"/>
        <v/>
      </c>
      <c r="R133" s="191" t="str">
        <f t="shared" si="27"/>
        <v/>
      </c>
      <c r="S133" s="193" t="str">
        <f t="shared" si="41"/>
        <v/>
      </c>
      <c r="T133" s="194" t="str">
        <f t="shared" si="28"/>
        <v/>
      </c>
      <c r="U133" s="192" t="str">
        <f t="shared" si="42"/>
        <v/>
      </c>
      <c r="V133" s="195" t="str">
        <f t="shared" si="29"/>
        <v/>
      </c>
      <c r="W133" s="195" t="str">
        <f t="shared" si="30"/>
        <v/>
      </c>
      <c r="X133" s="196" t="str">
        <f t="shared" si="43"/>
        <v/>
      </c>
      <c r="Y133" s="191" t="str">
        <f t="shared" si="44"/>
        <v/>
      </c>
      <c r="Z133" s="197" t="str">
        <f t="shared" si="31"/>
        <v/>
      </c>
      <c r="AA133" s="197" t="str">
        <f t="shared" si="32"/>
        <v/>
      </c>
      <c r="AB133" s="218"/>
      <c r="AC133" s="205"/>
    </row>
    <row r="134" spans="1:29">
      <c r="A134" s="219" t="str">
        <f t="shared" si="33"/>
        <v/>
      </c>
      <c r="B134" s="219"/>
      <c r="C134" s="184"/>
      <c r="D134" s="185"/>
      <c r="E134" s="185" t="str">
        <f>IF(OR(C134="",C134=Data!$B$3),"",IF(C134=Data!$B$2,"L","S"))</f>
        <v/>
      </c>
      <c r="F134" s="185" t="str">
        <f t="shared" si="34"/>
        <v/>
      </c>
      <c r="G134" s="186" t="str">
        <f t="shared" si="25"/>
        <v/>
      </c>
      <c r="H134" s="187"/>
      <c r="I134" s="188" t="str">
        <f t="shared" si="35"/>
        <v/>
      </c>
      <c r="J134" s="188" t="str">
        <f t="shared" si="36"/>
        <v/>
      </c>
      <c r="K134" s="189" t="str">
        <f t="shared" si="37"/>
        <v/>
      </c>
      <c r="L134" s="189" t="str">
        <f t="shared" si="38"/>
        <v/>
      </c>
      <c r="M134" s="190"/>
      <c r="N134" s="190"/>
      <c r="O134" s="188" t="str">
        <f t="shared" si="39"/>
        <v/>
      </c>
      <c r="P134" s="191" t="str">
        <f t="shared" si="26"/>
        <v/>
      </c>
      <c r="Q134" s="192" t="str">
        <f t="shared" si="40"/>
        <v/>
      </c>
      <c r="R134" s="191" t="str">
        <f t="shared" si="27"/>
        <v/>
      </c>
      <c r="S134" s="193" t="str">
        <f t="shared" si="41"/>
        <v/>
      </c>
      <c r="T134" s="194" t="str">
        <f t="shared" si="28"/>
        <v/>
      </c>
      <c r="U134" s="192" t="str">
        <f t="shared" si="42"/>
        <v/>
      </c>
      <c r="V134" s="195" t="str">
        <f t="shared" si="29"/>
        <v/>
      </c>
      <c r="W134" s="195" t="str">
        <f t="shared" si="30"/>
        <v/>
      </c>
      <c r="X134" s="196" t="str">
        <f t="shared" si="43"/>
        <v/>
      </c>
      <c r="Y134" s="191" t="str">
        <f t="shared" si="44"/>
        <v/>
      </c>
      <c r="Z134" s="197" t="str">
        <f t="shared" si="31"/>
        <v/>
      </c>
      <c r="AA134" s="197" t="str">
        <f t="shared" si="32"/>
        <v/>
      </c>
      <c r="AB134" s="218"/>
      <c r="AC134" s="205"/>
    </row>
    <row r="135" spans="1:29">
      <c r="A135" s="219" t="str">
        <f t="shared" si="33"/>
        <v/>
      </c>
      <c r="B135" s="219"/>
      <c r="C135" s="184"/>
      <c r="D135" s="185"/>
      <c r="E135" s="185" t="str">
        <f>IF(OR(C135="",C135=Data!$B$3),"",IF(C135=Data!$B$2,"L","S"))</f>
        <v/>
      </c>
      <c r="F135" s="185" t="str">
        <f t="shared" si="34"/>
        <v/>
      </c>
      <c r="G135" s="186" t="str">
        <f t="shared" si="25"/>
        <v/>
      </c>
      <c r="H135" s="187"/>
      <c r="I135" s="188" t="str">
        <f t="shared" si="35"/>
        <v/>
      </c>
      <c r="J135" s="188" t="str">
        <f t="shared" si="36"/>
        <v/>
      </c>
      <c r="K135" s="189" t="str">
        <f t="shared" si="37"/>
        <v/>
      </c>
      <c r="L135" s="189" t="str">
        <f t="shared" si="38"/>
        <v/>
      </c>
      <c r="M135" s="190"/>
      <c r="N135" s="190"/>
      <c r="O135" s="188" t="str">
        <f t="shared" si="39"/>
        <v/>
      </c>
      <c r="P135" s="191" t="str">
        <f t="shared" si="26"/>
        <v/>
      </c>
      <c r="Q135" s="192" t="str">
        <f t="shared" si="40"/>
        <v/>
      </c>
      <c r="R135" s="191" t="str">
        <f t="shared" si="27"/>
        <v/>
      </c>
      <c r="S135" s="193" t="str">
        <f t="shared" si="41"/>
        <v/>
      </c>
      <c r="T135" s="194" t="str">
        <f t="shared" si="28"/>
        <v/>
      </c>
      <c r="U135" s="192" t="str">
        <f t="shared" si="42"/>
        <v/>
      </c>
      <c r="V135" s="195" t="str">
        <f t="shared" si="29"/>
        <v/>
      </c>
      <c r="W135" s="195" t="str">
        <f t="shared" si="30"/>
        <v/>
      </c>
      <c r="X135" s="196" t="str">
        <f t="shared" si="43"/>
        <v/>
      </c>
      <c r="Y135" s="191" t="str">
        <f t="shared" si="44"/>
        <v/>
      </c>
      <c r="Z135" s="197" t="str">
        <f t="shared" si="31"/>
        <v/>
      </c>
      <c r="AA135" s="197" t="str">
        <f t="shared" si="32"/>
        <v/>
      </c>
      <c r="AB135" s="218"/>
      <c r="AC135" s="205"/>
    </row>
    <row r="136" spans="1:29">
      <c r="A136" s="219" t="str">
        <f t="shared" si="33"/>
        <v/>
      </c>
      <c r="B136" s="219"/>
      <c r="C136" s="184"/>
      <c r="D136" s="185"/>
      <c r="E136" s="185" t="str">
        <f>IF(OR(C136="",C136=Data!$B$3),"",IF(C136=Data!$B$2,"L","S"))</f>
        <v/>
      </c>
      <c r="F136" s="185" t="str">
        <f t="shared" si="34"/>
        <v/>
      </c>
      <c r="G136" s="186" t="str">
        <f t="shared" si="25"/>
        <v/>
      </c>
      <c r="H136" s="187"/>
      <c r="I136" s="188" t="str">
        <f t="shared" si="35"/>
        <v/>
      </c>
      <c r="J136" s="188" t="str">
        <f t="shared" si="36"/>
        <v/>
      </c>
      <c r="K136" s="189" t="str">
        <f t="shared" si="37"/>
        <v/>
      </c>
      <c r="L136" s="189" t="str">
        <f t="shared" si="38"/>
        <v/>
      </c>
      <c r="M136" s="190"/>
      <c r="N136" s="190"/>
      <c r="O136" s="188" t="str">
        <f t="shared" si="39"/>
        <v/>
      </c>
      <c r="P136" s="191" t="str">
        <f t="shared" si="26"/>
        <v/>
      </c>
      <c r="Q136" s="192" t="str">
        <f t="shared" si="40"/>
        <v/>
      </c>
      <c r="R136" s="191" t="str">
        <f t="shared" si="27"/>
        <v/>
      </c>
      <c r="S136" s="193" t="str">
        <f t="shared" si="41"/>
        <v/>
      </c>
      <c r="T136" s="194" t="str">
        <f t="shared" si="28"/>
        <v/>
      </c>
      <c r="U136" s="192" t="str">
        <f t="shared" si="42"/>
        <v/>
      </c>
      <c r="V136" s="195" t="str">
        <f t="shared" si="29"/>
        <v/>
      </c>
      <c r="W136" s="195" t="str">
        <f t="shared" si="30"/>
        <v/>
      </c>
      <c r="X136" s="196" t="str">
        <f t="shared" si="43"/>
        <v/>
      </c>
      <c r="Y136" s="191" t="str">
        <f t="shared" si="44"/>
        <v/>
      </c>
      <c r="Z136" s="197" t="str">
        <f t="shared" si="31"/>
        <v/>
      </c>
      <c r="AA136" s="197" t="str">
        <f t="shared" si="32"/>
        <v/>
      </c>
      <c r="AB136" s="218"/>
      <c r="AC136" s="205"/>
    </row>
    <row r="137" spans="1:29">
      <c r="A137" s="219" t="str">
        <f t="shared" si="33"/>
        <v/>
      </c>
      <c r="B137" s="219"/>
      <c r="C137" s="184"/>
      <c r="D137" s="185"/>
      <c r="E137" s="185" t="str">
        <f>IF(OR(C137="",C137=Data!$B$3),"",IF(C137=Data!$B$2,"L","S"))</f>
        <v/>
      </c>
      <c r="F137" s="185" t="str">
        <f t="shared" si="34"/>
        <v/>
      </c>
      <c r="G137" s="186" t="str">
        <f t="shared" si="25"/>
        <v/>
      </c>
      <c r="H137" s="187"/>
      <c r="I137" s="188" t="str">
        <f t="shared" si="35"/>
        <v/>
      </c>
      <c r="J137" s="188" t="str">
        <f t="shared" si="36"/>
        <v/>
      </c>
      <c r="K137" s="189" t="str">
        <f t="shared" si="37"/>
        <v/>
      </c>
      <c r="L137" s="189" t="str">
        <f t="shared" si="38"/>
        <v/>
      </c>
      <c r="M137" s="190"/>
      <c r="N137" s="190"/>
      <c r="O137" s="188" t="str">
        <f t="shared" si="39"/>
        <v/>
      </c>
      <c r="P137" s="191" t="str">
        <f t="shared" si="26"/>
        <v/>
      </c>
      <c r="Q137" s="192" t="str">
        <f t="shared" si="40"/>
        <v/>
      </c>
      <c r="R137" s="191" t="str">
        <f t="shared" si="27"/>
        <v/>
      </c>
      <c r="S137" s="193" t="str">
        <f t="shared" si="41"/>
        <v/>
      </c>
      <c r="T137" s="194" t="str">
        <f t="shared" si="28"/>
        <v/>
      </c>
      <c r="U137" s="192" t="str">
        <f t="shared" si="42"/>
        <v/>
      </c>
      <c r="V137" s="195" t="str">
        <f t="shared" si="29"/>
        <v/>
      </c>
      <c r="W137" s="195" t="str">
        <f t="shared" si="30"/>
        <v/>
      </c>
      <c r="X137" s="196" t="str">
        <f t="shared" si="43"/>
        <v/>
      </c>
      <c r="Y137" s="191" t="str">
        <f t="shared" si="44"/>
        <v/>
      </c>
      <c r="Z137" s="197" t="str">
        <f t="shared" si="31"/>
        <v/>
      </c>
      <c r="AA137" s="197" t="str">
        <f t="shared" si="32"/>
        <v/>
      </c>
      <c r="AB137" s="218"/>
      <c r="AC137" s="205"/>
    </row>
    <row r="138" spans="1:29">
      <c r="A138" s="219" t="str">
        <f t="shared" si="33"/>
        <v/>
      </c>
      <c r="B138" s="219"/>
      <c r="C138" s="184"/>
      <c r="D138" s="185"/>
      <c r="E138" s="185" t="str">
        <f>IF(OR(C138="",C138=Data!$B$3),"",IF(C138=Data!$B$2,"L","S"))</f>
        <v/>
      </c>
      <c r="F138" s="185" t="str">
        <f t="shared" si="34"/>
        <v/>
      </c>
      <c r="G138" s="186" t="str">
        <f t="shared" si="25"/>
        <v/>
      </c>
      <c r="H138" s="187"/>
      <c r="I138" s="188" t="str">
        <f t="shared" si="35"/>
        <v/>
      </c>
      <c r="J138" s="188" t="str">
        <f t="shared" si="36"/>
        <v/>
      </c>
      <c r="K138" s="189" t="str">
        <f t="shared" si="37"/>
        <v/>
      </c>
      <c r="L138" s="189" t="str">
        <f t="shared" si="38"/>
        <v/>
      </c>
      <c r="M138" s="190"/>
      <c r="N138" s="190"/>
      <c r="O138" s="188" t="str">
        <f t="shared" si="39"/>
        <v/>
      </c>
      <c r="P138" s="191" t="str">
        <f t="shared" si="26"/>
        <v/>
      </c>
      <c r="Q138" s="192" t="str">
        <f t="shared" si="40"/>
        <v/>
      </c>
      <c r="R138" s="191" t="str">
        <f t="shared" si="27"/>
        <v/>
      </c>
      <c r="S138" s="193" t="str">
        <f t="shared" si="41"/>
        <v/>
      </c>
      <c r="T138" s="194" t="str">
        <f t="shared" si="28"/>
        <v/>
      </c>
      <c r="U138" s="192" t="str">
        <f t="shared" si="42"/>
        <v/>
      </c>
      <c r="V138" s="195" t="str">
        <f t="shared" si="29"/>
        <v/>
      </c>
      <c r="W138" s="195" t="str">
        <f t="shared" si="30"/>
        <v/>
      </c>
      <c r="X138" s="196" t="str">
        <f t="shared" si="43"/>
        <v/>
      </c>
      <c r="Y138" s="191" t="str">
        <f t="shared" si="44"/>
        <v/>
      </c>
      <c r="Z138" s="197" t="str">
        <f t="shared" si="31"/>
        <v/>
      </c>
      <c r="AA138" s="197" t="str">
        <f t="shared" si="32"/>
        <v/>
      </c>
      <c r="AB138" s="218"/>
      <c r="AC138" s="205"/>
    </row>
    <row r="139" spans="1:29">
      <c r="A139" s="219" t="str">
        <f t="shared" si="33"/>
        <v/>
      </c>
      <c r="B139" s="219"/>
      <c r="C139" s="184"/>
      <c r="D139" s="185"/>
      <c r="E139" s="185" t="str">
        <f>IF(OR(C139="",C139=Data!$B$3),"",IF(C139=Data!$B$2,"L","S"))</f>
        <v/>
      </c>
      <c r="F139" s="185" t="str">
        <f t="shared" si="34"/>
        <v/>
      </c>
      <c r="G139" s="186" t="str">
        <f t="shared" si="25"/>
        <v/>
      </c>
      <c r="H139" s="187"/>
      <c r="I139" s="188" t="str">
        <f t="shared" si="35"/>
        <v/>
      </c>
      <c r="J139" s="188" t="str">
        <f t="shared" si="36"/>
        <v/>
      </c>
      <c r="K139" s="189" t="str">
        <f t="shared" si="37"/>
        <v/>
      </c>
      <c r="L139" s="189" t="str">
        <f t="shared" si="38"/>
        <v/>
      </c>
      <c r="M139" s="190"/>
      <c r="N139" s="190"/>
      <c r="O139" s="188" t="str">
        <f t="shared" si="39"/>
        <v/>
      </c>
      <c r="P139" s="191" t="str">
        <f t="shared" si="26"/>
        <v/>
      </c>
      <c r="Q139" s="192" t="str">
        <f t="shared" si="40"/>
        <v/>
      </c>
      <c r="R139" s="191" t="str">
        <f t="shared" si="27"/>
        <v/>
      </c>
      <c r="S139" s="193" t="str">
        <f t="shared" si="41"/>
        <v/>
      </c>
      <c r="T139" s="194" t="str">
        <f t="shared" si="28"/>
        <v/>
      </c>
      <c r="U139" s="192" t="str">
        <f t="shared" si="42"/>
        <v/>
      </c>
      <c r="V139" s="195" t="str">
        <f t="shared" si="29"/>
        <v/>
      </c>
      <c r="W139" s="195" t="str">
        <f t="shared" si="30"/>
        <v/>
      </c>
      <c r="X139" s="196" t="str">
        <f t="shared" si="43"/>
        <v/>
      </c>
      <c r="Y139" s="191" t="str">
        <f t="shared" si="44"/>
        <v/>
      </c>
      <c r="Z139" s="197" t="str">
        <f t="shared" si="31"/>
        <v/>
      </c>
      <c r="AA139" s="197" t="str">
        <f t="shared" si="32"/>
        <v/>
      </c>
      <c r="AB139" s="218"/>
      <c r="AC139" s="205"/>
    </row>
    <row r="140" spans="1:29">
      <c r="A140" s="219" t="str">
        <f t="shared" si="33"/>
        <v/>
      </c>
      <c r="B140" s="219"/>
      <c r="C140" s="184"/>
      <c r="D140" s="185"/>
      <c r="E140" s="185" t="str">
        <f>IF(OR(C140="",C140=Data!$B$3),"",IF(C140=Data!$B$2,"L","S"))</f>
        <v/>
      </c>
      <c r="F140" s="185" t="str">
        <f t="shared" si="34"/>
        <v/>
      </c>
      <c r="G140" s="186" t="str">
        <f t="shared" ref="G140:G203" si="45">IF(A140="","",$D$3)</f>
        <v/>
      </c>
      <c r="H140" s="187"/>
      <c r="I140" s="188" t="str">
        <f t="shared" si="35"/>
        <v/>
      </c>
      <c r="J140" s="188" t="str">
        <f t="shared" si="36"/>
        <v/>
      </c>
      <c r="K140" s="189" t="str">
        <f t="shared" si="37"/>
        <v/>
      </c>
      <c r="L140" s="189" t="str">
        <f t="shared" si="38"/>
        <v/>
      </c>
      <c r="M140" s="190"/>
      <c r="N140" s="190"/>
      <c r="O140" s="188" t="str">
        <f t="shared" si="39"/>
        <v/>
      </c>
      <c r="P140" s="191" t="str">
        <f t="shared" ref="P140:P203" si="46">IF(O140="","",IF(L140*F140*G140=0,0,L140*F140*G140))</f>
        <v/>
      </c>
      <c r="Q140" s="192" t="str">
        <f t="shared" si="40"/>
        <v/>
      </c>
      <c r="R140" s="191" t="str">
        <f t="shared" ref="R140:R203" si="47">IF(O140&lt;&gt;"",IF(K140*F140*G140=0,"",K140*F140*G140),"")</f>
        <v/>
      </c>
      <c r="S140" s="193" t="str">
        <f t="shared" si="41"/>
        <v/>
      </c>
      <c r="T140" s="194" t="str">
        <f t="shared" ref="T140:T203" si="48">IF(X140="","",X140*F140*G140)</f>
        <v/>
      </c>
      <c r="U140" s="192" t="str">
        <f t="shared" si="42"/>
        <v/>
      </c>
      <c r="V140" s="195" t="str">
        <f t="shared" ref="V140:V203" si="49">IF(O140="","",IF(AND(O140&gt;I140,E140="L"),1, IF(AND(I140&gt;O140,E140="S"),1,0)))</f>
        <v/>
      </c>
      <c r="W140" s="195" t="str">
        <f t="shared" ref="W140:W203" si="50">IF(O140="","",IF(AND(O140&lt;I140,E140="L"),1, IF(AND(I140&lt;O140,E140="S"),1,0)))</f>
        <v/>
      </c>
      <c r="X140" s="196" t="str">
        <f t="shared" si="43"/>
        <v/>
      </c>
      <c r="Y140" s="191" t="str">
        <f t="shared" si="44"/>
        <v/>
      </c>
      <c r="Z140" s="197" t="str">
        <f t="shared" ref="Z140:Z203" si="51">IF(M140="","",MONTH(M140))</f>
        <v/>
      </c>
      <c r="AA140" s="197" t="str">
        <f t="shared" ref="AA140:AA203" si="52">IF(M140="","",YEAR(M140))</f>
        <v/>
      </c>
      <c r="AB140" s="218"/>
      <c r="AC140" s="205"/>
    </row>
    <row r="141" spans="1:29">
      <c r="A141" s="219" t="str">
        <f t="shared" ref="A141:A204" si="53">IF(C141="","",1)</f>
        <v/>
      </c>
      <c r="B141" s="219"/>
      <c r="C141" s="184"/>
      <c r="D141" s="185"/>
      <c r="E141" s="185" t="str">
        <f>IF(OR(C141="",C141=Data!$B$3),"",IF(C141=Data!$B$2,"L","S"))</f>
        <v/>
      </c>
      <c r="F141" s="185" t="str">
        <f t="shared" ref="F141:F204" si="54">IF(A141&lt;&gt;"",$D$2,"")</f>
        <v/>
      </c>
      <c r="G141" s="186" t="str">
        <f t="shared" si="45"/>
        <v/>
      </c>
      <c r="H141" s="187"/>
      <c r="I141" s="188" t="str">
        <f t="shared" ref="I141:I204" si="55">IF(H141="","",IF(E141="L",H141+$D$4*0.0001,H141-$D$4*0.0001))</f>
        <v/>
      </c>
      <c r="J141" s="188" t="str">
        <f t="shared" ref="J141:J204" si="56">IF(AND(H141&lt;&gt;"",I141&lt;&gt;""),IF(E141="L",I141+(I141-H141)*3,I141-(H141-I141)*3),"")</f>
        <v/>
      </c>
      <c r="K141" s="189" t="str">
        <f t="shared" ref="K141:K204" si="57">IF(AND(E141&lt;&gt;"",AND(I141&lt;&gt;"",J141&lt;&gt;"")),IF(E141="L",(J141-I141)*IF(I141&gt;10,IF(SEARCH("JPY",D141),10,100),10000),(I141-J141)*IF(I141&gt;10,IF(SEARCH("JPY",D141),10,100),10000)),"")</f>
        <v/>
      </c>
      <c r="L141" s="189" t="str">
        <f t="shared" ref="L141:L204" si="58">IF(AND(E141&lt;&gt;"",AND(H141&lt;&gt;"",I141&lt;&gt;"")),IF(E141="L",(I141-H141)*IF(I141&gt;10,IF(SEARCH("JPY",D141),10,100),10000),(H141-I141)*IF(I141&gt;10,IF(SEARCH("JPY",D141),10,100),10000)),"")</f>
        <v/>
      </c>
      <c r="M141" s="190"/>
      <c r="N141" s="190"/>
      <c r="O141" s="188" t="str">
        <f t="shared" ref="O141:O204" si="59">J141</f>
        <v/>
      </c>
      <c r="P141" s="191" t="str">
        <f t="shared" si="46"/>
        <v/>
      </c>
      <c r="Q141" s="192" t="str">
        <f t="shared" ref="Q141:Q204" si="60">IF(P141="","",IF(P141=0,0,P141/$I$4))</f>
        <v/>
      </c>
      <c r="R141" s="191" t="str">
        <f t="shared" si="47"/>
        <v/>
      </c>
      <c r="S141" s="193" t="str">
        <f t="shared" ref="S141:S204" si="61">IF(P141="","",IF(P141=0,0,R141/P141))</f>
        <v/>
      </c>
      <c r="T141" s="194" t="str">
        <f t="shared" si="48"/>
        <v/>
      </c>
      <c r="U141" s="192" t="str">
        <f t="shared" ref="U141:U204" si="62">IF(T141="","",IF($I$4="","",T141/$I$4))</f>
        <v/>
      </c>
      <c r="V141" s="195" t="str">
        <f t="shared" si="49"/>
        <v/>
      </c>
      <c r="W141" s="195" t="str">
        <f t="shared" si="50"/>
        <v/>
      </c>
      <c r="X141" s="196" t="str">
        <f t="shared" ref="X141:X204" si="63">IF((O141=""),"",IF(E141="L",1,-1)*(O141-I141)*IF(O141&gt;10,IF(SEARCH("JPY",D141),10,100),10000))</f>
        <v/>
      </c>
      <c r="Y141" s="191" t="str">
        <f t="shared" si="44"/>
        <v/>
      </c>
      <c r="Z141" s="197" t="str">
        <f t="shared" si="51"/>
        <v/>
      </c>
      <c r="AA141" s="197" t="str">
        <f t="shared" si="52"/>
        <v/>
      </c>
      <c r="AB141" s="218"/>
      <c r="AC141" s="205"/>
    </row>
    <row r="142" spans="1:29">
      <c r="A142" s="219" t="str">
        <f t="shared" si="53"/>
        <v/>
      </c>
      <c r="B142" s="219"/>
      <c r="C142" s="184"/>
      <c r="D142" s="185"/>
      <c r="E142" s="185" t="str">
        <f>IF(OR(C142="",C142=Data!$B$3),"",IF(C142=Data!$B$2,"L","S"))</f>
        <v/>
      </c>
      <c r="F142" s="185" t="str">
        <f t="shared" si="54"/>
        <v/>
      </c>
      <c r="G142" s="186" t="str">
        <f t="shared" si="45"/>
        <v/>
      </c>
      <c r="H142" s="187"/>
      <c r="I142" s="188" t="str">
        <f t="shared" si="55"/>
        <v/>
      </c>
      <c r="J142" s="188" t="str">
        <f t="shared" si="56"/>
        <v/>
      </c>
      <c r="K142" s="189" t="str">
        <f t="shared" si="57"/>
        <v/>
      </c>
      <c r="L142" s="189" t="str">
        <f t="shared" si="58"/>
        <v/>
      </c>
      <c r="M142" s="190"/>
      <c r="N142" s="190"/>
      <c r="O142" s="188" t="str">
        <f t="shared" si="59"/>
        <v/>
      </c>
      <c r="P142" s="191" t="str">
        <f t="shared" si="46"/>
        <v/>
      </c>
      <c r="Q142" s="192" t="str">
        <f t="shared" si="60"/>
        <v/>
      </c>
      <c r="R142" s="191" t="str">
        <f t="shared" si="47"/>
        <v/>
      </c>
      <c r="S142" s="193" t="str">
        <f t="shared" si="61"/>
        <v/>
      </c>
      <c r="T142" s="194" t="str">
        <f t="shared" si="48"/>
        <v/>
      </c>
      <c r="U142" s="192" t="str">
        <f t="shared" si="62"/>
        <v/>
      </c>
      <c r="V142" s="195" t="str">
        <f t="shared" si="49"/>
        <v/>
      </c>
      <c r="W142" s="195" t="str">
        <f t="shared" si="50"/>
        <v/>
      </c>
      <c r="X142" s="196" t="str">
        <f t="shared" si="63"/>
        <v/>
      </c>
      <c r="Y142" s="191" t="str">
        <f t="shared" si="44"/>
        <v/>
      </c>
      <c r="Z142" s="197" t="str">
        <f t="shared" si="51"/>
        <v/>
      </c>
      <c r="AA142" s="197" t="str">
        <f t="shared" si="52"/>
        <v/>
      </c>
      <c r="AB142" s="218"/>
      <c r="AC142" s="205"/>
    </row>
    <row r="143" spans="1:29">
      <c r="A143" s="219" t="str">
        <f t="shared" si="53"/>
        <v/>
      </c>
      <c r="B143" s="219"/>
      <c r="C143" s="184"/>
      <c r="D143" s="185"/>
      <c r="E143" s="185" t="str">
        <f>IF(OR(C143="",C143=Data!$B$3),"",IF(C143=Data!$B$2,"L","S"))</f>
        <v/>
      </c>
      <c r="F143" s="185" t="str">
        <f t="shared" si="54"/>
        <v/>
      </c>
      <c r="G143" s="186" t="str">
        <f t="shared" si="45"/>
        <v/>
      </c>
      <c r="H143" s="187"/>
      <c r="I143" s="188" t="str">
        <f t="shared" si="55"/>
        <v/>
      </c>
      <c r="J143" s="188" t="str">
        <f t="shared" si="56"/>
        <v/>
      </c>
      <c r="K143" s="189" t="str">
        <f t="shared" si="57"/>
        <v/>
      </c>
      <c r="L143" s="189" t="str">
        <f t="shared" si="58"/>
        <v/>
      </c>
      <c r="M143" s="190"/>
      <c r="N143" s="190"/>
      <c r="O143" s="188" t="str">
        <f t="shared" si="59"/>
        <v/>
      </c>
      <c r="P143" s="191" t="str">
        <f t="shared" si="46"/>
        <v/>
      </c>
      <c r="Q143" s="192" t="str">
        <f t="shared" si="60"/>
        <v/>
      </c>
      <c r="R143" s="191" t="str">
        <f t="shared" si="47"/>
        <v/>
      </c>
      <c r="S143" s="193" t="str">
        <f t="shared" si="61"/>
        <v/>
      </c>
      <c r="T143" s="194" t="str">
        <f t="shared" si="48"/>
        <v/>
      </c>
      <c r="U143" s="192" t="str">
        <f t="shared" si="62"/>
        <v/>
      </c>
      <c r="V143" s="195" t="str">
        <f t="shared" si="49"/>
        <v/>
      </c>
      <c r="W143" s="195" t="str">
        <f t="shared" si="50"/>
        <v/>
      </c>
      <c r="X143" s="196" t="str">
        <f t="shared" si="63"/>
        <v/>
      </c>
      <c r="Y143" s="191" t="str">
        <f t="shared" si="44"/>
        <v/>
      </c>
      <c r="Z143" s="197" t="str">
        <f t="shared" si="51"/>
        <v/>
      </c>
      <c r="AA143" s="197" t="str">
        <f t="shared" si="52"/>
        <v/>
      </c>
      <c r="AB143" s="218"/>
      <c r="AC143" s="205"/>
    </row>
    <row r="144" spans="1:29">
      <c r="A144" s="219" t="str">
        <f t="shared" si="53"/>
        <v/>
      </c>
      <c r="B144" s="219"/>
      <c r="C144" s="184"/>
      <c r="D144" s="185"/>
      <c r="E144" s="185" t="str">
        <f>IF(OR(C144="",C144=Data!$B$3),"",IF(C144=Data!$B$2,"L","S"))</f>
        <v/>
      </c>
      <c r="F144" s="185" t="str">
        <f t="shared" si="54"/>
        <v/>
      </c>
      <c r="G144" s="186" t="str">
        <f t="shared" si="45"/>
        <v/>
      </c>
      <c r="H144" s="187"/>
      <c r="I144" s="188" t="str">
        <f t="shared" si="55"/>
        <v/>
      </c>
      <c r="J144" s="188" t="str">
        <f t="shared" si="56"/>
        <v/>
      </c>
      <c r="K144" s="189" t="str">
        <f t="shared" si="57"/>
        <v/>
      </c>
      <c r="L144" s="189" t="str">
        <f t="shared" si="58"/>
        <v/>
      </c>
      <c r="M144" s="190"/>
      <c r="N144" s="190"/>
      <c r="O144" s="188" t="str">
        <f t="shared" si="59"/>
        <v/>
      </c>
      <c r="P144" s="191" t="str">
        <f t="shared" si="46"/>
        <v/>
      </c>
      <c r="Q144" s="192" t="str">
        <f t="shared" si="60"/>
        <v/>
      </c>
      <c r="R144" s="191" t="str">
        <f t="shared" si="47"/>
        <v/>
      </c>
      <c r="S144" s="193" t="str">
        <f t="shared" si="61"/>
        <v/>
      </c>
      <c r="T144" s="194" t="str">
        <f t="shared" si="48"/>
        <v/>
      </c>
      <c r="U144" s="192" t="str">
        <f t="shared" si="62"/>
        <v/>
      </c>
      <c r="V144" s="195" t="str">
        <f t="shared" si="49"/>
        <v/>
      </c>
      <c r="W144" s="195" t="str">
        <f t="shared" si="50"/>
        <v/>
      </c>
      <c r="X144" s="196" t="str">
        <f t="shared" si="63"/>
        <v/>
      </c>
      <c r="Y144" s="191" t="str">
        <f t="shared" si="44"/>
        <v/>
      </c>
      <c r="Z144" s="197" t="str">
        <f t="shared" si="51"/>
        <v/>
      </c>
      <c r="AA144" s="197" t="str">
        <f t="shared" si="52"/>
        <v/>
      </c>
      <c r="AB144" s="218"/>
      <c r="AC144" s="205"/>
    </row>
    <row r="145" spans="1:29">
      <c r="A145" s="219" t="str">
        <f t="shared" si="53"/>
        <v/>
      </c>
      <c r="B145" s="219"/>
      <c r="C145" s="184"/>
      <c r="D145" s="185"/>
      <c r="E145" s="185" t="str">
        <f>IF(OR(C145="",C145=Data!$B$3),"",IF(C145=Data!$B$2,"L","S"))</f>
        <v/>
      </c>
      <c r="F145" s="185" t="str">
        <f t="shared" si="54"/>
        <v/>
      </c>
      <c r="G145" s="186" t="str">
        <f t="shared" si="45"/>
        <v/>
      </c>
      <c r="H145" s="187"/>
      <c r="I145" s="188" t="str">
        <f t="shared" si="55"/>
        <v/>
      </c>
      <c r="J145" s="188" t="str">
        <f t="shared" si="56"/>
        <v/>
      </c>
      <c r="K145" s="189" t="str">
        <f t="shared" si="57"/>
        <v/>
      </c>
      <c r="L145" s="189" t="str">
        <f t="shared" si="58"/>
        <v/>
      </c>
      <c r="M145" s="190"/>
      <c r="N145" s="190"/>
      <c r="O145" s="188" t="str">
        <f t="shared" si="59"/>
        <v/>
      </c>
      <c r="P145" s="191" t="str">
        <f t="shared" si="46"/>
        <v/>
      </c>
      <c r="Q145" s="192" t="str">
        <f t="shared" si="60"/>
        <v/>
      </c>
      <c r="R145" s="191" t="str">
        <f t="shared" si="47"/>
        <v/>
      </c>
      <c r="S145" s="193" t="str">
        <f t="shared" si="61"/>
        <v/>
      </c>
      <c r="T145" s="194" t="str">
        <f t="shared" si="48"/>
        <v/>
      </c>
      <c r="U145" s="192" t="str">
        <f t="shared" si="62"/>
        <v/>
      </c>
      <c r="V145" s="195" t="str">
        <f t="shared" si="49"/>
        <v/>
      </c>
      <c r="W145" s="195" t="str">
        <f t="shared" si="50"/>
        <v/>
      </c>
      <c r="X145" s="196" t="str">
        <f t="shared" si="63"/>
        <v/>
      </c>
      <c r="Y145" s="191" t="str">
        <f t="shared" si="44"/>
        <v/>
      </c>
      <c r="Z145" s="197" t="str">
        <f t="shared" si="51"/>
        <v/>
      </c>
      <c r="AA145" s="197" t="str">
        <f t="shared" si="52"/>
        <v/>
      </c>
      <c r="AB145" s="218"/>
      <c r="AC145" s="205"/>
    </row>
    <row r="146" spans="1:29">
      <c r="A146" s="219" t="str">
        <f t="shared" si="53"/>
        <v/>
      </c>
      <c r="B146" s="219"/>
      <c r="C146" s="184"/>
      <c r="D146" s="185"/>
      <c r="E146" s="185" t="str">
        <f>IF(OR(C146="",C146=Data!$B$3),"",IF(C146=Data!$B$2,"L","S"))</f>
        <v/>
      </c>
      <c r="F146" s="185" t="str">
        <f t="shared" si="54"/>
        <v/>
      </c>
      <c r="G146" s="186" t="str">
        <f t="shared" si="45"/>
        <v/>
      </c>
      <c r="H146" s="187"/>
      <c r="I146" s="188" t="str">
        <f t="shared" si="55"/>
        <v/>
      </c>
      <c r="J146" s="188" t="str">
        <f t="shared" si="56"/>
        <v/>
      </c>
      <c r="K146" s="189" t="str">
        <f t="shared" si="57"/>
        <v/>
      </c>
      <c r="L146" s="189" t="str">
        <f t="shared" si="58"/>
        <v/>
      </c>
      <c r="M146" s="190"/>
      <c r="N146" s="190"/>
      <c r="O146" s="188" t="str">
        <f t="shared" si="59"/>
        <v/>
      </c>
      <c r="P146" s="191" t="str">
        <f t="shared" si="46"/>
        <v/>
      </c>
      <c r="Q146" s="192" t="str">
        <f t="shared" si="60"/>
        <v/>
      </c>
      <c r="R146" s="191" t="str">
        <f t="shared" si="47"/>
        <v/>
      </c>
      <c r="S146" s="193" t="str">
        <f t="shared" si="61"/>
        <v/>
      </c>
      <c r="T146" s="194" t="str">
        <f t="shared" si="48"/>
        <v/>
      </c>
      <c r="U146" s="192" t="str">
        <f t="shared" si="62"/>
        <v/>
      </c>
      <c r="V146" s="195" t="str">
        <f t="shared" si="49"/>
        <v/>
      </c>
      <c r="W146" s="195" t="str">
        <f t="shared" si="50"/>
        <v/>
      </c>
      <c r="X146" s="196" t="str">
        <f t="shared" si="63"/>
        <v/>
      </c>
      <c r="Y146" s="191" t="str">
        <f t="shared" si="44"/>
        <v/>
      </c>
      <c r="Z146" s="197" t="str">
        <f t="shared" si="51"/>
        <v/>
      </c>
      <c r="AA146" s="197" t="str">
        <f t="shared" si="52"/>
        <v/>
      </c>
      <c r="AB146" s="218"/>
      <c r="AC146" s="205"/>
    </row>
    <row r="147" spans="1:29">
      <c r="A147" s="219" t="str">
        <f t="shared" si="53"/>
        <v/>
      </c>
      <c r="B147" s="219"/>
      <c r="C147" s="184"/>
      <c r="D147" s="185"/>
      <c r="E147" s="185" t="str">
        <f>IF(OR(C147="",C147=Data!$B$3),"",IF(C147=Data!$B$2,"L","S"))</f>
        <v/>
      </c>
      <c r="F147" s="185" t="str">
        <f t="shared" si="54"/>
        <v/>
      </c>
      <c r="G147" s="186" t="str">
        <f t="shared" si="45"/>
        <v/>
      </c>
      <c r="H147" s="187"/>
      <c r="I147" s="188" t="str">
        <f t="shared" si="55"/>
        <v/>
      </c>
      <c r="J147" s="188" t="str">
        <f t="shared" si="56"/>
        <v/>
      </c>
      <c r="K147" s="189" t="str">
        <f t="shared" si="57"/>
        <v/>
      </c>
      <c r="L147" s="189" t="str">
        <f t="shared" si="58"/>
        <v/>
      </c>
      <c r="M147" s="190"/>
      <c r="N147" s="190"/>
      <c r="O147" s="188" t="str">
        <f t="shared" si="59"/>
        <v/>
      </c>
      <c r="P147" s="191" t="str">
        <f t="shared" si="46"/>
        <v/>
      </c>
      <c r="Q147" s="192" t="str">
        <f t="shared" si="60"/>
        <v/>
      </c>
      <c r="R147" s="191" t="str">
        <f t="shared" si="47"/>
        <v/>
      </c>
      <c r="S147" s="193" t="str">
        <f t="shared" si="61"/>
        <v/>
      </c>
      <c r="T147" s="194" t="str">
        <f t="shared" si="48"/>
        <v/>
      </c>
      <c r="U147" s="192" t="str">
        <f t="shared" si="62"/>
        <v/>
      </c>
      <c r="V147" s="195" t="str">
        <f t="shared" si="49"/>
        <v/>
      </c>
      <c r="W147" s="195" t="str">
        <f t="shared" si="50"/>
        <v/>
      </c>
      <c r="X147" s="196" t="str">
        <f t="shared" si="63"/>
        <v/>
      </c>
      <c r="Y147" s="191" t="str">
        <f t="shared" si="44"/>
        <v/>
      </c>
      <c r="Z147" s="197" t="str">
        <f t="shared" si="51"/>
        <v/>
      </c>
      <c r="AA147" s="197" t="str">
        <f t="shared" si="52"/>
        <v/>
      </c>
      <c r="AB147" s="218"/>
      <c r="AC147" s="205"/>
    </row>
    <row r="148" spans="1:29">
      <c r="A148" s="219" t="str">
        <f t="shared" si="53"/>
        <v/>
      </c>
      <c r="B148" s="219"/>
      <c r="C148" s="184"/>
      <c r="D148" s="185"/>
      <c r="E148" s="185" t="str">
        <f>IF(OR(C148="",C148=Data!$B$3),"",IF(C148=Data!$B$2,"L","S"))</f>
        <v/>
      </c>
      <c r="F148" s="185" t="str">
        <f t="shared" si="54"/>
        <v/>
      </c>
      <c r="G148" s="186" t="str">
        <f t="shared" si="45"/>
        <v/>
      </c>
      <c r="H148" s="187"/>
      <c r="I148" s="188" t="str">
        <f t="shared" si="55"/>
        <v/>
      </c>
      <c r="J148" s="188" t="str">
        <f t="shared" si="56"/>
        <v/>
      </c>
      <c r="K148" s="189" t="str">
        <f t="shared" si="57"/>
        <v/>
      </c>
      <c r="L148" s="189" t="str">
        <f t="shared" si="58"/>
        <v/>
      </c>
      <c r="M148" s="190"/>
      <c r="N148" s="190"/>
      <c r="O148" s="188" t="str">
        <f t="shared" si="59"/>
        <v/>
      </c>
      <c r="P148" s="191" t="str">
        <f t="shared" si="46"/>
        <v/>
      </c>
      <c r="Q148" s="192" t="str">
        <f t="shared" si="60"/>
        <v/>
      </c>
      <c r="R148" s="191" t="str">
        <f t="shared" si="47"/>
        <v/>
      </c>
      <c r="S148" s="193" t="str">
        <f t="shared" si="61"/>
        <v/>
      </c>
      <c r="T148" s="194" t="str">
        <f t="shared" si="48"/>
        <v/>
      </c>
      <c r="U148" s="192" t="str">
        <f t="shared" si="62"/>
        <v/>
      </c>
      <c r="V148" s="195" t="str">
        <f t="shared" si="49"/>
        <v/>
      </c>
      <c r="W148" s="195" t="str">
        <f t="shared" si="50"/>
        <v/>
      </c>
      <c r="X148" s="196" t="str">
        <f t="shared" si="63"/>
        <v/>
      </c>
      <c r="Y148" s="191" t="str">
        <f t="shared" ref="Y148:Y211" si="64">IF(Y147="","",IF(T148="","",Y147+T148))</f>
        <v/>
      </c>
      <c r="Z148" s="197" t="str">
        <f t="shared" si="51"/>
        <v/>
      </c>
      <c r="AA148" s="197" t="str">
        <f t="shared" si="52"/>
        <v/>
      </c>
      <c r="AB148" s="218"/>
      <c r="AC148" s="205"/>
    </row>
    <row r="149" spans="1:29">
      <c r="A149" s="219" t="str">
        <f t="shared" si="53"/>
        <v/>
      </c>
      <c r="B149" s="219"/>
      <c r="C149" s="184"/>
      <c r="D149" s="185"/>
      <c r="E149" s="185" t="str">
        <f>IF(OR(C149="",C149=Data!$B$3),"",IF(C149=Data!$B$2,"L","S"))</f>
        <v/>
      </c>
      <c r="F149" s="185" t="str">
        <f t="shared" si="54"/>
        <v/>
      </c>
      <c r="G149" s="186" t="str">
        <f t="shared" si="45"/>
        <v/>
      </c>
      <c r="H149" s="187"/>
      <c r="I149" s="188" t="str">
        <f t="shared" si="55"/>
        <v/>
      </c>
      <c r="J149" s="188" t="str">
        <f t="shared" si="56"/>
        <v/>
      </c>
      <c r="K149" s="189" t="str">
        <f t="shared" si="57"/>
        <v/>
      </c>
      <c r="L149" s="189" t="str">
        <f t="shared" si="58"/>
        <v/>
      </c>
      <c r="M149" s="190"/>
      <c r="N149" s="190"/>
      <c r="O149" s="188" t="str">
        <f t="shared" si="59"/>
        <v/>
      </c>
      <c r="P149" s="191" t="str">
        <f t="shared" si="46"/>
        <v/>
      </c>
      <c r="Q149" s="192" t="str">
        <f t="shared" si="60"/>
        <v/>
      </c>
      <c r="R149" s="191" t="str">
        <f t="shared" si="47"/>
        <v/>
      </c>
      <c r="S149" s="193" t="str">
        <f t="shared" si="61"/>
        <v/>
      </c>
      <c r="T149" s="194" t="str">
        <f t="shared" si="48"/>
        <v/>
      </c>
      <c r="U149" s="192" t="str">
        <f t="shared" si="62"/>
        <v/>
      </c>
      <c r="V149" s="195" t="str">
        <f t="shared" si="49"/>
        <v/>
      </c>
      <c r="W149" s="195" t="str">
        <f t="shared" si="50"/>
        <v/>
      </c>
      <c r="X149" s="196" t="str">
        <f t="shared" si="63"/>
        <v/>
      </c>
      <c r="Y149" s="191" t="str">
        <f t="shared" si="64"/>
        <v/>
      </c>
      <c r="Z149" s="197" t="str">
        <f t="shared" si="51"/>
        <v/>
      </c>
      <c r="AA149" s="197" t="str">
        <f t="shared" si="52"/>
        <v/>
      </c>
      <c r="AB149" s="218"/>
      <c r="AC149" s="205"/>
    </row>
    <row r="150" spans="1:29">
      <c r="A150" s="219" t="str">
        <f t="shared" si="53"/>
        <v/>
      </c>
      <c r="B150" s="219"/>
      <c r="C150" s="184"/>
      <c r="D150" s="185"/>
      <c r="E150" s="185" t="str">
        <f>IF(OR(C150="",C150=Data!$B$3),"",IF(C150=Data!$B$2,"L","S"))</f>
        <v/>
      </c>
      <c r="F150" s="185" t="str">
        <f t="shared" si="54"/>
        <v/>
      </c>
      <c r="G150" s="186" t="str">
        <f t="shared" si="45"/>
        <v/>
      </c>
      <c r="H150" s="187"/>
      <c r="I150" s="188" t="str">
        <f t="shared" si="55"/>
        <v/>
      </c>
      <c r="J150" s="188" t="str">
        <f t="shared" si="56"/>
        <v/>
      </c>
      <c r="K150" s="189" t="str">
        <f t="shared" si="57"/>
        <v/>
      </c>
      <c r="L150" s="189" t="str">
        <f t="shared" si="58"/>
        <v/>
      </c>
      <c r="M150" s="190"/>
      <c r="N150" s="190"/>
      <c r="O150" s="188" t="str">
        <f t="shared" si="59"/>
        <v/>
      </c>
      <c r="P150" s="191" t="str">
        <f t="shared" si="46"/>
        <v/>
      </c>
      <c r="Q150" s="192" t="str">
        <f t="shared" si="60"/>
        <v/>
      </c>
      <c r="R150" s="191" t="str">
        <f t="shared" si="47"/>
        <v/>
      </c>
      <c r="S150" s="193" t="str">
        <f t="shared" si="61"/>
        <v/>
      </c>
      <c r="T150" s="194" t="str">
        <f t="shared" si="48"/>
        <v/>
      </c>
      <c r="U150" s="192" t="str">
        <f t="shared" si="62"/>
        <v/>
      </c>
      <c r="V150" s="195" t="str">
        <f t="shared" si="49"/>
        <v/>
      </c>
      <c r="W150" s="195" t="str">
        <f t="shared" si="50"/>
        <v/>
      </c>
      <c r="X150" s="196" t="str">
        <f t="shared" si="63"/>
        <v/>
      </c>
      <c r="Y150" s="191" t="str">
        <f t="shared" si="64"/>
        <v/>
      </c>
      <c r="Z150" s="197" t="str">
        <f t="shared" si="51"/>
        <v/>
      </c>
      <c r="AA150" s="197" t="str">
        <f t="shared" si="52"/>
        <v/>
      </c>
      <c r="AB150" s="218"/>
      <c r="AC150" s="205"/>
    </row>
    <row r="151" spans="1:29">
      <c r="A151" s="219" t="str">
        <f t="shared" si="53"/>
        <v/>
      </c>
      <c r="B151" s="219"/>
      <c r="C151" s="184"/>
      <c r="D151" s="185"/>
      <c r="E151" s="185" t="str">
        <f>IF(OR(C151="",C151=Data!$B$3),"",IF(C151=Data!$B$2,"L","S"))</f>
        <v/>
      </c>
      <c r="F151" s="185" t="str">
        <f t="shared" si="54"/>
        <v/>
      </c>
      <c r="G151" s="186" t="str">
        <f t="shared" si="45"/>
        <v/>
      </c>
      <c r="H151" s="187"/>
      <c r="I151" s="188" t="str">
        <f t="shared" si="55"/>
        <v/>
      </c>
      <c r="J151" s="188" t="str">
        <f t="shared" si="56"/>
        <v/>
      </c>
      <c r="K151" s="189" t="str">
        <f t="shared" si="57"/>
        <v/>
      </c>
      <c r="L151" s="189" t="str">
        <f t="shared" si="58"/>
        <v/>
      </c>
      <c r="M151" s="190"/>
      <c r="N151" s="190"/>
      <c r="O151" s="188" t="str">
        <f t="shared" si="59"/>
        <v/>
      </c>
      <c r="P151" s="191" t="str">
        <f t="shared" si="46"/>
        <v/>
      </c>
      <c r="Q151" s="192" t="str">
        <f t="shared" si="60"/>
        <v/>
      </c>
      <c r="R151" s="191" t="str">
        <f t="shared" si="47"/>
        <v/>
      </c>
      <c r="S151" s="193" t="str">
        <f t="shared" si="61"/>
        <v/>
      </c>
      <c r="T151" s="194" t="str">
        <f t="shared" si="48"/>
        <v/>
      </c>
      <c r="U151" s="192" t="str">
        <f t="shared" si="62"/>
        <v/>
      </c>
      <c r="V151" s="195" t="str">
        <f t="shared" si="49"/>
        <v/>
      </c>
      <c r="W151" s="195" t="str">
        <f t="shared" si="50"/>
        <v/>
      </c>
      <c r="X151" s="196" t="str">
        <f t="shared" si="63"/>
        <v/>
      </c>
      <c r="Y151" s="191" t="str">
        <f t="shared" si="64"/>
        <v/>
      </c>
      <c r="Z151" s="197" t="str">
        <f t="shared" si="51"/>
        <v/>
      </c>
      <c r="AA151" s="197" t="str">
        <f t="shared" si="52"/>
        <v/>
      </c>
      <c r="AB151" s="218"/>
      <c r="AC151" s="205"/>
    </row>
    <row r="152" spans="1:29">
      <c r="A152" s="219" t="str">
        <f t="shared" si="53"/>
        <v/>
      </c>
      <c r="B152" s="219"/>
      <c r="C152" s="184"/>
      <c r="D152" s="185"/>
      <c r="E152" s="185" t="str">
        <f>IF(OR(C152="",C152=Data!$B$3),"",IF(C152=Data!$B$2,"L","S"))</f>
        <v/>
      </c>
      <c r="F152" s="185" t="str">
        <f t="shared" si="54"/>
        <v/>
      </c>
      <c r="G152" s="186" t="str">
        <f t="shared" si="45"/>
        <v/>
      </c>
      <c r="H152" s="187"/>
      <c r="I152" s="188" t="str">
        <f t="shared" si="55"/>
        <v/>
      </c>
      <c r="J152" s="188" t="str">
        <f t="shared" si="56"/>
        <v/>
      </c>
      <c r="K152" s="189" t="str">
        <f t="shared" si="57"/>
        <v/>
      </c>
      <c r="L152" s="189" t="str">
        <f t="shared" si="58"/>
        <v/>
      </c>
      <c r="M152" s="190"/>
      <c r="N152" s="190"/>
      <c r="O152" s="188" t="str">
        <f t="shared" si="59"/>
        <v/>
      </c>
      <c r="P152" s="191" t="str">
        <f t="shared" si="46"/>
        <v/>
      </c>
      <c r="Q152" s="192" t="str">
        <f t="shared" si="60"/>
        <v/>
      </c>
      <c r="R152" s="191" t="str">
        <f t="shared" si="47"/>
        <v/>
      </c>
      <c r="S152" s="193" t="str">
        <f t="shared" si="61"/>
        <v/>
      </c>
      <c r="T152" s="194" t="str">
        <f t="shared" si="48"/>
        <v/>
      </c>
      <c r="U152" s="192" t="str">
        <f t="shared" si="62"/>
        <v/>
      </c>
      <c r="V152" s="195" t="str">
        <f t="shared" si="49"/>
        <v/>
      </c>
      <c r="W152" s="195" t="str">
        <f t="shared" si="50"/>
        <v/>
      </c>
      <c r="X152" s="196" t="str">
        <f t="shared" si="63"/>
        <v/>
      </c>
      <c r="Y152" s="191" t="str">
        <f t="shared" si="64"/>
        <v/>
      </c>
      <c r="Z152" s="197" t="str">
        <f t="shared" si="51"/>
        <v/>
      </c>
      <c r="AA152" s="197" t="str">
        <f t="shared" si="52"/>
        <v/>
      </c>
      <c r="AB152" s="218"/>
      <c r="AC152" s="205"/>
    </row>
    <row r="153" spans="1:29">
      <c r="A153" s="219" t="str">
        <f t="shared" si="53"/>
        <v/>
      </c>
      <c r="B153" s="219"/>
      <c r="C153" s="184"/>
      <c r="D153" s="185"/>
      <c r="E153" s="185" t="str">
        <f>IF(OR(C153="",C153=Data!$B$3),"",IF(C153=Data!$B$2,"L","S"))</f>
        <v/>
      </c>
      <c r="F153" s="185" t="str">
        <f t="shared" si="54"/>
        <v/>
      </c>
      <c r="G153" s="186" t="str">
        <f t="shared" si="45"/>
        <v/>
      </c>
      <c r="H153" s="187"/>
      <c r="I153" s="188" t="str">
        <f t="shared" si="55"/>
        <v/>
      </c>
      <c r="J153" s="188" t="str">
        <f t="shared" si="56"/>
        <v/>
      </c>
      <c r="K153" s="189" t="str">
        <f t="shared" si="57"/>
        <v/>
      </c>
      <c r="L153" s="189" t="str">
        <f t="shared" si="58"/>
        <v/>
      </c>
      <c r="M153" s="190"/>
      <c r="N153" s="190"/>
      <c r="O153" s="188" t="str">
        <f t="shared" si="59"/>
        <v/>
      </c>
      <c r="P153" s="191" t="str">
        <f t="shared" si="46"/>
        <v/>
      </c>
      <c r="Q153" s="192" t="str">
        <f t="shared" si="60"/>
        <v/>
      </c>
      <c r="R153" s="191" t="str">
        <f t="shared" si="47"/>
        <v/>
      </c>
      <c r="S153" s="193" t="str">
        <f t="shared" si="61"/>
        <v/>
      </c>
      <c r="T153" s="194" t="str">
        <f t="shared" si="48"/>
        <v/>
      </c>
      <c r="U153" s="192" t="str">
        <f t="shared" si="62"/>
        <v/>
      </c>
      <c r="V153" s="195" t="str">
        <f t="shared" si="49"/>
        <v/>
      </c>
      <c r="W153" s="195" t="str">
        <f t="shared" si="50"/>
        <v/>
      </c>
      <c r="X153" s="196" t="str">
        <f t="shared" si="63"/>
        <v/>
      </c>
      <c r="Y153" s="191" t="str">
        <f t="shared" si="64"/>
        <v/>
      </c>
      <c r="Z153" s="197" t="str">
        <f t="shared" si="51"/>
        <v/>
      </c>
      <c r="AA153" s="197" t="str">
        <f t="shared" si="52"/>
        <v/>
      </c>
      <c r="AB153" s="218"/>
      <c r="AC153" s="205"/>
    </row>
    <row r="154" spans="1:29">
      <c r="A154" s="219" t="str">
        <f t="shared" si="53"/>
        <v/>
      </c>
      <c r="B154" s="219"/>
      <c r="C154" s="184"/>
      <c r="D154" s="185"/>
      <c r="E154" s="185" t="str">
        <f>IF(OR(C154="",C154=Data!$B$3),"",IF(C154=Data!$B$2,"L","S"))</f>
        <v/>
      </c>
      <c r="F154" s="185" t="str">
        <f t="shared" si="54"/>
        <v/>
      </c>
      <c r="G154" s="186" t="str">
        <f t="shared" si="45"/>
        <v/>
      </c>
      <c r="H154" s="187"/>
      <c r="I154" s="188" t="str">
        <f t="shared" si="55"/>
        <v/>
      </c>
      <c r="J154" s="188" t="str">
        <f t="shared" si="56"/>
        <v/>
      </c>
      <c r="K154" s="189" t="str">
        <f t="shared" si="57"/>
        <v/>
      </c>
      <c r="L154" s="189" t="str">
        <f t="shared" si="58"/>
        <v/>
      </c>
      <c r="M154" s="190"/>
      <c r="N154" s="190"/>
      <c r="O154" s="188" t="str">
        <f t="shared" si="59"/>
        <v/>
      </c>
      <c r="P154" s="191" t="str">
        <f t="shared" si="46"/>
        <v/>
      </c>
      <c r="Q154" s="192" t="str">
        <f t="shared" si="60"/>
        <v/>
      </c>
      <c r="R154" s="191" t="str">
        <f t="shared" si="47"/>
        <v/>
      </c>
      <c r="S154" s="193" t="str">
        <f t="shared" si="61"/>
        <v/>
      </c>
      <c r="T154" s="194" t="str">
        <f t="shared" si="48"/>
        <v/>
      </c>
      <c r="U154" s="192" t="str">
        <f t="shared" si="62"/>
        <v/>
      </c>
      <c r="V154" s="195" t="str">
        <f t="shared" si="49"/>
        <v/>
      </c>
      <c r="W154" s="195" t="str">
        <f t="shared" si="50"/>
        <v/>
      </c>
      <c r="X154" s="196" t="str">
        <f t="shared" si="63"/>
        <v/>
      </c>
      <c r="Y154" s="191" t="str">
        <f t="shared" si="64"/>
        <v/>
      </c>
      <c r="Z154" s="197" t="str">
        <f t="shared" si="51"/>
        <v/>
      </c>
      <c r="AA154" s="197" t="str">
        <f t="shared" si="52"/>
        <v/>
      </c>
      <c r="AB154" s="218"/>
      <c r="AC154" s="205"/>
    </row>
    <row r="155" spans="1:29">
      <c r="A155" s="219" t="str">
        <f t="shared" si="53"/>
        <v/>
      </c>
      <c r="B155" s="219"/>
      <c r="C155" s="184"/>
      <c r="D155" s="185"/>
      <c r="E155" s="185" t="str">
        <f>IF(OR(C155="",C155=Data!$B$3),"",IF(C155=Data!$B$2,"L","S"))</f>
        <v/>
      </c>
      <c r="F155" s="185" t="str">
        <f t="shared" si="54"/>
        <v/>
      </c>
      <c r="G155" s="186" t="str">
        <f t="shared" si="45"/>
        <v/>
      </c>
      <c r="H155" s="187"/>
      <c r="I155" s="188" t="str">
        <f t="shared" si="55"/>
        <v/>
      </c>
      <c r="J155" s="188" t="str">
        <f t="shared" si="56"/>
        <v/>
      </c>
      <c r="K155" s="189" t="str">
        <f t="shared" si="57"/>
        <v/>
      </c>
      <c r="L155" s="189" t="str">
        <f t="shared" si="58"/>
        <v/>
      </c>
      <c r="M155" s="190"/>
      <c r="N155" s="190"/>
      <c r="O155" s="188" t="str">
        <f t="shared" si="59"/>
        <v/>
      </c>
      <c r="P155" s="191" t="str">
        <f t="shared" si="46"/>
        <v/>
      </c>
      <c r="Q155" s="192" t="str">
        <f t="shared" si="60"/>
        <v/>
      </c>
      <c r="R155" s="191" t="str">
        <f t="shared" si="47"/>
        <v/>
      </c>
      <c r="S155" s="193" t="str">
        <f t="shared" si="61"/>
        <v/>
      </c>
      <c r="T155" s="194" t="str">
        <f t="shared" si="48"/>
        <v/>
      </c>
      <c r="U155" s="192" t="str">
        <f t="shared" si="62"/>
        <v/>
      </c>
      <c r="V155" s="195" t="str">
        <f t="shared" si="49"/>
        <v/>
      </c>
      <c r="W155" s="195" t="str">
        <f t="shared" si="50"/>
        <v/>
      </c>
      <c r="X155" s="196" t="str">
        <f t="shared" si="63"/>
        <v/>
      </c>
      <c r="Y155" s="191" t="str">
        <f t="shared" si="64"/>
        <v/>
      </c>
      <c r="Z155" s="197" t="str">
        <f t="shared" si="51"/>
        <v/>
      </c>
      <c r="AA155" s="197" t="str">
        <f t="shared" si="52"/>
        <v/>
      </c>
      <c r="AB155" s="218"/>
      <c r="AC155" s="205"/>
    </row>
    <row r="156" spans="1:29">
      <c r="A156" s="219" t="str">
        <f t="shared" si="53"/>
        <v/>
      </c>
      <c r="B156" s="219"/>
      <c r="C156" s="184"/>
      <c r="D156" s="185"/>
      <c r="E156" s="185" t="str">
        <f>IF(OR(C156="",C156=Data!$B$3),"",IF(C156=Data!$B$2,"L","S"))</f>
        <v/>
      </c>
      <c r="F156" s="185" t="str">
        <f t="shared" si="54"/>
        <v/>
      </c>
      <c r="G156" s="186" t="str">
        <f t="shared" si="45"/>
        <v/>
      </c>
      <c r="H156" s="187"/>
      <c r="I156" s="188" t="str">
        <f t="shared" si="55"/>
        <v/>
      </c>
      <c r="J156" s="188" t="str">
        <f t="shared" si="56"/>
        <v/>
      </c>
      <c r="K156" s="189" t="str">
        <f t="shared" si="57"/>
        <v/>
      </c>
      <c r="L156" s="189" t="str">
        <f t="shared" si="58"/>
        <v/>
      </c>
      <c r="M156" s="190"/>
      <c r="N156" s="190"/>
      <c r="O156" s="188" t="str">
        <f t="shared" si="59"/>
        <v/>
      </c>
      <c r="P156" s="191" t="str">
        <f t="shared" si="46"/>
        <v/>
      </c>
      <c r="Q156" s="192" t="str">
        <f t="shared" si="60"/>
        <v/>
      </c>
      <c r="R156" s="191" t="str">
        <f t="shared" si="47"/>
        <v/>
      </c>
      <c r="S156" s="193" t="str">
        <f t="shared" si="61"/>
        <v/>
      </c>
      <c r="T156" s="194" t="str">
        <f t="shared" si="48"/>
        <v/>
      </c>
      <c r="U156" s="192" t="str">
        <f t="shared" si="62"/>
        <v/>
      </c>
      <c r="V156" s="195" t="str">
        <f t="shared" si="49"/>
        <v/>
      </c>
      <c r="W156" s="195" t="str">
        <f t="shared" si="50"/>
        <v/>
      </c>
      <c r="X156" s="196" t="str">
        <f t="shared" si="63"/>
        <v/>
      </c>
      <c r="Y156" s="191" t="str">
        <f t="shared" si="64"/>
        <v/>
      </c>
      <c r="Z156" s="197" t="str">
        <f t="shared" si="51"/>
        <v/>
      </c>
      <c r="AA156" s="197" t="str">
        <f t="shared" si="52"/>
        <v/>
      </c>
      <c r="AB156" s="218"/>
      <c r="AC156" s="205"/>
    </row>
    <row r="157" spans="1:29">
      <c r="A157" s="219" t="str">
        <f t="shared" si="53"/>
        <v/>
      </c>
      <c r="B157" s="219"/>
      <c r="C157" s="184"/>
      <c r="D157" s="185"/>
      <c r="E157" s="185" t="str">
        <f>IF(OR(C157="",C157=Data!$B$3),"",IF(C157=Data!$B$2,"L","S"))</f>
        <v/>
      </c>
      <c r="F157" s="185" t="str">
        <f t="shared" si="54"/>
        <v/>
      </c>
      <c r="G157" s="186" t="str">
        <f t="shared" si="45"/>
        <v/>
      </c>
      <c r="H157" s="187"/>
      <c r="I157" s="188" t="str">
        <f t="shared" si="55"/>
        <v/>
      </c>
      <c r="J157" s="188" t="str">
        <f t="shared" si="56"/>
        <v/>
      </c>
      <c r="K157" s="189" t="str">
        <f t="shared" si="57"/>
        <v/>
      </c>
      <c r="L157" s="189" t="str">
        <f t="shared" si="58"/>
        <v/>
      </c>
      <c r="M157" s="190"/>
      <c r="N157" s="190"/>
      <c r="O157" s="188" t="str">
        <f t="shared" si="59"/>
        <v/>
      </c>
      <c r="P157" s="191" t="str">
        <f t="shared" si="46"/>
        <v/>
      </c>
      <c r="Q157" s="192" t="str">
        <f t="shared" si="60"/>
        <v/>
      </c>
      <c r="R157" s="191" t="str">
        <f t="shared" si="47"/>
        <v/>
      </c>
      <c r="S157" s="193" t="str">
        <f t="shared" si="61"/>
        <v/>
      </c>
      <c r="T157" s="194" t="str">
        <f t="shared" si="48"/>
        <v/>
      </c>
      <c r="U157" s="192" t="str">
        <f t="shared" si="62"/>
        <v/>
      </c>
      <c r="V157" s="195" t="str">
        <f t="shared" si="49"/>
        <v/>
      </c>
      <c r="W157" s="195" t="str">
        <f t="shared" si="50"/>
        <v/>
      </c>
      <c r="X157" s="196" t="str">
        <f t="shared" si="63"/>
        <v/>
      </c>
      <c r="Y157" s="191" t="str">
        <f t="shared" si="64"/>
        <v/>
      </c>
      <c r="Z157" s="197" t="str">
        <f t="shared" si="51"/>
        <v/>
      </c>
      <c r="AA157" s="197" t="str">
        <f t="shared" si="52"/>
        <v/>
      </c>
      <c r="AB157" s="218"/>
      <c r="AC157" s="205"/>
    </row>
    <row r="158" spans="1:29">
      <c r="A158" s="219" t="str">
        <f t="shared" si="53"/>
        <v/>
      </c>
      <c r="B158" s="219"/>
      <c r="C158" s="184"/>
      <c r="D158" s="185"/>
      <c r="E158" s="185" t="str">
        <f>IF(OR(C158="",C158=Data!$B$3),"",IF(C158=Data!$B$2,"L","S"))</f>
        <v/>
      </c>
      <c r="F158" s="185" t="str">
        <f t="shared" si="54"/>
        <v/>
      </c>
      <c r="G158" s="186" t="str">
        <f t="shared" si="45"/>
        <v/>
      </c>
      <c r="H158" s="187"/>
      <c r="I158" s="188" t="str">
        <f t="shared" si="55"/>
        <v/>
      </c>
      <c r="J158" s="188" t="str">
        <f t="shared" si="56"/>
        <v/>
      </c>
      <c r="K158" s="189" t="str">
        <f t="shared" si="57"/>
        <v/>
      </c>
      <c r="L158" s="189" t="str">
        <f t="shared" si="58"/>
        <v/>
      </c>
      <c r="M158" s="190"/>
      <c r="N158" s="190"/>
      <c r="O158" s="188" t="str">
        <f t="shared" si="59"/>
        <v/>
      </c>
      <c r="P158" s="191" t="str">
        <f t="shared" si="46"/>
        <v/>
      </c>
      <c r="Q158" s="192" t="str">
        <f t="shared" si="60"/>
        <v/>
      </c>
      <c r="R158" s="191" t="str">
        <f t="shared" si="47"/>
        <v/>
      </c>
      <c r="S158" s="193" t="str">
        <f t="shared" si="61"/>
        <v/>
      </c>
      <c r="T158" s="194" t="str">
        <f t="shared" si="48"/>
        <v/>
      </c>
      <c r="U158" s="192" t="str">
        <f t="shared" si="62"/>
        <v/>
      </c>
      <c r="V158" s="195" t="str">
        <f t="shared" si="49"/>
        <v/>
      </c>
      <c r="W158" s="195" t="str">
        <f t="shared" si="50"/>
        <v/>
      </c>
      <c r="X158" s="196" t="str">
        <f t="shared" si="63"/>
        <v/>
      </c>
      <c r="Y158" s="191" t="str">
        <f t="shared" si="64"/>
        <v/>
      </c>
      <c r="Z158" s="197" t="str">
        <f t="shared" si="51"/>
        <v/>
      </c>
      <c r="AA158" s="197" t="str">
        <f t="shared" si="52"/>
        <v/>
      </c>
      <c r="AB158" s="218"/>
      <c r="AC158" s="205"/>
    </row>
    <row r="159" spans="1:29">
      <c r="A159" s="219" t="str">
        <f t="shared" si="53"/>
        <v/>
      </c>
      <c r="B159" s="219"/>
      <c r="C159" s="184"/>
      <c r="D159" s="185"/>
      <c r="E159" s="185" t="str">
        <f>IF(OR(C159="",C159=Data!$B$3),"",IF(C159=Data!$B$2,"L","S"))</f>
        <v/>
      </c>
      <c r="F159" s="185" t="str">
        <f t="shared" si="54"/>
        <v/>
      </c>
      <c r="G159" s="186" t="str">
        <f t="shared" si="45"/>
        <v/>
      </c>
      <c r="H159" s="187"/>
      <c r="I159" s="188" t="str">
        <f t="shared" si="55"/>
        <v/>
      </c>
      <c r="J159" s="188" t="str">
        <f t="shared" si="56"/>
        <v/>
      </c>
      <c r="K159" s="189" t="str">
        <f t="shared" si="57"/>
        <v/>
      </c>
      <c r="L159" s="189" t="str">
        <f t="shared" si="58"/>
        <v/>
      </c>
      <c r="M159" s="190"/>
      <c r="N159" s="190"/>
      <c r="O159" s="188" t="str">
        <f t="shared" si="59"/>
        <v/>
      </c>
      <c r="P159" s="191" t="str">
        <f t="shared" si="46"/>
        <v/>
      </c>
      <c r="Q159" s="192" t="str">
        <f t="shared" si="60"/>
        <v/>
      </c>
      <c r="R159" s="191" t="str">
        <f t="shared" si="47"/>
        <v/>
      </c>
      <c r="S159" s="193" t="str">
        <f t="shared" si="61"/>
        <v/>
      </c>
      <c r="T159" s="194" t="str">
        <f t="shared" si="48"/>
        <v/>
      </c>
      <c r="U159" s="192" t="str">
        <f t="shared" si="62"/>
        <v/>
      </c>
      <c r="V159" s="195" t="str">
        <f t="shared" si="49"/>
        <v/>
      </c>
      <c r="W159" s="195" t="str">
        <f t="shared" si="50"/>
        <v/>
      </c>
      <c r="X159" s="196" t="str">
        <f t="shared" si="63"/>
        <v/>
      </c>
      <c r="Y159" s="191" t="str">
        <f t="shared" si="64"/>
        <v/>
      </c>
      <c r="Z159" s="197" t="str">
        <f t="shared" si="51"/>
        <v/>
      </c>
      <c r="AA159" s="197" t="str">
        <f t="shared" si="52"/>
        <v/>
      </c>
      <c r="AB159" s="218"/>
      <c r="AC159" s="205"/>
    </row>
    <row r="160" spans="1:29">
      <c r="A160" s="219" t="str">
        <f t="shared" si="53"/>
        <v/>
      </c>
      <c r="B160" s="219"/>
      <c r="C160" s="184"/>
      <c r="D160" s="185"/>
      <c r="E160" s="185" t="str">
        <f>IF(OR(C160="",C160=Data!$B$3),"",IF(C160=Data!$B$2,"L","S"))</f>
        <v/>
      </c>
      <c r="F160" s="185" t="str">
        <f t="shared" si="54"/>
        <v/>
      </c>
      <c r="G160" s="186" t="str">
        <f t="shared" si="45"/>
        <v/>
      </c>
      <c r="H160" s="187"/>
      <c r="I160" s="188" t="str">
        <f t="shared" si="55"/>
        <v/>
      </c>
      <c r="J160" s="188" t="str">
        <f t="shared" si="56"/>
        <v/>
      </c>
      <c r="K160" s="189" t="str">
        <f t="shared" si="57"/>
        <v/>
      </c>
      <c r="L160" s="189" t="str">
        <f t="shared" si="58"/>
        <v/>
      </c>
      <c r="M160" s="190"/>
      <c r="N160" s="190"/>
      <c r="O160" s="188" t="str">
        <f t="shared" si="59"/>
        <v/>
      </c>
      <c r="P160" s="191" t="str">
        <f t="shared" si="46"/>
        <v/>
      </c>
      <c r="Q160" s="192" t="str">
        <f t="shared" si="60"/>
        <v/>
      </c>
      <c r="R160" s="191" t="str">
        <f t="shared" si="47"/>
        <v/>
      </c>
      <c r="S160" s="193" t="str">
        <f t="shared" si="61"/>
        <v/>
      </c>
      <c r="T160" s="194" t="str">
        <f t="shared" si="48"/>
        <v/>
      </c>
      <c r="U160" s="192" t="str">
        <f t="shared" si="62"/>
        <v/>
      </c>
      <c r="V160" s="195" t="str">
        <f t="shared" si="49"/>
        <v/>
      </c>
      <c r="W160" s="195" t="str">
        <f t="shared" si="50"/>
        <v/>
      </c>
      <c r="X160" s="196" t="str">
        <f t="shared" si="63"/>
        <v/>
      </c>
      <c r="Y160" s="191" t="str">
        <f t="shared" si="64"/>
        <v/>
      </c>
      <c r="Z160" s="197" t="str">
        <f t="shared" si="51"/>
        <v/>
      </c>
      <c r="AA160" s="197" t="str">
        <f t="shared" si="52"/>
        <v/>
      </c>
      <c r="AB160" s="218"/>
      <c r="AC160" s="205"/>
    </row>
    <row r="161" spans="1:29">
      <c r="A161" s="219" t="str">
        <f t="shared" si="53"/>
        <v/>
      </c>
      <c r="B161" s="219"/>
      <c r="C161" s="184"/>
      <c r="D161" s="185"/>
      <c r="E161" s="185" t="str">
        <f>IF(OR(C161="",C161=Data!$B$3),"",IF(C161=Data!$B$2,"L","S"))</f>
        <v/>
      </c>
      <c r="F161" s="185" t="str">
        <f t="shared" si="54"/>
        <v/>
      </c>
      <c r="G161" s="186" t="str">
        <f t="shared" si="45"/>
        <v/>
      </c>
      <c r="H161" s="187"/>
      <c r="I161" s="188" t="str">
        <f t="shared" si="55"/>
        <v/>
      </c>
      <c r="J161" s="188" t="str">
        <f t="shared" si="56"/>
        <v/>
      </c>
      <c r="K161" s="189" t="str">
        <f t="shared" si="57"/>
        <v/>
      </c>
      <c r="L161" s="189" t="str">
        <f t="shared" si="58"/>
        <v/>
      </c>
      <c r="M161" s="190"/>
      <c r="N161" s="190"/>
      <c r="O161" s="188" t="str">
        <f t="shared" si="59"/>
        <v/>
      </c>
      <c r="P161" s="191" t="str">
        <f t="shared" si="46"/>
        <v/>
      </c>
      <c r="Q161" s="192" t="str">
        <f t="shared" si="60"/>
        <v/>
      </c>
      <c r="R161" s="191" t="str">
        <f t="shared" si="47"/>
        <v/>
      </c>
      <c r="S161" s="193" t="str">
        <f t="shared" si="61"/>
        <v/>
      </c>
      <c r="T161" s="194" t="str">
        <f t="shared" si="48"/>
        <v/>
      </c>
      <c r="U161" s="192" t="str">
        <f t="shared" si="62"/>
        <v/>
      </c>
      <c r="V161" s="195" t="str">
        <f t="shared" si="49"/>
        <v/>
      </c>
      <c r="W161" s="195" t="str">
        <f t="shared" si="50"/>
        <v/>
      </c>
      <c r="X161" s="196" t="str">
        <f t="shared" si="63"/>
        <v/>
      </c>
      <c r="Y161" s="191" t="str">
        <f t="shared" si="64"/>
        <v/>
      </c>
      <c r="Z161" s="197" t="str">
        <f t="shared" si="51"/>
        <v/>
      </c>
      <c r="AA161" s="197" t="str">
        <f t="shared" si="52"/>
        <v/>
      </c>
      <c r="AB161" s="218"/>
      <c r="AC161" s="205"/>
    </row>
    <row r="162" spans="1:29">
      <c r="A162" s="219" t="str">
        <f t="shared" si="53"/>
        <v/>
      </c>
      <c r="B162" s="219"/>
      <c r="C162" s="184"/>
      <c r="D162" s="185"/>
      <c r="E162" s="185" t="str">
        <f>IF(OR(C162="",C162=Data!$B$3),"",IF(C162=Data!$B$2,"L","S"))</f>
        <v/>
      </c>
      <c r="F162" s="185" t="str">
        <f t="shared" si="54"/>
        <v/>
      </c>
      <c r="G162" s="186" t="str">
        <f t="shared" si="45"/>
        <v/>
      </c>
      <c r="H162" s="187"/>
      <c r="I162" s="188" t="str">
        <f t="shared" si="55"/>
        <v/>
      </c>
      <c r="J162" s="188" t="str">
        <f t="shared" si="56"/>
        <v/>
      </c>
      <c r="K162" s="189" t="str">
        <f t="shared" si="57"/>
        <v/>
      </c>
      <c r="L162" s="189" t="str">
        <f t="shared" si="58"/>
        <v/>
      </c>
      <c r="M162" s="190"/>
      <c r="N162" s="190"/>
      <c r="O162" s="188" t="str">
        <f t="shared" si="59"/>
        <v/>
      </c>
      <c r="P162" s="191" t="str">
        <f t="shared" si="46"/>
        <v/>
      </c>
      <c r="Q162" s="192" t="str">
        <f t="shared" si="60"/>
        <v/>
      </c>
      <c r="R162" s="191" t="str">
        <f t="shared" si="47"/>
        <v/>
      </c>
      <c r="S162" s="193" t="str">
        <f t="shared" si="61"/>
        <v/>
      </c>
      <c r="T162" s="194" t="str">
        <f t="shared" si="48"/>
        <v/>
      </c>
      <c r="U162" s="192" t="str">
        <f t="shared" si="62"/>
        <v/>
      </c>
      <c r="V162" s="195" t="str">
        <f t="shared" si="49"/>
        <v/>
      </c>
      <c r="W162" s="195" t="str">
        <f t="shared" si="50"/>
        <v/>
      </c>
      <c r="X162" s="196" t="str">
        <f t="shared" si="63"/>
        <v/>
      </c>
      <c r="Y162" s="191" t="str">
        <f t="shared" si="64"/>
        <v/>
      </c>
      <c r="Z162" s="197" t="str">
        <f t="shared" si="51"/>
        <v/>
      </c>
      <c r="AA162" s="197" t="str">
        <f t="shared" si="52"/>
        <v/>
      </c>
      <c r="AB162" s="218"/>
      <c r="AC162" s="205"/>
    </row>
    <row r="163" spans="1:29">
      <c r="A163" s="219" t="str">
        <f t="shared" si="53"/>
        <v/>
      </c>
      <c r="B163" s="219"/>
      <c r="C163" s="184"/>
      <c r="D163" s="185"/>
      <c r="E163" s="185" t="str">
        <f>IF(OR(C163="",C163=Data!$B$3),"",IF(C163=Data!$B$2,"L","S"))</f>
        <v/>
      </c>
      <c r="F163" s="185" t="str">
        <f t="shared" si="54"/>
        <v/>
      </c>
      <c r="G163" s="186" t="str">
        <f t="shared" si="45"/>
        <v/>
      </c>
      <c r="H163" s="187"/>
      <c r="I163" s="188" t="str">
        <f t="shared" si="55"/>
        <v/>
      </c>
      <c r="J163" s="188" t="str">
        <f t="shared" si="56"/>
        <v/>
      </c>
      <c r="K163" s="189" t="str">
        <f t="shared" si="57"/>
        <v/>
      </c>
      <c r="L163" s="189" t="str">
        <f t="shared" si="58"/>
        <v/>
      </c>
      <c r="M163" s="190"/>
      <c r="N163" s="190"/>
      <c r="O163" s="188" t="str">
        <f t="shared" si="59"/>
        <v/>
      </c>
      <c r="P163" s="191" t="str">
        <f t="shared" si="46"/>
        <v/>
      </c>
      <c r="Q163" s="192" t="str">
        <f t="shared" si="60"/>
        <v/>
      </c>
      <c r="R163" s="191" t="str">
        <f t="shared" si="47"/>
        <v/>
      </c>
      <c r="S163" s="193" t="str">
        <f t="shared" si="61"/>
        <v/>
      </c>
      <c r="T163" s="194" t="str">
        <f t="shared" si="48"/>
        <v/>
      </c>
      <c r="U163" s="192" t="str">
        <f t="shared" si="62"/>
        <v/>
      </c>
      <c r="V163" s="195" t="str">
        <f t="shared" si="49"/>
        <v/>
      </c>
      <c r="W163" s="195" t="str">
        <f t="shared" si="50"/>
        <v/>
      </c>
      <c r="X163" s="196" t="str">
        <f t="shared" si="63"/>
        <v/>
      </c>
      <c r="Y163" s="191" t="str">
        <f t="shared" si="64"/>
        <v/>
      </c>
      <c r="Z163" s="197" t="str">
        <f t="shared" si="51"/>
        <v/>
      </c>
      <c r="AA163" s="197" t="str">
        <f t="shared" si="52"/>
        <v/>
      </c>
      <c r="AB163" s="218"/>
      <c r="AC163" s="205"/>
    </row>
    <row r="164" spans="1:29">
      <c r="A164" s="219" t="str">
        <f t="shared" si="53"/>
        <v/>
      </c>
      <c r="B164" s="219"/>
      <c r="C164" s="184"/>
      <c r="D164" s="185"/>
      <c r="E164" s="185" t="str">
        <f>IF(OR(C164="",C164=Data!$B$3),"",IF(C164=Data!$B$2,"L","S"))</f>
        <v/>
      </c>
      <c r="F164" s="185" t="str">
        <f t="shared" si="54"/>
        <v/>
      </c>
      <c r="G164" s="186" t="str">
        <f t="shared" si="45"/>
        <v/>
      </c>
      <c r="H164" s="187"/>
      <c r="I164" s="188" t="str">
        <f t="shared" si="55"/>
        <v/>
      </c>
      <c r="J164" s="188" t="str">
        <f t="shared" si="56"/>
        <v/>
      </c>
      <c r="K164" s="189" t="str">
        <f t="shared" si="57"/>
        <v/>
      </c>
      <c r="L164" s="189" t="str">
        <f t="shared" si="58"/>
        <v/>
      </c>
      <c r="M164" s="190"/>
      <c r="N164" s="190"/>
      <c r="O164" s="188" t="str">
        <f t="shared" si="59"/>
        <v/>
      </c>
      <c r="P164" s="191" t="str">
        <f t="shared" si="46"/>
        <v/>
      </c>
      <c r="Q164" s="192" t="str">
        <f t="shared" si="60"/>
        <v/>
      </c>
      <c r="R164" s="191" t="str">
        <f t="shared" si="47"/>
        <v/>
      </c>
      <c r="S164" s="193" t="str">
        <f t="shared" si="61"/>
        <v/>
      </c>
      <c r="T164" s="194" t="str">
        <f t="shared" si="48"/>
        <v/>
      </c>
      <c r="U164" s="192" t="str">
        <f t="shared" si="62"/>
        <v/>
      </c>
      <c r="V164" s="195" t="str">
        <f t="shared" si="49"/>
        <v/>
      </c>
      <c r="W164" s="195" t="str">
        <f t="shared" si="50"/>
        <v/>
      </c>
      <c r="X164" s="196" t="str">
        <f t="shared" si="63"/>
        <v/>
      </c>
      <c r="Y164" s="191" t="str">
        <f t="shared" si="64"/>
        <v/>
      </c>
      <c r="Z164" s="197" t="str">
        <f t="shared" si="51"/>
        <v/>
      </c>
      <c r="AA164" s="197" t="str">
        <f t="shared" si="52"/>
        <v/>
      </c>
      <c r="AB164" s="218"/>
      <c r="AC164" s="205"/>
    </row>
    <row r="165" spans="1:29">
      <c r="A165" s="219" t="str">
        <f t="shared" si="53"/>
        <v/>
      </c>
      <c r="B165" s="219"/>
      <c r="C165" s="184"/>
      <c r="D165" s="185"/>
      <c r="E165" s="185" t="str">
        <f>IF(OR(C165="",C165=Data!$B$3),"",IF(C165=Data!$B$2,"L","S"))</f>
        <v/>
      </c>
      <c r="F165" s="185" t="str">
        <f t="shared" si="54"/>
        <v/>
      </c>
      <c r="G165" s="186" t="str">
        <f t="shared" si="45"/>
        <v/>
      </c>
      <c r="H165" s="187"/>
      <c r="I165" s="188" t="str">
        <f t="shared" si="55"/>
        <v/>
      </c>
      <c r="J165" s="188" t="str">
        <f t="shared" si="56"/>
        <v/>
      </c>
      <c r="K165" s="189" t="str">
        <f t="shared" si="57"/>
        <v/>
      </c>
      <c r="L165" s="189" t="str">
        <f t="shared" si="58"/>
        <v/>
      </c>
      <c r="M165" s="190"/>
      <c r="N165" s="190"/>
      <c r="O165" s="188" t="str">
        <f t="shared" si="59"/>
        <v/>
      </c>
      <c r="P165" s="191" t="str">
        <f t="shared" si="46"/>
        <v/>
      </c>
      <c r="Q165" s="192" t="str">
        <f t="shared" si="60"/>
        <v/>
      </c>
      <c r="R165" s="191" t="str">
        <f t="shared" si="47"/>
        <v/>
      </c>
      <c r="S165" s="193" t="str">
        <f t="shared" si="61"/>
        <v/>
      </c>
      <c r="T165" s="194" t="str">
        <f t="shared" si="48"/>
        <v/>
      </c>
      <c r="U165" s="192" t="str">
        <f t="shared" si="62"/>
        <v/>
      </c>
      <c r="V165" s="195" t="str">
        <f t="shared" si="49"/>
        <v/>
      </c>
      <c r="W165" s="195" t="str">
        <f t="shared" si="50"/>
        <v/>
      </c>
      <c r="X165" s="196" t="str">
        <f t="shared" si="63"/>
        <v/>
      </c>
      <c r="Y165" s="191" t="str">
        <f t="shared" si="64"/>
        <v/>
      </c>
      <c r="Z165" s="197" t="str">
        <f t="shared" si="51"/>
        <v/>
      </c>
      <c r="AA165" s="197" t="str">
        <f t="shared" si="52"/>
        <v/>
      </c>
      <c r="AB165" s="218"/>
      <c r="AC165" s="205"/>
    </row>
    <row r="166" spans="1:29">
      <c r="A166" s="219" t="str">
        <f t="shared" si="53"/>
        <v/>
      </c>
      <c r="B166" s="219"/>
      <c r="C166" s="184"/>
      <c r="D166" s="185"/>
      <c r="E166" s="185" t="str">
        <f>IF(OR(C166="",C166=Data!$B$3),"",IF(C166=Data!$B$2,"L","S"))</f>
        <v/>
      </c>
      <c r="F166" s="185" t="str">
        <f t="shared" si="54"/>
        <v/>
      </c>
      <c r="G166" s="186" t="str">
        <f t="shared" si="45"/>
        <v/>
      </c>
      <c r="H166" s="187"/>
      <c r="I166" s="188" t="str">
        <f t="shared" si="55"/>
        <v/>
      </c>
      <c r="J166" s="188" t="str">
        <f t="shared" si="56"/>
        <v/>
      </c>
      <c r="K166" s="189" t="str">
        <f t="shared" si="57"/>
        <v/>
      </c>
      <c r="L166" s="189" t="str">
        <f t="shared" si="58"/>
        <v/>
      </c>
      <c r="M166" s="190"/>
      <c r="N166" s="190"/>
      <c r="O166" s="188" t="str">
        <f t="shared" si="59"/>
        <v/>
      </c>
      <c r="P166" s="191" t="str">
        <f t="shared" si="46"/>
        <v/>
      </c>
      <c r="Q166" s="192" t="str">
        <f t="shared" si="60"/>
        <v/>
      </c>
      <c r="R166" s="191" t="str">
        <f t="shared" si="47"/>
        <v/>
      </c>
      <c r="S166" s="193" t="str">
        <f t="shared" si="61"/>
        <v/>
      </c>
      <c r="T166" s="194" t="str">
        <f t="shared" si="48"/>
        <v/>
      </c>
      <c r="U166" s="192" t="str">
        <f t="shared" si="62"/>
        <v/>
      </c>
      <c r="V166" s="195" t="str">
        <f t="shared" si="49"/>
        <v/>
      </c>
      <c r="W166" s="195" t="str">
        <f t="shared" si="50"/>
        <v/>
      </c>
      <c r="X166" s="196" t="str">
        <f t="shared" si="63"/>
        <v/>
      </c>
      <c r="Y166" s="191" t="str">
        <f t="shared" si="64"/>
        <v/>
      </c>
      <c r="Z166" s="197" t="str">
        <f t="shared" si="51"/>
        <v/>
      </c>
      <c r="AA166" s="197" t="str">
        <f t="shared" si="52"/>
        <v/>
      </c>
      <c r="AB166" s="218"/>
      <c r="AC166" s="205"/>
    </row>
    <row r="167" spans="1:29">
      <c r="A167" s="219" t="str">
        <f t="shared" si="53"/>
        <v/>
      </c>
      <c r="B167" s="219"/>
      <c r="C167" s="184"/>
      <c r="D167" s="185"/>
      <c r="E167" s="185" t="str">
        <f>IF(OR(C167="",C167=Data!$B$3),"",IF(C167=Data!$B$2,"L","S"))</f>
        <v/>
      </c>
      <c r="F167" s="185" t="str">
        <f t="shared" si="54"/>
        <v/>
      </c>
      <c r="G167" s="186" t="str">
        <f t="shared" si="45"/>
        <v/>
      </c>
      <c r="H167" s="187"/>
      <c r="I167" s="188" t="str">
        <f t="shared" si="55"/>
        <v/>
      </c>
      <c r="J167" s="188" t="str">
        <f t="shared" si="56"/>
        <v/>
      </c>
      <c r="K167" s="189" t="str">
        <f t="shared" si="57"/>
        <v/>
      </c>
      <c r="L167" s="189" t="str">
        <f t="shared" si="58"/>
        <v/>
      </c>
      <c r="M167" s="190"/>
      <c r="N167" s="190"/>
      <c r="O167" s="188" t="str">
        <f t="shared" si="59"/>
        <v/>
      </c>
      <c r="P167" s="191" t="str">
        <f t="shared" si="46"/>
        <v/>
      </c>
      <c r="Q167" s="192" t="str">
        <f t="shared" si="60"/>
        <v/>
      </c>
      <c r="R167" s="191" t="str">
        <f t="shared" si="47"/>
        <v/>
      </c>
      <c r="S167" s="193" t="str">
        <f t="shared" si="61"/>
        <v/>
      </c>
      <c r="T167" s="194" t="str">
        <f t="shared" si="48"/>
        <v/>
      </c>
      <c r="U167" s="192" t="str">
        <f t="shared" si="62"/>
        <v/>
      </c>
      <c r="V167" s="195" t="str">
        <f t="shared" si="49"/>
        <v/>
      </c>
      <c r="W167" s="195" t="str">
        <f t="shared" si="50"/>
        <v/>
      </c>
      <c r="X167" s="196" t="str">
        <f t="shared" si="63"/>
        <v/>
      </c>
      <c r="Y167" s="191" t="str">
        <f t="shared" si="64"/>
        <v/>
      </c>
      <c r="Z167" s="197" t="str">
        <f t="shared" si="51"/>
        <v/>
      </c>
      <c r="AA167" s="197" t="str">
        <f t="shared" si="52"/>
        <v/>
      </c>
      <c r="AB167" s="218"/>
      <c r="AC167" s="205"/>
    </row>
    <row r="168" spans="1:29">
      <c r="A168" s="219" t="str">
        <f t="shared" si="53"/>
        <v/>
      </c>
      <c r="B168" s="219"/>
      <c r="C168" s="184"/>
      <c r="D168" s="185"/>
      <c r="E168" s="185" t="str">
        <f>IF(OR(C168="",C168=Data!$B$3),"",IF(C168=Data!$B$2,"L","S"))</f>
        <v/>
      </c>
      <c r="F168" s="185" t="str">
        <f t="shared" si="54"/>
        <v/>
      </c>
      <c r="G168" s="186" t="str">
        <f t="shared" si="45"/>
        <v/>
      </c>
      <c r="H168" s="187"/>
      <c r="I168" s="188" t="str">
        <f t="shared" si="55"/>
        <v/>
      </c>
      <c r="J168" s="188" t="str">
        <f t="shared" si="56"/>
        <v/>
      </c>
      <c r="K168" s="189" t="str">
        <f t="shared" si="57"/>
        <v/>
      </c>
      <c r="L168" s="189" t="str">
        <f t="shared" si="58"/>
        <v/>
      </c>
      <c r="M168" s="190"/>
      <c r="N168" s="190"/>
      <c r="O168" s="188" t="str">
        <f t="shared" si="59"/>
        <v/>
      </c>
      <c r="P168" s="191" t="str">
        <f t="shared" si="46"/>
        <v/>
      </c>
      <c r="Q168" s="192" t="str">
        <f t="shared" si="60"/>
        <v/>
      </c>
      <c r="R168" s="191" t="str">
        <f t="shared" si="47"/>
        <v/>
      </c>
      <c r="S168" s="193" t="str">
        <f t="shared" si="61"/>
        <v/>
      </c>
      <c r="T168" s="194" t="str">
        <f t="shared" si="48"/>
        <v/>
      </c>
      <c r="U168" s="192" t="str">
        <f t="shared" si="62"/>
        <v/>
      </c>
      <c r="V168" s="195" t="str">
        <f t="shared" si="49"/>
        <v/>
      </c>
      <c r="W168" s="195" t="str">
        <f t="shared" si="50"/>
        <v/>
      </c>
      <c r="X168" s="196" t="str">
        <f t="shared" si="63"/>
        <v/>
      </c>
      <c r="Y168" s="191" t="str">
        <f t="shared" si="64"/>
        <v/>
      </c>
      <c r="Z168" s="197" t="str">
        <f t="shared" si="51"/>
        <v/>
      </c>
      <c r="AA168" s="197" t="str">
        <f t="shared" si="52"/>
        <v/>
      </c>
      <c r="AB168" s="218"/>
      <c r="AC168" s="205"/>
    </row>
    <row r="169" spans="1:29">
      <c r="A169" s="219" t="str">
        <f t="shared" si="53"/>
        <v/>
      </c>
      <c r="B169" s="219"/>
      <c r="C169" s="184"/>
      <c r="D169" s="185"/>
      <c r="E169" s="185" t="str">
        <f>IF(OR(C169="",C169=Data!$B$3),"",IF(C169=Data!$B$2,"L","S"))</f>
        <v/>
      </c>
      <c r="F169" s="185" t="str">
        <f t="shared" si="54"/>
        <v/>
      </c>
      <c r="G169" s="186" t="str">
        <f t="shared" si="45"/>
        <v/>
      </c>
      <c r="H169" s="187"/>
      <c r="I169" s="188" t="str">
        <f t="shared" si="55"/>
        <v/>
      </c>
      <c r="J169" s="188" t="str">
        <f t="shared" si="56"/>
        <v/>
      </c>
      <c r="K169" s="189" t="str">
        <f t="shared" si="57"/>
        <v/>
      </c>
      <c r="L169" s="189" t="str">
        <f t="shared" si="58"/>
        <v/>
      </c>
      <c r="M169" s="190"/>
      <c r="N169" s="190"/>
      <c r="O169" s="188" t="str">
        <f t="shared" si="59"/>
        <v/>
      </c>
      <c r="P169" s="191" t="str">
        <f t="shared" si="46"/>
        <v/>
      </c>
      <c r="Q169" s="192" t="str">
        <f t="shared" si="60"/>
        <v/>
      </c>
      <c r="R169" s="191" t="str">
        <f t="shared" si="47"/>
        <v/>
      </c>
      <c r="S169" s="193" t="str">
        <f t="shared" si="61"/>
        <v/>
      </c>
      <c r="T169" s="194" t="str">
        <f t="shared" si="48"/>
        <v/>
      </c>
      <c r="U169" s="192" t="str">
        <f t="shared" si="62"/>
        <v/>
      </c>
      <c r="V169" s="195" t="str">
        <f t="shared" si="49"/>
        <v/>
      </c>
      <c r="W169" s="195" t="str">
        <f t="shared" si="50"/>
        <v/>
      </c>
      <c r="X169" s="196" t="str">
        <f t="shared" si="63"/>
        <v/>
      </c>
      <c r="Y169" s="191" t="str">
        <f t="shared" si="64"/>
        <v/>
      </c>
      <c r="Z169" s="197" t="str">
        <f t="shared" si="51"/>
        <v/>
      </c>
      <c r="AA169" s="197" t="str">
        <f t="shared" si="52"/>
        <v/>
      </c>
      <c r="AB169" s="218"/>
      <c r="AC169" s="205"/>
    </row>
    <row r="170" spans="1:29">
      <c r="A170" s="219" t="str">
        <f t="shared" si="53"/>
        <v/>
      </c>
      <c r="B170" s="219"/>
      <c r="C170" s="184"/>
      <c r="D170" s="185"/>
      <c r="E170" s="185" t="str">
        <f>IF(OR(C170="",C170=Data!$B$3),"",IF(C170=Data!$B$2,"L","S"))</f>
        <v/>
      </c>
      <c r="F170" s="185" t="str">
        <f t="shared" si="54"/>
        <v/>
      </c>
      <c r="G170" s="186" t="str">
        <f t="shared" si="45"/>
        <v/>
      </c>
      <c r="H170" s="187"/>
      <c r="I170" s="188" t="str">
        <f t="shared" si="55"/>
        <v/>
      </c>
      <c r="J170" s="188" t="str">
        <f t="shared" si="56"/>
        <v/>
      </c>
      <c r="K170" s="189" t="str">
        <f t="shared" si="57"/>
        <v/>
      </c>
      <c r="L170" s="189" t="str">
        <f t="shared" si="58"/>
        <v/>
      </c>
      <c r="M170" s="190"/>
      <c r="N170" s="190"/>
      <c r="O170" s="188" t="str">
        <f t="shared" si="59"/>
        <v/>
      </c>
      <c r="P170" s="191" t="str">
        <f t="shared" si="46"/>
        <v/>
      </c>
      <c r="Q170" s="192" t="str">
        <f t="shared" si="60"/>
        <v/>
      </c>
      <c r="R170" s="191" t="str">
        <f t="shared" si="47"/>
        <v/>
      </c>
      <c r="S170" s="193" t="str">
        <f t="shared" si="61"/>
        <v/>
      </c>
      <c r="T170" s="194" t="str">
        <f t="shared" si="48"/>
        <v/>
      </c>
      <c r="U170" s="192" t="str">
        <f t="shared" si="62"/>
        <v/>
      </c>
      <c r="V170" s="195" t="str">
        <f t="shared" si="49"/>
        <v/>
      </c>
      <c r="W170" s="195" t="str">
        <f t="shared" si="50"/>
        <v/>
      </c>
      <c r="X170" s="196" t="str">
        <f t="shared" si="63"/>
        <v/>
      </c>
      <c r="Y170" s="191" t="str">
        <f t="shared" si="64"/>
        <v/>
      </c>
      <c r="Z170" s="197" t="str">
        <f t="shared" si="51"/>
        <v/>
      </c>
      <c r="AA170" s="197" t="str">
        <f t="shared" si="52"/>
        <v/>
      </c>
      <c r="AB170" s="218"/>
      <c r="AC170" s="205"/>
    </row>
    <row r="171" spans="1:29">
      <c r="A171" s="219" t="str">
        <f t="shared" si="53"/>
        <v/>
      </c>
      <c r="B171" s="219"/>
      <c r="C171" s="184"/>
      <c r="D171" s="185"/>
      <c r="E171" s="185" t="str">
        <f>IF(OR(C171="",C171=Data!$B$3),"",IF(C171=Data!$B$2,"L","S"))</f>
        <v/>
      </c>
      <c r="F171" s="185" t="str">
        <f t="shared" si="54"/>
        <v/>
      </c>
      <c r="G171" s="186" t="str">
        <f t="shared" si="45"/>
        <v/>
      </c>
      <c r="H171" s="187"/>
      <c r="I171" s="188" t="str">
        <f t="shared" si="55"/>
        <v/>
      </c>
      <c r="J171" s="188" t="str">
        <f t="shared" si="56"/>
        <v/>
      </c>
      <c r="K171" s="189" t="str">
        <f t="shared" si="57"/>
        <v/>
      </c>
      <c r="L171" s="189" t="str">
        <f t="shared" si="58"/>
        <v/>
      </c>
      <c r="M171" s="190"/>
      <c r="N171" s="190"/>
      <c r="O171" s="188" t="str">
        <f t="shared" si="59"/>
        <v/>
      </c>
      <c r="P171" s="191" t="str">
        <f t="shared" si="46"/>
        <v/>
      </c>
      <c r="Q171" s="192" t="str">
        <f t="shared" si="60"/>
        <v/>
      </c>
      <c r="R171" s="191" t="str">
        <f t="shared" si="47"/>
        <v/>
      </c>
      <c r="S171" s="193" t="str">
        <f t="shared" si="61"/>
        <v/>
      </c>
      <c r="T171" s="194" t="str">
        <f t="shared" si="48"/>
        <v/>
      </c>
      <c r="U171" s="192" t="str">
        <f t="shared" si="62"/>
        <v/>
      </c>
      <c r="V171" s="195" t="str">
        <f t="shared" si="49"/>
        <v/>
      </c>
      <c r="W171" s="195" t="str">
        <f t="shared" si="50"/>
        <v/>
      </c>
      <c r="X171" s="196" t="str">
        <f t="shared" si="63"/>
        <v/>
      </c>
      <c r="Y171" s="191" t="str">
        <f t="shared" si="64"/>
        <v/>
      </c>
      <c r="Z171" s="197" t="str">
        <f t="shared" si="51"/>
        <v/>
      </c>
      <c r="AA171" s="197" t="str">
        <f t="shared" si="52"/>
        <v/>
      </c>
      <c r="AB171" s="218"/>
      <c r="AC171" s="205"/>
    </row>
    <row r="172" spans="1:29">
      <c r="A172" s="219" t="str">
        <f t="shared" si="53"/>
        <v/>
      </c>
      <c r="B172" s="219"/>
      <c r="C172" s="184"/>
      <c r="D172" s="185"/>
      <c r="E172" s="185" t="str">
        <f>IF(OR(C172="",C172=Data!$B$3),"",IF(C172=Data!$B$2,"L","S"))</f>
        <v/>
      </c>
      <c r="F172" s="185" t="str">
        <f t="shared" si="54"/>
        <v/>
      </c>
      <c r="G172" s="186" t="str">
        <f t="shared" si="45"/>
        <v/>
      </c>
      <c r="H172" s="187"/>
      <c r="I172" s="188" t="str">
        <f t="shared" si="55"/>
        <v/>
      </c>
      <c r="J172" s="188" t="str">
        <f t="shared" si="56"/>
        <v/>
      </c>
      <c r="K172" s="189" t="str">
        <f t="shared" si="57"/>
        <v/>
      </c>
      <c r="L172" s="189" t="str">
        <f t="shared" si="58"/>
        <v/>
      </c>
      <c r="M172" s="190"/>
      <c r="N172" s="190"/>
      <c r="O172" s="188" t="str">
        <f t="shared" si="59"/>
        <v/>
      </c>
      <c r="P172" s="191" t="str">
        <f t="shared" si="46"/>
        <v/>
      </c>
      <c r="Q172" s="192" t="str">
        <f t="shared" si="60"/>
        <v/>
      </c>
      <c r="R172" s="191" t="str">
        <f t="shared" si="47"/>
        <v/>
      </c>
      <c r="S172" s="193" t="str">
        <f t="shared" si="61"/>
        <v/>
      </c>
      <c r="T172" s="194" t="str">
        <f t="shared" si="48"/>
        <v/>
      </c>
      <c r="U172" s="192" t="str">
        <f t="shared" si="62"/>
        <v/>
      </c>
      <c r="V172" s="195" t="str">
        <f t="shared" si="49"/>
        <v/>
      </c>
      <c r="W172" s="195" t="str">
        <f t="shared" si="50"/>
        <v/>
      </c>
      <c r="X172" s="196" t="str">
        <f t="shared" si="63"/>
        <v/>
      </c>
      <c r="Y172" s="191" t="str">
        <f t="shared" si="64"/>
        <v/>
      </c>
      <c r="Z172" s="197" t="str">
        <f t="shared" si="51"/>
        <v/>
      </c>
      <c r="AA172" s="197" t="str">
        <f t="shared" si="52"/>
        <v/>
      </c>
      <c r="AB172" s="218"/>
      <c r="AC172" s="205"/>
    </row>
    <row r="173" spans="1:29">
      <c r="A173" s="219" t="str">
        <f t="shared" si="53"/>
        <v/>
      </c>
      <c r="B173" s="219"/>
      <c r="C173" s="184"/>
      <c r="D173" s="185"/>
      <c r="E173" s="185" t="str">
        <f>IF(OR(C173="",C173=Data!$B$3),"",IF(C173=Data!$B$2,"L","S"))</f>
        <v/>
      </c>
      <c r="F173" s="185" t="str">
        <f t="shared" si="54"/>
        <v/>
      </c>
      <c r="G173" s="186" t="str">
        <f t="shared" si="45"/>
        <v/>
      </c>
      <c r="H173" s="187"/>
      <c r="I173" s="188" t="str">
        <f t="shared" si="55"/>
        <v/>
      </c>
      <c r="J173" s="188" t="str">
        <f t="shared" si="56"/>
        <v/>
      </c>
      <c r="K173" s="189" t="str">
        <f t="shared" si="57"/>
        <v/>
      </c>
      <c r="L173" s="189" t="str">
        <f t="shared" si="58"/>
        <v/>
      </c>
      <c r="M173" s="190"/>
      <c r="N173" s="190"/>
      <c r="O173" s="188" t="str">
        <f t="shared" si="59"/>
        <v/>
      </c>
      <c r="P173" s="191" t="str">
        <f t="shared" si="46"/>
        <v/>
      </c>
      <c r="Q173" s="192" t="str">
        <f t="shared" si="60"/>
        <v/>
      </c>
      <c r="R173" s="191" t="str">
        <f t="shared" si="47"/>
        <v/>
      </c>
      <c r="S173" s="193" t="str">
        <f t="shared" si="61"/>
        <v/>
      </c>
      <c r="T173" s="194" t="str">
        <f t="shared" si="48"/>
        <v/>
      </c>
      <c r="U173" s="192" t="str">
        <f t="shared" si="62"/>
        <v/>
      </c>
      <c r="V173" s="195" t="str">
        <f t="shared" si="49"/>
        <v/>
      </c>
      <c r="W173" s="195" t="str">
        <f t="shared" si="50"/>
        <v/>
      </c>
      <c r="X173" s="196" t="str">
        <f t="shared" si="63"/>
        <v/>
      </c>
      <c r="Y173" s="191" t="str">
        <f t="shared" si="64"/>
        <v/>
      </c>
      <c r="Z173" s="197" t="str">
        <f t="shared" si="51"/>
        <v/>
      </c>
      <c r="AA173" s="197" t="str">
        <f t="shared" si="52"/>
        <v/>
      </c>
      <c r="AB173" s="218"/>
      <c r="AC173" s="205"/>
    </row>
    <row r="174" spans="1:29">
      <c r="A174" s="219" t="str">
        <f t="shared" si="53"/>
        <v/>
      </c>
      <c r="B174" s="219"/>
      <c r="C174" s="184"/>
      <c r="D174" s="185"/>
      <c r="E174" s="185" t="str">
        <f>IF(OR(C174="",C174=Data!$B$3),"",IF(C174=Data!$B$2,"L","S"))</f>
        <v/>
      </c>
      <c r="F174" s="185" t="str">
        <f t="shared" si="54"/>
        <v/>
      </c>
      <c r="G174" s="186" t="str">
        <f t="shared" si="45"/>
        <v/>
      </c>
      <c r="H174" s="187"/>
      <c r="I174" s="188" t="str">
        <f t="shared" si="55"/>
        <v/>
      </c>
      <c r="J174" s="188" t="str">
        <f t="shared" si="56"/>
        <v/>
      </c>
      <c r="K174" s="189" t="str">
        <f t="shared" si="57"/>
        <v/>
      </c>
      <c r="L174" s="189" t="str">
        <f t="shared" si="58"/>
        <v/>
      </c>
      <c r="M174" s="190"/>
      <c r="N174" s="190"/>
      <c r="O174" s="188" t="str">
        <f t="shared" si="59"/>
        <v/>
      </c>
      <c r="P174" s="191" t="str">
        <f t="shared" si="46"/>
        <v/>
      </c>
      <c r="Q174" s="192" t="str">
        <f t="shared" si="60"/>
        <v/>
      </c>
      <c r="R174" s="191" t="str">
        <f t="shared" si="47"/>
        <v/>
      </c>
      <c r="S174" s="193" t="str">
        <f t="shared" si="61"/>
        <v/>
      </c>
      <c r="T174" s="194" t="str">
        <f t="shared" si="48"/>
        <v/>
      </c>
      <c r="U174" s="192" t="str">
        <f t="shared" si="62"/>
        <v/>
      </c>
      <c r="V174" s="195" t="str">
        <f t="shared" si="49"/>
        <v/>
      </c>
      <c r="W174" s="195" t="str">
        <f t="shared" si="50"/>
        <v/>
      </c>
      <c r="X174" s="196" t="str">
        <f t="shared" si="63"/>
        <v/>
      </c>
      <c r="Y174" s="191" t="str">
        <f t="shared" si="64"/>
        <v/>
      </c>
      <c r="Z174" s="197" t="str">
        <f t="shared" si="51"/>
        <v/>
      </c>
      <c r="AA174" s="197" t="str">
        <f t="shared" si="52"/>
        <v/>
      </c>
      <c r="AB174" s="218"/>
      <c r="AC174" s="205"/>
    </row>
    <row r="175" spans="1:29">
      <c r="A175" s="219" t="str">
        <f t="shared" si="53"/>
        <v/>
      </c>
      <c r="B175" s="219"/>
      <c r="C175" s="184"/>
      <c r="D175" s="185"/>
      <c r="E175" s="185" t="str">
        <f>IF(OR(C175="",C175=Data!$B$3),"",IF(C175=Data!$B$2,"L","S"))</f>
        <v/>
      </c>
      <c r="F175" s="185" t="str">
        <f t="shared" si="54"/>
        <v/>
      </c>
      <c r="G175" s="186" t="str">
        <f t="shared" si="45"/>
        <v/>
      </c>
      <c r="H175" s="187"/>
      <c r="I175" s="188" t="str">
        <f t="shared" si="55"/>
        <v/>
      </c>
      <c r="J175" s="188" t="str">
        <f t="shared" si="56"/>
        <v/>
      </c>
      <c r="K175" s="189" t="str">
        <f t="shared" si="57"/>
        <v/>
      </c>
      <c r="L175" s="189" t="str">
        <f t="shared" si="58"/>
        <v/>
      </c>
      <c r="M175" s="190"/>
      <c r="N175" s="190"/>
      <c r="O175" s="188" t="str">
        <f t="shared" si="59"/>
        <v/>
      </c>
      <c r="P175" s="191" t="str">
        <f t="shared" si="46"/>
        <v/>
      </c>
      <c r="Q175" s="192" t="str">
        <f t="shared" si="60"/>
        <v/>
      </c>
      <c r="R175" s="191" t="str">
        <f t="shared" si="47"/>
        <v/>
      </c>
      <c r="S175" s="193" t="str">
        <f t="shared" si="61"/>
        <v/>
      </c>
      <c r="T175" s="194" t="str">
        <f t="shared" si="48"/>
        <v/>
      </c>
      <c r="U175" s="192" t="str">
        <f t="shared" si="62"/>
        <v/>
      </c>
      <c r="V175" s="195" t="str">
        <f t="shared" si="49"/>
        <v/>
      </c>
      <c r="W175" s="195" t="str">
        <f t="shared" si="50"/>
        <v/>
      </c>
      <c r="X175" s="196" t="str">
        <f t="shared" si="63"/>
        <v/>
      </c>
      <c r="Y175" s="191" t="str">
        <f t="shared" si="64"/>
        <v/>
      </c>
      <c r="Z175" s="197" t="str">
        <f t="shared" si="51"/>
        <v/>
      </c>
      <c r="AA175" s="197" t="str">
        <f t="shared" si="52"/>
        <v/>
      </c>
      <c r="AB175" s="218"/>
      <c r="AC175" s="205"/>
    </row>
    <row r="176" spans="1:29">
      <c r="A176" s="219" t="str">
        <f t="shared" si="53"/>
        <v/>
      </c>
      <c r="B176" s="219"/>
      <c r="C176" s="184"/>
      <c r="D176" s="185"/>
      <c r="E176" s="185" t="str">
        <f>IF(OR(C176="",C176=Data!$B$3),"",IF(C176=Data!$B$2,"L","S"))</f>
        <v/>
      </c>
      <c r="F176" s="185" t="str">
        <f t="shared" si="54"/>
        <v/>
      </c>
      <c r="G176" s="186" t="str">
        <f t="shared" si="45"/>
        <v/>
      </c>
      <c r="H176" s="187"/>
      <c r="I176" s="188" t="str">
        <f t="shared" si="55"/>
        <v/>
      </c>
      <c r="J176" s="188" t="str">
        <f t="shared" si="56"/>
        <v/>
      </c>
      <c r="K176" s="189" t="str">
        <f t="shared" si="57"/>
        <v/>
      </c>
      <c r="L176" s="189" t="str">
        <f t="shared" si="58"/>
        <v/>
      </c>
      <c r="M176" s="190"/>
      <c r="N176" s="190"/>
      <c r="O176" s="188" t="str">
        <f t="shared" si="59"/>
        <v/>
      </c>
      <c r="P176" s="191" t="str">
        <f t="shared" si="46"/>
        <v/>
      </c>
      <c r="Q176" s="192" t="str">
        <f t="shared" si="60"/>
        <v/>
      </c>
      <c r="R176" s="191" t="str">
        <f t="shared" si="47"/>
        <v/>
      </c>
      <c r="S176" s="193" t="str">
        <f t="shared" si="61"/>
        <v/>
      </c>
      <c r="T176" s="194" t="str">
        <f t="shared" si="48"/>
        <v/>
      </c>
      <c r="U176" s="192" t="str">
        <f t="shared" si="62"/>
        <v/>
      </c>
      <c r="V176" s="195" t="str">
        <f t="shared" si="49"/>
        <v/>
      </c>
      <c r="W176" s="195" t="str">
        <f t="shared" si="50"/>
        <v/>
      </c>
      <c r="X176" s="196" t="str">
        <f t="shared" si="63"/>
        <v/>
      </c>
      <c r="Y176" s="191" t="str">
        <f t="shared" si="64"/>
        <v/>
      </c>
      <c r="Z176" s="197" t="str">
        <f t="shared" si="51"/>
        <v/>
      </c>
      <c r="AA176" s="197" t="str">
        <f t="shared" si="52"/>
        <v/>
      </c>
      <c r="AB176" s="218"/>
      <c r="AC176" s="205"/>
    </row>
    <row r="177" spans="1:29">
      <c r="A177" s="219" t="str">
        <f t="shared" si="53"/>
        <v/>
      </c>
      <c r="B177" s="219"/>
      <c r="C177" s="184"/>
      <c r="D177" s="185"/>
      <c r="E177" s="185" t="str">
        <f>IF(OR(C177="",C177=Data!$B$3),"",IF(C177=Data!$B$2,"L","S"))</f>
        <v/>
      </c>
      <c r="F177" s="185" t="str">
        <f t="shared" si="54"/>
        <v/>
      </c>
      <c r="G177" s="186" t="str">
        <f t="shared" si="45"/>
        <v/>
      </c>
      <c r="H177" s="187"/>
      <c r="I177" s="188" t="str">
        <f t="shared" si="55"/>
        <v/>
      </c>
      <c r="J177" s="188" t="str">
        <f t="shared" si="56"/>
        <v/>
      </c>
      <c r="K177" s="189" t="str">
        <f t="shared" si="57"/>
        <v/>
      </c>
      <c r="L177" s="189" t="str">
        <f t="shared" si="58"/>
        <v/>
      </c>
      <c r="M177" s="190"/>
      <c r="N177" s="190"/>
      <c r="O177" s="188" t="str">
        <f t="shared" si="59"/>
        <v/>
      </c>
      <c r="P177" s="191" t="str">
        <f t="shared" si="46"/>
        <v/>
      </c>
      <c r="Q177" s="192" t="str">
        <f t="shared" si="60"/>
        <v/>
      </c>
      <c r="R177" s="191" t="str">
        <f t="shared" si="47"/>
        <v/>
      </c>
      <c r="S177" s="193" t="str">
        <f t="shared" si="61"/>
        <v/>
      </c>
      <c r="T177" s="194" t="str">
        <f t="shared" si="48"/>
        <v/>
      </c>
      <c r="U177" s="192" t="str">
        <f t="shared" si="62"/>
        <v/>
      </c>
      <c r="V177" s="195" t="str">
        <f t="shared" si="49"/>
        <v/>
      </c>
      <c r="W177" s="195" t="str">
        <f t="shared" si="50"/>
        <v/>
      </c>
      <c r="X177" s="196" t="str">
        <f t="shared" si="63"/>
        <v/>
      </c>
      <c r="Y177" s="191" t="str">
        <f t="shared" si="64"/>
        <v/>
      </c>
      <c r="Z177" s="197" t="str">
        <f t="shared" si="51"/>
        <v/>
      </c>
      <c r="AA177" s="197" t="str">
        <f t="shared" si="52"/>
        <v/>
      </c>
      <c r="AB177" s="218"/>
      <c r="AC177" s="205"/>
    </row>
    <row r="178" spans="1:29">
      <c r="A178" s="219" t="str">
        <f t="shared" si="53"/>
        <v/>
      </c>
      <c r="B178" s="219"/>
      <c r="C178" s="184"/>
      <c r="D178" s="185"/>
      <c r="E178" s="185" t="str">
        <f>IF(OR(C178="",C178=Data!$B$3),"",IF(C178=Data!$B$2,"L","S"))</f>
        <v/>
      </c>
      <c r="F178" s="185" t="str">
        <f t="shared" si="54"/>
        <v/>
      </c>
      <c r="G178" s="186" t="str">
        <f t="shared" si="45"/>
        <v/>
      </c>
      <c r="H178" s="187"/>
      <c r="I178" s="188" t="str">
        <f t="shared" si="55"/>
        <v/>
      </c>
      <c r="J178" s="188" t="str">
        <f t="shared" si="56"/>
        <v/>
      </c>
      <c r="K178" s="189" t="str">
        <f t="shared" si="57"/>
        <v/>
      </c>
      <c r="L178" s="189" t="str">
        <f t="shared" si="58"/>
        <v/>
      </c>
      <c r="M178" s="190"/>
      <c r="N178" s="190"/>
      <c r="O178" s="188" t="str">
        <f t="shared" si="59"/>
        <v/>
      </c>
      <c r="P178" s="191" t="str">
        <f t="shared" si="46"/>
        <v/>
      </c>
      <c r="Q178" s="192" t="str">
        <f t="shared" si="60"/>
        <v/>
      </c>
      <c r="R178" s="191" t="str">
        <f t="shared" si="47"/>
        <v/>
      </c>
      <c r="S178" s="193" t="str">
        <f t="shared" si="61"/>
        <v/>
      </c>
      <c r="T178" s="194" t="str">
        <f t="shared" si="48"/>
        <v/>
      </c>
      <c r="U178" s="192" t="str">
        <f t="shared" si="62"/>
        <v/>
      </c>
      <c r="V178" s="195" t="str">
        <f t="shared" si="49"/>
        <v/>
      </c>
      <c r="W178" s="195" t="str">
        <f t="shared" si="50"/>
        <v/>
      </c>
      <c r="X178" s="196" t="str">
        <f t="shared" si="63"/>
        <v/>
      </c>
      <c r="Y178" s="191" t="str">
        <f t="shared" si="64"/>
        <v/>
      </c>
      <c r="Z178" s="197" t="str">
        <f t="shared" si="51"/>
        <v/>
      </c>
      <c r="AA178" s="197" t="str">
        <f t="shared" si="52"/>
        <v/>
      </c>
      <c r="AB178" s="218"/>
      <c r="AC178" s="205"/>
    </row>
    <row r="179" spans="1:29">
      <c r="A179" s="219" t="str">
        <f t="shared" si="53"/>
        <v/>
      </c>
      <c r="B179" s="219"/>
      <c r="C179" s="184"/>
      <c r="D179" s="185"/>
      <c r="E179" s="185" t="str">
        <f>IF(OR(C179="",C179=Data!$B$3),"",IF(C179=Data!$B$2,"L","S"))</f>
        <v/>
      </c>
      <c r="F179" s="185" t="str">
        <f t="shared" si="54"/>
        <v/>
      </c>
      <c r="G179" s="186" t="str">
        <f t="shared" si="45"/>
        <v/>
      </c>
      <c r="H179" s="187"/>
      <c r="I179" s="188" t="str">
        <f t="shared" si="55"/>
        <v/>
      </c>
      <c r="J179" s="188" t="str">
        <f t="shared" si="56"/>
        <v/>
      </c>
      <c r="K179" s="189" t="str">
        <f t="shared" si="57"/>
        <v/>
      </c>
      <c r="L179" s="189" t="str">
        <f t="shared" si="58"/>
        <v/>
      </c>
      <c r="M179" s="190"/>
      <c r="N179" s="190"/>
      <c r="O179" s="188" t="str">
        <f t="shared" si="59"/>
        <v/>
      </c>
      <c r="P179" s="191" t="str">
        <f t="shared" si="46"/>
        <v/>
      </c>
      <c r="Q179" s="192" t="str">
        <f t="shared" si="60"/>
        <v/>
      </c>
      <c r="R179" s="191" t="str">
        <f t="shared" si="47"/>
        <v/>
      </c>
      <c r="S179" s="193" t="str">
        <f t="shared" si="61"/>
        <v/>
      </c>
      <c r="T179" s="194" t="str">
        <f t="shared" si="48"/>
        <v/>
      </c>
      <c r="U179" s="192" t="str">
        <f t="shared" si="62"/>
        <v/>
      </c>
      <c r="V179" s="195" t="str">
        <f t="shared" si="49"/>
        <v/>
      </c>
      <c r="W179" s="195" t="str">
        <f t="shared" si="50"/>
        <v/>
      </c>
      <c r="X179" s="196" t="str">
        <f t="shared" si="63"/>
        <v/>
      </c>
      <c r="Y179" s="191" t="str">
        <f t="shared" si="64"/>
        <v/>
      </c>
      <c r="Z179" s="197" t="str">
        <f t="shared" si="51"/>
        <v/>
      </c>
      <c r="AA179" s="197" t="str">
        <f t="shared" si="52"/>
        <v/>
      </c>
      <c r="AB179" s="218"/>
      <c r="AC179" s="205"/>
    </row>
    <row r="180" spans="1:29">
      <c r="A180" s="219" t="str">
        <f t="shared" si="53"/>
        <v/>
      </c>
      <c r="B180" s="219"/>
      <c r="C180" s="184"/>
      <c r="D180" s="185"/>
      <c r="E180" s="185" t="str">
        <f>IF(OR(C180="",C180=Data!$B$3),"",IF(C180=Data!$B$2,"L","S"))</f>
        <v/>
      </c>
      <c r="F180" s="185" t="str">
        <f t="shared" si="54"/>
        <v/>
      </c>
      <c r="G180" s="186" t="str">
        <f t="shared" si="45"/>
        <v/>
      </c>
      <c r="H180" s="187"/>
      <c r="I180" s="188" t="str">
        <f t="shared" si="55"/>
        <v/>
      </c>
      <c r="J180" s="188" t="str">
        <f t="shared" si="56"/>
        <v/>
      </c>
      <c r="K180" s="189" t="str">
        <f t="shared" si="57"/>
        <v/>
      </c>
      <c r="L180" s="189" t="str">
        <f t="shared" si="58"/>
        <v/>
      </c>
      <c r="M180" s="190"/>
      <c r="N180" s="190"/>
      <c r="O180" s="188" t="str">
        <f t="shared" si="59"/>
        <v/>
      </c>
      <c r="P180" s="191" t="str">
        <f t="shared" si="46"/>
        <v/>
      </c>
      <c r="Q180" s="192" t="str">
        <f t="shared" si="60"/>
        <v/>
      </c>
      <c r="R180" s="191" t="str">
        <f t="shared" si="47"/>
        <v/>
      </c>
      <c r="S180" s="193" t="str">
        <f t="shared" si="61"/>
        <v/>
      </c>
      <c r="T180" s="194" t="str">
        <f t="shared" si="48"/>
        <v/>
      </c>
      <c r="U180" s="192" t="str">
        <f t="shared" si="62"/>
        <v/>
      </c>
      <c r="V180" s="195" t="str">
        <f t="shared" si="49"/>
        <v/>
      </c>
      <c r="W180" s="195" t="str">
        <f t="shared" si="50"/>
        <v/>
      </c>
      <c r="X180" s="196" t="str">
        <f t="shared" si="63"/>
        <v/>
      </c>
      <c r="Y180" s="191" t="str">
        <f t="shared" si="64"/>
        <v/>
      </c>
      <c r="Z180" s="197" t="str">
        <f t="shared" si="51"/>
        <v/>
      </c>
      <c r="AA180" s="197" t="str">
        <f t="shared" si="52"/>
        <v/>
      </c>
      <c r="AB180" s="218"/>
      <c r="AC180" s="205"/>
    </row>
    <row r="181" spans="1:29">
      <c r="A181" s="219" t="str">
        <f t="shared" si="53"/>
        <v/>
      </c>
      <c r="B181" s="219"/>
      <c r="C181" s="184"/>
      <c r="D181" s="185"/>
      <c r="E181" s="185" t="str">
        <f>IF(OR(C181="",C181=Data!$B$3),"",IF(C181=Data!$B$2,"L","S"))</f>
        <v/>
      </c>
      <c r="F181" s="185" t="str">
        <f t="shared" si="54"/>
        <v/>
      </c>
      <c r="G181" s="186" t="str">
        <f t="shared" si="45"/>
        <v/>
      </c>
      <c r="H181" s="187"/>
      <c r="I181" s="188" t="str">
        <f t="shared" si="55"/>
        <v/>
      </c>
      <c r="J181" s="188" t="str">
        <f t="shared" si="56"/>
        <v/>
      </c>
      <c r="K181" s="189" t="str">
        <f t="shared" si="57"/>
        <v/>
      </c>
      <c r="L181" s="189" t="str">
        <f t="shared" si="58"/>
        <v/>
      </c>
      <c r="M181" s="190"/>
      <c r="N181" s="190"/>
      <c r="O181" s="188" t="str">
        <f t="shared" si="59"/>
        <v/>
      </c>
      <c r="P181" s="191" t="str">
        <f t="shared" si="46"/>
        <v/>
      </c>
      <c r="Q181" s="192" t="str">
        <f t="shared" si="60"/>
        <v/>
      </c>
      <c r="R181" s="191" t="str">
        <f t="shared" si="47"/>
        <v/>
      </c>
      <c r="S181" s="193" t="str">
        <f t="shared" si="61"/>
        <v/>
      </c>
      <c r="T181" s="194" t="str">
        <f t="shared" si="48"/>
        <v/>
      </c>
      <c r="U181" s="192" t="str">
        <f t="shared" si="62"/>
        <v/>
      </c>
      <c r="V181" s="195" t="str">
        <f t="shared" si="49"/>
        <v/>
      </c>
      <c r="W181" s="195" t="str">
        <f t="shared" si="50"/>
        <v/>
      </c>
      <c r="X181" s="196" t="str">
        <f t="shared" si="63"/>
        <v/>
      </c>
      <c r="Y181" s="191" t="str">
        <f t="shared" si="64"/>
        <v/>
      </c>
      <c r="Z181" s="197" t="str">
        <f t="shared" si="51"/>
        <v/>
      </c>
      <c r="AA181" s="197" t="str">
        <f t="shared" si="52"/>
        <v/>
      </c>
      <c r="AB181" s="218"/>
      <c r="AC181" s="205"/>
    </row>
    <row r="182" spans="1:29">
      <c r="A182" s="219" t="str">
        <f t="shared" si="53"/>
        <v/>
      </c>
      <c r="B182" s="219"/>
      <c r="C182" s="184"/>
      <c r="D182" s="185"/>
      <c r="E182" s="185" t="str">
        <f>IF(OR(C182="",C182=Data!$B$3),"",IF(C182=Data!$B$2,"L","S"))</f>
        <v/>
      </c>
      <c r="F182" s="185" t="str">
        <f t="shared" si="54"/>
        <v/>
      </c>
      <c r="G182" s="186" t="str">
        <f t="shared" si="45"/>
        <v/>
      </c>
      <c r="H182" s="187"/>
      <c r="I182" s="188" t="str">
        <f t="shared" si="55"/>
        <v/>
      </c>
      <c r="J182" s="188" t="str">
        <f t="shared" si="56"/>
        <v/>
      </c>
      <c r="K182" s="189" t="str">
        <f t="shared" si="57"/>
        <v/>
      </c>
      <c r="L182" s="189" t="str">
        <f t="shared" si="58"/>
        <v/>
      </c>
      <c r="M182" s="190"/>
      <c r="N182" s="190"/>
      <c r="O182" s="188" t="str">
        <f t="shared" si="59"/>
        <v/>
      </c>
      <c r="P182" s="191" t="str">
        <f t="shared" si="46"/>
        <v/>
      </c>
      <c r="Q182" s="192" t="str">
        <f t="shared" si="60"/>
        <v/>
      </c>
      <c r="R182" s="191" t="str">
        <f t="shared" si="47"/>
        <v/>
      </c>
      <c r="S182" s="193" t="str">
        <f t="shared" si="61"/>
        <v/>
      </c>
      <c r="T182" s="194" t="str">
        <f t="shared" si="48"/>
        <v/>
      </c>
      <c r="U182" s="192" t="str">
        <f t="shared" si="62"/>
        <v/>
      </c>
      <c r="V182" s="195" t="str">
        <f t="shared" si="49"/>
        <v/>
      </c>
      <c r="W182" s="195" t="str">
        <f t="shared" si="50"/>
        <v/>
      </c>
      <c r="X182" s="196" t="str">
        <f t="shared" si="63"/>
        <v/>
      </c>
      <c r="Y182" s="191" t="str">
        <f t="shared" si="64"/>
        <v/>
      </c>
      <c r="Z182" s="197" t="str">
        <f t="shared" si="51"/>
        <v/>
      </c>
      <c r="AA182" s="197" t="str">
        <f t="shared" si="52"/>
        <v/>
      </c>
      <c r="AB182" s="218"/>
      <c r="AC182" s="205"/>
    </row>
    <row r="183" spans="1:29">
      <c r="A183" s="219" t="str">
        <f t="shared" si="53"/>
        <v/>
      </c>
      <c r="B183" s="219"/>
      <c r="C183" s="184"/>
      <c r="D183" s="185"/>
      <c r="E183" s="185" t="str">
        <f>IF(OR(C183="",C183=Data!$B$3),"",IF(C183=Data!$B$2,"L","S"))</f>
        <v/>
      </c>
      <c r="F183" s="185" t="str">
        <f t="shared" si="54"/>
        <v/>
      </c>
      <c r="G183" s="186" t="str">
        <f t="shared" si="45"/>
        <v/>
      </c>
      <c r="H183" s="187"/>
      <c r="I183" s="188" t="str">
        <f t="shared" si="55"/>
        <v/>
      </c>
      <c r="J183" s="188" t="str">
        <f t="shared" si="56"/>
        <v/>
      </c>
      <c r="K183" s="189" t="str">
        <f t="shared" si="57"/>
        <v/>
      </c>
      <c r="L183" s="189" t="str">
        <f t="shared" si="58"/>
        <v/>
      </c>
      <c r="M183" s="190"/>
      <c r="N183" s="190"/>
      <c r="O183" s="188" t="str">
        <f t="shared" si="59"/>
        <v/>
      </c>
      <c r="P183" s="191" t="str">
        <f t="shared" si="46"/>
        <v/>
      </c>
      <c r="Q183" s="192" t="str">
        <f t="shared" si="60"/>
        <v/>
      </c>
      <c r="R183" s="191" t="str">
        <f t="shared" si="47"/>
        <v/>
      </c>
      <c r="S183" s="193" t="str">
        <f t="shared" si="61"/>
        <v/>
      </c>
      <c r="T183" s="194" t="str">
        <f t="shared" si="48"/>
        <v/>
      </c>
      <c r="U183" s="192" t="str">
        <f t="shared" si="62"/>
        <v/>
      </c>
      <c r="V183" s="195" t="str">
        <f t="shared" si="49"/>
        <v/>
      </c>
      <c r="W183" s="195" t="str">
        <f t="shared" si="50"/>
        <v/>
      </c>
      <c r="X183" s="196" t="str">
        <f t="shared" si="63"/>
        <v/>
      </c>
      <c r="Y183" s="191" t="str">
        <f t="shared" si="64"/>
        <v/>
      </c>
      <c r="Z183" s="197" t="str">
        <f t="shared" si="51"/>
        <v/>
      </c>
      <c r="AA183" s="197" t="str">
        <f t="shared" si="52"/>
        <v/>
      </c>
      <c r="AB183" s="218"/>
      <c r="AC183" s="205"/>
    </row>
    <row r="184" spans="1:29">
      <c r="A184" s="219" t="str">
        <f t="shared" si="53"/>
        <v/>
      </c>
      <c r="B184" s="219"/>
      <c r="C184" s="184"/>
      <c r="D184" s="185"/>
      <c r="E184" s="185" t="str">
        <f>IF(OR(C184="",C184=Data!$B$3),"",IF(C184=Data!$B$2,"L","S"))</f>
        <v/>
      </c>
      <c r="F184" s="185" t="str">
        <f t="shared" si="54"/>
        <v/>
      </c>
      <c r="G184" s="186" t="str">
        <f t="shared" si="45"/>
        <v/>
      </c>
      <c r="H184" s="187"/>
      <c r="I184" s="188" t="str">
        <f t="shared" si="55"/>
        <v/>
      </c>
      <c r="J184" s="188" t="str">
        <f t="shared" si="56"/>
        <v/>
      </c>
      <c r="K184" s="189" t="str">
        <f t="shared" si="57"/>
        <v/>
      </c>
      <c r="L184" s="189" t="str">
        <f t="shared" si="58"/>
        <v/>
      </c>
      <c r="M184" s="190"/>
      <c r="N184" s="190"/>
      <c r="O184" s="188" t="str">
        <f t="shared" si="59"/>
        <v/>
      </c>
      <c r="P184" s="191" t="str">
        <f t="shared" si="46"/>
        <v/>
      </c>
      <c r="Q184" s="192" t="str">
        <f t="shared" si="60"/>
        <v/>
      </c>
      <c r="R184" s="191" t="str">
        <f t="shared" si="47"/>
        <v/>
      </c>
      <c r="S184" s="193" t="str">
        <f t="shared" si="61"/>
        <v/>
      </c>
      <c r="T184" s="194" t="str">
        <f t="shared" si="48"/>
        <v/>
      </c>
      <c r="U184" s="192" t="str">
        <f t="shared" si="62"/>
        <v/>
      </c>
      <c r="V184" s="195" t="str">
        <f t="shared" si="49"/>
        <v/>
      </c>
      <c r="W184" s="195" t="str">
        <f t="shared" si="50"/>
        <v/>
      </c>
      <c r="X184" s="196" t="str">
        <f t="shared" si="63"/>
        <v/>
      </c>
      <c r="Y184" s="191" t="str">
        <f t="shared" si="64"/>
        <v/>
      </c>
      <c r="Z184" s="197" t="str">
        <f t="shared" si="51"/>
        <v/>
      </c>
      <c r="AA184" s="197" t="str">
        <f t="shared" si="52"/>
        <v/>
      </c>
      <c r="AB184" s="218"/>
      <c r="AC184" s="205"/>
    </row>
    <row r="185" spans="1:29">
      <c r="A185" s="219" t="str">
        <f t="shared" si="53"/>
        <v/>
      </c>
      <c r="B185" s="219"/>
      <c r="C185" s="184"/>
      <c r="D185" s="185"/>
      <c r="E185" s="185" t="str">
        <f>IF(OR(C185="",C185=Data!$B$3),"",IF(C185=Data!$B$2,"L","S"))</f>
        <v/>
      </c>
      <c r="F185" s="185" t="str">
        <f t="shared" si="54"/>
        <v/>
      </c>
      <c r="G185" s="186" t="str">
        <f t="shared" si="45"/>
        <v/>
      </c>
      <c r="H185" s="187"/>
      <c r="I185" s="188" t="str">
        <f t="shared" si="55"/>
        <v/>
      </c>
      <c r="J185" s="188" t="str">
        <f t="shared" si="56"/>
        <v/>
      </c>
      <c r="K185" s="189" t="str">
        <f t="shared" si="57"/>
        <v/>
      </c>
      <c r="L185" s="189" t="str">
        <f t="shared" si="58"/>
        <v/>
      </c>
      <c r="M185" s="190"/>
      <c r="N185" s="190"/>
      <c r="O185" s="188" t="str">
        <f t="shared" si="59"/>
        <v/>
      </c>
      <c r="P185" s="191" t="str">
        <f t="shared" si="46"/>
        <v/>
      </c>
      <c r="Q185" s="192" t="str">
        <f t="shared" si="60"/>
        <v/>
      </c>
      <c r="R185" s="191" t="str">
        <f t="shared" si="47"/>
        <v/>
      </c>
      <c r="S185" s="193" t="str">
        <f t="shared" si="61"/>
        <v/>
      </c>
      <c r="T185" s="194" t="str">
        <f t="shared" si="48"/>
        <v/>
      </c>
      <c r="U185" s="192" t="str">
        <f t="shared" si="62"/>
        <v/>
      </c>
      <c r="V185" s="195" t="str">
        <f t="shared" si="49"/>
        <v/>
      </c>
      <c r="W185" s="195" t="str">
        <f t="shared" si="50"/>
        <v/>
      </c>
      <c r="X185" s="196" t="str">
        <f t="shared" si="63"/>
        <v/>
      </c>
      <c r="Y185" s="191" t="str">
        <f t="shared" si="64"/>
        <v/>
      </c>
      <c r="Z185" s="197" t="str">
        <f t="shared" si="51"/>
        <v/>
      </c>
      <c r="AA185" s="197" t="str">
        <f t="shared" si="52"/>
        <v/>
      </c>
      <c r="AB185" s="218"/>
      <c r="AC185" s="205"/>
    </row>
    <row r="186" spans="1:29">
      <c r="A186" s="219" t="str">
        <f t="shared" si="53"/>
        <v/>
      </c>
      <c r="B186" s="219"/>
      <c r="C186" s="184"/>
      <c r="D186" s="185"/>
      <c r="E186" s="185" t="str">
        <f>IF(OR(C186="",C186=Data!$B$3),"",IF(C186=Data!$B$2,"L","S"))</f>
        <v/>
      </c>
      <c r="F186" s="185" t="str">
        <f t="shared" si="54"/>
        <v/>
      </c>
      <c r="G186" s="186" t="str">
        <f t="shared" si="45"/>
        <v/>
      </c>
      <c r="H186" s="187"/>
      <c r="I186" s="188" t="str">
        <f t="shared" si="55"/>
        <v/>
      </c>
      <c r="J186" s="188" t="str">
        <f t="shared" si="56"/>
        <v/>
      </c>
      <c r="K186" s="189" t="str">
        <f t="shared" si="57"/>
        <v/>
      </c>
      <c r="L186" s="189" t="str">
        <f t="shared" si="58"/>
        <v/>
      </c>
      <c r="M186" s="190"/>
      <c r="N186" s="190"/>
      <c r="O186" s="188" t="str">
        <f t="shared" si="59"/>
        <v/>
      </c>
      <c r="P186" s="191" t="str">
        <f t="shared" si="46"/>
        <v/>
      </c>
      <c r="Q186" s="192" t="str">
        <f t="shared" si="60"/>
        <v/>
      </c>
      <c r="R186" s="191" t="str">
        <f t="shared" si="47"/>
        <v/>
      </c>
      <c r="S186" s="193" t="str">
        <f t="shared" si="61"/>
        <v/>
      </c>
      <c r="T186" s="194" t="str">
        <f t="shared" si="48"/>
        <v/>
      </c>
      <c r="U186" s="192" t="str">
        <f t="shared" si="62"/>
        <v/>
      </c>
      <c r="V186" s="195" t="str">
        <f t="shared" si="49"/>
        <v/>
      </c>
      <c r="W186" s="195" t="str">
        <f t="shared" si="50"/>
        <v/>
      </c>
      <c r="X186" s="196" t="str">
        <f t="shared" si="63"/>
        <v/>
      </c>
      <c r="Y186" s="191" t="str">
        <f t="shared" si="64"/>
        <v/>
      </c>
      <c r="Z186" s="197" t="str">
        <f t="shared" si="51"/>
        <v/>
      </c>
      <c r="AA186" s="197" t="str">
        <f t="shared" si="52"/>
        <v/>
      </c>
      <c r="AB186" s="218"/>
      <c r="AC186" s="205"/>
    </row>
    <row r="187" spans="1:29">
      <c r="A187" s="219" t="str">
        <f t="shared" si="53"/>
        <v/>
      </c>
      <c r="B187" s="219"/>
      <c r="C187" s="184"/>
      <c r="D187" s="185"/>
      <c r="E187" s="185" t="str">
        <f>IF(OR(C187="",C187=Data!$B$3),"",IF(C187=Data!$B$2,"L","S"))</f>
        <v/>
      </c>
      <c r="F187" s="185" t="str">
        <f t="shared" si="54"/>
        <v/>
      </c>
      <c r="G187" s="186" t="str">
        <f t="shared" si="45"/>
        <v/>
      </c>
      <c r="H187" s="187"/>
      <c r="I187" s="188" t="str">
        <f t="shared" si="55"/>
        <v/>
      </c>
      <c r="J187" s="188" t="str">
        <f t="shared" si="56"/>
        <v/>
      </c>
      <c r="K187" s="189" t="str">
        <f t="shared" si="57"/>
        <v/>
      </c>
      <c r="L187" s="189" t="str">
        <f t="shared" si="58"/>
        <v/>
      </c>
      <c r="M187" s="190"/>
      <c r="N187" s="190"/>
      <c r="O187" s="188" t="str">
        <f t="shared" si="59"/>
        <v/>
      </c>
      <c r="P187" s="191" t="str">
        <f t="shared" si="46"/>
        <v/>
      </c>
      <c r="Q187" s="192" t="str">
        <f t="shared" si="60"/>
        <v/>
      </c>
      <c r="R187" s="191" t="str">
        <f t="shared" si="47"/>
        <v/>
      </c>
      <c r="S187" s="193" t="str">
        <f t="shared" si="61"/>
        <v/>
      </c>
      <c r="T187" s="194" t="str">
        <f t="shared" si="48"/>
        <v/>
      </c>
      <c r="U187" s="192" t="str">
        <f t="shared" si="62"/>
        <v/>
      </c>
      <c r="V187" s="195" t="str">
        <f t="shared" si="49"/>
        <v/>
      </c>
      <c r="W187" s="195" t="str">
        <f t="shared" si="50"/>
        <v/>
      </c>
      <c r="X187" s="196" t="str">
        <f t="shared" si="63"/>
        <v/>
      </c>
      <c r="Y187" s="191" t="str">
        <f t="shared" si="64"/>
        <v/>
      </c>
      <c r="Z187" s="197" t="str">
        <f t="shared" si="51"/>
        <v/>
      </c>
      <c r="AA187" s="197" t="str">
        <f t="shared" si="52"/>
        <v/>
      </c>
      <c r="AB187" s="218"/>
      <c r="AC187" s="205"/>
    </row>
    <row r="188" spans="1:29">
      <c r="A188" s="219" t="str">
        <f t="shared" si="53"/>
        <v/>
      </c>
      <c r="B188" s="219"/>
      <c r="C188" s="184"/>
      <c r="D188" s="185"/>
      <c r="E188" s="185" t="str">
        <f>IF(OR(C188="",C188=Data!$B$3),"",IF(C188=Data!$B$2,"L","S"))</f>
        <v/>
      </c>
      <c r="F188" s="185" t="str">
        <f t="shared" si="54"/>
        <v/>
      </c>
      <c r="G188" s="186" t="str">
        <f t="shared" si="45"/>
        <v/>
      </c>
      <c r="H188" s="187"/>
      <c r="I188" s="188" t="str">
        <f t="shared" si="55"/>
        <v/>
      </c>
      <c r="J188" s="188" t="str">
        <f t="shared" si="56"/>
        <v/>
      </c>
      <c r="K188" s="189" t="str">
        <f t="shared" si="57"/>
        <v/>
      </c>
      <c r="L188" s="189" t="str">
        <f t="shared" si="58"/>
        <v/>
      </c>
      <c r="M188" s="190"/>
      <c r="N188" s="190"/>
      <c r="O188" s="188" t="str">
        <f t="shared" si="59"/>
        <v/>
      </c>
      <c r="P188" s="191" t="str">
        <f t="shared" si="46"/>
        <v/>
      </c>
      <c r="Q188" s="192" t="str">
        <f t="shared" si="60"/>
        <v/>
      </c>
      <c r="R188" s="191" t="str">
        <f t="shared" si="47"/>
        <v/>
      </c>
      <c r="S188" s="193" t="str">
        <f t="shared" si="61"/>
        <v/>
      </c>
      <c r="T188" s="194" t="str">
        <f t="shared" si="48"/>
        <v/>
      </c>
      <c r="U188" s="192" t="str">
        <f t="shared" si="62"/>
        <v/>
      </c>
      <c r="V188" s="195" t="str">
        <f t="shared" si="49"/>
        <v/>
      </c>
      <c r="W188" s="195" t="str">
        <f t="shared" si="50"/>
        <v/>
      </c>
      <c r="X188" s="196" t="str">
        <f t="shared" si="63"/>
        <v/>
      </c>
      <c r="Y188" s="191" t="str">
        <f t="shared" si="64"/>
        <v/>
      </c>
      <c r="Z188" s="197" t="str">
        <f t="shared" si="51"/>
        <v/>
      </c>
      <c r="AA188" s="197" t="str">
        <f t="shared" si="52"/>
        <v/>
      </c>
      <c r="AB188" s="218"/>
      <c r="AC188" s="205"/>
    </row>
    <row r="189" spans="1:29">
      <c r="A189" s="219" t="str">
        <f t="shared" si="53"/>
        <v/>
      </c>
      <c r="B189" s="219"/>
      <c r="C189" s="184"/>
      <c r="D189" s="185"/>
      <c r="E189" s="185" t="str">
        <f>IF(OR(C189="",C189=Data!$B$3),"",IF(C189=Data!$B$2,"L","S"))</f>
        <v/>
      </c>
      <c r="F189" s="185" t="str">
        <f t="shared" si="54"/>
        <v/>
      </c>
      <c r="G189" s="186" t="str">
        <f t="shared" si="45"/>
        <v/>
      </c>
      <c r="H189" s="187"/>
      <c r="I189" s="188" t="str">
        <f t="shared" si="55"/>
        <v/>
      </c>
      <c r="J189" s="188" t="str">
        <f t="shared" si="56"/>
        <v/>
      </c>
      <c r="K189" s="189" t="str">
        <f t="shared" si="57"/>
        <v/>
      </c>
      <c r="L189" s="189" t="str">
        <f t="shared" si="58"/>
        <v/>
      </c>
      <c r="M189" s="190"/>
      <c r="N189" s="190"/>
      <c r="O189" s="188" t="str">
        <f t="shared" si="59"/>
        <v/>
      </c>
      <c r="P189" s="191" t="str">
        <f t="shared" si="46"/>
        <v/>
      </c>
      <c r="Q189" s="192" t="str">
        <f t="shared" si="60"/>
        <v/>
      </c>
      <c r="R189" s="191" t="str">
        <f t="shared" si="47"/>
        <v/>
      </c>
      <c r="S189" s="193" t="str">
        <f t="shared" si="61"/>
        <v/>
      </c>
      <c r="T189" s="194" t="str">
        <f t="shared" si="48"/>
        <v/>
      </c>
      <c r="U189" s="192" t="str">
        <f t="shared" si="62"/>
        <v/>
      </c>
      <c r="V189" s="195" t="str">
        <f t="shared" si="49"/>
        <v/>
      </c>
      <c r="W189" s="195" t="str">
        <f t="shared" si="50"/>
        <v/>
      </c>
      <c r="X189" s="196" t="str">
        <f t="shared" si="63"/>
        <v/>
      </c>
      <c r="Y189" s="191" t="str">
        <f t="shared" si="64"/>
        <v/>
      </c>
      <c r="Z189" s="197" t="str">
        <f t="shared" si="51"/>
        <v/>
      </c>
      <c r="AA189" s="197" t="str">
        <f t="shared" si="52"/>
        <v/>
      </c>
      <c r="AB189" s="218"/>
      <c r="AC189" s="205"/>
    </row>
    <row r="190" spans="1:29">
      <c r="A190" s="219" t="str">
        <f t="shared" si="53"/>
        <v/>
      </c>
      <c r="B190" s="219"/>
      <c r="C190" s="184"/>
      <c r="D190" s="185"/>
      <c r="E190" s="185" t="str">
        <f>IF(OR(C190="",C190=Data!$B$3),"",IF(C190=Data!$B$2,"L","S"))</f>
        <v/>
      </c>
      <c r="F190" s="185" t="str">
        <f t="shared" si="54"/>
        <v/>
      </c>
      <c r="G190" s="186" t="str">
        <f t="shared" si="45"/>
        <v/>
      </c>
      <c r="H190" s="187"/>
      <c r="I190" s="188" t="str">
        <f t="shared" si="55"/>
        <v/>
      </c>
      <c r="J190" s="188" t="str">
        <f t="shared" si="56"/>
        <v/>
      </c>
      <c r="K190" s="189" t="str">
        <f t="shared" si="57"/>
        <v/>
      </c>
      <c r="L190" s="189" t="str">
        <f t="shared" si="58"/>
        <v/>
      </c>
      <c r="M190" s="190"/>
      <c r="N190" s="190"/>
      <c r="O190" s="188" t="str">
        <f t="shared" si="59"/>
        <v/>
      </c>
      <c r="P190" s="191" t="str">
        <f t="shared" si="46"/>
        <v/>
      </c>
      <c r="Q190" s="192" t="str">
        <f t="shared" si="60"/>
        <v/>
      </c>
      <c r="R190" s="191" t="str">
        <f t="shared" si="47"/>
        <v/>
      </c>
      <c r="S190" s="193" t="str">
        <f t="shared" si="61"/>
        <v/>
      </c>
      <c r="T190" s="194" t="str">
        <f t="shared" si="48"/>
        <v/>
      </c>
      <c r="U190" s="192" t="str">
        <f t="shared" si="62"/>
        <v/>
      </c>
      <c r="V190" s="195" t="str">
        <f t="shared" si="49"/>
        <v/>
      </c>
      <c r="W190" s="195" t="str">
        <f t="shared" si="50"/>
        <v/>
      </c>
      <c r="X190" s="196" t="str">
        <f t="shared" si="63"/>
        <v/>
      </c>
      <c r="Y190" s="191" t="str">
        <f t="shared" si="64"/>
        <v/>
      </c>
      <c r="Z190" s="197" t="str">
        <f t="shared" si="51"/>
        <v/>
      </c>
      <c r="AA190" s="197" t="str">
        <f t="shared" si="52"/>
        <v/>
      </c>
      <c r="AB190" s="218"/>
      <c r="AC190" s="205"/>
    </row>
    <row r="191" spans="1:29">
      <c r="A191" s="219" t="str">
        <f t="shared" si="53"/>
        <v/>
      </c>
      <c r="B191" s="219"/>
      <c r="C191" s="184"/>
      <c r="D191" s="185"/>
      <c r="E191" s="185" t="str">
        <f>IF(OR(C191="",C191=Data!$B$3),"",IF(C191=Data!$B$2,"L","S"))</f>
        <v/>
      </c>
      <c r="F191" s="185" t="str">
        <f t="shared" si="54"/>
        <v/>
      </c>
      <c r="G191" s="186" t="str">
        <f t="shared" si="45"/>
        <v/>
      </c>
      <c r="H191" s="187"/>
      <c r="I191" s="188" t="str">
        <f t="shared" si="55"/>
        <v/>
      </c>
      <c r="J191" s="188" t="str">
        <f t="shared" si="56"/>
        <v/>
      </c>
      <c r="K191" s="189" t="str">
        <f t="shared" si="57"/>
        <v/>
      </c>
      <c r="L191" s="189" t="str">
        <f t="shared" si="58"/>
        <v/>
      </c>
      <c r="M191" s="190"/>
      <c r="N191" s="190"/>
      <c r="O191" s="188" t="str">
        <f t="shared" si="59"/>
        <v/>
      </c>
      <c r="P191" s="191" t="str">
        <f t="shared" si="46"/>
        <v/>
      </c>
      <c r="Q191" s="192" t="str">
        <f t="shared" si="60"/>
        <v/>
      </c>
      <c r="R191" s="191" t="str">
        <f t="shared" si="47"/>
        <v/>
      </c>
      <c r="S191" s="193" t="str">
        <f t="shared" si="61"/>
        <v/>
      </c>
      <c r="T191" s="194" t="str">
        <f t="shared" si="48"/>
        <v/>
      </c>
      <c r="U191" s="192" t="str">
        <f t="shared" si="62"/>
        <v/>
      </c>
      <c r="V191" s="195" t="str">
        <f t="shared" si="49"/>
        <v/>
      </c>
      <c r="W191" s="195" t="str">
        <f t="shared" si="50"/>
        <v/>
      </c>
      <c r="X191" s="196" t="str">
        <f t="shared" si="63"/>
        <v/>
      </c>
      <c r="Y191" s="191" t="str">
        <f t="shared" si="64"/>
        <v/>
      </c>
      <c r="Z191" s="197" t="str">
        <f t="shared" si="51"/>
        <v/>
      </c>
      <c r="AA191" s="197" t="str">
        <f t="shared" si="52"/>
        <v/>
      </c>
      <c r="AB191" s="218"/>
      <c r="AC191" s="205"/>
    </row>
    <row r="192" spans="1:29">
      <c r="A192" s="219" t="str">
        <f t="shared" si="53"/>
        <v/>
      </c>
      <c r="B192" s="219"/>
      <c r="C192" s="184"/>
      <c r="D192" s="185"/>
      <c r="E192" s="185" t="str">
        <f>IF(OR(C192="",C192=Data!$B$3),"",IF(C192=Data!$B$2,"L","S"))</f>
        <v/>
      </c>
      <c r="F192" s="185" t="str">
        <f t="shared" si="54"/>
        <v/>
      </c>
      <c r="G192" s="186" t="str">
        <f t="shared" si="45"/>
        <v/>
      </c>
      <c r="H192" s="187"/>
      <c r="I192" s="188" t="str">
        <f t="shared" si="55"/>
        <v/>
      </c>
      <c r="J192" s="188" t="str">
        <f t="shared" si="56"/>
        <v/>
      </c>
      <c r="K192" s="189" t="str">
        <f t="shared" si="57"/>
        <v/>
      </c>
      <c r="L192" s="189" t="str">
        <f t="shared" si="58"/>
        <v/>
      </c>
      <c r="M192" s="190"/>
      <c r="N192" s="190"/>
      <c r="O192" s="188" t="str">
        <f t="shared" si="59"/>
        <v/>
      </c>
      <c r="P192" s="191" t="str">
        <f t="shared" si="46"/>
        <v/>
      </c>
      <c r="Q192" s="192" t="str">
        <f t="shared" si="60"/>
        <v/>
      </c>
      <c r="R192" s="191" t="str">
        <f t="shared" si="47"/>
        <v/>
      </c>
      <c r="S192" s="193" t="str">
        <f t="shared" si="61"/>
        <v/>
      </c>
      <c r="T192" s="194" t="str">
        <f t="shared" si="48"/>
        <v/>
      </c>
      <c r="U192" s="192" t="str">
        <f t="shared" si="62"/>
        <v/>
      </c>
      <c r="V192" s="195" t="str">
        <f t="shared" si="49"/>
        <v/>
      </c>
      <c r="W192" s="195" t="str">
        <f t="shared" si="50"/>
        <v/>
      </c>
      <c r="X192" s="196" t="str">
        <f t="shared" si="63"/>
        <v/>
      </c>
      <c r="Y192" s="191" t="str">
        <f t="shared" si="64"/>
        <v/>
      </c>
      <c r="Z192" s="197" t="str">
        <f t="shared" si="51"/>
        <v/>
      </c>
      <c r="AA192" s="197" t="str">
        <f t="shared" si="52"/>
        <v/>
      </c>
      <c r="AB192" s="218"/>
      <c r="AC192" s="205"/>
    </row>
    <row r="193" spans="1:29">
      <c r="A193" s="219" t="str">
        <f t="shared" si="53"/>
        <v/>
      </c>
      <c r="B193" s="219"/>
      <c r="C193" s="184"/>
      <c r="D193" s="185"/>
      <c r="E193" s="185" t="str">
        <f>IF(OR(C193="",C193=Data!$B$3),"",IF(C193=Data!$B$2,"L","S"))</f>
        <v/>
      </c>
      <c r="F193" s="185" t="str">
        <f t="shared" si="54"/>
        <v/>
      </c>
      <c r="G193" s="186" t="str">
        <f t="shared" si="45"/>
        <v/>
      </c>
      <c r="H193" s="187"/>
      <c r="I193" s="188" t="str">
        <f t="shared" si="55"/>
        <v/>
      </c>
      <c r="J193" s="188" t="str">
        <f t="shared" si="56"/>
        <v/>
      </c>
      <c r="K193" s="189" t="str">
        <f t="shared" si="57"/>
        <v/>
      </c>
      <c r="L193" s="189" t="str">
        <f t="shared" si="58"/>
        <v/>
      </c>
      <c r="M193" s="190"/>
      <c r="N193" s="190"/>
      <c r="O193" s="188" t="str">
        <f t="shared" si="59"/>
        <v/>
      </c>
      <c r="P193" s="191" t="str">
        <f t="shared" si="46"/>
        <v/>
      </c>
      <c r="Q193" s="192" t="str">
        <f t="shared" si="60"/>
        <v/>
      </c>
      <c r="R193" s="191" t="str">
        <f t="shared" si="47"/>
        <v/>
      </c>
      <c r="S193" s="193" t="str">
        <f t="shared" si="61"/>
        <v/>
      </c>
      <c r="T193" s="194" t="str">
        <f t="shared" si="48"/>
        <v/>
      </c>
      <c r="U193" s="192" t="str">
        <f t="shared" si="62"/>
        <v/>
      </c>
      <c r="V193" s="195" t="str">
        <f t="shared" si="49"/>
        <v/>
      </c>
      <c r="W193" s="195" t="str">
        <f t="shared" si="50"/>
        <v/>
      </c>
      <c r="X193" s="196" t="str">
        <f t="shared" si="63"/>
        <v/>
      </c>
      <c r="Y193" s="191" t="str">
        <f t="shared" si="64"/>
        <v/>
      </c>
      <c r="Z193" s="197" t="str">
        <f t="shared" si="51"/>
        <v/>
      </c>
      <c r="AA193" s="197" t="str">
        <f t="shared" si="52"/>
        <v/>
      </c>
      <c r="AB193" s="218"/>
      <c r="AC193" s="205"/>
    </row>
    <row r="194" spans="1:29">
      <c r="A194" s="219" t="str">
        <f t="shared" si="53"/>
        <v/>
      </c>
      <c r="B194" s="219"/>
      <c r="C194" s="184"/>
      <c r="D194" s="185"/>
      <c r="E194" s="185" t="str">
        <f>IF(OR(C194="",C194=Data!$B$3),"",IF(C194=Data!$B$2,"L","S"))</f>
        <v/>
      </c>
      <c r="F194" s="185" t="str">
        <f t="shared" si="54"/>
        <v/>
      </c>
      <c r="G194" s="186" t="str">
        <f t="shared" si="45"/>
        <v/>
      </c>
      <c r="H194" s="187"/>
      <c r="I194" s="188" t="str">
        <f t="shared" si="55"/>
        <v/>
      </c>
      <c r="J194" s="188" t="str">
        <f t="shared" si="56"/>
        <v/>
      </c>
      <c r="K194" s="189" t="str">
        <f t="shared" si="57"/>
        <v/>
      </c>
      <c r="L194" s="189" t="str">
        <f t="shared" si="58"/>
        <v/>
      </c>
      <c r="M194" s="190"/>
      <c r="N194" s="190"/>
      <c r="O194" s="188" t="str">
        <f t="shared" si="59"/>
        <v/>
      </c>
      <c r="P194" s="191" t="str">
        <f t="shared" si="46"/>
        <v/>
      </c>
      <c r="Q194" s="192" t="str">
        <f t="shared" si="60"/>
        <v/>
      </c>
      <c r="R194" s="191" t="str">
        <f t="shared" si="47"/>
        <v/>
      </c>
      <c r="S194" s="193" t="str">
        <f t="shared" si="61"/>
        <v/>
      </c>
      <c r="T194" s="194" t="str">
        <f t="shared" si="48"/>
        <v/>
      </c>
      <c r="U194" s="192" t="str">
        <f t="shared" si="62"/>
        <v/>
      </c>
      <c r="V194" s="195" t="str">
        <f t="shared" si="49"/>
        <v/>
      </c>
      <c r="W194" s="195" t="str">
        <f t="shared" si="50"/>
        <v/>
      </c>
      <c r="X194" s="196" t="str">
        <f t="shared" si="63"/>
        <v/>
      </c>
      <c r="Y194" s="191" t="str">
        <f t="shared" si="64"/>
        <v/>
      </c>
      <c r="Z194" s="197" t="str">
        <f t="shared" si="51"/>
        <v/>
      </c>
      <c r="AA194" s="197" t="str">
        <f t="shared" si="52"/>
        <v/>
      </c>
      <c r="AB194" s="218"/>
      <c r="AC194" s="205"/>
    </row>
    <row r="195" spans="1:29">
      <c r="A195" s="219" t="str">
        <f t="shared" si="53"/>
        <v/>
      </c>
      <c r="B195" s="219"/>
      <c r="C195" s="184"/>
      <c r="D195" s="185"/>
      <c r="E195" s="185" t="str">
        <f>IF(OR(C195="",C195=Data!$B$3),"",IF(C195=Data!$B$2,"L","S"))</f>
        <v/>
      </c>
      <c r="F195" s="185" t="str">
        <f t="shared" si="54"/>
        <v/>
      </c>
      <c r="G195" s="186" t="str">
        <f t="shared" si="45"/>
        <v/>
      </c>
      <c r="H195" s="187"/>
      <c r="I195" s="188" t="str">
        <f t="shared" si="55"/>
        <v/>
      </c>
      <c r="J195" s="188" t="str">
        <f t="shared" si="56"/>
        <v/>
      </c>
      <c r="K195" s="189" t="str">
        <f t="shared" si="57"/>
        <v/>
      </c>
      <c r="L195" s="189" t="str">
        <f t="shared" si="58"/>
        <v/>
      </c>
      <c r="M195" s="190"/>
      <c r="N195" s="190"/>
      <c r="O195" s="188" t="str">
        <f t="shared" si="59"/>
        <v/>
      </c>
      <c r="P195" s="191" t="str">
        <f t="shared" si="46"/>
        <v/>
      </c>
      <c r="Q195" s="192" t="str">
        <f t="shared" si="60"/>
        <v/>
      </c>
      <c r="R195" s="191" t="str">
        <f t="shared" si="47"/>
        <v/>
      </c>
      <c r="S195" s="193" t="str">
        <f t="shared" si="61"/>
        <v/>
      </c>
      <c r="T195" s="194" t="str">
        <f t="shared" si="48"/>
        <v/>
      </c>
      <c r="U195" s="192" t="str">
        <f t="shared" si="62"/>
        <v/>
      </c>
      <c r="V195" s="195" t="str">
        <f t="shared" si="49"/>
        <v/>
      </c>
      <c r="W195" s="195" t="str">
        <f t="shared" si="50"/>
        <v/>
      </c>
      <c r="X195" s="196" t="str">
        <f t="shared" si="63"/>
        <v/>
      </c>
      <c r="Y195" s="191" t="str">
        <f t="shared" si="64"/>
        <v/>
      </c>
      <c r="Z195" s="197" t="str">
        <f t="shared" si="51"/>
        <v/>
      </c>
      <c r="AA195" s="197" t="str">
        <f t="shared" si="52"/>
        <v/>
      </c>
      <c r="AB195" s="218"/>
      <c r="AC195" s="205"/>
    </row>
    <row r="196" spans="1:29">
      <c r="A196" s="219" t="str">
        <f t="shared" si="53"/>
        <v/>
      </c>
      <c r="B196" s="219"/>
      <c r="C196" s="184"/>
      <c r="D196" s="185"/>
      <c r="E196" s="185" t="str">
        <f>IF(OR(C196="",C196=Data!$B$3),"",IF(C196=Data!$B$2,"L","S"))</f>
        <v/>
      </c>
      <c r="F196" s="185" t="str">
        <f t="shared" si="54"/>
        <v/>
      </c>
      <c r="G196" s="186" t="str">
        <f t="shared" si="45"/>
        <v/>
      </c>
      <c r="H196" s="187"/>
      <c r="I196" s="188" t="str">
        <f t="shared" si="55"/>
        <v/>
      </c>
      <c r="J196" s="188" t="str">
        <f t="shared" si="56"/>
        <v/>
      </c>
      <c r="K196" s="189" t="str">
        <f t="shared" si="57"/>
        <v/>
      </c>
      <c r="L196" s="189" t="str">
        <f t="shared" si="58"/>
        <v/>
      </c>
      <c r="M196" s="190"/>
      <c r="N196" s="190"/>
      <c r="O196" s="188" t="str">
        <f t="shared" si="59"/>
        <v/>
      </c>
      <c r="P196" s="191" t="str">
        <f t="shared" si="46"/>
        <v/>
      </c>
      <c r="Q196" s="192" t="str">
        <f t="shared" si="60"/>
        <v/>
      </c>
      <c r="R196" s="191" t="str">
        <f t="shared" si="47"/>
        <v/>
      </c>
      <c r="S196" s="193" t="str">
        <f t="shared" si="61"/>
        <v/>
      </c>
      <c r="T196" s="194" t="str">
        <f t="shared" si="48"/>
        <v/>
      </c>
      <c r="U196" s="192" t="str">
        <f t="shared" si="62"/>
        <v/>
      </c>
      <c r="V196" s="195" t="str">
        <f t="shared" si="49"/>
        <v/>
      </c>
      <c r="W196" s="195" t="str">
        <f t="shared" si="50"/>
        <v/>
      </c>
      <c r="X196" s="196" t="str">
        <f t="shared" si="63"/>
        <v/>
      </c>
      <c r="Y196" s="191" t="str">
        <f t="shared" si="64"/>
        <v/>
      </c>
      <c r="Z196" s="197" t="str">
        <f t="shared" si="51"/>
        <v/>
      </c>
      <c r="AA196" s="197" t="str">
        <f t="shared" si="52"/>
        <v/>
      </c>
      <c r="AB196" s="218"/>
      <c r="AC196" s="205"/>
    </row>
    <row r="197" spans="1:29">
      <c r="A197" s="219" t="str">
        <f t="shared" si="53"/>
        <v/>
      </c>
      <c r="B197" s="219"/>
      <c r="C197" s="184"/>
      <c r="D197" s="185"/>
      <c r="E197" s="185" t="str">
        <f>IF(OR(C197="",C197=Data!$B$3),"",IF(C197=Data!$B$2,"L","S"))</f>
        <v/>
      </c>
      <c r="F197" s="185" t="str">
        <f t="shared" si="54"/>
        <v/>
      </c>
      <c r="G197" s="186" t="str">
        <f t="shared" si="45"/>
        <v/>
      </c>
      <c r="H197" s="187"/>
      <c r="I197" s="188" t="str">
        <f t="shared" si="55"/>
        <v/>
      </c>
      <c r="J197" s="188" t="str">
        <f t="shared" si="56"/>
        <v/>
      </c>
      <c r="K197" s="189" t="str">
        <f t="shared" si="57"/>
        <v/>
      </c>
      <c r="L197" s="189" t="str">
        <f t="shared" si="58"/>
        <v/>
      </c>
      <c r="M197" s="190"/>
      <c r="N197" s="190"/>
      <c r="O197" s="188" t="str">
        <f t="shared" si="59"/>
        <v/>
      </c>
      <c r="P197" s="191" t="str">
        <f t="shared" si="46"/>
        <v/>
      </c>
      <c r="Q197" s="192" t="str">
        <f t="shared" si="60"/>
        <v/>
      </c>
      <c r="R197" s="191" t="str">
        <f t="shared" si="47"/>
        <v/>
      </c>
      <c r="S197" s="193" t="str">
        <f t="shared" si="61"/>
        <v/>
      </c>
      <c r="T197" s="194" t="str">
        <f t="shared" si="48"/>
        <v/>
      </c>
      <c r="U197" s="192" t="str">
        <f t="shared" si="62"/>
        <v/>
      </c>
      <c r="V197" s="195" t="str">
        <f t="shared" si="49"/>
        <v/>
      </c>
      <c r="W197" s="195" t="str">
        <f t="shared" si="50"/>
        <v/>
      </c>
      <c r="X197" s="196" t="str">
        <f t="shared" si="63"/>
        <v/>
      </c>
      <c r="Y197" s="191" t="str">
        <f t="shared" si="64"/>
        <v/>
      </c>
      <c r="Z197" s="197" t="str">
        <f t="shared" si="51"/>
        <v/>
      </c>
      <c r="AA197" s="197" t="str">
        <f t="shared" si="52"/>
        <v/>
      </c>
      <c r="AB197" s="218"/>
      <c r="AC197" s="205"/>
    </row>
    <row r="198" spans="1:29">
      <c r="A198" s="219" t="str">
        <f t="shared" si="53"/>
        <v/>
      </c>
      <c r="B198" s="219"/>
      <c r="C198" s="184"/>
      <c r="D198" s="185"/>
      <c r="E198" s="185" t="str">
        <f>IF(OR(C198="",C198=Data!$B$3),"",IF(C198=Data!$B$2,"L","S"))</f>
        <v/>
      </c>
      <c r="F198" s="185" t="str">
        <f t="shared" si="54"/>
        <v/>
      </c>
      <c r="G198" s="186" t="str">
        <f t="shared" si="45"/>
        <v/>
      </c>
      <c r="H198" s="187"/>
      <c r="I198" s="188" t="str">
        <f t="shared" si="55"/>
        <v/>
      </c>
      <c r="J198" s="188" t="str">
        <f t="shared" si="56"/>
        <v/>
      </c>
      <c r="K198" s="189" t="str">
        <f t="shared" si="57"/>
        <v/>
      </c>
      <c r="L198" s="189" t="str">
        <f t="shared" si="58"/>
        <v/>
      </c>
      <c r="M198" s="190"/>
      <c r="N198" s="190"/>
      <c r="O198" s="188" t="str">
        <f t="shared" si="59"/>
        <v/>
      </c>
      <c r="P198" s="191" t="str">
        <f t="shared" si="46"/>
        <v/>
      </c>
      <c r="Q198" s="192" t="str">
        <f t="shared" si="60"/>
        <v/>
      </c>
      <c r="R198" s="191" t="str">
        <f t="shared" si="47"/>
        <v/>
      </c>
      <c r="S198" s="193" t="str">
        <f t="shared" si="61"/>
        <v/>
      </c>
      <c r="T198" s="194" t="str">
        <f t="shared" si="48"/>
        <v/>
      </c>
      <c r="U198" s="192" t="str">
        <f t="shared" si="62"/>
        <v/>
      </c>
      <c r="V198" s="195" t="str">
        <f t="shared" si="49"/>
        <v/>
      </c>
      <c r="W198" s="195" t="str">
        <f t="shared" si="50"/>
        <v/>
      </c>
      <c r="X198" s="196" t="str">
        <f t="shared" si="63"/>
        <v/>
      </c>
      <c r="Y198" s="191" t="str">
        <f t="shared" si="64"/>
        <v/>
      </c>
      <c r="Z198" s="197" t="str">
        <f t="shared" si="51"/>
        <v/>
      </c>
      <c r="AA198" s="197" t="str">
        <f t="shared" si="52"/>
        <v/>
      </c>
      <c r="AB198" s="218"/>
      <c r="AC198" s="205"/>
    </row>
    <row r="199" spans="1:29">
      <c r="A199" s="219" t="str">
        <f t="shared" si="53"/>
        <v/>
      </c>
      <c r="B199" s="219"/>
      <c r="C199" s="184"/>
      <c r="D199" s="185"/>
      <c r="E199" s="185" t="str">
        <f>IF(OR(C199="",C199=Data!$B$3),"",IF(C199=Data!$B$2,"L","S"))</f>
        <v/>
      </c>
      <c r="F199" s="185" t="str">
        <f t="shared" si="54"/>
        <v/>
      </c>
      <c r="G199" s="186" t="str">
        <f t="shared" si="45"/>
        <v/>
      </c>
      <c r="H199" s="187"/>
      <c r="I199" s="188" t="str">
        <f t="shared" si="55"/>
        <v/>
      </c>
      <c r="J199" s="188" t="str">
        <f t="shared" si="56"/>
        <v/>
      </c>
      <c r="K199" s="189" t="str">
        <f t="shared" si="57"/>
        <v/>
      </c>
      <c r="L199" s="189" t="str">
        <f t="shared" si="58"/>
        <v/>
      </c>
      <c r="M199" s="190"/>
      <c r="N199" s="190"/>
      <c r="O199" s="188" t="str">
        <f t="shared" si="59"/>
        <v/>
      </c>
      <c r="P199" s="191" t="str">
        <f t="shared" si="46"/>
        <v/>
      </c>
      <c r="Q199" s="192" t="str">
        <f t="shared" si="60"/>
        <v/>
      </c>
      <c r="R199" s="191" t="str">
        <f t="shared" si="47"/>
        <v/>
      </c>
      <c r="S199" s="193" t="str">
        <f t="shared" si="61"/>
        <v/>
      </c>
      <c r="T199" s="194" t="str">
        <f t="shared" si="48"/>
        <v/>
      </c>
      <c r="U199" s="192" t="str">
        <f t="shared" si="62"/>
        <v/>
      </c>
      <c r="V199" s="195" t="str">
        <f t="shared" si="49"/>
        <v/>
      </c>
      <c r="W199" s="195" t="str">
        <f t="shared" si="50"/>
        <v/>
      </c>
      <c r="X199" s="196" t="str">
        <f t="shared" si="63"/>
        <v/>
      </c>
      <c r="Y199" s="191" t="str">
        <f t="shared" si="64"/>
        <v/>
      </c>
      <c r="Z199" s="197" t="str">
        <f t="shared" si="51"/>
        <v/>
      </c>
      <c r="AA199" s="197" t="str">
        <f t="shared" si="52"/>
        <v/>
      </c>
      <c r="AB199" s="218"/>
      <c r="AC199" s="205"/>
    </row>
    <row r="200" spans="1:29">
      <c r="A200" s="219" t="str">
        <f t="shared" si="53"/>
        <v/>
      </c>
      <c r="B200" s="219"/>
      <c r="C200" s="184"/>
      <c r="D200" s="185"/>
      <c r="E200" s="185" t="str">
        <f>IF(OR(C200="",C200=Data!$B$3),"",IF(C200=Data!$B$2,"L","S"))</f>
        <v/>
      </c>
      <c r="F200" s="185" t="str">
        <f t="shared" si="54"/>
        <v/>
      </c>
      <c r="G200" s="186" t="str">
        <f t="shared" si="45"/>
        <v/>
      </c>
      <c r="H200" s="187"/>
      <c r="I200" s="188" t="str">
        <f t="shared" si="55"/>
        <v/>
      </c>
      <c r="J200" s="188" t="str">
        <f t="shared" si="56"/>
        <v/>
      </c>
      <c r="K200" s="189" t="str">
        <f t="shared" si="57"/>
        <v/>
      </c>
      <c r="L200" s="189" t="str">
        <f t="shared" si="58"/>
        <v/>
      </c>
      <c r="M200" s="190"/>
      <c r="N200" s="190"/>
      <c r="O200" s="188" t="str">
        <f t="shared" si="59"/>
        <v/>
      </c>
      <c r="P200" s="191" t="str">
        <f t="shared" si="46"/>
        <v/>
      </c>
      <c r="Q200" s="192" t="str">
        <f t="shared" si="60"/>
        <v/>
      </c>
      <c r="R200" s="191" t="str">
        <f t="shared" si="47"/>
        <v/>
      </c>
      <c r="S200" s="193" t="str">
        <f t="shared" si="61"/>
        <v/>
      </c>
      <c r="T200" s="194" t="str">
        <f t="shared" si="48"/>
        <v/>
      </c>
      <c r="U200" s="192" t="str">
        <f t="shared" si="62"/>
        <v/>
      </c>
      <c r="V200" s="195" t="str">
        <f t="shared" si="49"/>
        <v/>
      </c>
      <c r="W200" s="195" t="str">
        <f t="shared" si="50"/>
        <v/>
      </c>
      <c r="X200" s="196" t="str">
        <f t="shared" si="63"/>
        <v/>
      </c>
      <c r="Y200" s="191" t="str">
        <f t="shared" si="64"/>
        <v/>
      </c>
      <c r="Z200" s="197" t="str">
        <f t="shared" si="51"/>
        <v/>
      </c>
      <c r="AA200" s="197" t="str">
        <f t="shared" si="52"/>
        <v/>
      </c>
      <c r="AB200" s="218"/>
      <c r="AC200" s="205"/>
    </row>
    <row r="201" spans="1:29">
      <c r="A201" s="219" t="str">
        <f t="shared" si="53"/>
        <v/>
      </c>
      <c r="B201" s="219"/>
      <c r="C201" s="184"/>
      <c r="D201" s="185"/>
      <c r="E201" s="185" t="str">
        <f>IF(OR(C201="",C201=Data!$B$3),"",IF(C201=Data!$B$2,"L","S"))</f>
        <v/>
      </c>
      <c r="F201" s="185" t="str">
        <f t="shared" si="54"/>
        <v/>
      </c>
      <c r="G201" s="186" t="str">
        <f t="shared" si="45"/>
        <v/>
      </c>
      <c r="H201" s="187"/>
      <c r="I201" s="188" t="str">
        <f t="shared" si="55"/>
        <v/>
      </c>
      <c r="J201" s="188" t="str">
        <f t="shared" si="56"/>
        <v/>
      </c>
      <c r="K201" s="189" t="str">
        <f t="shared" si="57"/>
        <v/>
      </c>
      <c r="L201" s="189" t="str">
        <f t="shared" si="58"/>
        <v/>
      </c>
      <c r="M201" s="190"/>
      <c r="N201" s="190"/>
      <c r="O201" s="188" t="str">
        <f t="shared" si="59"/>
        <v/>
      </c>
      <c r="P201" s="191" t="str">
        <f t="shared" si="46"/>
        <v/>
      </c>
      <c r="Q201" s="192" t="str">
        <f t="shared" si="60"/>
        <v/>
      </c>
      <c r="R201" s="191" t="str">
        <f t="shared" si="47"/>
        <v/>
      </c>
      <c r="S201" s="193" t="str">
        <f t="shared" si="61"/>
        <v/>
      </c>
      <c r="T201" s="194" t="str">
        <f t="shared" si="48"/>
        <v/>
      </c>
      <c r="U201" s="192" t="str">
        <f t="shared" si="62"/>
        <v/>
      </c>
      <c r="V201" s="195" t="str">
        <f t="shared" si="49"/>
        <v/>
      </c>
      <c r="W201" s="195" t="str">
        <f t="shared" si="50"/>
        <v/>
      </c>
      <c r="X201" s="196" t="str">
        <f t="shared" si="63"/>
        <v/>
      </c>
      <c r="Y201" s="191" t="str">
        <f t="shared" si="64"/>
        <v/>
      </c>
      <c r="Z201" s="197" t="str">
        <f t="shared" si="51"/>
        <v/>
      </c>
      <c r="AA201" s="197" t="str">
        <f t="shared" si="52"/>
        <v/>
      </c>
      <c r="AB201" s="218"/>
      <c r="AC201" s="205"/>
    </row>
    <row r="202" spans="1:29">
      <c r="A202" s="219" t="str">
        <f t="shared" si="53"/>
        <v/>
      </c>
      <c r="B202" s="219"/>
      <c r="C202" s="184"/>
      <c r="D202" s="185"/>
      <c r="E202" s="185" t="str">
        <f>IF(OR(C202="",C202=Data!$B$3),"",IF(C202=Data!$B$2,"L","S"))</f>
        <v/>
      </c>
      <c r="F202" s="185" t="str">
        <f t="shared" si="54"/>
        <v/>
      </c>
      <c r="G202" s="186" t="str">
        <f t="shared" si="45"/>
        <v/>
      </c>
      <c r="H202" s="187"/>
      <c r="I202" s="188" t="str">
        <f t="shared" si="55"/>
        <v/>
      </c>
      <c r="J202" s="188" t="str">
        <f t="shared" si="56"/>
        <v/>
      </c>
      <c r="K202" s="189" t="str">
        <f t="shared" si="57"/>
        <v/>
      </c>
      <c r="L202" s="189" t="str">
        <f t="shared" si="58"/>
        <v/>
      </c>
      <c r="M202" s="190"/>
      <c r="N202" s="190"/>
      <c r="O202" s="188" t="str">
        <f t="shared" si="59"/>
        <v/>
      </c>
      <c r="P202" s="191" t="str">
        <f t="shared" si="46"/>
        <v/>
      </c>
      <c r="Q202" s="192" t="str">
        <f t="shared" si="60"/>
        <v/>
      </c>
      <c r="R202" s="191" t="str">
        <f t="shared" si="47"/>
        <v/>
      </c>
      <c r="S202" s="193" t="str">
        <f t="shared" si="61"/>
        <v/>
      </c>
      <c r="T202" s="194" t="str">
        <f t="shared" si="48"/>
        <v/>
      </c>
      <c r="U202" s="192" t="str">
        <f t="shared" si="62"/>
        <v/>
      </c>
      <c r="V202" s="195" t="str">
        <f t="shared" si="49"/>
        <v/>
      </c>
      <c r="W202" s="195" t="str">
        <f t="shared" si="50"/>
        <v/>
      </c>
      <c r="X202" s="196" t="str">
        <f t="shared" si="63"/>
        <v/>
      </c>
      <c r="Y202" s="191" t="str">
        <f t="shared" si="64"/>
        <v/>
      </c>
      <c r="Z202" s="197" t="str">
        <f t="shared" si="51"/>
        <v/>
      </c>
      <c r="AA202" s="197" t="str">
        <f t="shared" si="52"/>
        <v/>
      </c>
      <c r="AB202" s="218"/>
      <c r="AC202" s="205"/>
    </row>
    <row r="203" spans="1:29">
      <c r="A203" s="219" t="str">
        <f t="shared" si="53"/>
        <v/>
      </c>
      <c r="B203" s="219"/>
      <c r="C203" s="184"/>
      <c r="D203" s="185"/>
      <c r="E203" s="185" t="str">
        <f>IF(OR(C203="",C203=Data!$B$3),"",IF(C203=Data!$B$2,"L","S"))</f>
        <v/>
      </c>
      <c r="F203" s="185" t="str">
        <f t="shared" si="54"/>
        <v/>
      </c>
      <c r="G203" s="186" t="str">
        <f t="shared" si="45"/>
        <v/>
      </c>
      <c r="H203" s="187"/>
      <c r="I203" s="188" t="str">
        <f t="shared" si="55"/>
        <v/>
      </c>
      <c r="J203" s="188" t="str">
        <f t="shared" si="56"/>
        <v/>
      </c>
      <c r="K203" s="189" t="str">
        <f t="shared" si="57"/>
        <v/>
      </c>
      <c r="L203" s="189" t="str">
        <f t="shared" si="58"/>
        <v/>
      </c>
      <c r="M203" s="190"/>
      <c r="N203" s="190"/>
      <c r="O203" s="188" t="str">
        <f t="shared" si="59"/>
        <v/>
      </c>
      <c r="P203" s="191" t="str">
        <f t="shared" si="46"/>
        <v/>
      </c>
      <c r="Q203" s="192" t="str">
        <f t="shared" si="60"/>
        <v/>
      </c>
      <c r="R203" s="191" t="str">
        <f t="shared" si="47"/>
        <v/>
      </c>
      <c r="S203" s="193" t="str">
        <f t="shared" si="61"/>
        <v/>
      </c>
      <c r="T203" s="194" t="str">
        <f t="shared" si="48"/>
        <v/>
      </c>
      <c r="U203" s="192" t="str">
        <f t="shared" si="62"/>
        <v/>
      </c>
      <c r="V203" s="195" t="str">
        <f t="shared" si="49"/>
        <v/>
      </c>
      <c r="W203" s="195" t="str">
        <f t="shared" si="50"/>
        <v/>
      </c>
      <c r="X203" s="196" t="str">
        <f t="shared" si="63"/>
        <v/>
      </c>
      <c r="Y203" s="191" t="str">
        <f t="shared" si="64"/>
        <v/>
      </c>
      <c r="Z203" s="197" t="str">
        <f t="shared" si="51"/>
        <v/>
      </c>
      <c r="AA203" s="197" t="str">
        <f t="shared" si="52"/>
        <v/>
      </c>
      <c r="AB203" s="218"/>
      <c r="AC203" s="205"/>
    </row>
    <row r="204" spans="1:29">
      <c r="A204" s="219" t="str">
        <f t="shared" si="53"/>
        <v/>
      </c>
      <c r="B204" s="219"/>
      <c r="C204" s="184"/>
      <c r="D204" s="185"/>
      <c r="E204" s="185" t="str">
        <f>IF(OR(C204="",C204=Data!$B$3),"",IF(C204=Data!$B$2,"L","S"))</f>
        <v/>
      </c>
      <c r="F204" s="185" t="str">
        <f t="shared" si="54"/>
        <v/>
      </c>
      <c r="G204" s="186" t="str">
        <f t="shared" ref="G204:G267" si="65">IF(A204="","",$D$3)</f>
        <v/>
      </c>
      <c r="H204" s="187"/>
      <c r="I204" s="188" t="str">
        <f t="shared" si="55"/>
        <v/>
      </c>
      <c r="J204" s="188" t="str">
        <f t="shared" si="56"/>
        <v/>
      </c>
      <c r="K204" s="189" t="str">
        <f t="shared" si="57"/>
        <v/>
      </c>
      <c r="L204" s="189" t="str">
        <f t="shared" si="58"/>
        <v/>
      </c>
      <c r="M204" s="190"/>
      <c r="N204" s="190"/>
      <c r="O204" s="188" t="str">
        <f t="shared" si="59"/>
        <v/>
      </c>
      <c r="P204" s="191" t="str">
        <f t="shared" ref="P204:P267" si="66">IF(O204="","",IF(L204*F204*G204=0,0,L204*F204*G204))</f>
        <v/>
      </c>
      <c r="Q204" s="192" t="str">
        <f t="shared" si="60"/>
        <v/>
      </c>
      <c r="R204" s="191" t="str">
        <f t="shared" ref="R204:R267" si="67">IF(O204&lt;&gt;"",IF(K204*F204*G204=0,"",K204*F204*G204),"")</f>
        <v/>
      </c>
      <c r="S204" s="193" t="str">
        <f t="shared" si="61"/>
        <v/>
      </c>
      <c r="T204" s="194" t="str">
        <f t="shared" ref="T204:T267" si="68">IF(X204="","",X204*F204*G204)</f>
        <v/>
      </c>
      <c r="U204" s="192" t="str">
        <f t="shared" si="62"/>
        <v/>
      </c>
      <c r="V204" s="195" t="str">
        <f t="shared" ref="V204:V267" si="69">IF(O204="","",IF(AND(O204&gt;I204,E204="L"),1, IF(AND(I204&gt;O204,E204="S"),1,0)))</f>
        <v/>
      </c>
      <c r="W204" s="195" t="str">
        <f t="shared" ref="W204:W267" si="70">IF(O204="","",IF(AND(O204&lt;I204,E204="L"),1, IF(AND(I204&lt;O204,E204="S"),1,0)))</f>
        <v/>
      </c>
      <c r="X204" s="196" t="str">
        <f t="shared" si="63"/>
        <v/>
      </c>
      <c r="Y204" s="191" t="str">
        <f t="shared" si="64"/>
        <v/>
      </c>
      <c r="Z204" s="197" t="str">
        <f t="shared" ref="Z204:Z267" si="71">IF(M204="","",MONTH(M204))</f>
        <v/>
      </c>
      <c r="AA204" s="197" t="str">
        <f t="shared" ref="AA204:AA267" si="72">IF(M204="","",YEAR(M204))</f>
        <v/>
      </c>
      <c r="AB204" s="218"/>
      <c r="AC204" s="205"/>
    </row>
    <row r="205" spans="1:29">
      <c r="A205" s="219" t="str">
        <f t="shared" ref="A205:A268" si="73">IF(C205="","",1)</f>
        <v/>
      </c>
      <c r="B205" s="219"/>
      <c r="C205" s="184"/>
      <c r="D205" s="185"/>
      <c r="E205" s="185" t="str">
        <f>IF(OR(C205="",C205=Data!$B$3),"",IF(C205=Data!$B$2,"L","S"))</f>
        <v/>
      </c>
      <c r="F205" s="185" t="str">
        <f t="shared" ref="F205:F268" si="74">IF(A205&lt;&gt;"",$D$2,"")</f>
        <v/>
      </c>
      <c r="G205" s="186" t="str">
        <f t="shared" si="65"/>
        <v/>
      </c>
      <c r="H205" s="187"/>
      <c r="I205" s="188" t="str">
        <f t="shared" ref="I205:I268" si="75">IF(H205="","",IF(E205="L",H205+$D$4*0.0001,H205-$D$4*0.0001))</f>
        <v/>
      </c>
      <c r="J205" s="188" t="str">
        <f t="shared" ref="J205:J268" si="76">IF(AND(H205&lt;&gt;"",I205&lt;&gt;""),IF(E205="L",I205+(I205-H205)*3,I205-(H205-I205)*3),"")</f>
        <v/>
      </c>
      <c r="K205" s="189" t="str">
        <f t="shared" ref="K205:K268" si="77">IF(AND(E205&lt;&gt;"",AND(I205&lt;&gt;"",J205&lt;&gt;"")),IF(E205="L",(J205-I205)*IF(I205&gt;10,IF(SEARCH("JPY",D205),10,100),10000),(I205-J205)*IF(I205&gt;10,IF(SEARCH("JPY",D205),10,100),10000)),"")</f>
        <v/>
      </c>
      <c r="L205" s="189" t="str">
        <f t="shared" ref="L205:L268" si="78">IF(AND(E205&lt;&gt;"",AND(H205&lt;&gt;"",I205&lt;&gt;"")),IF(E205="L",(I205-H205)*IF(I205&gt;10,IF(SEARCH("JPY",D205),10,100),10000),(H205-I205)*IF(I205&gt;10,IF(SEARCH("JPY",D205),10,100),10000)),"")</f>
        <v/>
      </c>
      <c r="M205" s="190"/>
      <c r="N205" s="190"/>
      <c r="O205" s="188" t="str">
        <f t="shared" ref="O205:O268" si="79">J205</f>
        <v/>
      </c>
      <c r="P205" s="191" t="str">
        <f t="shared" si="66"/>
        <v/>
      </c>
      <c r="Q205" s="192" t="str">
        <f t="shared" ref="Q205:Q268" si="80">IF(P205="","",IF(P205=0,0,P205/$I$4))</f>
        <v/>
      </c>
      <c r="R205" s="191" t="str">
        <f t="shared" si="67"/>
        <v/>
      </c>
      <c r="S205" s="193" t="str">
        <f t="shared" ref="S205:S268" si="81">IF(P205="","",IF(P205=0,0,R205/P205))</f>
        <v/>
      </c>
      <c r="T205" s="194" t="str">
        <f t="shared" si="68"/>
        <v/>
      </c>
      <c r="U205" s="192" t="str">
        <f t="shared" ref="U205:U268" si="82">IF(T205="","",IF($I$4="","",T205/$I$4))</f>
        <v/>
      </c>
      <c r="V205" s="195" t="str">
        <f t="shared" si="69"/>
        <v/>
      </c>
      <c r="W205" s="195" t="str">
        <f t="shared" si="70"/>
        <v/>
      </c>
      <c r="X205" s="196" t="str">
        <f t="shared" ref="X205:X268" si="83">IF((O205=""),"",IF(E205="L",1,-1)*(O205-I205)*IF(O205&gt;10,IF(SEARCH("JPY",D205),10,100),10000))</f>
        <v/>
      </c>
      <c r="Y205" s="191" t="str">
        <f t="shared" si="64"/>
        <v/>
      </c>
      <c r="Z205" s="197" t="str">
        <f t="shared" si="71"/>
        <v/>
      </c>
      <c r="AA205" s="197" t="str">
        <f t="shared" si="72"/>
        <v/>
      </c>
      <c r="AB205" s="218"/>
      <c r="AC205" s="205"/>
    </row>
    <row r="206" spans="1:29">
      <c r="A206" s="219" t="str">
        <f t="shared" si="73"/>
        <v/>
      </c>
      <c r="B206" s="219"/>
      <c r="C206" s="184"/>
      <c r="D206" s="185"/>
      <c r="E206" s="185" t="str">
        <f>IF(OR(C206="",C206=Data!$B$3),"",IF(C206=Data!$B$2,"L","S"))</f>
        <v/>
      </c>
      <c r="F206" s="185" t="str">
        <f t="shared" si="74"/>
        <v/>
      </c>
      <c r="G206" s="186" t="str">
        <f t="shared" si="65"/>
        <v/>
      </c>
      <c r="H206" s="187"/>
      <c r="I206" s="188" t="str">
        <f t="shared" si="75"/>
        <v/>
      </c>
      <c r="J206" s="188" t="str">
        <f t="shared" si="76"/>
        <v/>
      </c>
      <c r="K206" s="189" t="str">
        <f t="shared" si="77"/>
        <v/>
      </c>
      <c r="L206" s="189" t="str">
        <f t="shared" si="78"/>
        <v/>
      </c>
      <c r="M206" s="190"/>
      <c r="N206" s="190"/>
      <c r="O206" s="188" t="str">
        <f t="shared" si="79"/>
        <v/>
      </c>
      <c r="P206" s="191" t="str">
        <f t="shared" si="66"/>
        <v/>
      </c>
      <c r="Q206" s="192" t="str">
        <f t="shared" si="80"/>
        <v/>
      </c>
      <c r="R206" s="191" t="str">
        <f t="shared" si="67"/>
        <v/>
      </c>
      <c r="S206" s="193" t="str">
        <f t="shared" si="81"/>
        <v/>
      </c>
      <c r="T206" s="194" t="str">
        <f t="shared" si="68"/>
        <v/>
      </c>
      <c r="U206" s="192" t="str">
        <f t="shared" si="82"/>
        <v/>
      </c>
      <c r="V206" s="195" t="str">
        <f t="shared" si="69"/>
        <v/>
      </c>
      <c r="W206" s="195" t="str">
        <f t="shared" si="70"/>
        <v/>
      </c>
      <c r="X206" s="196" t="str">
        <f t="shared" si="83"/>
        <v/>
      </c>
      <c r="Y206" s="191" t="str">
        <f t="shared" si="64"/>
        <v/>
      </c>
      <c r="Z206" s="197" t="str">
        <f t="shared" si="71"/>
        <v/>
      </c>
      <c r="AA206" s="197" t="str">
        <f t="shared" si="72"/>
        <v/>
      </c>
      <c r="AB206" s="218"/>
      <c r="AC206" s="205"/>
    </row>
    <row r="207" spans="1:29">
      <c r="A207" s="219" t="str">
        <f t="shared" si="73"/>
        <v/>
      </c>
      <c r="B207" s="219"/>
      <c r="C207" s="184"/>
      <c r="D207" s="185"/>
      <c r="E207" s="185" t="str">
        <f>IF(OR(C207="",C207=Data!$B$3),"",IF(C207=Data!$B$2,"L","S"))</f>
        <v/>
      </c>
      <c r="F207" s="185" t="str">
        <f t="shared" si="74"/>
        <v/>
      </c>
      <c r="G207" s="186" t="str">
        <f t="shared" si="65"/>
        <v/>
      </c>
      <c r="H207" s="187"/>
      <c r="I207" s="188" t="str">
        <f t="shared" si="75"/>
        <v/>
      </c>
      <c r="J207" s="188" t="str">
        <f t="shared" si="76"/>
        <v/>
      </c>
      <c r="K207" s="189" t="str">
        <f t="shared" si="77"/>
        <v/>
      </c>
      <c r="L207" s="189" t="str">
        <f t="shared" si="78"/>
        <v/>
      </c>
      <c r="M207" s="190"/>
      <c r="N207" s="190"/>
      <c r="O207" s="188" t="str">
        <f t="shared" si="79"/>
        <v/>
      </c>
      <c r="P207" s="191" t="str">
        <f t="shared" si="66"/>
        <v/>
      </c>
      <c r="Q207" s="192" t="str">
        <f t="shared" si="80"/>
        <v/>
      </c>
      <c r="R207" s="191" t="str">
        <f t="shared" si="67"/>
        <v/>
      </c>
      <c r="S207" s="193" t="str">
        <f t="shared" si="81"/>
        <v/>
      </c>
      <c r="T207" s="194" t="str">
        <f t="shared" si="68"/>
        <v/>
      </c>
      <c r="U207" s="192" t="str">
        <f t="shared" si="82"/>
        <v/>
      </c>
      <c r="V207" s="195" t="str">
        <f t="shared" si="69"/>
        <v/>
      </c>
      <c r="W207" s="195" t="str">
        <f t="shared" si="70"/>
        <v/>
      </c>
      <c r="X207" s="196" t="str">
        <f t="shared" si="83"/>
        <v/>
      </c>
      <c r="Y207" s="191" t="str">
        <f t="shared" si="64"/>
        <v/>
      </c>
      <c r="Z207" s="197" t="str">
        <f t="shared" si="71"/>
        <v/>
      </c>
      <c r="AA207" s="197" t="str">
        <f t="shared" si="72"/>
        <v/>
      </c>
      <c r="AB207" s="218"/>
      <c r="AC207" s="205"/>
    </row>
    <row r="208" spans="1:29">
      <c r="A208" s="219" t="str">
        <f t="shared" si="73"/>
        <v/>
      </c>
      <c r="B208" s="219"/>
      <c r="C208" s="184"/>
      <c r="D208" s="185"/>
      <c r="E208" s="185" t="str">
        <f>IF(OR(C208="",C208=Data!$B$3),"",IF(C208=Data!$B$2,"L","S"))</f>
        <v/>
      </c>
      <c r="F208" s="185" t="str">
        <f t="shared" si="74"/>
        <v/>
      </c>
      <c r="G208" s="186" t="str">
        <f t="shared" si="65"/>
        <v/>
      </c>
      <c r="H208" s="187"/>
      <c r="I208" s="188" t="str">
        <f t="shared" si="75"/>
        <v/>
      </c>
      <c r="J208" s="188" t="str">
        <f t="shared" si="76"/>
        <v/>
      </c>
      <c r="K208" s="189" t="str">
        <f t="shared" si="77"/>
        <v/>
      </c>
      <c r="L208" s="189" t="str">
        <f t="shared" si="78"/>
        <v/>
      </c>
      <c r="M208" s="190"/>
      <c r="N208" s="190"/>
      <c r="O208" s="188" t="str">
        <f t="shared" si="79"/>
        <v/>
      </c>
      <c r="P208" s="191" t="str">
        <f t="shared" si="66"/>
        <v/>
      </c>
      <c r="Q208" s="192" t="str">
        <f t="shared" si="80"/>
        <v/>
      </c>
      <c r="R208" s="191" t="str">
        <f t="shared" si="67"/>
        <v/>
      </c>
      <c r="S208" s="193" t="str">
        <f t="shared" si="81"/>
        <v/>
      </c>
      <c r="T208" s="194" t="str">
        <f t="shared" si="68"/>
        <v/>
      </c>
      <c r="U208" s="192" t="str">
        <f t="shared" si="82"/>
        <v/>
      </c>
      <c r="V208" s="195" t="str">
        <f t="shared" si="69"/>
        <v/>
      </c>
      <c r="W208" s="195" t="str">
        <f t="shared" si="70"/>
        <v/>
      </c>
      <c r="X208" s="196" t="str">
        <f t="shared" si="83"/>
        <v/>
      </c>
      <c r="Y208" s="191" t="str">
        <f t="shared" si="64"/>
        <v/>
      </c>
      <c r="Z208" s="197" t="str">
        <f t="shared" si="71"/>
        <v/>
      </c>
      <c r="AA208" s="197" t="str">
        <f t="shared" si="72"/>
        <v/>
      </c>
      <c r="AB208" s="218"/>
      <c r="AC208" s="205"/>
    </row>
    <row r="209" spans="1:29">
      <c r="A209" s="219" t="str">
        <f t="shared" si="73"/>
        <v/>
      </c>
      <c r="B209" s="219"/>
      <c r="C209" s="184"/>
      <c r="D209" s="185"/>
      <c r="E209" s="185" t="str">
        <f>IF(OR(C209="",C209=Data!$B$3),"",IF(C209=Data!$B$2,"L","S"))</f>
        <v/>
      </c>
      <c r="F209" s="185" t="str">
        <f t="shared" si="74"/>
        <v/>
      </c>
      <c r="G209" s="186" t="str">
        <f t="shared" si="65"/>
        <v/>
      </c>
      <c r="H209" s="187"/>
      <c r="I209" s="188" t="str">
        <f t="shared" si="75"/>
        <v/>
      </c>
      <c r="J209" s="188" t="str">
        <f t="shared" si="76"/>
        <v/>
      </c>
      <c r="K209" s="189" t="str">
        <f t="shared" si="77"/>
        <v/>
      </c>
      <c r="L209" s="189" t="str">
        <f t="shared" si="78"/>
        <v/>
      </c>
      <c r="M209" s="190"/>
      <c r="N209" s="190"/>
      <c r="O209" s="188" t="str">
        <f t="shared" si="79"/>
        <v/>
      </c>
      <c r="P209" s="191" t="str">
        <f t="shared" si="66"/>
        <v/>
      </c>
      <c r="Q209" s="192" t="str">
        <f t="shared" si="80"/>
        <v/>
      </c>
      <c r="R209" s="191" t="str">
        <f t="shared" si="67"/>
        <v/>
      </c>
      <c r="S209" s="193" t="str">
        <f t="shared" si="81"/>
        <v/>
      </c>
      <c r="T209" s="194" t="str">
        <f t="shared" si="68"/>
        <v/>
      </c>
      <c r="U209" s="192" t="str">
        <f t="shared" si="82"/>
        <v/>
      </c>
      <c r="V209" s="195" t="str">
        <f t="shared" si="69"/>
        <v/>
      </c>
      <c r="W209" s="195" t="str">
        <f t="shared" si="70"/>
        <v/>
      </c>
      <c r="X209" s="196" t="str">
        <f t="shared" si="83"/>
        <v/>
      </c>
      <c r="Y209" s="191" t="str">
        <f t="shared" si="64"/>
        <v/>
      </c>
      <c r="Z209" s="197" t="str">
        <f t="shared" si="71"/>
        <v/>
      </c>
      <c r="AA209" s="197" t="str">
        <f t="shared" si="72"/>
        <v/>
      </c>
      <c r="AB209" s="218"/>
      <c r="AC209" s="205"/>
    </row>
    <row r="210" spans="1:29">
      <c r="A210" s="219" t="str">
        <f t="shared" si="73"/>
        <v/>
      </c>
      <c r="B210" s="219"/>
      <c r="C210" s="184"/>
      <c r="D210" s="185"/>
      <c r="E210" s="185" t="str">
        <f>IF(OR(C210="",C210=Data!$B$3),"",IF(C210=Data!$B$2,"L","S"))</f>
        <v/>
      </c>
      <c r="F210" s="185" t="str">
        <f t="shared" si="74"/>
        <v/>
      </c>
      <c r="G210" s="186" t="str">
        <f t="shared" si="65"/>
        <v/>
      </c>
      <c r="H210" s="187"/>
      <c r="I210" s="188" t="str">
        <f t="shared" si="75"/>
        <v/>
      </c>
      <c r="J210" s="188" t="str">
        <f t="shared" si="76"/>
        <v/>
      </c>
      <c r="K210" s="189" t="str">
        <f t="shared" si="77"/>
        <v/>
      </c>
      <c r="L210" s="189" t="str">
        <f t="shared" si="78"/>
        <v/>
      </c>
      <c r="M210" s="190"/>
      <c r="N210" s="190"/>
      <c r="O210" s="188" t="str">
        <f t="shared" si="79"/>
        <v/>
      </c>
      <c r="P210" s="191" t="str">
        <f t="shared" si="66"/>
        <v/>
      </c>
      <c r="Q210" s="192" t="str">
        <f t="shared" si="80"/>
        <v/>
      </c>
      <c r="R210" s="191" t="str">
        <f t="shared" si="67"/>
        <v/>
      </c>
      <c r="S210" s="193" t="str">
        <f t="shared" si="81"/>
        <v/>
      </c>
      <c r="T210" s="194" t="str">
        <f t="shared" si="68"/>
        <v/>
      </c>
      <c r="U210" s="192" t="str">
        <f t="shared" si="82"/>
        <v/>
      </c>
      <c r="V210" s="195" t="str">
        <f t="shared" si="69"/>
        <v/>
      </c>
      <c r="W210" s="195" t="str">
        <f t="shared" si="70"/>
        <v/>
      </c>
      <c r="X210" s="196" t="str">
        <f t="shared" si="83"/>
        <v/>
      </c>
      <c r="Y210" s="191" t="str">
        <f t="shared" si="64"/>
        <v/>
      </c>
      <c r="Z210" s="197" t="str">
        <f t="shared" si="71"/>
        <v/>
      </c>
      <c r="AA210" s="197" t="str">
        <f t="shared" si="72"/>
        <v/>
      </c>
      <c r="AB210" s="218"/>
      <c r="AC210" s="205"/>
    </row>
    <row r="211" spans="1:29">
      <c r="A211" s="219" t="str">
        <f t="shared" si="73"/>
        <v/>
      </c>
      <c r="B211" s="219"/>
      <c r="C211" s="184"/>
      <c r="D211" s="185"/>
      <c r="E211" s="185" t="str">
        <f>IF(OR(C211="",C211=Data!$B$3),"",IF(C211=Data!$B$2,"L","S"))</f>
        <v/>
      </c>
      <c r="F211" s="185" t="str">
        <f t="shared" si="74"/>
        <v/>
      </c>
      <c r="G211" s="186" t="str">
        <f t="shared" si="65"/>
        <v/>
      </c>
      <c r="H211" s="187"/>
      <c r="I211" s="188" t="str">
        <f t="shared" si="75"/>
        <v/>
      </c>
      <c r="J211" s="188" t="str">
        <f t="shared" si="76"/>
        <v/>
      </c>
      <c r="K211" s="189" t="str">
        <f t="shared" si="77"/>
        <v/>
      </c>
      <c r="L211" s="189" t="str">
        <f t="shared" si="78"/>
        <v/>
      </c>
      <c r="M211" s="190"/>
      <c r="N211" s="190"/>
      <c r="O211" s="188" t="str">
        <f t="shared" si="79"/>
        <v/>
      </c>
      <c r="P211" s="191" t="str">
        <f t="shared" si="66"/>
        <v/>
      </c>
      <c r="Q211" s="192" t="str">
        <f t="shared" si="80"/>
        <v/>
      </c>
      <c r="R211" s="191" t="str">
        <f t="shared" si="67"/>
        <v/>
      </c>
      <c r="S211" s="193" t="str">
        <f t="shared" si="81"/>
        <v/>
      </c>
      <c r="T211" s="194" t="str">
        <f t="shared" si="68"/>
        <v/>
      </c>
      <c r="U211" s="192" t="str">
        <f t="shared" si="82"/>
        <v/>
      </c>
      <c r="V211" s="195" t="str">
        <f t="shared" si="69"/>
        <v/>
      </c>
      <c r="W211" s="195" t="str">
        <f t="shared" si="70"/>
        <v/>
      </c>
      <c r="X211" s="196" t="str">
        <f t="shared" si="83"/>
        <v/>
      </c>
      <c r="Y211" s="191" t="str">
        <f t="shared" si="64"/>
        <v/>
      </c>
      <c r="Z211" s="197" t="str">
        <f t="shared" si="71"/>
        <v/>
      </c>
      <c r="AA211" s="197" t="str">
        <f t="shared" si="72"/>
        <v/>
      </c>
      <c r="AB211" s="218"/>
      <c r="AC211" s="205"/>
    </row>
    <row r="212" spans="1:29">
      <c r="A212" s="219" t="str">
        <f t="shared" si="73"/>
        <v/>
      </c>
      <c r="B212" s="219"/>
      <c r="C212" s="184"/>
      <c r="D212" s="185"/>
      <c r="E212" s="185" t="str">
        <f>IF(OR(C212="",C212=Data!$B$3),"",IF(C212=Data!$B$2,"L","S"))</f>
        <v/>
      </c>
      <c r="F212" s="185" t="str">
        <f t="shared" si="74"/>
        <v/>
      </c>
      <c r="G212" s="186" t="str">
        <f t="shared" si="65"/>
        <v/>
      </c>
      <c r="H212" s="187"/>
      <c r="I212" s="188" t="str">
        <f t="shared" si="75"/>
        <v/>
      </c>
      <c r="J212" s="188" t="str">
        <f t="shared" si="76"/>
        <v/>
      </c>
      <c r="K212" s="189" t="str">
        <f t="shared" si="77"/>
        <v/>
      </c>
      <c r="L212" s="189" t="str">
        <f t="shared" si="78"/>
        <v/>
      </c>
      <c r="M212" s="190"/>
      <c r="N212" s="190"/>
      <c r="O212" s="188" t="str">
        <f t="shared" si="79"/>
        <v/>
      </c>
      <c r="P212" s="191" t="str">
        <f t="shared" si="66"/>
        <v/>
      </c>
      <c r="Q212" s="192" t="str">
        <f t="shared" si="80"/>
        <v/>
      </c>
      <c r="R212" s="191" t="str">
        <f t="shared" si="67"/>
        <v/>
      </c>
      <c r="S212" s="193" t="str">
        <f t="shared" si="81"/>
        <v/>
      </c>
      <c r="T212" s="194" t="str">
        <f t="shared" si="68"/>
        <v/>
      </c>
      <c r="U212" s="192" t="str">
        <f t="shared" si="82"/>
        <v/>
      </c>
      <c r="V212" s="195" t="str">
        <f t="shared" si="69"/>
        <v/>
      </c>
      <c r="W212" s="195" t="str">
        <f t="shared" si="70"/>
        <v/>
      </c>
      <c r="X212" s="196" t="str">
        <f t="shared" si="83"/>
        <v/>
      </c>
      <c r="Y212" s="191" t="str">
        <f t="shared" ref="Y212:Y275" si="84">IF(Y211="","",IF(T212="","",Y211+T212))</f>
        <v/>
      </c>
      <c r="Z212" s="197" t="str">
        <f t="shared" si="71"/>
        <v/>
      </c>
      <c r="AA212" s="197" t="str">
        <f t="shared" si="72"/>
        <v/>
      </c>
      <c r="AB212" s="218"/>
      <c r="AC212" s="205"/>
    </row>
    <row r="213" spans="1:29">
      <c r="A213" s="219" t="str">
        <f t="shared" si="73"/>
        <v/>
      </c>
      <c r="B213" s="219"/>
      <c r="C213" s="184"/>
      <c r="D213" s="185"/>
      <c r="E213" s="185" t="str">
        <f>IF(OR(C213="",C213=Data!$B$3),"",IF(C213=Data!$B$2,"L","S"))</f>
        <v/>
      </c>
      <c r="F213" s="185" t="str">
        <f t="shared" si="74"/>
        <v/>
      </c>
      <c r="G213" s="186" t="str">
        <f t="shared" si="65"/>
        <v/>
      </c>
      <c r="H213" s="187"/>
      <c r="I213" s="188" t="str">
        <f t="shared" si="75"/>
        <v/>
      </c>
      <c r="J213" s="188" t="str">
        <f t="shared" si="76"/>
        <v/>
      </c>
      <c r="K213" s="189" t="str">
        <f t="shared" si="77"/>
        <v/>
      </c>
      <c r="L213" s="189" t="str">
        <f t="shared" si="78"/>
        <v/>
      </c>
      <c r="M213" s="190"/>
      <c r="N213" s="190"/>
      <c r="O213" s="188" t="str">
        <f t="shared" si="79"/>
        <v/>
      </c>
      <c r="P213" s="191" t="str">
        <f t="shared" si="66"/>
        <v/>
      </c>
      <c r="Q213" s="192" t="str">
        <f t="shared" si="80"/>
        <v/>
      </c>
      <c r="R213" s="191" t="str">
        <f t="shared" si="67"/>
        <v/>
      </c>
      <c r="S213" s="193" t="str">
        <f t="shared" si="81"/>
        <v/>
      </c>
      <c r="T213" s="194" t="str">
        <f t="shared" si="68"/>
        <v/>
      </c>
      <c r="U213" s="192" t="str">
        <f t="shared" si="82"/>
        <v/>
      </c>
      <c r="V213" s="195" t="str">
        <f t="shared" si="69"/>
        <v/>
      </c>
      <c r="W213" s="195" t="str">
        <f t="shared" si="70"/>
        <v/>
      </c>
      <c r="X213" s="196" t="str">
        <f t="shared" si="83"/>
        <v/>
      </c>
      <c r="Y213" s="191" t="str">
        <f t="shared" si="84"/>
        <v/>
      </c>
      <c r="Z213" s="197" t="str">
        <f t="shared" si="71"/>
        <v/>
      </c>
      <c r="AA213" s="197" t="str">
        <f t="shared" si="72"/>
        <v/>
      </c>
      <c r="AB213" s="218"/>
      <c r="AC213" s="205"/>
    </row>
    <row r="214" spans="1:29">
      <c r="A214" s="219" t="str">
        <f t="shared" si="73"/>
        <v/>
      </c>
      <c r="B214" s="219"/>
      <c r="C214" s="184"/>
      <c r="D214" s="185"/>
      <c r="E214" s="185" t="str">
        <f>IF(OR(C214="",C214=Data!$B$3),"",IF(C214=Data!$B$2,"L","S"))</f>
        <v/>
      </c>
      <c r="F214" s="185" t="str">
        <f t="shared" si="74"/>
        <v/>
      </c>
      <c r="G214" s="186" t="str">
        <f t="shared" si="65"/>
        <v/>
      </c>
      <c r="H214" s="187"/>
      <c r="I214" s="188" t="str">
        <f t="shared" si="75"/>
        <v/>
      </c>
      <c r="J214" s="188" t="str">
        <f t="shared" si="76"/>
        <v/>
      </c>
      <c r="K214" s="189" t="str">
        <f t="shared" si="77"/>
        <v/>
      </c>
      <c r="L214" s="189" t="str">
        <f t="shared" si="78"/>
        <v/>
      </c>
      <c r="M214" s="190"/>
      <c r="N214" s="190"/>
      <c r="O214" s="188" t="str">
        <f t="shared" si="79"/>
        <v/>
      </c>
      <c r="P214" s="191" t="str">
        <f t="shared" si="66"/>
        <v/>
      </c>
      <c r="Q214" s="192" t="str">
        <f t="shared" si="80"/>
        <v/>
      </c>
      <c r="R214" s="191" t="str">
        <f t="shared" si="67"/>
        <v/>
      </c>
      <c r="S214" s="193" t="str">
        <f t="shared" si="81"/>
        <v/>
      </c>
      <c r="T214" s="194" t="str">
        <f t="shared" si="68"/>
        <v/>
      </c>
      <c r="U214" s="192" t="str">
        <f t="shared" si="82"/>
        <v/>
      </c>
      <c r="V214" s="195" t="str">
        <f t="shared" si="69"/>
        <v/>
      </c>
      <c r="W214" s="195" t="str">
        <f t="shared" si="70"/>
        <v/>
      </c>
      <c r="X214" s="196" t="str">
        <f t="shared" si="83"/>
        <v/>
      </c>
      <c r="Y214" s="191" t="str">
        <f t="shared" si="84"/>
        <v/>
      </c>
      <c r="Z214" s="197" t="str">
        <f t="shared" si="71"/>
        <v/>
      </c>
      <c r="AA214" s="197" t="str">
        <f t="shared" si="72"/>
        <v/>
      </c>
      <c r="AB214" s="218"/>
      <c r="AC214" s="205"/>
    </row>
    <row r="215" spans="1:29">
      <c r="A215" s="219" t="str">
        <f t="shared" si="73"/>
        <v/>
      </c>
      <c r="B215" s="219"/>
      <c r="C215" s="184"/>
      <c r="D215" s="185"/>
      <c r="E215" s="185" t="str">
        <f>IF(OR(C215="",C215=Data!$B$3),"",IF(C215=Data!$B$2,"L","S"))</f>
        <v/>
      </c>
      <c r="F215" s="185" t="str">
        <f t="shared" si="74"/>
        <v/>
      </c>
      <c r="G215" s="186" t="str">
        <f t="shared" si="65"/>
        <v/>
      </c>
      <c r="H215" s="187"/>
      <c r="I215" s="188" t="str">
        <f t="shared" si="75"/>
        <v/>
      </c>
      <c r="J215" s="188" t="str">
        <f t="shared" si="76"/>
        <v/>
      </c>
      <c r="K215" s="189" t="str">
        <f t="shared" si="77"/>
        <v/>
      </c>
      <c r="L215" s="189" t="str">
        <f t="shared" si="78"/>
        <v/>
      </c>
      <c r="M215" s="190"/>
      <c r="N215" s="190"/>
      <c r="O215" s="188" t="str">
        <f t="shared" si="79"/>
        <v/>
      </c>
      <c r="P215" s="191" t="str">
        <f t="shared" si="66"/>
        <v/>
      </c>
      <c r="Q215" s="192" t="str">
        <f t="shared" si="80"/>
        <v/>
      </c>
      <c r="R215" s="191" t="str">
        <f t="shared" si="67"/>
        <v/>
      </c>
      <c r="S215" s="193" t="str">
        <f t="shared" si="81"/>
        <v/>
      </c>
      <c r="T215" s="194" t="str">
        <f t="shared" si="68"/>
        <v/>
      </c>
      <c r="U215" s="192" t="str">
        <f t="shared" si="82"/>
        <v/>
      </c>
      <c r="V215" s="195" t="str">
        <f t="shared" si="69"/>
        <v/>
      </c>
      <c r="W215" s="195" t="str">
        <f t="shared" si="70"/>
        <v/>
      </c>
      <c r="X215" s="196" t="str">
        <f t="shared" si="83"/>
        <v/>
      </c>
      <c r="Y215" s="191" t="str">
        <f t="shared" si="84"/>
        <v/>
      </c>
      <c r="Z215" s="197" t="str">
        <f t="shared" si="71"/>
        <v/>
      </c>
      <c r="AA215" s="197" t="str">
        <f t="shared" si="72"/>
        <v/>
      </c>
      <c r="AB215" s="218"/>
      <c r="AC215" s="205"/>
    </row>
    <row r="216" spans="1:29">
      <c r="A216" s="219" t="str">
        <f t="shared" si="73"/>
        <v/>
      </c>
      <c r="B216" s="219"/>
      <c r="C216" s="184"/>
      <c r="D216" s="185"/>
      <c r="E216" s="185" t="str">
        <f>IF(OR(C216="",C216=Data!$B$3),"",IF(C216=Data!$B$2,"L","S"))</f>
        <v/>
      </c>
      <c r="F216" s="185" t="str">
        <f t="shared" si="74"/>
        <v/>
      </c>
      <c r="G216" s="186" t="str">
        <f t="shared" si="65"/>
        <v/>
      </c>
      <c r="H216" s="187"/>
      <c r="I216" s="188" t="str">
        <f t="shared" si="75"/>
        <v/>
      </c>
      <c r="J216" s="188" t="str">
        <f t="shared" si="76"/>
        <v/>
      </c>
      <c r="K216" s="189" t="str">
        <f t="shared" si="77"/>
        <v/>
      </c>
      <c r="L216" s="189" t="str">
        <f t="shared" si="78"/>
        <v/>
      </c>
      <c r="M216" s="190"/>
      <c r="N216" s="190"/>
      <c r="O216" s="188" t="str">
        <f t="shared" si="79"/>
        <v/>
      </c>
      <c r="P216" s="191" t="str">
        <f t="shared" si="66"/>
        <v/>
      </c>
      <c r="Q216" s="192" t="str">
        <f t="shared" si="80"/>
        <v/>
      </c>
      <c r="R216" s="191" t="str">
        <f t="shared" si="67"/>
        <v/>
      </c>
      <c r="S216" s="193" t="str">
        <f t="shared" si="81"/>
        <v/>
      </c>
      <c r="T216" s="194" t="str">
        <f t="shared" si="68"/>
        <v/>
      </c>
      <c r="U216" s="192" t="str">
        <f t="shared" si="82"/>
        <v/>
      </c>
      <c r="V216" s="195" t="str">
        <f t="shared" si="69"/>
        <v/>
      </c>
      <c r="W216" s="195" t="str">
        <f t="shared" si="70"/>
        <v/>
      </c>
      <c r="X216" s="196" t="str">
        <f t="shared" si="83"/>
        <v/>
      </c>
      <c r="Y216" s="191" t="str">
        <f t="shared" si="84"/>
        <v/>
      </c>
      <c r="Z216" s="197" t="str">
        <f t="shared" si="71"/>
        <v/>
      </c>
      <c r="AA216" s="197" t="str">
        <f t="shared" si="72"/>
        <v/>
      </c>
      <c r="AB216" s="218"/>
      <c r="AC216" s="205"/>
    </row>
    <row r="217" spans="1:29">
      <c r="A217" s="219" t="str">
        <f t="shared" si="73"/>
        <v/>
      </c>
      <c r="B217" s="219"/>
      <c r="C217" s="184"/>
      <c r="D217" s="185"/>
      <c r="E217" s="185" t="str">
        <f>IF(OR(C217="",C217=Data!$B$3),"",IF(C217=Data!$B$2,"L","S"))</f>
        <v/>
      </c>
      <c r="F217" s="185" t="str">
        <f t="shared" si="74"/>
        <v/>
      </c>
      <c r="G217" s="186" t="str">
        <f t="shared" si="65"/>
        <v/>
      </c>
      <c r="H217" s="187"/>
      <c r="I217" s="188" t="str">
        <f t="shared" si="75"/>
        <v/>
      </c>
      <c r="J217" s="188" t="str">
        <f t="shared" si="76"/>
        <v/>
      </c>
      <c r="K217" s="189" t="str">
        <f t="shared" si="77"/>
        <v/>
      </c>
      <c r="L217" s="189" t="str">
        <f t="shared" si="78"/>
        <v/>
      </c>
      <c r="M217" s="190"/>
      <c r="N217" s="190"/>
      <c r="O217" s="188" t="str">
        <f t="shared" si="79"/>
        <v/>
      </c>
      <c r="P217" s="191" t="str">
        <f t="shared" si="66"/>
        <v/>
      </c>
      <c r="Q217" s="192" t="str">
        <f t="shared" si="80"/>
        <v/>
      </c>
      <c r="R217" s="191" t="str">
        <f t="shared" si="67"/>
        <v/>
      </c>
      <c r="S217" s="193" t="str">
        <f t="shared" si="81"/>
        <v/>
      </c>
      <c r="T217" s="194" t="str">
        <f t="shared" si="68"/>
        <v/>
      </c>
      <c r="U217" s="192" t="str">
        <f t="shared" si="82"/>
        <v/>
      </c>
      <c r="V217" s="195" t="str">
        <f t="shared" si="69"/>
        <v/>
      </c>
      <c r="W217" s="195" t="str">
        <f t="shared" si="70"/>
        <v/>
      </c>
      <c r="X217" s="196" t="str">
        <f t="shared" si="83"/>
        <v/>
      </c>
      <c r="Y217" s="191" t="str">
        <f t="shared" si="84"/>
        <v/>
      </c>
      <c r="Z217" s="197" t="str">
        <f t="shared" si="71"/>
        <v/>
      </c>
      <c r="AA217" s="197" t="str">
        <f t="shared" si="72"/>
        <v/>
      </c>
      <c r="AB217" s="218"/>
      <c r="AC217" s="205"/>
    </row>
    <row r="218" spans="1:29">
      <c r="A218" s="219" t="str">
        <f t="shared" si="73"/>
        <v/>
      </c>
      <c r="B218" s="219"/>
      <c r="C218" s="184"/>
      <c r="D218" s="185"/>
      <c r="E218" s="185" t="str">
        <f>IF(OR(C218="",C218=Data!$B$3),"",IF(C218=Data!$B$2,"L","S"))</f>
        <v/>
      </c>
      <c r="F218" s="185" t="str">
        <f t="shared" si="74"/>
        <v/>
      </c>
      <c r="G218" s="186" t="str">
        <f t="shared" si="65"/>
        <v/>
      </c>
      <c r="H218" s="187"/>
      <c r="I218" s="188" t="str">
        <f t="shared" si="75"/>
        <v/>
      </c>
      <c r="J218" s="188" t="str">
        <f t="shared" si="76"/>
        <v/>
      </c>
      <c r="K218" s="189" t="str">
        <f t="shared" si="77"/>
        <v/>
      </c>
      <c r="L218" s="189" t="str">
        <f t="shared" si="78"/>
        <v/>
      </c>
      <c r="M218" s="190"/>
      <c r="N218" s="190"/>
      <c r="O218" s="188" t="str">
        <f t="shared" si="79"/>
        <v/>
      </c>
      <c r="P218" s="191" t="str">
        <f t="shared" si="66"/>
        <v/>
      </c>
      <c r="Q218" s="192" t="str">
        <f t="shared" si="80"/>
        <v/>
      </c>
      <c r="R218" s="191" t="str">
        <f t="shared" si="67"/>
        <v/>
      </c>
      <c r="S218" s="193" t="str">
        <f t="shared" si="81"/>
        <v/>
      </c>
      <c r="T218" s="194" t="str">
        <f t="shared" si="68"/>
        <v/>
      </c>
      <c r="U218" s="192" t="str">
        <f t="shared" si="82"/>
        <v/>
      </c>
      <c r="V218" s="195" t="str">
        <f t="shared" si="69"/>
        <v/>
      </c>
      <c r="W218" s="195" t="str">
        <f t="shared" si="70"/>
        <v/>
      </c>
      <c r="X218" s="196" t="str">
        <f t="shared" si="83"/>
        <v/>
      </c>
      <c r="Y218" s="191" t="str">
        <f t="shared" si="84"/>
        <v/>
      </c>
      <c r="Z218" s="197" t="str">
        <f t="shared" si="71"/>
        <v/>
      </c>
      <c r="AA218" s="197" t="str">
        <f t="shared" si="72"/>
        <v/>
      </c>
      <c r="AB218" s="218"/>
      <c r="AC218" s="205"/>
    </row>
    <row r="219" spans="1:29">
      <c r="A219" s="219" t="str">
        <f t="shared" si="73"/>
        <v/>
      </c>
      <c r="B219" s="219"/>
      <c r="C219" s="184"/>
      <c r="D219" s="185"/>
      <c r="E219" s="185" t="str">
        <f>IF(OR(C219="",C219=Data!$B$3),"",IF(C219=Data!$B$2,"L","S"))</f>
        <v/>
      </c>
      <c r="F219" s="185" t="str">
        <f t="shared" si="74"/>
        <v/>
      </c>
      <c r="G219" s="186" t="str">
        <f t="shared" si="65"/>
        <v/>
      </c>
      <c r="H219" s="187"/>
      <c r="I219" s="188" t="str">
        <f t="shared" si="75"/>
        <v/>
      </c>
      <c r="J219" s="188" t="str">
        <f t="shared" si="76"/>
        <v/>
      </c>
      <c r="K219" s="189" t="str">
        <f t="shared" si="77"/>
        <v/>
      </c>
      <c r="L219" s="189" t="str">
        <f t="shared" si="78"/>
        <v/>
      </c>
      <c r="M219" s="190"/>
      <c r="N219" s="190"/>
      <c r="O219" s="188" t="str">
        <f t="shared" si="79"/>
        <v/>
      </c>
      <c r="P219" s="191" t="str">
        <f t="shared" si="66"/>
        <v/>
      </c>
      <c r="Q219" s="192" t="str">
        <f t="shared" si="80"/>
        <v/>
      </c>
      <c r="R219" s="191" t="str">
        <f t="shared" si="67"/>
        <v/>
      </c>
      <c r="S219" s="193" t="str">
        <f t="shared" si="81"/>
        <v/>
      </c>
      <c r="T219" s="194" t="str">
        <f t="shared" si="68"/>
        <v/>
      </c>
      <c r="U219" s="192" t="str">
        <f t="shared" si="82"/>
        <v/>
      </c>
      <c r="V219" s="195" t="str">
        <f t="shared" si="69"/>
        <v/>
      </c>
      <c r="W219" s="195" t="str">
        <f t="shared" si="70"/>
        <v/>
      </c>
      <c r="X219" s="196" t="str">
        <f t="shared" si="83"/>
        <v/>
      </c>
      <c r="Y219" s="191" t="str">
        <f t="shared" si="84"/>
        <v/>
      </c>
      <c r="Z219" s="197" t="str">
        <f t="shared" si="71"/>
        <v/>
      </c>
      <c r="AA219" s="197" t="str">
        <f t="shared" si="72"/>
        <v/>
      </c>
      <c r="AB219" s="218"/>
      <c r="AC219" s="205"/>
    </row>
    <row r="220" spans="1:29">
      <c r="A220" s="219" t="str">
        <f t="shared" si="73"/>
        <v/>
      </c>
      <c r="B220" s="219"/>
      <c r="C220" s="184"/>
      <c r="D220" s="185"/>
      <c r="E220" s="185" t="str">
        <f>IF(OR(C220="",C220=Data!$B$3),"",IF(C220=Data!$B$2,"L","S"))</f>
        <v/>
      </c>
      <c r="F220" s="185" t="str">
        <f t="shared" si="74"/>
        <v/>
      </c>
      <c r="G220" s="186" t="str">
        <f t="shared" si="65"/>
        <v/>
      </c>
      <c r="H220" s="187"/>
      <c r="I220" s="188" t="str">
        <f t="shared" si="75"/>
        <v/>
      </c>
      <c r="J220" s="188" t="str">
        <f t="shared" si="76"/>
        <v/>
      </c>
      <c r="K220" s="189" t="str">
        <f t="shared" si="77"/>
        <v/>
      </c>
      <c r="L220" s="189" t="str">
        <f t="shared" si="78"/>
        <v/>
      </c>
      <c r="M220" s="190"/>
      <c r="N220" s="190"/>
      <c r="O220" s="188" t="str">
        <f t="shared" si="79"/>
        <v/>
      </c>
      <c r="P220" s="191" t="str">
        <f t="shared" si="66"/>
        <v/>
      </c>
      <c r="Q220" s="192" t="str">
        <f t="shared" si="80"/>
        <v/>
      </c>
      <c r="R220" s="191" t="str">
        <f t="shared" si="67"/>
        <v/>
      </c>
      <c r="S220" s="193" t="str">
        <f t="shared" si="81"/>
        <v/>
      </c>
      <c r="T220" s="194" t="str">
        <f t="shared" si="68"/>
        <v/>
      </c>
      <c r="U220" s="192" t="str">
        <f t="shared" si="82"/>
        <v/>
      </c>
      <c r="V220" s="195" t="str">
        <f t="shared" si="69"/>
        <v/>
      </c>
      <c r="W220" s="195" t="str">
        <f t="shared" si="70"/>
        <v/>
      </c>
      <c r="X220" s="196" t="str">
        <f t="shared" si="83"/>
        <v/>
      </c>
      <c r="Y220" s="191" t="str">
        <f t="shared" si="84"/>
        <v/>
      </c>
      <c r="Z220" s="197" t="str">
        <f t="shared" si="71"/>
        <v/>
      </c>
      <c r="AA220" s="197" t="str">
        <f t="shared" si="72"/>
        <v/>
      </c>
      <c r="AB220" s="218"/>
      <c r="AC220" s="205"/>
    </row>
    <row r="221" spans="1:29">
      <c r="A221" s="219" t="str">
        <f t="shared" si="73"/>
        <v/>
      </c>
      <c r="B221" s="219"/>
      <c r="C221" s="184"/>
      <c r="D221" s="185"/>
      <c r="E221" s="185" t="str">
        <f>IF(OR(C221="",C221=Data!$B$3),"",IF(C221=Data!$B$2,"L","S"))</f>
        <v/>
      </c>
      <c r="F221" s="185" t="str">
        <f t="shared" si="74"/>
        <v/>
      </c>
      <c r="G221" s="186" t="str">
        <f t="shared" si="65"/>
        <v/>
      </c>
      <c r="H221" s="187"/>
      <c r="I221" s="188" t="str">
        <f t="shared" si="75"/>
        <v/>
      </c>
      <c r="J221" s="188" t="str">
        <f t="shared" si="76"/>
        <v/>
      </c>
      <c r="K221" s="189" t="str">
        <f t="shared" si="77"/>
        <v/>
      </c>
      <c r="L221" s="189" t="str">
        <f t="shared" si="78"/>
        <v/>
      </c>
      <c r="M221" s="190"/>
      <c r="N221" s="190"/>
      <c r="O221" s="188" t="str">
        <f t="shared" si="79"/>
        <v/>
      </c>
      <c r="P221" s="191" t="str">
        <f t="shared" si="66"/>
        <v/>
      </c>
      <c r="Q221" s="192" t="str">
        <f t="shared" si="80"/>
        <v/>
      </c>
      <c r="R221" s="191" t="str">
        <f t="shared" si="67"/>
        <v/>
      </c>
      <c r="S221" s="193" t="str">
        <f t="shared" si="81"/>
        <v/>
      </c>
      <c r="T221" s="194" t="str">
        <f t="shared" si="68"/>
        <v/>
      </c>
      <c r="U221" s="192" t="str">
        <f t="shared" si="82"/>
        <v/>
      </c>
      <c r="V221" s="195" t="str">
        <f t="shared" si="69"/>
        <v/>
      </c>
      <c r="W221" s="195" t="str">
        <f t="shared" si="70"/>
        <v/>
      </c>
      <c r="X221" s="196" t="str">
        <f t="shared" si="83"/>
        <v/>
      </c>
      <c r="Y221" s="191" t="str">
        <f t="shared" si="84"/>
        <v/>
      </c>
      <c r="Z221" s="197" t="str">
        <f t="shared" si="71"/>
        <v/>
      </c>
      <c r="AA221" s="197" t="str">
        <f t="shared" si="72"/>
        <v/>
      </c>
      <c r="AB221" s="218"/>
      <c r="AC221" s="205"/>
    </row>
    <row r="222" spans="1:29">
      <c r="A222" s="219" t="str">
        <f t="shared" si="73"/>
        <v/>
      </c>
      <c r="B222" s="219"/>
      <c r="C222" s="184"/>
      <c r="D222" s="185"/>
      <c r="E222" s="185" t="str">
        <f>IF(OR(C222="",C222=Data!$B$3),"",IF(C222=Data!$B$2,"L","S"))</f>
        <v/>
      </c>
      <c r="F222" s="185" t="str">
        <f t="shared" si="74"/>
        <v/>
      </c>
      <c r="G222" s="186" t="str">
        <f t="shared" si="65"/>
        <v/>
      </c>
      <c r="H222" s="187"/>
      <c r="I222" s="188" t="str">
        <f t="shared" si="75"/>
        <v/>
      </c>
      <c r="J222" s="188" t="str">
        <f t="shared" si="76"/>
        <v/>
      </c>
      <c r="K222" s="189" t="str">
        <f t="shared" si="77"/>
        <v/>
      </c>
      <c r="L222" s="189" t="str">
        <f t="shared" si="78"/>
        <v/>
      </c>
      <c r="M222" s="190"/>
      <c r="N222" s="190"/>
      <c r="O222" s="188" t="str">
        <f t="shared" si="79"/>
        <v/>
      </c>
      <c r="P222" s="191" t="str">
        <f t="shared" si="66"/>
        <v/>
      </c>
      <c r="Q222" s="192" t="str">
        <f t="shared" si="80"/>
        <v/>
      </c>
      <c r="R222" s="191" t="str">
        <f t="shared" si="67"/>
        <v/>
      </c>
      <c r="S222" s="193" t="str">
        <f t="shared" si="81"/>
        <v/>
      </c>
      <c r="T222" s="194" t="str">
        <f t="shared" si="68"/>
        <v/>
      </c>
      <c r="U222" s="192" t="str">
        <f t="shared" si="82"/>
        <v/>
      </c>
      <c r="V222" s="195" t="str">
        <f t="shared" si="69"/>
        <v/>
      </c>
      <c r="W222" s="195" t="str">
        <f t="shared" si="70"/>
        <v/>
      </c>
      <c r="X222" s="196" t="str">
        <f t="shared" si="83"/>
        <v/>
      </c>
      <c r="Y222" s="191" t="str">
        <f t="shared" si="84"/>
        <v/>
      </c>
      <c r="Z222" s="197" t="str">
        <f t="shared" si="71"/>
        <v/>
      </c>
      <c r="AA222" s="197" t="str">
        <f t="shared" si="72"/>
        <v/>
      </c>
      <c r="AB222" s="218"/>
      <c r="AC222" s="205"/>
    </row>
    <row r="223" spans="1:29">
      <c r="A223" s="219" t="str">
        <f t="shared" si="73"/>
        <v/>
      </c>
      <c r="B223" s="219"/>
      <c r="C223" s="184"/>
      <c r="D223" s="185"/>
      <c r="E223" s="185" t="str">
        <f>IF(OR(C223="",C223=Data!$B$3),"",IF(C223=Data!$B$2,"L","S"))</f>
        <v/>
      </c>
      <c r="F223" s="185" t="str">
        <f t="shared" si="74"/>
        <v/>
      </c>
      <c r="G223" s="186" t="str">
        <f t="shared" si="65"/>
        <v/>
      </c>
      <c r="H223" s="187"/>
      <c r="I223" s="188" t="str">
        <f t="shared" si="75"/>
        <v/>
      </c>
      <c r="J223" s="188" t="str">
        <f t="shared" si="76"/>
        <v/>
      </c>
      <c r="K223" s="189" t="str">
        <f t="shared" si="77"/>
        <v/>
      </c>
      <c r="L223" s="189" t="str">
        <f t="shared" si="78"/>
        <v/>
      </c>
      <c r="M223" s="190"/>
      <c r="N223" s="190"/>
      <c r="O223" s="188" t="str">
        <f t="shared" si="79"/>
        <v/>
      </c>
      <c r="P223" s="191" t="str">
        <f t="shared" si="66"/>
        <v/>
      </c>
      <c r="Q223" s="192" t="str">
        <f t="shared" si="80"/>
        <v/>
      </c>
      <c r="R223" s="191" t="str">
        <f t="shared" si="67"/>
        <v/>
      </c>
      <c r="S223" s="193" t="str">
        <f t="shared" si="81"/>
        <v/>
      </c>
      <c r="T223" s="194" t="str">
        <f t="shared" si="68"/>
        <v/>
      </c>
      <c r="U223" s="192" t="str">
        <f t="shared" si="82"/>
        <v/>
      </c>
      <c r="V223" s="195" t="str">
        <f t="shared" si="69"/>
        <v/>
      </c>
      <c r="W223" s="195" t="str">
        <f t="shared" si="70"/>
        <v/>
      </c>
      <c r="X223" s="196" t="str">
        <f t="shared" si="83"/>
        <v/>
      </c>
      <c r="Y223" s="191" t="str">
        <f t="shared" si="84"/>
        <v/>
      </c>
      <c r="Z223" s="197" t="str">
        <f t="shared" si="71"/>
        <v/>
      </c>
      <c r="AA223" s="197" t="str">
        <f t="shared" si="72"/>
        <v/>
      </c>
      <c r="AB223" s="218"/>
      <c r="AC223" s="205"/>
    </row>
    <row r="224" spans="1:29">
      <c r="A224" s="219" t="str">
        <f t="shared" si="73"/>
        <v/>
      </c>
      <c r="B224" s="219"/>
      <c r="C224" s="184"/>
      <c r="D224" s="185"/>
      <c r="E224" s="185" t="str">
        <f>IF(OR(C224="",C224=Data!$B$3),"",IF(C224=Data!$B$2,"L","S"))</f>
        <v/>
      </c>
      <c r="F224" s="185" t="str">
        <f t="shared" si="74"/>
        <v/>
      </c>
      <c r="G224" s="186" t="str">
        <f t="shared" si="65"/>
        <v/>
      </c>
      <c r="H224" s="187"/>
      <c r="I224" s="188" t="str">
        <f t="shared" si="75"/>
        <v/>
      </c>
      <c r="J224" s="188" t="str">
        <f t="shared" si="76"/>
        <v/>
      </c>
      <c r="K224" s="189" t="str">
        <f t="shared" si="77"/>
        <v/>
      </c>
      <c r="L224" s="189" t="str">
        <f t="shared" si="78"/>
        <v/>
      </c>
      <c r="M224" s="190"/>
      <c r="N224" s="190"/>
      <c r="O224" s="188" t="str">
        <f t="shared" si="79"/>
        <v/>
      </c>
      <c r="P224" s="191" t="str">
        <f t="shared" si="66"/>
        <v/>
      </c>
      <c r="Q224" s="192" t="str">
        <f t="shared" si="80"/>
        <v/>
      </c>
      <c r="R224" s="191" t="str">
        <f t="shared" si="67"/>
        <v/>
      </c>
      <c r="S224" s="193" t="str">
        <f t="shared" si="81"/>
        <v/>
      </c>
      <c r="T224" s="194" t="str">
        <f t="shared" si="68"/>
        <v/>
      </c>
      <c r="U224" s="192" t="str">
        <f t="shared" si="82"/>
        <v/>
      </c>
      <c r="V224" s="195" t="str">
        <f t="shared" si="69"/>
        <v/>
      </c>
      <c r="W224" s="195" t="str">
        <f t="shared" si="70"/>
        <v/>
      </c>
      <c r="X224" s="196" t="str">
        <f t="shared" si="83"/>
        <v/>
      </c>
      <c r="Y224" s="191" t="str">
        <f t="shared" si="84"/>
        <v/>
      </c>
      <c r="Z224" s="197" t="str">
        <f t="shared" si="71"/>
        <v/>
      </c>
      <c r="AA224" s="197" t="str">
        <f t="shared" si="72"/>
        <v/>
      </c>
      <c r="AB224" s="218"/>
      <c r="AC224" s="205"/>
    </row>
    <row r="225" spans="1:29">
      <c r="A225" s="219" t="str">
        <f t="shared" si="73"/>
        <v/>
      </c>
      <c r="B225" s="219"/>
      <c r="C225" s="184"/>
      <c r="D225" s="185"/>
      <c r="E225" s="185" t="str">
        <f>IF(OR(C225="",C225=Data!$B$3),"",IF(C225=Data!$B$2,"L","S"))</f>
        <v/>
      </c>
      <c r="F225" s="185" t="str">
        <f t="shared" si="74"/>
        <v/>
      </c>
      <c r="G225" s="186" t="str">
        <f t="shared" si="65"/>
        <v/>
      </c>
      <c r="H225" s="187"/>
      <c r="I225" s="188" t="str">
        <f t="shared" si="75"/>
        <v/>
      </c>
      <c r="J225" s="188" t="str">
        <f t="shared" si="76"/>
        <v/>
      </c>
      <c r="K225" s="189" t="str">
        <f t="shared" si="77"/>
        <v/>
      </c>
      <c r="L225" s="189" t="str">
        <f t="shared" si="78"/>
        <v/>
      </c>
      <c r="M225" s="190"/>
      <c r="N225" s="190"/>
      <c r="O225" s="188" t="str">
        <f t="shared" si="79"/>
        <v/>
      </c>
      <c r="P225" s="191" t="str">
        <f t="shared" si="66"/>
        <v/>
      </c>
      <c r="Q225" s="192" t="str">
        <f t="shared" si="80"/>
        <v/>
      </c>
      <c r="R225" s="191" t="str">
        <f t="shared" si="67"/>
        <v/>
      </c>
      <c r="S225" s="193" t="str">
        <f t="shared" si="81"/>
        <v/>
      </c>
      <c r="T225" s="194" t="str">
        <f t="shared" si="68"/>
        <v/>
      </c>
      <c r="U225" s="192" t="str">
        <f t="shared" si="82"/>
        <v/>
      </c>
      <c r="V225" s="195" t="str">
        <f t="shared" si="69"/>
        <v/>
      </c>
      <c r="W225" s="195" t="str">
        <f t="shared" si="70"/>
        <v/>
      </c>
      <c r="X225" s="196" t="str">
        <f t="shared" si="83"/>
        <v/>
      </c>
      <c r="Y225" s="191" t="str">
        <f t="shared" si="84"/>
        <v/>
      </c>
      <c r="Z225" s="197" t="str">
        <f t="shared" si="71"/>
        <v/>
      </c>
      <c r="AA225" s="197" t="str">
        <f t="shared" si="72"/>
        <v/>
      </c>
      <c r="AB225" s="218"/>
      <c r="AC225" s="205"/>
    </row>
    <row r="226" spans="1:29">
      <c r="A226" s="219" t="str">
        <f t="shared" si="73"/>
        <v/>
      </c>
      <c r="B226" s="219"/>
      <c r="C226" s="184"/>
      <c r="D226" s="185"/>
      <c r="E226" s="185" t="str">
        <f>IF(OR(C226="",C226=Data!$B$3),"",IF(C226=Data!$B$2,"L","S"))</f>
        <v/>
      </c>
      <c r="F226" s="185" t="str">
        <f t="shared" si="74"/>
        <v/>
      </c>
      <c r="G226" s="186" t="str">
        <f t="shared" si="65"/>
        <v/>
      </c>
      <c r="H226" s="187"/>
      <c r="I226" s="188" t="str">
        <f t="shared" si="75"/>
        <v/>
      </c>
      <c r="J226" s="188" t="str">
        <f t="shared" si="76"/>
        <v/>
      </c>
      <c r="K226" s="189" t="str">
        <f t="shared" si="77"/>
        <v/>
      </c>
      <c r="L226" s="189" t="str">
        <f t="shared" si="78"/>
        <v/>
      </c>
      <c r="M226" s="190"/>
      <c r="N226" s="190"/>
      <c r="O226" s="188" t="str">
        <f t="shared" si="79"/>
        <v/>
      </c>
      <c r="P226" s="191" t="str">
        <f t="shared" si="66"/>
        <v/>
      </c>
      <c r="Q226" s="192" t="str">
        <f t="shared" si="80"/>
        <v/>
      </c>
      <c r="R226" s="191" t="str">
        <f t="shared" si="67"/>
        <v/>
      </c>
      <c r="S226" s="193" t="str">
        <f t="shared" si="81"/>
        <v/>
      </c>
      <c r="T226" s="194" t="str">
        <f t="shared" si="68"/>
        <v/>
      </c>
      <c r="U226" s="192" t="str">
        <f t="shared" si="82"/>
        <v/>
      </c>
      <c r="V226" s="195" t="str">
        <f t="shared" si="69"/>
        <v/>
      </c>
      <c r="W226" s="195" t="str">
        <f t="shared" si="70"/>
        <v/>
      </c>
      <c r="X226" s="196" t="str">
        <f t="shared" si="83"/>
        <v/>
      </c>
      <c r="Y226" s="191" t="str">
        <f t="shared" si="84"/>
        <v/>
      </c>
      <c r="Z226" s="197" t="str">
        <f t="shared" si="71"/>
        <v/>
      </c>
      <c r="AA226" s="197" t="str">
        <f t="shared" si="72"/>
        <v/>
      </c>
      <c r="AB226" s="218"/>
      <c r="AC226" s="205"/>
    </row>
    <row r="227" spans="1:29">
      <c r="A227" s="219" t="str">
        <f t="shared" si="73"/>
        <v/>
      </c>
      <c r="B227" s="219"/>
      <c r="C227" s="184"/>
      <c r="D227" s="185"/>
      <c r="E227" s="185" t="str">
        <f>IF(OR(C227="",C227=Data!$B$3),"",IF(C227=Data!$B$2,"L","S"))</f>
        <v/>
      </c>
      <c r="F227" s="185" t="str">
        <f t="shared" si="74"/>
        <v/>
      </c>
      <c r="G227" s="186" t="str">
        <f t="shared" si="65"/>
        <v/>
      </c>
      <c r="H227" s="187"/>
      <c r="I227" s="188" t="str">
        <f t="shared" si="75"/>
        <v/>
      </c>
      <c r="J227" s="188" t="str">
        <f t="shared" si="76"/>
        <v/>
      </c>
      <c r="K227" s="189" t="str">
        <f t="shared" si="77"/>
        <v/>
      </c>
      <c r="L227" s="189" t="str">
        <f t="shared" si="78"/>
        <v/>
      </c>
      <c r="M227" s="190"/>
      <c r="N227" s="190"/>
      <c r="O227" s="188" t="str">
        <f t="shared" si="79"/>
        <v/>
      </c>
      <c r="P227" s="191" t="str">
        <f t="shared" si="66"/>
        <v/>
      </c>
      <c r="Q227" s="192" t="str">
        <f t="shared" si="80"/>
        <v/>
      </c>
      <c r="R227" s="191" t="str">
        <f t="shared" si="67"/>
        <v/>
      </c>
      <c r="S227" s="193" t="str">
        <f t="shared" si="81"/>
        <v/>
      </c>
      <c r="T227" s="194" t="str">
        <f t="shared" si="68"/>
        <v/>
      </c>
      <c r="U227" s="192" t="str">
        <f t="shared" si="82"/>
        <v/>
      </c>
      <c r="V227" s="195" t="str">
        <f t="shared" si="69"/>
        <v/>
      </c>
      <c r="W227" s="195" t="str">
        <f t="shared" si="70"/>
        <v/>
      </c>
      <c r="X227" s="196" t="str">
        <f t="shared" si="83"/>
        <v/>
      </c>
      <c r="Y227" s="191" t="str">
        <f t="shared" si="84"/>
        <v/>
      </c>
      <c r="Z227" s="197" t="str">
        <f t="shared" si="71"/>
        <v/>
      </c>
      <c r="AA227" s="197" t="str">
        <f t="shared" si="72"/>
        <v/>
      </c>
      <c r="AB227" s="218"/>
      <c r="AC227" s="205"/>
    </row>
    <row r="228" spans="1:29">
      <c r="A228" s="219" t="str">
        <f t="shared" si="73"/>
        <v/>
      </c>
      <c r="B228" s="219"/>
      <c r="C228" s="184"/>
      <c r="D228" s="185"/>
      <c r="E228" s="185" t="str">
        <f>IF(OR(C228="",C228=Data!$B$3),"",IF(C228=Data!$B$2,"L","S"))</f>
        <v/>
      </c>
      <c r="F228" s="185" t="str">
        <f t="shared" si="74"/>
        <v/>
      </c>
      <c r="G228" s="186" t="str">
        <f t="shared" si="65"/>
        <v/>
      </c>
      <c r="H228" s="187"/>
      <c r="I228" s="188" t="str">
        <f t="shared" si="75"/>
        <v/>
      </c>
      <c r="J228" s="188" t="str">
        <f t="shared" si="76"/>
        <v/>
      </c>
      <c r="K228" s="189" t="str">
        <f t="shared" si="77"/>
        <v/>
      </c>
      <c r="L228" s="189" t="str">
        <f t="shared" si="78"/>
        <v/>
      </c>
      <c r="M228" s="190"/>
      <c r="N228" s="190"/>
      <c r="O228" s="188" t="str">
        <f t="shared" si="79"/>
        <v/>
      </c>
      <c r="P228" s="191" t="str">
        <f t="shared" si="66"/>
        <v/>
      </c>
      <c r="Q228" s="192" t="str">
        <f t="shared" si="80"/>
        <v/>
      </c>
      <c r="R228" s="191" t="str">
        <f t="shared" si="67"/>
        <v/>
      </c>
      <c r="S228" s="193" t="str">
        <f t="shared" si="81"/>
        <v/>
      </c>
      <c r="T228" s="194" t="str">
        <f t="shared" si="68"/>
        <v/>
      </c>
      <c r="U228" s="192" t="str">
        <f t="shared" si="82"/>
        <v/>
      </c>
      <c r="V228" s="195" t="str">
        <f t="shared" si="69"/>
        <v/>
      </c>
      <c r="W228" s="195" t="str">
        <f t="shared" si="70"/>
        <v/>
      </c>
      <c r="X228" s="196" t="str">
        <f t="shared" si="83"/>
        <v/>
      </c>
      <c r="Y228" s="191" t="str">
        <f t="shared" si="84"/>
        <v/>
      </c>
      <c r="Z228" s="197" t="str">
        <f t="shared" si="71"/>
        <v/>
      </c>
      <c r="AA228" s="197" t="str">
        <f t="shared" si="72"/>
        <v/>
      </c>
      <c r="AB228" s="218"/>
      <c r="AC228" s="205"/>
    </row>
    <row r="229" spans="1:29">
      <c r="A229" s="219" t="str">
        <f t="shared" si="73"/>
        <v/>
      </c>
      <c r="B229" s="219"/>
      <c r="C229" s="184"/>
      <c r="D229" s="185"/>
      <c r="E229" s="185" t="str">
        <f>IF(OR(C229="",C229=Data!$B$3),"",IF(C229=Data!$B$2,"L","S"))</f>
        <v/>
      </c>
      <c r="F229" s="185" t="str">
        <f t="shared" si="74"/>
        <v/>
      </c>
      <c r="G229" s="186" t="str">
        <f t="shared" si="65"/>
        <v/>
      </c>
      <c r="H229" s="187"/>
      <c r="I229" s="188" t="str">
        <f t="shared" si="75"/>
        <v/>
      </c>
      <c r="J229" s="188" t="str">
        <f t="shared" si="76"/>
        <v/>
      </c>
      <c r="K229" s="189" t="str">
        <f t="shared" si="77"/>
        <v/>
      </c>
      <c r="L229" s="189" t="str">
        <f t="shared" si="78"/>
        <v/>
      </c>
      <c r="M229" s="190"/>
      <c r="N229" s="190"/>
      <c r="O229" s="188" t="str">
        <f t="shared" si="79"/>
        <v/>
      </c>
      <c r="P229" s="191" t="str">
        <f t="shared" si="66"/>
        <v/>
      </c>
      <c r="Q229" s="192" t="str">
        <f t="shared" si="80"/>
        <v/>
      </c>
      <c r="R229" s="191" t="str">
        <f t="shared" si="67"/>
        <v/>
      </c>
      <c r="S229" s="193" t="str">
        <f t="shared" si="81"/>
        <v/>
      </c>
      <c r="T229" s="194" t="str">
        <f t="shared" si="68"/>
        <v/>
      </c>
      <c r="U229" s="192" t="str">
        <f t="shared" si="82"/>
        <v/>
      </c>
      <c r="V229" s="195" t="str">
        <f t="shared" si="69"/>
        <v/>
      </c>
      <c r="W229" s="195" t="str">
        <f t="shared" si="70"/>
        <v/>
      </c>
      <c r="X229" s="196" t="str">
        <f t="shared" si="83"/>
        <v/>
      </c>
      <c r="Y229" s="191" t="str">
        <f t="shared" si="84"/>
        <v/>
      </c>
      <c r="Z229" s="197" t="str">
        <f t="shared" si="71"/>
        <v/>
      </c>
      <c r="AA229" s="197" t="str">
        <f t="shared" si="72"/>
        <v/>
      </c>
      <c r="AB229" s="218"/>
      <c r="AC229" s="205"/>
    </row>
    <row r="230" spans="1:29">
      <c r="A230" s="219" t="str">
        <f t="shared" si="73"/>
        <v/>
      </c>
      <c r="B230" s="219"/>
      <c r="C230" s="184"/>
      <c r="D230" s="185"/>
      <c r="E230" s="185" t="str">
        <f>IF(OR(C230="",C230=Data!$B$3),"",IF(C230=Data!$B$2,"L","S"))</f>
        <v/>
      </c>
      <c r="F230" s="185" t="str">
        <f t="shared" si="74"/>
        <v/>
      </c>
      <c r="G230" s="186" t="str">
        <f t="shared" si="65"/>
        <v/>
      </c>
      <c r="H230" s="187"/>
      <c r="I230" s="188" t="str">
        <f t="shared" si="75"/>
        <v/>
      </c>
      <c r="J230" s="188" t="str">
        <f t="shared" si="76"/>
        <v/>
      </c>
      <c r="K230" s="189" t="str">
        <f t="shared" si="77"/>
        <v/>
      </c>
      <c r="L230" s="189" t="str">
        <f t="shared" si="78"/>
        <v/>
      </c>
      <c r="M230" s="190"/>
      <c r="N230" s="190"/>
      <c r="O230" s="188" t="str">
        <f t="shared" si="79"/>
        <v/>
      </c>
      <c r="P230" s="191" t="str">
        <f t="shared" si="66"/>
        <v/>
      </c>
      <c r="Q230" s="192" t="str">
        <f t="shared" si="80"/>
        <v/>
      </c>
      <c r="R230" s="191" t="str">
        <f t="shared" si="67"/>
        <v/>
      </c>
      <c r="S230" s="193" t="str">
        <f t="shared" si="81"/>
        <v/>
      </c>
      <c r="T230" s="194" t="str">
        <f t="shared" si="68"/>
        <v/>
      </c>
      <c r="U230" s="192" t="str">
        <f t="shared" si="82"/>
        <v/>
      </c>
      <c r="V230" s="195" t="str">
        <f t="shared" si="69"/>
        <v/>
      </c>
      <c r="W230" s="195" t="str">
        <f t="shared" si="70"/>
        <v/>
      </c>
      <c r="X230" s="196" t="str">
        <f t="shared" si="83"/>
        <v/>
      </c>
      <c r="Y230" s="191" t="str">
        <f t="shared" si="84"/>
        <v/>
      </c>
      <c r="Z230" s="197" t="str">
        <f t="shared" si="71"/>
        <v/>
      </c>
      <c r="AA230" s="197" t="str">
        <f t="shared" si="72"/>
        <v/>
      </c>
      <c r="AB230" s="218"/>
      <c r="AC230" s="205"/>
    </row>
    <row r="231" spans="1:29">
      <c r="A231" s="219" t="str">
        <f t="shared" si="73"/>
        <v/>
      </c>
      <c r="B231" s="219"/>
      <c r="C231" s="184"/>
      <c r="D231" s="185"/>
      <c r="E231" s="185" t="str">
        <f>IF(OR(C231="",C231=Data!$B$3),"",IF(C231=Data!$B$2,"L","S"))</f>
        <v/>
      </c>
      <c r="F231" s="185" t="str">
        <f t="shared" si="74"/>
        <v/>
      </c>
      <c r="G231" s="186" t="str">
        <f t="shared" si="65"/>
        <v/>
      </c>
      <c r="H231" s="187"/>
      <c r="I231" s="188" t="str">
        <f t="shared" si="75"/>
        <v/>
      </c>
      <c r="J231" s="188" t="str">
        <f t="shared" si="76"/>
        <v/>
      </c>
      <c r="K231" s="189" t="str">
        <f t="shared" si="77"/>
        <v/>
      </c>
      <c r="L231" s="189" t="str">
        <f t="shared" si="78"/>
        <v/>
      </c>
      <c r="M231" s="190"/>
      <c r="N231" s="190"/>
      <c r="O231" s="188" t="str">
        <f t="shared" si="79"/>
        <v/>
      </c>
      <c r="P231" s="191" t="str">
        <f t="shared" si="66"/>
        <v/>
      </c>
      <c r="Q231" s="192" t="str">
        <f t="shared" si="80"/>
        <v/>
      </c>
      <c r="R231" s="191" t="str">
        <f t="shared" si="67"/>
        <v/>
      </c>
      <c r="S231" s="193" t="str">
        <f t="shared" si="81"/>
        <v/>
      </c>
      <c r="T231" s="194" t="str">
        <f t="shared" si="68"/>
        <v/>
      </c>
      <c r="U231" s="192" t="str">
        <f t="shared" si="82"/>
        <v/>
      </c>
      <c r="V231" s="195" t="str">
        <f t="shared" si="69"/>
        <v/>
      </c>
      <c r="W231" s="195" t="str">
        <f t="shared" si="70"/>
        <v/>
      </c>
      <c r="X231" s="196" t="str">
        <f t="shared" si="83"/>
        <v/>
      </c>
      <c r="Y231" s="191" t="str">
        <f t="shared" si="84"/>
        <v/>
      </c>
      <c r="Z231" s="197" t="str">
        <f t="shared" si="71"/>
        <v/>
      </c>
      <c r="AA231" s="197" t="str">
        <f t="shared" si="72"/>
        <v/>
      </c>
      <c r="AB231" s="218"/>
      <c r="AC231" s="205"/>
    </row>
    <row r="232" spans="1:29">
      <c r="A232" s="219" t="str">
        <f t="shared" si="73"/>
        <v/>
      </c>
      <c r="B232" s="219"/>
      <c r="C232" s="184"/>
      <c r="D232" s="185"/>
      <c r="E232" s="185" t="str">
        <f>IF(OR(C232="",C232=Data!$B$3),"",IF(C232=Data!$B$2,"L","S"))</f>
        <v/>
      </c>
      <c r="F232" s="185" t="str">
        <f t="shared" si="74"/>
        <v/>
      </c>
      <c r="G232" s="186" t="str">
        <f t="shared" si="65"/>
        <v/>
      </c>
      <c r="H232" s="187"/>
      <c r="I232" s="188" t="str">
        <f t="shared" si="75"/>
        <v/>
      </c>
      <c r="J232" s="188" t="str">
        <f t="shared" si="76"/>
        <v/>
      </c>
      <c r="K232" s="189" t="str">
        <f t="shared" si="77"/>
        <v/>
      </c>
      <c r="L232" s="189" t="str">
        <f t="shared" si="78"/>
        <v/>
      </c>
      <c r="M232" s="190"/>
      <c r="N232" s="190"/>
      <c r="O232" s="188" t="str">
        <f t="shared" si="79"/>
        <v/>
      </c>
      <c r="P232" s="191" t="str">
        <f t="shared" si="66"/>
        <v/>
      </c>
      <c r="Q232" s="192" t="str">
        <f t="shared" si="80"/>
        <v/>
      </c>
      <c r="R232" s="191" t="str">
        <f t="shared" si="67"/>
        <v/>
      </c>
      <c r="S232" s="193" t="str">
        <f t="shared" si="81"/>
        <v/>
      </c>
      <c r="T232" s="194" t="str">
        <f t="shared" si="68"/>
        <v/>
      </c>
      <c r="U232" s="192" t="str">
        <f t="shared" si="82"/>
        <v/>
      </c>
      <c r="V232" s="195" t="str">
        <f t="shared" si="69"/>
        <v/>
      </c>
      <c r="W232" s="195" t="str">
        <f t="shared" si="70"/>
        <v/>
      </c>
      <c r="X232" s="196" t="str">
        <f t="shared" si="83"/>
        <v/>
      </c>
      <c r="Y232" s="191" t="str">
        <f t="shared" si="84"/>
        <v/>
      </c>
      <c r="Z232" s="197" t="str">
        <f t="shared" si="71"/>
        <v/>
      </c>
      <c r="AA232" s="197" t="str">
        <f t="shared" si="72"/>
        <v/>
      </c>
      <c r="AB232" s="218"/>
      <c r="AC232" s="205"/>
    </row>
    <row r="233" spans="1:29">
      <c r="A233" s="219" t="str">
        <f t="shared" si="73"/>
        <v/>
      </c>
      <c r="B233" s="219"/>
      <c r="C233" s="184"/>
      <c r="D233" s="185"/>
      <c r="E233" s="185" t="str">
        <f>IF(OR(C233="",C233=Data!$B$3),"",IF(C233=Data!$B$2,"L","S"))</f>
        <v/>
      </c>
      <c r="F233" s="185" t="str">
        <f t="shared" si="74"/>
        <v/>
      </c>
      <c r="G233" s="186" t="str">
        <f t="shared" si="65"/>
        <v/>
      </c>
      <c r="H233" s="187"/>
      <c r="I233" s="188" t="str">
        <f t="shared" si="75"/>
        <v/>
      </c>
      <c r="J233" s="188" t="str">
        <f t="shared" si="76"/>
        <v/>
      </c>
      <c r="K233" s="189" t="str">
        <f t="shared" si="77"/>
        <v/>
      </c>
      <c r="L233" s="189" t="str">
        <f t="shared" si="78"/>
        <v/>
      </c>
      <c r="M233" s="190"/>
      <c r="N233" s="190"/>
      <c r="O233" s="188" t="str">
        <f t="shared" si="79"/>
        <v/>
      </c>
      <c r="P233" s="191" t="str">
        <f t="shared" si="66"/>
        <v/>
      </c>
      <c r="Q233" s="192" t="str">
        <f t="shared" si="80"/>
        <v/>
      </c>
      <c r="R233" s="191" t="str">
        <f t="shared" si="67"/>
        <v/>
      </c>
      <c r="S233" s="193" t="str">
        <f t="shared" si="81"/>
        <v/>
      </c>
      <c r="T233" s="194" t="str">
        <f t="shared" si="68"/>
        <v/>
      </c>
      <c r="U233" s="192" t="str">
        <f t="shared" si="82"/>
        <v/>
      </c>
      <c r="V233" s="195" t="str">
        <f t="shared" si="69"/>
        <v/>
      </c>
      <c r="W233" s="195" t="str">
        <f t="shared" si="70"/>
        <v/>
      </c>
      <c r="X233" s="196" t="str">
        <f t="shared" si="83"/>
        <v/>
      </c>
      <c r="Y233" s="191" t="str">
        <f t="shared" si="84"/>
        <v/>
      </c>
      <c r="Z233" s="197" t="str">
        <f t="shared" si="71"/>
        <v/>
      </c>
      <c r="AA233" s="197" t="str">
        <f t="shared" si="72"/>
        <v/>
      </c>
      <c r="AB233" s="218"/>
      <c r="AC233" s="205"/>
    </row>
    <row r="234" spans="1:29">
      <c r="A234" s="219" t="str">
        <f t="shared" si="73"/>
        <v/>
      </c>
      <c r="B234" s="219"/>
      <c r="C234" s="184"/>
      <c r="D234" s="185"/>
      <c r="E234" s="185" t="str">
        <f>IF(OR(C234="",C234=Data!$B$3),"",IF(C234=Data!$B$2,"L","S"))</f>
        <v/>
      </c>
      <c r="F234" s="185" t="str">
        <f t="shared" si="74"/>
        <v/>
      </c>
      <c r="G234" s="186" t="str">
        <f t="shared" si="65"/>
        <v/>
      </c>
      <c r="H234" s="187"/>
      <c r="I234" s="188" t="str">
        <f t="shared" si="75"/>
        <v/>
      </c>
      <c r="J234" s="188" t="str">
        <f t="shared" si="76"/>
        <v/>
      </c>
      <c r="K234" s="189" t="str">
        <f t="shared" si="77"/>
        <v/>
      </c>
      <c r="L234" s="189" t="str">
        <f t="shared" si="78"/>
        <v/>
      </c>
      <c r="M234" s="190"/>
      <c r="N234" s="190"/>
      <c r="O234" s="188" t="str">
        <f t="shared" si="79"/>
        <v/>
      </c>
      <c r="P234" s="191" t="str">
        <f t="shared" si="66"/>
        <v/>
      </c>
      <c r="Q234" s="192" t="str">
        <f t="shared" si="80"/>
        <v/>
      </c>
      <c r="R234" s="191" t="str">
        <f t="shared" si="67"/>
        <v/>
      </c>
      <c r="S234" s="193" t="str">
        <f t="shared" si="81"/>
        <v/>
      </c>
      <c r="T234" s="194" t="str">
        <f t="shared" si="68"/>
        <v/>
      </c>
      <c r="U234" s="192" t="str">
        <f t="shared" si="82"/>
        <v/>
      </c>
      <c r="V234" s="195" t="str">
        <f t="shared" si="69"/>
        <v/>
      </c>
      <c r="W234" s="195" t="str">
        <f t="shared" si="70"/>
        <v/>
      </c>
      <c r="X234" s="196" t="str">
        <f t="shared" si="83"/>
        <v/>
      </c>
      <c r="Y234" s="191" t="str">
        <f t="shared" si="84"/>
        <v/>
      </c>
      <c r="Z234" s="197" t="str">
        <f t="shared" si="71"/>
        <v/>
      </c>
      <c r="AA234" s="197" t="str">
        <f t="shared" si="72"/>
        <v/>
      </c>
      <c r="AB234" s="218"/>
      <c r="AC234" s="205"/>
    </row>
    <row r="235" spans="1:29">
      <c r="A235" s="219" t="str">
        <f t="shared" si="73"/>
        <v/>
      </c>
      <c r="B235" s="219"/>
      <c r="C235" s="184"/>
      <c r="D235" s="185"/>
      <c r="E235" s="185" t="str">
        <f>IF(OR(C235="",C235=Data!$B$3),"",IF(C235=Data!$B$2,"L","S"))</f>
        <v/>
      </c>
      <c r="F235" s="185" t="str">
        <f t="shared" si="74"/>
        <v/>
      </c>
      <c r="G235" s="186" t="str">
        <f t="shared" si="65"/>
        <v/>
      </c>
      <c r="H235" s="187"/>
      <c r="I235" s="188" t="str">
        <f t="shared" si="75"/>
        <v/>
      </c>
      <c r="J235" s="188" t="str">
        <f t="shared" si="76"/>
        <v/>
      </c>
      <c r="K235" s="189" t="str">
        <f t="shared" si="77"/>
        <v/>
      </c>
      <c r="L235" s="189" t="str">
        <f t="shared" si="78"/>
        <v/>
      </c>
      <c r="M235" s="190"/>
      <c r="N235" s="190"/>
      <c r="O235" s="188" t="str">
        <f t="shared" si="79"/>
        <v/>
      </c>
      <c r="P235" s="191" t="str">
        <f t="shared" si="66"/>
        <v/>
      </c>
      <c r="Q235" s="192" t="str">
        <f t="shared" si="80"/>
        <v/>
      </c>
      <c r="R235" s="191" t="str">
        <f t="shared" si="67"/>
        <v/>
      </c>
      <c r="S235" s="193" t="str">
        <f t="shared" si="81"/>
        <v/>
      </c>
      <c r="T235" s="194" t="str">
        <f t="shared" si="68"/>
        <v/>
      </c>
      <c r="U235" s="192" t="str">
        <f t="shared" si="82"/>
        <v/>
      </c>
      <c r="V235" s="195" t="str">
        <f t="shared" si="69"/>
        <v/>
      </c>
      <c r="W235" s="195" t="str">
        <f t="shared" si="70"/>
        <v/>
      </c>
      <c r="X235" s="196" t="str">
        <f t="shared" si="83"/>
        <v/>
      </c>
      <c r="Y235" s="191" t="str">
        <f t="shared" si="84"/>
        <v/>
      </c>
      <c r="Z235" s="197" t="str">
        <f t="shared" si="71"/>
        <v/>
      </c>
      <c r="AA235" s="197" t="str">
        <f t="shared" si="72"/>
        <v/>
      </c>
      <c r="AB235" s="218"/>
      <c r="AC235" s="205"/>
    </row>
    <row r="236" spans="1:29">
      <c r="A236" s="219" t="str">
        <f t="shared" si="73"/>
        <v/>
      </c>
      <c r="B236" s="219"/>
      <c r="C236" s="184"/>
      <c r="D236" s="185"/>
      <c r="E236" s="185" t="str">
        <f>IF(OR(C236="",C236=Data!$B$3),"",IF(C236=Data!$B$2,"L","S"))</f>
        <v/>
      </c>
      <c r="F236" s="185" t="str">
        <f t="shared" si="74"/>
        <v/>
      </c>
      <c r="G236" s="186" t="str">
        <f t="shared" si="65"/>
        <v/>
      </c>
      <c r="H236" s="187"/>
      <c r="I236" s="188" t="str">
        <f t="shared" si="75"/>
        <v/>
      </c>
      <c r="J236" s="188" t="str">
        <f t="shared" si="76"/>
        <v/>
      </c>
      <c r="K236" s="189" t="str">
        <f t="shared" si="77"/>
        <v/>
      </c>
      <c r="L236" s="189" t="str">
        <f t="shared" si="78"/>
        <v/>
      </c>
      <c r="M236" s="190"/>
      <c r="N236" s="190"/>
      <c r="O236" s="188" t="str">
        <f t="shared" si="79"/>
        <v/>
      </c>
      <c r="P236" s="191" t="str">
        <f t="shared" si="66"/>
        <v/>
      </c>
      <c r="Q236" s="192" t="str">
        <f t="shared" si="80"/>
        <v/>
      </c>
      <c r="R236" s="191" t="str">
        <f t="shared" si="67"/>
        <v/>
      </c>
      <c r="S236" s="193" t="str">
        <f t="shared" si="81"/>
        <v/>
      </c>
      <c r="T236" s="194" t="str">
        <f t="shared" si="68"/>
        <v/>
      </c>
      <c r="U236" s="192" t="str">
        <f t="shared" si="82"/>
        <v/>
      </c>
      <c r="V236" s="195" t="str">
        <f t="shared" si="69"/>
        <v/>
      </c>
      <c r="W236" s="195" t="str">
        <f t="shared" si="70"/>
        <v/>
      </c>
      <c r="X236" s="196" t="str">
        <f t="shared" si="83"/>
        <v/>
      </c>
      <c r="Y236" s="191" t="str">
        <f t="shared" si="84"/>
        <v/>
      </c>
      <c r="Z236" s="197" t="str">
        <f t="shared" si="71"/>
        <v/>
      </c>
      <c r="AA236" s="197" t="str">
        <f t="shared" si="72"/>
        <v/>
      </c>
      <c r="AB236" s="218"/>
      <c r="AC236" s="205"/>
    </row>
    <row r="237" spans="1:29">
      <c r="A237" s="219" t="str">
        <f t="shared" si="73"/>
        <v/>
      </c>
      <c r="B237" s="219"/>
      <c r="C237" s="184"/>
      <c r="D237" s="185"/>
      <c r="E237" s="185" t="str">
        <f>IF(OR(C237="",C237=Data!$B$3),"",IF(C237=Data!$B$2,"L","S"))</f>
        <v/>
      </c>
      <c r="F237" s="185" t="str">
        <f t="shared" si="74"/>
        <v/>
      </c>
      <c r="G237" s="186" t="str">
        <f t="shared" si="65"/>
        <v/>
      </c>
      <c r="H237" s="187"/>
      <c r="I237" s="188" t="str">
        <f t="shared" si="75"/>
        <v/>
      </c>
      <c r="J237" s="188" t="str">
        <f t="shared" si="76"/>
        <v/>
      </c>
      <c r="K237" s="189" t="str">
        <f t="shared" si="77"/>
        <v/>
      </c>
      <c r="L237" s="189" t="str">
        <f t="shared" si="78"/>
        <v/>
      </c>
      <c r="M237" s="190"/>
      <c r="N237" s="190"/>
      <c r="O237" s="188" t="str">
        <f t="shared" si="79"/>
        <v/>
      </c>
      <c r="P237" s="191" t="str">
        <f t="shared" si="66"/>
        <v/>
      </c>
      <c r="Q237" s="192" t="str">
        <f t="shared" si="80"/>
        <v/>
      </c>
      <c r="R237" s="191" t="str">
        <f t="shared" si="67"/>
        <v/>
      </c>
      <c r="S237" s="193" t="str">
        <f t="shared" si="81"/>
        <v/>
      </c>
      <c r="T237" s="194" t="str">
        <f t="shared" si="68"/>
        <v/>
      </c>
      <c r="U237" s="192" t="str">
        <f t="shared" si="82"/>
        <v/>
      </c>
      <c r="V237" s="195" t="str">
        <f t="shared" si="69"/>
        <v/>
      </c>
      <c r="W237" s="195" t="str">
        <f t="shared" si="70"/>
        <v/>
      </c>
      <c r="X237" s="196" t="str">
        <f t="shared" si="83"/>
        <v/>
      </c>
      <c r="Y237" s="191" t="str">
        <f t="shared" si="84"/>
        <v/>
      </c>
      <c r="Z237" s="197" t="str">
        <f t="shared" si="71"/>
        <v/>
      </c>
      <c r="AA237" s="197" t="str">
        <f t="shared" si="72"/>
        <v/>
      </c>
      <c r="AB237" s="218"/>
      <c r="AC237" s="205"/>
    </row>
    <row r="238" spans="1:29">
      <c r="A238" s="219" t="str">
        <f t="shared" si="73"/>
        <v/>
      </c>
      <c r="B238" s="219"/>
      <c r="C238" s="184"/>
      <c r="D238" s="185"/>
      <c r="E238" s="185" t="str">
        <f>IF(OR(C238="",C238=Data!$B$3),"",IF(C238=Data!$B$2,"L","S"))</f>
        <v/>
      </c>
      <c r="F238" s="185" t="str">
        <f t="shared" si="74"/>
        <v/>
      </c>
      <c r="G238" s="186" t="str">
        <f t="shared" si="65"/>
        <v/>
      </c>
      <c r="H238" s="187"/>
      <c r="I238" s="188" t="str">
        <f t="shared" si="75"/>
        <v/>
      </c>
      <c r="J238" s="188" t="str">
        <f t="shared" si="76"/>
        <v/>
      </c>
      <c r="K238" s="189" t="str">
        <f t="shared" si="77"/>
        <v/>
      </c>
      <c r="L238" s="189" t="str">
        <f t="shared" si="78"/>
        <v/>
      </c>
      <c r="M238" s="190"/>
      <c r="N238" s="190"/>
      <c r="O238" s="188" t="str">
        <f t="shared" si="79"/>
        <v/>
      </c>
      <c r="P238" s="191" t="str">
        <f t="shared" si="66"/>
        <v/>
      </c>
      <c r="Q238" s="192" t="str">
        <f t="shared" si="80"/>
        <v/>
      </c>
      <c r="R238" s="191" t="str">
        <f t="shared" si="67"/>
        <v/>
      </c>
      <c r="S238" s="193" t="str">
        <f t="shared" si="81"/>
        <v/>
      </c>
      <c r="T238" s="194" t="str">
        <f t="shared" si="68"/>
        <v/>
      </c>
      <c r="U238" s="192" t="str">
        <f t="shared" si="82"/>
        <v/>
      </c>
      <c r="V238" s="195" t="str">
        <f t="shared" si="69"/>
        <v/>
      </c>
      <c r="W238" s="195" t="str">
        <f t="shared" si="70"/>
        <v/>
      </c>
      <c r="X238" s="196" t="str">
        <f t="shared" si="83"/>
        <v/>
      </c>
      <c r="Y238" s="191" t="str">
        <f t="shared" si="84"/>
        <v/>
      </c>
      <c r="Z238" s="197" t="str">
        <f t="shared" si="71"/>
        <v/>
      </c>
      <c r="AA238" s="197" t="str">
        <f t="shared" si="72"/>
        <v/>
      </c>
      <c r="AB238" s="218"/>
      <c r="AC238" s="205"/>
    </row>
    <row r="239" spans="1:29">
      <c r="A239" s="219" t="str">
        <f t="shared" si="73"/>
        <v/>
      </c>
      <c r="B239" s="219"/>
      <c r="C239" s="184"/>
      <c r="D239" s="185"/>
      <c r="E239" s="185" t="str">
        <f>IF(OR(C239="",C239=Data!$B$3),"",IF(C239=Data!$B$2,"L","S"))</f>
        <v/>
      </c>
      <c r="F239" s="185" t="str">
        <f t="shared" si="74"/>
        <v/>
      </c>
      <c r="G239" s="186" t="str">
        <f t="shared" si="65"/>
        <v/>
      </c>
      <c r="H239" s="187"/>
      <c r="I239" s="188" t="str">
        <f t="shared" si="75"/>
        <v/>
      </c>
      <c r="J239" s="188" t="str">
        <f t="shared" si="76"/>
        <v/>
      </c>
      <c r="K239" s="189" t="str">
        <f t="shared" si="77"/>
        <v/>
      </c>
      <c r="L239" s="189" t="str">
        <f t="shared" si="78"/>
        <v/>
      </c>
      <c r="M239" s="190"/>
      <c r="N239" s="190"/>
      <c r="O239" s="188" t="str">
        <f t="shared" si="79"/>
        <v/>
      </c>
      <c r="P239" s="191" t="str">
        <f t="shared" si="66"/>
        <v/>
      </c>
      <c r="Q239" s="192" t="str">
        <f t="shared" si="80"/>
        <v/>
      </c>
      <c r="R239" s="191" t="str">
        <f t="shared" si="67"/>
        <v/>
      </c>
      <c r="S239" s="193" t="str">
        <f t="shared" si="81"/>
        <v/>
      </c>
      <c r="T239" s="194" t="str">
        <f t="shared" si="68"/>
        <v/>
      </c>
      <c r="U239" s="192" t="str">
        <f t="shared" si="82"/>
        <v/>
      </c>
      <c r="V239" s="195" t="str">
        <f t="shared" si="69"/>
        <v/>
      </c>
      <c r="W239" s="195" t="str">
        <f t="shared" si="70"/>
        <v/>
      </c>
      <c r="X239" s="196" t="str">
        <f t="shared" si="83"/>
        <v/>
      </c>
      <c r="Y239" s="191" t="str">
        <f t="shared" si="84"/>
        <v/>
      </c>
      <c r="Z239" s="197" t="str">
        <f t="shared" si="71"/>
        <v/>
      </c>
      <c r="AA239" s="197" t="str">
        <f t="shared" si="72"/>
        <v/>
      </c>
      <c r="AB239" s="218"/>
      <c r="AC239" s="205"/>
    </row>
    <row r="240" spans="1:29">
      <c r="A240" s="219" t="str">
        <f t="shared" si="73"/>
        <v/>
      </c>
      <c r="B240" s="219"/>
      <c r="C240" s="184"/>
      <c r="D240" s="185"/>
      <c r="E240" s="185" t="str">
        <f>IF(OR(C240="",C240=Data!$B$3),"",IF(C240=Data!$B$2,"L","S"))</f>
        <v/>
      </c>
      <c r="F240" s="185" t="str">
        <f t="shared" si="74"/>
        <v/>
      </c>
      <c r="G240" s="186" t="str">
        <f t="shared" si="65"/>
        <v/>
      </c>
      <c r="H240" s="187"/>
      <c r="I240" s="188" t="str">
        <f t="shared" si="75"/>
        <v/>
      </c>
      <c r="J240" s="188" t="str">
        <f t="shared" si="76"/>
        <v/>
      </c>
      <c r="K240" s="189" t="str">
        <f t="shared" si="77"/>
        <v/>
      </c>
      <c r="L240" s="189" t="str">
        <f t="shared" si="78"/>
        <v/>
      </c>
      <c r="M240" s="190"/>
      <c r="N240" s="190"/>
      <c r="O240" s="188" t="str">
        <f t="shared" si="79"/>
        <v/>
      </c>
      <c r="P240" s="191" t="str">
        <f t="shared" si="66"/>
        <v/>
      </c>
      <c r="Q240" s="192" t="str">
        <f t="shared" si="80"/>
        <v/>
      </c>
      <c r="R240" s="191" t="str">
        <f t="shared" si="67"/>
        <v/>
      </c>
      <c r="S240" s="193" t="str">
        <f t="shared" si="81"/>
        <v/>
      </c>
      <c r="T240" s="194" t="str">
        <f t="shared" si="68"/>
        <v/>
      </c>
      <c r="U240" s="192" t="str">
        <f t="shared" si="82"/>
        <v/>
      </c>
      <c r="V240" s="195" t="str">
        <f t="shared" si="69"/>
        <v/>
      </c>
      <c r="W240" s="195" t="str">
        <f t="shared" si="70"/>
        <v/>
      </c>
      <c r="X240" s="196" t="str">
        <f t="shared" si="83"/>
        <v/>
      </c>
      <c r="Y240" s="191" t="str">
        <f t="shared" si="84"/>
        <v/>
      </c>
      <c r="Z240" s="197" t="str">
        <f t="shared" si="71"/>
        <v/>
      </c>
      <c r="AA240" s="197" t="str">
        <f t="shared" si="72"/>
        <v/>
      </c>
      <c r="AB240" s="218"/>
      <c r="AC240" s="205"/>
    </row>
    <row r="241" spans="1:29">
      <c r="A241" s="219" t="str">
        <f t="shared" si="73"/>
        <v/>
      </c>
      <c r="B241" s="219"/>
      <c r="C241" s="184"/>
      <c r="D241" s="185"/>
      <c r="E241" s="185" t="str">
        <f>IF(OR(C241="",C241=Data!$B$3),"",IF(C241=Data!$B$2,"L","S"))</f>
        <v/>
      </c>
      <c r="F241" s="185" t="str">
        <f t="shared" si="74"/>
        <v/>
      </c>
      <c r="G241" s="186" t="str">
        <f t="shared" si="65"/>
        <v/>
      </c>
      <c r="H241" s="187"/>
      <c r="I241" s="188" t="str">
        <f t="shared" si="75"/>
        <v/>
      </c>
      <c r="J241" s="188" t="str">
        <f t="shared" si="76"/>
        <v/>
      </c>
      <c r="K241" s="189" t="str">
        <f t="shared" si="77"/>
        <v/>
      </c>
      <c r="L241" s="189" t="str">
        <f t="shared" si="78"/>
        <v/>
      </c>
      <c r="M241" s="190"/>
      <c r="N241" s="190"/>
      <c r="O241" s="188" t="str">
        <f t="shared" si="79"/>
        <v/>
      </c>
      <c r="P241" s="191" t="str">
        <f t="shared" si="66"/>
        <v/>
      </c>
      <c r="Q241" s="192" t="str">
        <f t="shared" si="80"/>
        <v/>
      </c>
      <c r="R241" s="191" t="str">
        <f t="shared" si="67"/>
        <v/>
      </c>
      <c r="S241" s="193" t="str">
        <f t="shared" si="81"/>
        <v/>
      </c>
      <c r="T241" s="194" t="str">
        <f t="shared" si="68"/>
        <v/>
      </c>
      <c r="U241" s="192" t="str">
        <f t="shared" si="82"/>
        <v/>
      </c>
      <c r="V241" s="195" t="str">
        <f t="shared" si="69"/>
        <v/>
      </c>
      <c r="W241" s="195" t="str">
        <f t="shared" si="70"/>
        <v/>
      </c>
      <c r="X241" s="196" t="str">
        <f t="shared" si="83"/>
        <v/>
      </c>
      <c r="Y241" s="191" t="str">
        <f t="shared" si="84"/>
        <v/>
      </c>
      <c r="Z241" s="197" t="str">
        <f t="shared" si="71"/>
        <v/>
      </c>
      <c r="AA241" s="197" t="str">
        <f t="shared" si="72"/>
        <v/>
      </c>
      <c r="AB241" s="218"/>
      <c r="AC241" s="205"/>
    </row>
    <row r="242" spans="1:29">
      <c r="A242" s="219" t="str">
        <f t="shared" si="73"/>
        <v/>
      </c>
      <c r="B242" s="219"/>
      <c r="C242" s="184"/>
      <c r="D242" s="185"/>
      <c r="E242" s="185" t="str">
        <f>IF(OR(C242="",C242=Data!$B$3),"",IF(C242=Data!$B$2,"L","S"))</f>
        <v/>
      </c>
      <c r="F242" s="185" t="str">
        <f t="shared" si="74"/>
        <v/>
      </c>
      <c r="G242" s="186" t="str">
        <f t="shared" si="65"/>
        <v/>
      </c>
      <c r="H242" s="187"/>
      <c r="I242" s="188" t="str">
        <f t="shared" si="75"/>
        <v/>
      </c>
      <c r="J242" s="188" t="str">
        <f t="shared" si="76"/>
        <v/>
      </c>
      <c r="K242" s="189" t="str">
        <f t="shared" si="77"/>
        <v/>
      </c>
      <c r="L242" s="189" t="str">
        <f t="shared" si="78"/>
        <v/>
      </c>
      <c r="M242" s="190"/>
      <c r="N242" s="190"/>
      <c r="O242" s="188" t="str">
        <f t="shared" si="79"/>
        <v/>
      </c>
      <c r="P242" s="191" t="str">
        <f t="shared" si="66"/>
        <v/>
      </c>
      <c r="Q242" s="192" t="str">
        <f t="shared" si="80"/>
        <v/>
      </c>
      <c r="R242" s="191" t="str">
        <f t="shared" si="67"/>
        <v/>
      </c>
      <c r="S242" s="193" t="str">
        <f t="shared" si="81"/>
        <v/>
      </c>
      <c r="T242" s="194" t="str">
        <f t="shared" si="68"/>
        <v/>
      </c>
      <c r="U242" s="192" t="str">
        <f t="shared" si="82"/>
        <v/>
      </c>
      <c r="V242" s="195" t="str">
        <f t="shared" si="69"/>
        <v/>
      </c>
      <c r="W242" s="195" t="str">
        <f t="shared" si="70"/>
        <v/>
      </c>
      <c r="X242" s="196" t="str">
        <f t="shared" si="83"/>
        <v/>
      </c>
      <c r="Y242" s="191" t="str">
        <f t="shared" si="84"/>
        <v/>
      </c>
      <c r="Z242" s="197" t="str">
        <f t="shared" si="71"/>
        <v/>
      </c>
      <c r="AA242" s="197" t="str">
        <f t="shared" si="72"/>
        <v/>
      </c>
      <c r="AB242" s="218"/>
      <c r="AC242" s="205"/>
    </row>
    <row r="243" spans="1:29">
      <c r="A243" s="219" t="str">
        <f t="shared" si="73"/>
        <v/>
      </c>
      <c r="B243" s="219"/>
      <c r="C243" s="184"/>
      <c r="D243" s="185"/>
      <c r="E243" s="185" t="str">
        <f>IF(OR(C243="",C243=Data!$B$3),"",IF(C243=Data!$B$2,"L","S"))</f>
        <v/>
      </c>
      <c r="F243" s="185" t="str">
        <f t="shared" si="74"/>
        <v/>
      </c>
      <c r="G243" s="186" t="str">
        <f t="shared" si="65"/>
        <v/>
      </c>
      <c r="H243" s="187"/>
      <c r="I243" s="188" t="str">
        <f t="shared" si="75"/>
        <v/>
      </c>
      <c r="J243" s="188" t="str">
        <f t="shared" si="76"/>
        <v/>
      </c>
      <c r="K243" s="189" t="str">
        <f t="shared" si="77"/>
        <v/>
      </c>
      <c r="L243" s="189" t="str">
        <f t="shared" si="78"/>
        <v/>
      </c>
      <c r="M243" s="190"/>
      <c r="N243" s="190"/>
      <c r="O243" s="188" t="str">
        <f t="shared" si="79"/>
        <v/>
      </c>
      <c r="P243" s="191" t="str">
        <f t="shared" si="66"/>
        <v/>
      </c>
      <c r="Q243" s="192" t="str">
        <f t="shared" si="80"/>
        <v/>
      </c>
      <c r="R243" s="191" t="str">
        <f t="shared" si="67"/>
        <v/>
      </c>
      <c r="S243" s="193" t="str">
        <f t="shared" si="81"/>
        <v/>
      </c>
      <c r="T243" s="194" t="str">
        <f t="shared" si="68"/>
        <v/>
      </c>
      <c r="U243" s="192" t="str">
        <f t="shared" si="82"/>
        <v/>
      </c>
      <c r="V243" s="195" t="str">
        <f t="shared" si="69"/>
        <v/>
      </c>
      <c r="W243" s="195" t="str">
        <f t="shared" si="70"/>
        <v/>
      </c>
      <c r="X243" s="196" t="str">
        <f t="shared" si="83"/>
        <v/>
      </c>
      <c r="Y243" s="191" t="str">
        <f t="shared" si="84"/>
        <v/>
      </c>
      <c r="Z243" s="197" t="str">
        <f t="shared" si="71"/>
        <v/>
      </c>
      <c r="AA243" s="197" t="str">
        <f t="shared" si="72"/>
        <v/>
      </c>
      <c r="AB243" s="218"/>
      <c r="AC243" s="205"/>
    </row>
    <row r="244" spans="1:29">
      <c r="A244" s="219" t="str">
        <f t="shared" si="73"/>
        <v/>
      </c>
      <c r="B244" s="219"/>
      <c r="C244" s="184"/>
      <c r="D244" s="185"/>
      <c r="E244" s="185" t="str">
        <f>IF(OR(C244="",C244=Data!$B$3),"",IF(C244=Data!$B$2,"L","S"))</f>
        <v/>
      </c>
      <c r="F244" s="185" t="str">
        <f t="shared" si="74"/>
        <v/>
      </c>
      <c r="G244" s="186" t="str">
        <f t="shared" si="65"/>
        <v/>
      </c>
      <c r="H244" s="187"/>
      <c r="I244" s="188" t="str">
        <f t="shared" si="75"/>
        <v/>
      </c>
      <c r="J244" s="188" t="str">
        <f t="shared" si="76"/>
        <v/>
      </c>
      <c r="K244" s="189" t="str">
        <f t="shared" si="77"/>
        <v/>
      </c>
      <c r="L244" s="189" t="str">
        <f t="shared" si="78"/>
        <v/>
      </c>
      <c r="M244" s="190"/>
      <c r="N244" s="190"/>
      <c r="O244" s="188" t="str">
        <f t="shared" si="79"/>
        <v/>
      </c>
      <c r="P244" s="191" t="str">
        <f t="shared" si="66"/>
        <v/>
      </c>
      <c r="Q244" s="192" t="str">
        <f t="shared" si="80"/>
        <v/>
      </c>
      <c r="R244" s="191" t="str">
        <f t="shared" si="67"/>
        <v/>
      </c>
      <c r="S244" s="193" t="str">
        <f t="shared" si="81"/>
        <v/>
      </c>
      <c r="T244" s="194" t="str">
        <f t="shared" si="68"/>
        <v/>
      </c>
      <c r="U244" s="192" t="str">
        <f t="shared" si="82"/>
        <v/>
      </c>
      <c r="V244" s="195" t="str">
        <f t="shared" si="69"/>
        <v/>
      </c>
      <c r="W244" s="195" t="str">
        <f t="shared" si="70"/>
        <v/>
      </c>
      <c r="X244" s="196" t="str">
        <f t="shared" si="83"/>
        <v/>
      </c>
      <c r="Y244" s="191" t="str">
        <f t="shared" si="84"/>
        <v/>
      </c>
      <c r="Z244" s="197" t="str">
        <f t="shared" si="71"/>
        <v/>
      </c>
      <c r="AA244" s="197" t="str">
        <f t="shared" si="72"/>
        <v/>
      </c>
      <c r="AB244" s="218"/>
      <c r="AC244" s="205"/>
    </row>
    <row r="245" spans="1:29">
      <c r="A245" s="219" t="str">
        <f t="shared" si="73"/>
        <v/>
      </c>
      <c r="B245" s="219"/>
      <c r="C245" s="184"/>
      <c r="D245" s="185"/>
      <c r="E245" s="185" t="str">
        <f>IF(OR(C245="",C245=Data!$B$3),"",IF(C245=Data!$B$2,"L","S"))</f>
        <v/>
      </c>
      <c r="F245" s="185" t="str">
        <f t="shared" si="74"/>
        <v/>
      </c>
      <c r="G245" s="186" t="str">
        <f t="shared" si="65"/>
        <v/>
      </c>
      <c r="H245" s="187"/>
      <c r="I245" s="188" t="str">
        <f t="shared" si="75"/>
        <v/>
      </c>
      <c r="J245" s="188" t="str">
        <f t="shared" si="76"/>
        <v/>
      </c>
      <c r="K245" s="189" t="str">
        <f t="shared" si="77"/>
        <v/>
      </c>
      <c r="L245" s="189" t="str">
        <f t="shared" si="78"/>
        <v/>
      </c>
      <c r="M245" s="190"/>
      <c r="N245" s="190"/>
      <c r="O245" s="188" t="str">
        <f t="shared" si="79"/>
        <v/>
      </c>
      <c r="P245" s="191" t="str">
        <f t="shared" si="66"/>
        <v/>
      </c>
      <c r="Q245" s="192" t="str">
        <f t="shared" si="80"/>
        <v/>
      </c>
      <c r="R245" s="191" t="str">
        <f t="shared" si="67"/>
        <v/>
      </c>
      <c r="S245" s="193" t="str">
        <f t="shared" si="81"/>
        <v/>
      </c>
      <c r="T245" s="194" t="str">
        <f t="shared" si="68"/>
        <v/>
      </c>
      <c r="U245" s="192" t="str">
        <f t="shared" si="82"/>
        <v/>
      </c>
      <c r="V245" s="195" t="str">
        <f t="shared" si="69"/>
        <v/>
      </c>
      <c r="W245" s="195" t="str">
        <f t="shared" si="70"/>
        <v/>
      </c>
      <c r="X245" s="196" t="str">
        <f t="shared" si="83"/>
        <v/>
      </c>
      <c r="Y245" s="191" t="str">
        <f t="shared" si="84"/>
        <v/>
      </c>
      <c r="Z245" s="197" t="str">
        <f t="shared" si="71"/>
        <v/>
      </c>
      <c r="AA245" s="197" t="str">
        <f t="shared" si="72"/>
        <v/>
      </c>
      <c r="AB245" s="218"/>
      <c r="AC245" s="205"/>
    </row>
    <row r="246" spans="1:29">
      <c r="A246" s="219" t="str">
        <f t="shared" si="73"/>
        <v/>
      </c>
      <c r="B246" s="219"/>
      <c r="C246" s="184"/>
      <c r="D246" s="185"/>
      <c r="E246" s="185" t="str">
        <f>IF(OR(C246="",C246=Data!$B$3),"",IF(C246=Data!$B$2,"L","S"))</f>
        <v/>
      </c>
      <c r="F246" s="185" t="str">
        <f t="shared" si="74"/>
        <v/>
      </c>
      <c r="G246" s="186" t="str">
        <f t="shared" si="65"/>
        <v/>
      </c>
      <c r="H246" s="187"/>
      <c r="I246" s="188" t="str">
        <f t="shared" si="75"/>
        <v/>
      </c>
      <c r="J246" s="188" t="str">
        <f t="shared" si="76"/>
        <v/>
      </c>
      <c r="K246" s="189" t="str">
        <f t="shared" si="77"/>
        <v/>
      </c>
      <c r="L246" s="189" t="str">
        <f t="shared" si="78"/>
        <v/>
      </c>
      <c r="M246" s="190"/>
      <c r="N246" s="190"/>
      <c r="O246" s="188" t="str">
        <f t="shared" si="79"/>
        <v/>
      </c>
      <c r="P246" s="191" t="str">
        <f t="shared" si="66"/>
        <v/>
      </c>
      <c r="Q246" s="192" t="str">
        <f t="shared" si="80"/>
        <v/>
      </c>
      <c r="R246" s="191" t="str">
        <f t="shared" si="67"/>
        <v/>
      </c>
      <c r="S246" s="193" t="str">
        <f t="shared" si="81"/>
        <v/>
      </c>
      <c r="T246" s="194" t="str">
        <f t="shared" si="68"/>
        <v/>
      </c>
      <c r="U246" s="192" t="str">
        <f t="shared" si="82"/>
        <v/>
      </c>
      <c r="V246" s="195" t="str">
        <f t="shared" si="69"/>
        <v/>
      </c>
      <c r="W246" s="195" t="str">
        <f t="shared" si="70"/>
        <v/>
      </c>
      <c r="X246" s="196" t="str">
        <f t="shared" si="83"/>
        <v/>
      </c>
      <c r="Y246" s="191" t="str">
        <f t="shared" si="84"/>
        <v/>
      </c>
      <c r="Z246" s="197" t="str">
        <f t="shared" si="71"/>
        <v/>
      </c>
      <c r="AA246" s="197" t="str">
        <f t="shared" si="72"/>
        <v/>
      </c>
      <c r="AB246" s="218"/>
      <c r="AC246" s="205"/>
    </row>
    <row r="247" spans="1:29">
      <c r="A247" s="219" t="str">
        <f t="shared" si="73"/>
        <v/>
      </c>
      <c r="B247" s="219"/>
      <c r="C247" s="184"/>
      <c r="D247" s="185"/>
      <c r="E247" s="185" t="str">
        <f>IF(OR(C247="",C247=Data!$B$3),"",IF(C247=Data!$B$2,"L","S"))</f>
        <v/>
      </c>
      <c r="F247" s="185" t="str">
        <f t="shared" si="74"/>
        <v/>
      </c>
      <c r="G247" s="186" t="str">
        <f t="shared" si="65"/>
        <v/>
      </c>
      <c r="H247" s="187"/>
      <c r="I247" s="188" t="str">
        <f t="shared" si="75"/>
        <v/>
      </c>
      <c r="J247" s="188" t="str">
        <f t="shared" si="76"/>
        <v/>
      </c>
      <c r="K247" s="189" t="str">
        <f t="shared" si="77"/>
        <v/>
      </c>
      <c r="L247" s="189" t="str">
        <f t="shared" si="78"/>
        <v/>
      </c>
      <c r="M247" s="190"/>
      <c r="N247" s="190"/>
      <c r="O247" s="188" t="str">
        <f t="shared" si="79"/>
        <v/>
      </c>
      <c r="P247" s="191" t="str">
        <f t="shared" si="66"/>
        <v/>
      </c>
      <c r="Q247" s="192" t="str">
        <f t="shared" si="80"/>
        <v/>
      </c>
      <c r="R247" s="191" t="str">
        <f t="shared" si="67"/>
        <v/>
      </c>
      <c r="S247" s="193" t="str">
        <f t="shared" si="81"/>
        <v/>
      </c>
      <c r="T247" s="194" t="str">
        <f t="shared" si="68"/>
        <v/>
      </c>
      <c r="U247" s="192" t="str">
        <f t="shared" si="82"/>
        <v/>
      </c>
      <c r="V247" s="195" t="str">
        <f t="shared" si="69"/>
        <v/>
      </c>
      <c r="W247" s="195" t="str">
        <f t="shared" si="70"/>
        <v/>
      </c>
      <c r="X247" s="196" t="str">
        <f t="shared" si="83"/>
        <v/>
      </c>
      <c r="Y247" s="191" t="str">
        <f t="shared" si="84"/>
        <v/>
      </c>
      <c r="Z247" s="197" t="str">
        <f t="shared" si="71"/>
        <v/>
      </c>
      <c r="AA247" s="197" t="str">
        <f t="shared" si="72"/>
        <v/>
      </c>
      <c r="AB247" s="218"/>
      <c r="AC247" s="205"/>
    </row>
    <row r="248" spans="1:29">
      <c r="A248" s="219" t="str">
        <f t="shared" si="73"/>
        <v/>
      </c>
      <c r="B248" s="219"/>
      <c r="C248" s="184"/>
      <c r="D248" s="185"/>
      <c r="E248" s="185" t="str">
        <f>IF(OR(C248="",C248=Data!$B$3),"",IF(C248=Data!$B$2,"L","S"))</f>
        <v/>
      </c>
      <c r="F248" s="185" t="str">
        <f t="shared" si="74"/>
        <v/>
      </c>
      <c r="G248" s="186" t="str">
        <f t="shared" si="65"/>
        <v/>
      </c>
      <c r="H248" s="187"/>
      <c r="I248" s="188" t="str">
        <f t="shared" si="75"/>
        <v/>
      </c>
      <c r="J248" s="188" t="str">
        <f t="shared" si="76"/>
        <v/>
      </c>
      <c r="K248" s="189" t="str">
        <f t="shared" si="77"/>
        <v/>
      </c>
      <c r="L248" s="189" t="str">
        <f t="shared" si="78"/>
        <v/>
      </c>
      <c r="M248" s="190"/>
      <c r="N248" s="190"/>
      <c r="O248" s="188" t="str">
        <f t="shared" si="79"/>
        <v/>
      </c>
      <c r="P248" s="191" t="str">
        <f t="shared" si="66"/>
        <v/>
      </c>
      <c r="Q248" s="192" t="str">
        <f t="shared" si="80"/>
        <v/>
      </c>
      <c r="R248" s="191" t="str">
        <f t="shared" si="67"/>
        <v/>
      </c>
      <c r="S248" s="193" t="str">
        <f t="shared" si="81"/>
        <v/>
      </c>
      <c r="T248" s="194" t="str">
        <f t="shared" si="68"/>
        <v/>
      </c>
      <c r="U248" s="192" t="str">
        <f t="shared" si="82"/>
        <v/>
      </c>
      <c r="V248" s="195" t="str">
        <f t="shared" si="69"/>
        <v/>
      </c>
      <c r="W248" s="195" t="str">
        <f t="shared" si="70"/>
        <v/>
      </c>
      <c r="X248" s="196" t="str">
        <f t="shared" si="83"/>
        <v/>
      </c>
      <c r="Y248" s="191" t="str">
        <f t="shared" si="84"/>
        <v/>
      </c>
      <c r="Z248" s="197" t="str">
        <f t="shared" si="71"/>
        <v/>
      </c>
      <c r="AA248" s="197" t="str">
        <f t="shared" si="72"/>
        <v/>
      </c>
      <c r="AB248" s="218"/>
      <c r="AC248" s="205"/>
    </row>
    <row r="249" spans="1:29">
      <c r="A249" s="219" t="str">
        <f t="shared" si="73"/>
        <v/>
      </c>
      <c r="B249" s="219"/>
      <c r="C249" s="184"/>
      <c r="D249" s="185"/>
      <c r="E249" s="185" t="str">
        <f>IF(OR(C249="",C249=Data!$B$3),"",IF(C249=Data!$B$2,"L","S"))</f>
        <v/>
      </c>
      <c r="F249" s="185" t="str">
        <f t="shared" si="74"/>
        <v/>
      </c>
      <c r="G249" s="186" t="str">
        <f t="shared" si="65"/>
        <v/>
      </c>
      <c r="H249" s="187"/>
      <c r="I249" s="188" t="str">
        <f t="shared" si="75"/>
        <v/>
      </c>
      <c r="J249" s="188" t="str">
        <f t="shared" si="76"/>
        <v/>
      </c>
      <c r="K249" s="189" t="str">
        <f t="shared" si="77"/>
        <v/>
      </c>
      <c r="L249" s="189" t="str">
        <f t="shared" si="78"/>
        <v/>
      </c>
      <c r="M249" s="190"/>
      <c r="N249" s="190"/>
      <c r="O249" s="188" t="str">
        <f t="shared" si="79"/>
        <v/>
      </c>
      <c r="P249" s="191" t="str">
        <f t="shared" si="66"/>
        <v/>
      </c>
      <c r="Q249" s="192" t="str">
        <f t="shared" si="80"/>
        <v/>
      </c>
      <c r="R249" s="191" t="str">
        <f t="shared" si="67"/>
        <v/>
      </c>
      <c r="S249" s="193" t="str">
        <f t="shared" si="81"/>
        <v/>
      </c>
      <c r="T249" s="194" t="str">
        <f t="shared" si="68"/>
        <v/>
      </c>
      <c r="U249" s="192" t="str">
        <f t="shared" si="82"/>
        <v/>
      </c>
      <c r="V249" s="195" t="str">
        <f t="shared" si="69"/>
        <v/>
      </c>
      <c r="W249" s="195" t="str">
        <f t="shared" si="70"/>
        <v/>
      </c>
      <c r="X249" s="196" t="str">
        <f t="shared" si="83"/>
        <v/>
      </c>
      <c r="Y249" s="191" t="str">
        <f t="shared" si="84"/>
        <v/>
      </c>
      <c r="Z249" s="197" t="str">
        <f t="shared" si="71"/>
        <v/>
      </c>
      <c r="AA249" s="197" t="str">
        <f t="shared" si="72"/>
        <v/>
      </c>
      <c r="AB249" s="218"/>
      <c r="AC249" s="205"/>
    </row>
    <row r="250" spans="1:29">
      <c r="A250" s="219" t="str">
        <f t="shared" si="73"/>
        <v/>
      </c>
      <c r="B250" s="219"/>
      <c r="C250" s="184"/>
      <c r="D250" s="185"/>
      <c r="E250" s="185" t="str">
        <f>IF(OR(C250="",C250=Data!$B$3),"",IF(C250=Data!$B$2,"L","S"))</f>
        <v/>
      </c>
      <c r="F250" s="185" t="str">
        <f t="shared" si="74"/>
        <v/>
      </c>
      <c r="G250" s="186" t="str">
        <f t="shared" si="65"/>
        <v/>
      </c>
      <c r="H250" s="187"/>
      <c r="I250" s="188" t="str">
        <f t="shared" si="75"/>
        <v/>
      </c>
      <c r="J250" s="188" t="str">
        <f t="shared" si="76"/>
        <v/>
      </c>
      <c r="K250" s="189" t="str">
        <f t="shared" si="77"/>
        <v/>
      </c>
      <c r="L250" s="189" t="str">
        <f t="shared" si="78"/>
        <v/>
      </c>
      <c r="M250" s="190"/>
      <c r="N250" s="190"/>
      <c r="O250" s="188" t="str">
        <f t="shared" si="79"/>
        <v/>
      </c>
      <c r="P250" s="191" t="str">
        <f t="shared" si="66"/>
        <v/>
      </c>
      <c r="Q250" s="192" t="str">
        <f t="shared" si="80"/>
        <v/>
      </c>
      <c r="R250" s="191" t="str">
        <f t="shared" si="67"/>
        <v/>
      </c>
      <c r="S250" s="193" t="str">
        <f t="shared" si="81"/>
        <v/>
      </c>
      <c r="T250" s="194" t="str">
        <f t="shared" si="68"/>
        <v/>
      </c>
      <c r="U250" s="192" t="str">
        <f t="shared" si="82"/>
        <v/>
      </c>
      <c r="V250" s="195" t="str">
        <f t="shared" si="69"/>
        <v/>
      </c>
      <c r="W250" s="195" t="str">
        <f t="shared" si="70"/>
        <v/>
      </c>
      <c r="X250" s="196" t="str">
        <f t="shared" si="83"/>
        <v/>
      </c>
      <c r="Y250" s="191" t="str">
        <f t="shared" si="84"/>
        <v/>
      </c>
      <c r="Z250" s="197" t="str">
        <f t="shared" si="71"/>
        <v/>
      </c>
      <c r="AA250" s="197" t="str">
        <f t="shared" si="72"/>
        <v/>
      </c>
      <c r="AB250" s="218"/>
      <c r="AC250" s="205"/>
    </row>
    <row r="251" spans="1:29">
      <c r="A251" s="219" t="str">
        <f t="shared" si="73"/>
        <v/>
      </c>
      <c r="B251" s="219"/>
      <c r="C251" s="184"/>
      <c r="D251" s="185"/>
      <c r="E251" s="185" t="str">
        <f>IF(OR(C251="",C251=Data!$B$3),"",IF(C251=Data!$B$2,"L","S"))</f>
        <v/>
      </c>
      <c r="F251" s="185" t="str">
        <f t="shared" si="74"/>
        <v/>
      </c>
      <c r="G251" s="186" t="str">
        <f t="shared" si="65"/>
        <v/>
      </c>
      <c r="H251" s="187"/>
      <c r="I251" s="188" t="str">
        <f t="shared" si="75"/>
        <v/>
      </c>
      <c r="J251" s="188" t="str">
        <f t="shared" si="76"/>
        <v/>
      </c>
      <c r="K251" s="189" t="str">
        <f t="shared" si="77"/>
        <v/>
      </c>
      <c r="L251" s="189" t="str">
        <f t="shared" si="78"/>
        <v/>
      </c>
      <c r="M251" s="190"/>
      <c r="N251" s="190"/>
      <c r="O251" s="188" t="str">
        <f t="shared" si="79"/>
        <v/>
      </c>
      <c r="P251" s="191" t="str">
        <f t="shared" si="66"/>
        <v/>
      </c>
      <c r="Q251" s="192" t="str">
        <f t="shared" si="80"/>
        <v/>
      </c>
      <c r="R251" s="191" t="str">
        <f t="shared" si="67"/>
        <v/>
      </c>
      <c r="S251" s="193" t="str">
        <f t="shared" si="81"/>
        <v/>
      </c>
      <c r="T251" s="194" t="str">
        <f t="shared" si="68"/>
        <v/>
      </c>
      <c r="U251" s="192" t="str">
        <f t="shared" si="82"/>
        <v/>
      </c>
      <c r="V251" s="195" t="str">
        <f t="shared" si="69"/>
        <v/>
      </c>
      <c r="W251" s="195" t="str">
        <f t="shared" si="70"/>
        <v/>
      </c>
      <c r="X251" s="196" t="str">
        <f t="shared" si="83"/>
        <v/>
      </c>
      <c r="Y251" s="191" t="str">
        <f t="shared" si="84"/>
        <v/>
      </c>
      <c r="Z251" s="197" t="str">
        <f t="shared" si="71"/>
        <v/>
      </c>
      <c r="AA251" s="197" t="str">
        <f t="shared" si="72"/>
        <v/>
      </c>
      <c r="AB251" s="218"/>
      <c r="AC251" s="205"/>
    </row>
    <row r="252" spans="1:29">
      <c r="A252" s="219" t="str">
        <f t="shared" si="73"/>
        <v/>
      </c>
      <c r="B252" s="219"/>
      <c r="C252" s="184"/>
      <c r="D252" s="185"/>
      <c r="E252" s="185" t="str">
        <f>IF(OR(C252="",C252=Data!$B$3),"",IF(C252=Data!$B$2,"L","S"))</f>
        <v/>
      </c>
      <c r="F252" s="185" t="str">
        <f t="shared" si="74"/>
        <v/>
      </c>
      <c r="G252" s="186" t="str">
        <f t="shared" si="65"/>
        <v/>
      </c>
      <c r="H252" s="187"/>
      <c r="I252" s="188" t="str">
        <f t="shared" si="75"/>
        <v/>
      </c>
      <c r="J252" s="188" t="str">
        <f t="shared" si="76"/>
        <v/>
      </c>
      <c r="K252" s="189" t="str">
        <f t="shared" si="77"/>
        <v/>
      </c>
      <c r="L252" s="189" t="str">
        <f t="shared" si="78"/>
        <v/>
      </c>
      <c r="M252" s="190"/>
      <c r="N252" s="190"/>
      <c r="O252" s="188" t="str">
        <f t="shared" si="79"/>
        <v/>
      </c>
      <c r="P252" s="191" t="str">
        <f t="shared" si="66"/>
        <v/>
      </c>
      <c r="Q252" s="192" t="str">
        <f t="shared" si="80"/>
        <v/>
      </c>
      <c r="R252" s="191" t="str">
        <f t="shared" si="67"/>
        <v/>
      </c>
      <c r="S252" s="193" t="str">
        <f t="shared" si="81"/>
        <v/>
      </c>
      <c r="T252" s="194" t="str">
        <f t="shared" si="68"/>
        <v/>
      </c>
      <c r="U252" s="192" t="str">
        <f t="shared" si="82"/>
        <v/>
      </c>
      <c r="V252" s="195" t="str">
        <f t="shared" si="69"/>
        <v/>
      </c>
      <c r="W252" s="195" t="str">
        <f t="shared" si="70"/>
        <v/>
      </c>
      <c r="X252" s="196" t="str">
        <f t="shared" si="83"/>
        <v/>
      </c>
      <c r="Y252" s="191" t="str">
        <f t="shared" si="84"/>
        <v/>
      </c>
      <c r="Z252" s="197" t="str">
        <f t="shared" si="71"/>
        <v/>
      </c>
      <c r="AA252" s="197" t="str">
        <f t="shared" si="72"/>
        <v/>
      </c>
      <c r="AB252" s="218"/>
      <c r="AC252" s="205"/>
    </row>
    <row r="253" spans="1:29">
      <c r="A253" s="219" t="str">
        <f t="shared" si="73"/>
        <v/>
      </c>
      <c r="B253" s="219"/>
      <c r="C253" s="184"/>
      <c r="D253" s="185"/>
      <c r="E253" s="185" t="str">
        <f>IF(OR(C253="",C253=Data!$B$3),"",IF(C253=Data!$B$2,"L","S"))</f>
        <v/>
      </c>
      <c r="F253" s="185" t="str">
        <f t="shared" si="74"/>
        <v/>
      </c>
      <c r="G253" s="186" t="str">
        <f t="shared" si="65"/>
        <v/>
      </c>
      <c r="H253" s="187"/>
      <c r="I253" s="188" t="str">
        <f t="shared" si="75"/>
        <v/>
      </c>
      <c r="J253" s="188" t="str">
        <f t="shared" si="76"/>
        <v/>
      </c>
      <c r="K253" s="189" t="str">
        <f t="shared" si="77"/>
        <v/>
      </c>
      <c r="L253" s="189" t="str">
        <f t="shared" si="78"/>
        <v/>
      </c>
      <c r="M253" s="190"/>
      <c r="N253" s="190"/>
      <c r="O253" s="188" t="str">
        <f t="shared" si="79"/>
        <v/>
      </c>
      <c r="P253" s="191" t="str">
        <f t="shared" si="66"/>
        <v/>
      </c>
      <c r="Q253" s="192" t="str">
        <f t="shared" si="80"/>
        <v/>
      </c>
      <c r="R253" s="191" t="str">
        <f t="shared" si="67"/>
        <v/>
      </c>
      <c r="S253" s="193" t="str">
        <f t="shared" si="81"/>
        <v/>
      </c>
      <c r="T253" s="194" t="str">
        <f t="shared" si="68"/>
        <v/>
      </c>
      <c r="U253" s="192" t="str">
        <f t="shared" si="82"/>
        <v/>
      </c>
      <c r="V253" s="195" t="str">
        <f t="shared" si="69"/>
        <v/>
      </c>
      <c r="W253" s="195" t="str">
        <f t="shared" si="70"/>
        <v/>
      </c>
      <c r="X253" s="196" t="str">
        <f t="shared" si="83"/>
        <v/>
      </c>
      <c r="Y253" s="191" t="str">
        <f t="shared" si="84"/>
        <v/>
      </c>
      <c r="Z253" s="197" t="str">
        <f t="shared" si="71"/>
        <v/>
      </c>
      <c r="AA253" s="197" t="str">
        <f t="shared" si="72"/>
        <v/>
      </c>
      <c r="AB253" s="218"/>
      <c r="AC253" s="205"/>
    </row>
    <row r="254" spans="1:29">
      <c r="A254" s="219" t="str">
        <f t="shared" si="73"/>
        <v/>
      </c>
      <c r="B254" s="219"/>
      <c r="C254" s="184"/>
      <c r="D254" s="185"/>
      <c r="E254" s="185" t="str">
        <f>IF(OR(C254="",C254=Data!$B$3),"",IF(C254=Data!$B$2,"L","S"))</f>
        <v/>
      </c>
      <c r="F254" s="185" t="str">
        <f t="shared" si="74"/>
        <v/>
      </c>
      <c r="G254" s="186" t="str">
        <f t="shared" si="65"/>
        <v/>
      </c>
      <c r="H254" s="187"/>
      <c r="I254" s="188" t="str">
        <f t="shared" si="75"/>
        <v/>
      </c>
      <c r="J254" s="188" t="str">
        <f t="shared" si="76"/>
        <v/>
      </c>
      <c r="K254" s="189" t="str">
        <f t="shared" si="77"/>
        <v/>
      </c>
      <c r="L254" s="189" t="str">
        <f t="shared" si="78"/>
        <v/>
      </c>
      <c r="M254" s="190"/>
      <c r="N254" s="190"/>
      <c r="O254" s="188" t="str">
        <f t="shared" si="79"/>
        <v/>
      </c>
      <c r="P254" s="191" t="str">
        <f t="shared" si="66"/>
        <v/>
      </c>
      <c r="Q254" s="192" t="str">
        <f t="shared" si="80"/>
        <v/>
      </c>
      <c r="R254" s="191" t="str">
        <f t="shared" si="67"/>
        <v/>
      </c>
      <c r="S254" s="193" t="str">
        <f t="shared" si="81"/>
        <v/>
      </c>
      <c r="T254" s="194" t="str">
        <f t="shared" si="68"/>
        <v/>
      </c>
      <c r="U254" s="192" t="str">
        <f t="shared" si="82"/>
        <v/>
      </c>
      <c r="V254" s="195" t="str">
        <f t="shared" si="69"/>
        <v/>
      </c>
      <c r="W254" s="195" t="str">
        <f t="shared" si="70"/>
        <v/>
      </c>
      <c r="X254" s="196" t="str">
        <f t="shared" si="83"/>
        <v/>
      </c>
      <c r="Y254" s="191" t="str">
        <f t="shared" si="84"/>
        <v/>
      </c>
      <c r="Z254" s="197" t="str">
        <f t="shared" si="71"/>
        <v/>
      </c>
      <c r="AA254" s="197" t="str">
        <f t="shared" si="72"/>
        <v/>
      </c>
      <c r="AB254" s="218"/>
      <c r="AC254" s="205"/>
    </row>
    <row r="255" spans="1:29">
      <c r="A255" s="219" t="str">
        <f t="shared" si="73"/>
        <v/>
      </c>
      <c r="B255" s="219"/>
      <c r="C255" s="184"/>
      <c r="D255" s="185"/>
      <c r="E255" s="185" t="str">
        <f>IF(OR(C255="",C255=Data!$B$3),"",IF(C255=Data!$B$2,"L","S"))</f>
        <v/>
      </c>
      <c r="F255" s="185" t="str">
        <f t="shared" si="74"/>
        <v/>
      </c>
      <c r="G255" s="186" t="str">
        <f t="shared" si="65"/>
        <v/>
      </c>
      <c r="H255" s="187"/>
      <c r="I255" s="188" t="str">
        <f t="shared" si="75"/>
        <v/>
      </c>
      <c r="J255" s="188" t="str">
        <f t="shared" si="76"/>
        <v/>
      </c>
      <c r="K255" s="189" t="str">
        <f t="shared" si="77"/>
        <v/>
      </c>
      <c r="L255" s="189" t="str">
        <f t="shared" si="78"/>
        <v/>
      </c>
      <c r="M255" s="190"/>
      <c r="N255" s="190"/>
      <c r="O255" s="188" t="str">
        <f t="shared" si="79"/>
        <v/>
      </c>
      <c r="P255" s="191" t="str">
        <f t="shared" si="66"/>
        <v/>
      </c>
      <c r="Q255" s="192" t="str">
        <f t="shared" si="80"/>
        <v/>
      </c>
      <c r="R255" s="191" t="str">
        <f t="shared" si="67"/>
        <v/>
      </c>
      <c r="S255" s="193" t="str">
        <f t="shared" si="81"/>
        <v/>
      </c>
      <c r="T255" s="194" t="str">
        <f t="shared" si="68"/>
        <v/>
      </c>
      <c r="U255" s="192" t="str">
        <f t="shared" si="82"/>
        <v/>
      </c>
      <c r="V255" s="195" t="str">
        <f t="shared" si="69"/>
        <v/>
      </c>
      <c r="W255" s="195" t="str">
        <f t="shared" si="70"/>
        <v/>
      </c>
      <c r="X255" s="196" t="str">
        <f t="shared" si="83"/>
        <v/>
      </c>
      <c r="Y255" s="191" t="str">
        <f t="shared" si="84"/>
        <v/>
      </c>
      <c r="Z255" s="197" t="str">
        <f t="shared" si="71"/>
        <v/>
      </c>
      <c r="AA255" s="197" t="str">
        <f t="shared" si="72"/>
        <v/>
      </c>
      <c r="AB255" s="218"/>
      <c r="AC255" s="205"/>
    </row>
    <row r="256" spans="1:29">
      <c r="A256" s="219" t="str">
        <f t="shared" si="73"/>
        <v/>
      </c>
      <c r="B256" s="219"/>
      <c r="C256" s="184"/>
      <c r="D256" s="185"/>
      <c r="E256" s="185" t="str">
        <f>IF(OR(C256="",C256=Data!$B$3),"",IF(C256=Data!$B$2,"L","S"))</f>
        <v/>
      </c>
      <c r="F256" s="185" t="str">
        <f t="shared" si="74"/>
        <v/>
      </c>
      <c r="G256" s="186" t="str">
        <f t="shared" si="65"/>
        <v/>
      </c>
      <c r="H256" s="187"/>
      <c r="I256" s="188" t="str">
        <f t="shared" si="75"/>
        <v/>
      </c>
      <c r="J256" s="188" t="str">
        <f t="shared" si="76"/>
        <v/>
      </c>
      <c r="K256" s="189" t="str">
        <f t="shared" si="77"/>
        <v/>
      </c>
      <c r="L256" s="189" t="str">
        <f t="shared" si="78"/>
        <v/>
      </c>
      <c r="M256" s="190"/>
      <c r="N256" s="190"/>
      <c r="O256" s="188" t="str">
        <f t="shared" si="79"/>
        <v/>
      </c>
      <c r="P256" s="191" t="str">
        <f t="shared" si="66"/>
        <v/>
      </c>
      <c r="Q256" s="192" t="str">
        <f t="shared" si="80"/>
        <v/>
      </c>
      <c r="R256" s="191" t="str">
        <f t="shared" si="67"/>
        <v/>
      </c>
      <c r="S256" s="193" t="str">
        <f t="shared" si="81"/>
        <v/>
      </c>
      <c r="T256" s="194" t="str">
        <f t="shared" si="68"/>
        <v/>
      </c>
      <c r="U256" s="192" t="str">
        <f t="shared" si="82"/>
        <v/>
      </c>
      <c r="V256" s="195" t="str">
        <f t="shared" si="69"/>
        <v/>
      </c>
      <c r="W256" s="195" t="str">
        <f t="shared" si="70"/>
        <v/>
      </c>
      <c r="X256" s="196" t="str">
        <f t="shared" si="83"/>
        <v/>
      </c>
      <c r="Y256" s="191" t="str">
        <f t="shared" si="84"/>
        <v/>
      </c>
      <c r="Z256" s="197" t="str">
        <f t="shared" si="71"/>
        <v/>
      </c>
      <c r="AA256" s="197" t="str">
        <f t="shared" si="72"/>
        <v/>
      </c>
      <c r="AB256" s="218"/>
      <c r="AC256" s="205"/>
    </row>
    <row r="257" spans="1:29">
      <c r="A257" s="219" t="str">
        <f t="shared" si="73"/>
        <v/>
      </c>
      <c r="B257" s="219"/>
      <c r="C257" s="184"/>
      <c r="D257" s="185"/>
      <c r="E257" s="185" t="str">
        <f>IF(OR(C257="",C257=Data!$B$3),"",IF(C257=Data!$B$2,"L","S"))</f>
        <v/>
      </c>
      <c r="F257" s="185" t="str">
        <f t="shared" si="74"/>
        <v/>
      </c>
      <c r="G257" s="186" t="str">
        <f t="shared" si="65"/>
        <v/>
      </c>
      <c r="H257" s="187"/>
      <c r="I257" s="188" t="str">
        <f t="shared" si="75"/>
        <v/>
      </c>
      <c r="J257" s="188" t="str">
        <f t="shared" si="76"/>
        <v/>
      </c>
      <c r="K257" s="189" t="str">
        <f t="shared" si="77"/>
        <v/>
      </c>
      <c r="L257" s="189" t="str">
        <f t="shared" si="78"/>
        <v/>
      </c>
      <c r="M257" s="190"/>
      <c r="N257" s="190"/>
      <c r="O257" s="188" t="str">
        <f t="shared" si="79"/>
        <v/>
      </c>
      <c r="P257" s="191" t="str">
        <f t="shared" si="66"/>
        <v/>
      </c>
      <c r="Q257" s="192" t="str">
        <f t="shared" si="80"/>
        <v/>
      </c>
      <c r="R257" s="191" t="str">
        <f t="shared" si="67"/>
        <v/>
      </c>
      <c r="S257" s="193" t="str">
        <f t="shared" si="81"/>
        <v/>
      </c>
      <c r="T257" s="194" t="str">
        <f t="shared" si="68"/>
        <v/>
      </c>
      <c r="U257" s="192" t="str">
        <f t="shared" si="82"/>
        <v/>
      </c>
      <c r="V257" s="195" t="str">
        <f t="shared" si="69"/>
        <v/>
      </c>
      <c r="W257" s="195" t="str">
        <f t="shared" si="70"/>
        <v/>
      </c>
      <c r="X257" s="196" t="str">
        <f t="shared" si="83"/>
        <v/>
      </c>
      <c r="Y257" s="191" t="str">
        <f t="shared" si="84"/>
        <v/>
      </c>
      <c r="Z257" s="197" t="str">
        <f t="shared" si="71"/>
        <v/>
      </c>
      <c r="AA257" s="197" t="str">
        <f t="shared" si="72"/>
        <v/>
      </c>
      <c r="AB257" s="218"/>
      <c r="AC257" s="205"/>
    </row>
    <row r="258" spans="1:29">
      <c r="A258" s="219" t="str">
        <f t="shared" si="73"/>
        <v/>
      </c>
      <c r="B258" s="219"/>
      <c r="C258" s="184"/>
      <c r="D258" s="185"/>
      <c r="E258" s="185" t="str">
        <f>IF(OR(C258="",C258=Data!$B$3),"",IF(C258=Data!$B$2,"L","S"))</f>
        <v/>
      </c>
      <c r="F258" s="185" t="str">
        <f t="shared" si="74"/>
        <v/>
      </c>
      <c r="G258" s="186" t="str">
        <f t="shared" si="65"/>
        <v/>
      </c>
      <c r="H258" s="187"/>
      <c r="I258" s="188" t="str">
        <f t="shared" si="75"/>
        <v/>
      </c>
      <c r="J258" s="188" t="str">
        <f t="shared" si="76"/>
        <v/>
      </c>
      <c r="K258" s="189" t="str">
        <f t="shared" si="77"/>
        <v/>
      </c>
      <c r="L258" s="189" t="str">
        <f t="shared" si="78"/>
        <v/>
      </c>
      <c r="M258" s="190"/>
      <c r="N258" s="190"/>
      <c r="O258" s="188" t="str">
        <f t="shared" si="79"/>
        <v/>
      </c>
      <c r="P258" s="191" t="str">
        <f t="shared" si="66"/>
        <v/>
      </c>
      <c r="Q258" s="192" t="str">
        <f t="shared" si="80"/>
        <v/>
      </c>
      <c r="R258" s="191" t="str">
        <f t="shared" si="67"/>
        <v/>
      </c>
      <c r="S258" s="193" t="str">
        <f t="shared" si="81"/>
        <v/>
      </c>
      <c r="T258" s="194" t="str">
        <f t="shared" si="68"/>
        <v/>
      </c>
      <c r="U258" s="192" t="str">
        <f t="shared" si="82"/>
        <v/>
      </c>
      <c r="V258" s="195" t="str">
        <f t="shared" si="69"/>
        <v/>
      </c>
      <c r="W258" s="195" t="str">
        <f t="shared" si="70"/>
        <v/>
      </c>
      <c r="X258" s="196" t="str">
        <f t="shared" si="83"/>
        <v/>
      </c>
      <c r="Y258" s="191" t="str">
        <f t="shared" si="84"/>
        <v/>
      </c>
      <c r="Z258" s="197" t="str">
        <f t="shared" si="71"/>
        <v/>
      </c>
      <c r="AA258" s="197" t="str">
        <f t="shared" si="72"/>
        <v/>
      </c>
      <c r="AB258" s="218"/>
      <c r="AC258" s="205"/>
    </row>
    <row r="259" spans="1:29">
      <c r="A259" s="219" t="str">
        <f t="shared" si="73"/>
        <v/>
      </c>
      <c r="B259" s="219"/>
      <c r="C259" s="184"/>
      <c r="D259" s="185"/>
      <c r="E259" s="185" t="str">
        <f>IF(OR(C259="",C259=Data!$B$3),"",IF(C259=Data!$B$2,"L","S"))</f>
        <v/>
      </c>
      <c r="F259" s="185" t="str">
        <f t="shared" si="74"/>
        <v/>
      </c>
      <c r="G259" s="186" t="str">
        <f t="shared" si="65"/>
        <v/>
      </c>
      <c r="H259" s="187"/>
      <c r="I259" s="188" t="str">
        <f t="shared" si="75"/>
        <v/>
      </c>
      <c r="J259" s="188" t="str">
        <f t="shared" si="76"/>
        <v/>
      </c>
      <c r="K259" s="189" t="str">
        <f t="shared" si="77"/>
        <v/>
      </c>
      <c r="L259" s="189" t="str">
        <f t="shared" si="78"/>
        <v/>
      </c>
      <c r="M259" s="190"/>
      <c r="N259" s="190"/>
      <c r="O259" s="188" t="str">
        <f t="shared" si="79"/>
        <v/>
      </c>
      <c r="P259" s="191" t="str">
        <f t="shared" si="66"/>
        <v/>
      </c>
      <c r="Q259" s="192" t="str">
        <f t="shared" si="80"/>
        <v/>
      </c>
      <c r="R259" s="191" t="str">
        <f t="shared" si="67"/>
        <v/>
      </c>
      <c r="S259" s="193" t="str">
        <f t="shared" si="81"/>
        <v/>
      </c>
      <c r="T259" s="194" t="str">
        <f t="shared" si="68"/>
        <v/>
      </c>
      <c r="U259" s="192" t="str">
        <f t="shared" si="82"/>
        <v/>
      </c>
      <c r="V259" s="195" t="str">
        <f t="shared" si="69"/>
        <v/>
      </c>
      <c r="W259" s="195" t="str">
        <f t="shared" si="70"/>
        <v/>
      </c>
      <c r="X259" s="196" t="str">
        <f t="shared" si="83"/>
        <v/>
      </c>
      <c r="Y259" s="191" t="str">
        <f t="shared" si="84"/>
        <v/>
      </c>
      <c r="Z259" s="197" t="str">
        <f t="shared" si="71"/>
        <v/>
      </c>
      <c r="AA259" s="197" t="str">
        <f t="shared" si="72"/>
        <v/>
      </c>
      <c r="AB259" s="218"/>
      <c r="AC259" s="205"/>
    </row>
    <row r="260" spans="1:29">
      <c r="A260" s="219" t="str">
        <f t="shared" si="73"/>
        <v/>
      </c>
      <c r="B260" s="219"/>
      <c r="C260" s="184"/>
      <c r="D260" s="185"/>
      <c r="E260" s="185" t="str">
        <f>IF(OR(C260="",C260=Data!$B$3),"",IF(C260=Data!$B$2,"L","S"))</f>
        <v/>
      </c>
      <c r="F260" s="185" t="str">
        <f t="shared" si="74"/>
        <v/>
      </c>
      <c r="G260" s="186" t="str">
        <f t="shared" si="65"/>
        <v/>
      </c>
      <c r="H260" s="187"/>
      <c r="I260" s="188" t="str">
        <f t="shared" si="75"/>
        <v/>
      </c>
      <c r="J260" s="188" t="str">
        <f t="shared" si="76"/>
        <v/>
      </c>
      <c r="K260" s="189" t="str">
        <f t="shared" si="77"/>
        <v/>
      </c>
      <c r="L260" s="189" t="str">
        <f t="shared" si="78"/>
        <v/>
      </c>
      <c r="M260" s="190"/>
      <c r="N260" s="190"/>
      <c r="O260" s="188" t="str">
        <f t="shared" si="79"/>
        <v/>
      </c>
      <c r="P260" s="191" t="str">
        <f t="shared" si="66"/>
        <v/>
      </c>
      <c r="Q260" s="192" t="str">
        <f t="shared" si="80"/>
        <v/>
      </c>
      <c r="R260" s="191" t="str">
        <f t="shared" si="67"/>
        <v/>
      </c>
      <c r="S260" s="193" t="str">
        <f t="shared" si="81"/>
        <v/>
      </c>
      <c r="T260" s="194" t="str">
        <f t="shared" si="68"/>
        <v/>
      </c>
      <c r="U260" s="192" t="str">
        <f t="shared" si="82"/>
        <v/>
      </c>
      <c r="V260" s="195" t="str">
        <f t="shared" si="69"/>
        <v/>
      </c>
      <c r="W260" s="195" t="str">
        <f t="shared" si="70"/>
        <v/>
      </c>
      <c r="X260" s="196" t="str">
        <f t="shared" si="83"/>
        <v/>
      </c>
      <c r="Y260" s="191" t="str">
        <f t="shared" si="84"/>
        <v/>
      </c>
      <c r="Z260" s="197" t="str">
        <f t="shared" si="71"/>
        <v/>
      </c>
      <c r="AA260" s="197" t="str">
        <f t="shared" si="72"/>
        <v/>
      </c>
      <c r="AB260" s="218"/>
      <c r="AC260" s="205"/>
    </row>
    <row r="261" spans="1:29">
      <c r="A261" s="219" t="str">
        <f t="shared" si="73"/>
        <v/>
      </c>
      <c r="B261" s="219"/>
      <c r="C261" s="184"/>
      <c r="D261" s="185"/>
      <c r="E261" s="185" t="str">
        <f>IF(OR(C261="",C261=Data!$B$3),"",IF(C261=Data!$B$2,"L","S"))</f>
        <v/>
      </c>
      <c r="F261" s="185" t="str">
        <f t="shared" si="74"/>
        <v/>
      </c>
      <c r="G261" s="186" t="str">
        <f t="shared" si="65"/>
        <v/>
      </c>
      <c r="H261" s="187"/>
      <c r="I261" s="188" t="str">
        <f t="shared" si="75"/>
        <v/>
      </c>
      <c r="J261" s="188" t="str">
        <f t="shared" si="76"/>
        <v/>
      </c>
      <c r="K261" s="189" t="str">
        <f t="shared" si="77"/>
        <v/>
      </c>
      <c r="L261" s="189" t="str">
        <f t="shared" si="78"/>
        <v/>
      </c>
      <c r="M261" s="190"/>
      <c r="N261" s="190"/>
      <c r="O261" s="188" t="str">
        <f t="shared" si="79"/>
        <v/>
      </c>
      <c r="P261" s="191" t="str">
        <f t="shared" si="66"/>
        <v/>
      </c>
      <c r="Q261" s="192" t="str">
        <f t="shared" si="80"/>
        <v/>
      </c>
      <c r="R261" s="191" t="str">
        <f t="shared" si="67"/>
        <v/>
      </c>
      <c r="S261" s="193" t="str">
        <f t="shared" si="81"/>
        <v/>
      </c>
      <c r="T261" s="194" t="str">
        <f t="shared" si="68"/>
        <v/>
      </c>
      <c r="U261" s="192" t="str">
        <f t="shared" si="82"/>
        <v/>
      </c>
      <c r="V261" s="195" t="str">
        <f t="shared" si="69"/>
        <v/>
      </c>
      <c r="W261" s="195" t="str">
        <f t="shared" si="70"/>
        <v/>
      </c>
      <c r="X261" s="196" t="str">
        <f t="shared" si="83"/>
        <v/>
      </c>
      <c r="Y261" s="191" t="str">
        <f t="shared" si="84"/>
        <v/>
      </c>
      <c r="Z261" s="197" t="str">
        <f t="shared" si="71"/>
        <v/>
      </c>
      <c r="AA261" s="197" t="str">
        <f t="shared" si="72"/>
        <v/>
      </c>
      <c r="AB261" s="218"/>
      <c r="AC261" s="205"/>
    </row>
    <row r="262" spans="1:29">
      <c r="A262" s="219" t="str">
        <f t="shared" si="73"/>
        <v/>
      </c>
      <c r="B262" s="219"/>
      <c r="C262" s="184"/>
      <c r="D262" s="185"/>
      <c r="E262" s="185" t="str">
        <f>IF(OR(C262="",C262=Data!$B$3),"",IF(C262=Data!$B$2,"L","S"))</f>
        <v/>
      </c>
      <c r="F262" s="185" t="str">
        <f t="shared" si="74"/>
        <v/>
      </c>
      <c r="G262" s="186" t="str">
        <f t="shared" si="65"/>
        <v/>
      </c>
      <c r="H262" s="187"/>
      <c r="I262" s="188" t="str">
        <f t="shared" si="75"/>
        <v/>
      </c>
      <c r="J262" s="188" t="str">
        <f t="shared" si="76"/>
        <v/>
      </c>
      <c r="K262" s="189" t="str">
        <f t="shared" si="77"/>
        <v/>
      </c>
      <c r="L262" s="189" t="str">
        <f t="shared" si="78"/>
        <v/>
      </c>
      <c r="M262" s="190"/>
      <c r="N262" s="190"/>
      <c r="O262" s="188" t="str">
        <f t="shared" si="79"/>
        <v/>
      </c>
      <c r="P262" s="191" t="str">
        <f t="shared" si="66"/>
        <v/>
      </c>
      <c r="Q262" s="192" t="str">
        <f t="shared" si="80"/>
        <v/>
      </c>
      <c r="R262" s="191" t="str">
        <f t="shared" si="67"/>
        <v/>
      </c>
      <c r="S262" s="193" t="str">
        <f t="shared" si="81"/>
        <v/>
      </c>
      <c r="T262" s="194" t="str">
        <f t="shared" si="68"/>
        <v/>
      </c>
      <c r="U262" s="192" t="str">
        <f t="shared" si="82"/>
        <v/>
      </c>
      <c r="V262" s="195" t="str">
        <f t="shared" si="69"/>
        <v/>
      </c>
      <c r="W262" s="195" t="str">
        <f t="shared" si="70"/>
        <v/>
      </c>
      <c r="X262" s="196" t="str">
        <f t="shared" si="83"/>
        <v/>
      </c>
      <c r="Y262" s="191" t="str">
        <f t="shared" si="84"/>
        <v/>
      </c>
      <c r="Z262" s="197" t="str">
        <f t="shared" si="71"/>
        <v/>
      </c>
      <c r="AA262" s="197" t="str">
        <f t="shared" si="72"/>
        <v/>
      </c>
      <c r="AB262" s="218"/>
      <c r="AC262" s="205"/>
    </row>
    <row r="263" spans="1:29">
      <c r="A263" s="219" t="str">
        <f t="shared" si="73"/>
        <v/>
      </c>
      <c r="B263" s="219"/>
      <c r="C263" s="184"/>
      <c r="D263" s="185"/>
      <c r="E263" s="185" t="str">
        <f>IF(OR(C263="",C263=Data!$B$3),"",IF(C263=Data!$B$2,"L","S"))</f>
        <v/>
      </c>
      <c r="F263" s="185" t="str">
        <f t="shared" si="74"/>
        <v/>
      </c>
      <c r="G263" s="186" t="str">
        <f t="shared" si="65"/>
        <v/>
      </c>
      <c r="H263" s="187"/>
      <c r="I263" s="188" t="str">
        <f t="shared" si="75"/>
        <v/>
      </c>
      <c r="J263" s="188" t="str">
        <f t="shared" si="76"/>
        <v/>
      </c>
      <c r="K263" s="189" t="str">
        <f t="shared" si="77"/>
        <v/>
      </c>
      <c r="L263" s="189" t="str">
        <f t="shared" si="78"/>
        <v/>
      </c>
      <c r="M263" s="190"/>
      <c r="N263" s="190"/>
      <c r="O263" s="188" t="str">
        <f t="shared" si="79"/>
        <v/>
      </c>
      <c r="P263" s="191" t="str">
        <f t="shared" si="66"/>
        <v/>
      </c>
      <c r="Q263" s="192" t="str">
        <f t="shared" si="80"/>
        <v/>
      </c>
      <c r="R263" s="191" t="str">
        <f t="shared" si="67"/>
        <v/>
      </c>
      <c r="S263" s="193" t="str">
        <f t="shared" si="81"/>
        <v/>
      </c>
      <c r="T263" s="194" t="str">
        <f t="shared" si="68"/>
        <v/>
      </c>
      <c r="U263" s="192" t="str">
        <f t="shared" si="82"/>
        <v/>
      </c>
      <c r="V263" s="195" t="str">
        <f t="shared" si="69"/>
        <v/>
      </c>
      <c r="W263" s="195" t="str">
        <f t="shared" si="70"/>
        <v/>
      </c>
      <c r="X263" s="196" t="str">
        <f t="shared" si="83"/>
        <v/>
      </c>
      <c r="Y263" s="191" t="str">
        <f t="shared" si="84"/>
        <v/>
      </c>
      <c r="Z263" s="197" t="str">
        <f t="shared" si="71"/>
        <v/>
      </c>
      <c r="AA263" s="197" t="str">
        <f t="shared" si="72"/>
        <v/>
      </c>
      <c r="AB263" s="218"/>
      <c r="AC263" s="205"/>
    </row>
    <row r="264" spans="1:29">
      <c r="A264" s="219" t="str">
        <f t="shared" si="73"/>
        <v/>
      </c>
      <c r="B264" s="219"/>
      <c r="C264" s="184"/>
      <c r="D264" s="185"/>
      <c r="E264" s="185" t="str">
        <f>IF(OR(C264="",C264=Data!$B$3),"",IF(C264=Data!$B$2,"L","S"))</f>
        <v/>
      </c>
      <c r="F264" s="185" t="str">
        <f t="shared" si="74"/>
        <v/>
      </c>
      <c r="G264" s="186" t="str">
        <f t="shared" si="65"/>
        <v/>
      </c>
      <c r="H264" s="187"/>
      <c r="I264" s="188" t="str">
        <f t="shared" si="75"/>
        <v/>
      </c>
      <c r="J264" s="188" t="str">
        <f t="shared" si="76"/>
        <v/>
      </c>
      <c r="K264" s="189" t="str">
        <f t="shared" si="77"/>
        <v/>
      </c>
      <c r="L264" s="189" t="str">
        <f t="shared" si="78"/>
        <v/>
      </c>
      <c r="M264" s="190"/>
      <c r="N264" s="190"/>
      <c r="O264" s="188" t="str">
        <f t="shared" si="79"/>
        <v/>
      </c>
      <c r="P264" s="191" t="str">
        <f t="shared" si="66"/>
        <v/>
      </c>
      <c r="Q264" s="192" t="str">
        <f t="shared" si="80"/>
        <v/>
      </c>
      <c r="R264" s="191" t="str">
        <f t="shared" si="67"/>
        <v/>
      </c>
      <c r="S264" s="193" t="str">
        <f t="shared" si="81"/>
        <v/>
      </c>
      <c r="T264" s="194" t="str">
        <f t="shared" si="68"/>
        <v/>
      </c>
      <c r="U264" s="192" t="str">
        <f t="shared" si="82"/>
        <v/>
      </c>
      <c r="V264" s="195" t="str">
        <f t="shared" si="69"/>
        <v/>
      </c>
      <c r="W264" s="195" t="str">
        <f t="shared" si="70"/>
        <v/>
      </c>
      <c r="X264" s="196" t="str">
        <f t="shared" si="83"/>
        <v/>
      </c>
      <c r="Y264" s="191" t="str">
        <f t="shared" si="84"/>
        <v/>
      </c>
      <c r="Z264" s="197" t="str">
        <f t="shared" si="71"/>
        <v/>
      </c>
      <c r="AA264" s="197" t="str">
        <f t="shared" si="72"/>
        <v/>
      </c>
      <c r="AB264" s="218"/>
      <c r="AC264" s="205"/>
    </row>
    <row r="265" spans="1:29">
      <c r="A265" s="219" t="str">
        <f t="shared" si="73"/>
        <v/>
      </c>
      <c r="B265" s="219"/>
      <c r="C265" s="184"/>
      <c r="D265" s="185"/>
      <c r="E265" s="185" t="str">
        <f>IF(OR(C265="",C265=Data!$B$3),"",IF(C265=Data!$B$2,"L","S"))</f>
        <v/>
      </c>
      <c r="F265" s="185" t="str">
        <f t="shared" si="74"/>
        <v/>
      </c>
      <c r="G265" s="186" t="str">
        <f t="shared" si="65"/>
        <v/>
      </c>
      <c r="H265" s="187"/>
      <c r="I265" s="188" t="str">
        <f t="shared" si="75"/>
        <v/>
      </c>
      <c r="J265" s="188" t="str">
        <f t="shared" si="76"/>
        <v/>
      </c>
      <c r="K265" s="189" t="str">
        <f t="shared" si="77"/>
        <v/>
      </c>
      <c r="L265" s="189" t="str">
        <f t="shared" si="78"/>
        <v/>
      </c>
      <c r="M265" s="190"/>
      <c r="N265" s="190"/>
      <c r="O265" s="188" t="str">
        <f t="shared" si="79"/>
        <v/>
      </c>
      <c r="P265" s="191" t="str">
        <f t="shared" si="66"/>
        <v/>
      </c>
      <c r="Q265" s="192" t="str">
        <f t="shared" si="80"/>
        <v/>
      </c>
      <c r="R265" s="191" t="str">
        <f t="shared" si="67"/>
        <v/>
      </c>
      <c r="S265" s="193" t="str">
        <f t="shared" si="81"/>
        <v/>
      </c>
      <c r="T265" s="194" t="str">
        <f t="shared" si="68"/>
        <v/>
      </c>
      <c r="U265" s="192" t="str">
        <f t="shared" si="82"/>
        <v/>
      </c>
      <c r="V265" s="195" t="str">
        <f t="shared" si="69"/>
        <v/>
      </c>
      <c r="W265" s="195" t="str">
        <f t="shared" si="70"/>
        <v/>
      </c>
      <c r="X265" s="196" t="str">
        <f t="shared" si="83"/>
        <v/>
      </c>
      <c r="Y265" s="191" t="str">
        <f t="shared" si="84"/>
        <v/>
      </c>
      <c r="Z265" s="197" t="str">
        <f t="shared" si="71"/>
        <v/>
      </c>
      <c r="AA265" s="197" t="str">
        <f t="shared" si="72"/>
        <v/>
      </c>
      <c r="AB265" s="218"/>
      <c r="AC265" s="205"/>
    </row>
    <row r="266" spans="1:29">
      <c r="A266" s="219" t="str">
        <f t="shared" si="73"/>
        <v/>
      </c>
      <c r="B266" s="219"/>
      <c r="C266" s="184"/>
      <c r="D266" s="185"/>
      <c r="E266" s="185" t="str">
        <f>IF(OR(C266="",C266=Data!$B$3),"",IF(C266=Data!$B$2,"L","S"))</f>
        <v/>
      </c>
      <c r="F266" s="185" t="str">
        <f t="shared" si="74"/>
        <v/>
      </c>
      <c r="G266" s="186" t="str">
        <f t="shared" si="65"/>
        <v/>
      </c>
      <c r="H266" s="187"/>
      <c r="I266" s="188" t="str">
        <f t="shared" si="75"/>
        <v/>
      </c>
      <c r="J266" s="188" t="str">
        <f t="shared" si="76"/>
        <v/>
      </c>
      <c r="K266" s="189" t="str">
        <f t="shared" si="77"/>
        <v/>
      </c>
      <c r="L266" s="189" t="str">
        <f t="shared" si="78"/>
        <v/>
      </c>
      <c r="M266" s="190"/>
      <c r="N266" s="190"/>
      <c r="O266" s="188" t="str">
        <f t="shared" si="79"/>
        <v/>
      </c>
      <c r="P266" s="191" t="str">
        <f t="shared" si="66"/>
        <v/>
      </c>
      <c r="Q266" s="192" t="str">
        <f t="shared" si="80"/>
        <v/>
      </c>
      <c r="R266" s="191" t="str">
        <f t="shared" si="67"/>
        <v/>
      </c>
      <c r="S266" s="193" t="str">
        <f t="shared" si="81"/>
        <v/>
      </c>
      <c r="T266" s="194" t="str">
        <f t="shared" si="68"/>
        <v/>
      </c>
      <c r="U266" s="192" t="str">
        <f t="shared" si="82"/>
        <v/>
      </c>
      <c r="V266" s="195" t="str">
        <f t="shared" si="69"/>
        <v/>
      </c>
      <c r="W266" s="195" t="str">
        <f t="shared" si="70"/>
        <v/>
      </c>
      <c r="X266" s="196" t="str">
        <f t="shared" si="83"/>
        <v/>
      </c>
      <c r="Y266" s="191" t="str">
        <f t="shared" si="84"/>
        <v/>
      </c>
      <c r="Z266" s="197" t="str">
        <f t="shared" si="71"/>
        <v/>
      </c>
      <c r="AA266" s="197" t="str">
        <f t="shared" si="72"/>
        <v/>
      </c>
      <c r="AB266" s="218"/>
      <c r="AC266" s="205"/>
    </row>
    <row r="267" spans="1:29">
      <c r="A267" s="219" t="str">
        <f t="shared" si="73"/>
        <v/>
      </c>
      <c r="B267" s="219"/>
      <c r="C267" s="184"/>
      <c r="D267" s="185"/>
      <c r="E267" s="185" t="str">
        <f>IF(OR(C267="",C267=Data!$B$3),"",IF(C267=Data!$B$2,"L","S"))</f>
        <v/>
      </c>
      <c r="F267" s="185" t="str">
        <f t="shared" si="74"/>
        <v/>
      </c>
      <c r="G267" s="186" t="str">
        <f t="shared" si="65"/>
        <v/>
      </c>
      <c r="H267" s="187"/>
      <c r="I267" s="188" t="str">
        <f t="shared" si="75"/>
        <v/>
      </c>
      <c r="J267" s="188" t="str">
        <f t="shared" si="76"/>
        <v/>
      </c>
      <c r="K267" s="189" t="str">
        <f t="shared" si="77"/>
        <v/>
      </c>
      <c r="L267" s="189" t="str">
        <f t="shared" si="78"/>
        <v/>
      </c>
      <c r="M267" s="190"/>
      <c r="N267" s="190"/>
      <c r="O267" s="188" t="str">
        <f t="shared" si="79"/>
        <v/>
      </c>
      <c r="P267" s="191" t="str">
        <f t="shared" si="66"/>
        <v/>
      </c>
      <c r="Q267" s="192" t="str">
        <f t="shared" si="80"/>
        <v/>
      </c>
      <c r="R267" s="191" t="str">
        <f t="shared" si="67"/>
        <v/>
      </c>
      <c r="S267" s="193" t="str">
        <f t="shared" si="81"/>
        <v/>
      </c>
      <c r="T267" s="194" t="str">
        <f t="shared" si="68"/>
        <v/>
      </c>
      <c r="U267" s="192" t="str">
        <f t="shared" si="82"/>
        <v/>
      </c>
      <c r="V267" s="195" t="str">
        <f t="shared" si="69"/>
        <v/>
      </c>
      <c r="W267" s="195" t="str">
        <f t="shared" si="70"/>
        <v/>
      </c>
      <c r="X267" s="196" t="str">
        <f t="shared" si="83"/>
        <v/>
      </c>
      <c r="Y267" s="191" t="str">
        <f t="shared" si="84"/>
        <v/>
      </c>
      <c r="Z267" s="197" t="str">
        <f t="shared" si="71"/>
        <v/>
      </c>
      <c r="AA267" s="197" t="str">
        <f t="shared" si="72"/>
        <v/>
      </c>
      <c r="AB267" s="218"/>
      <c r="AC267" s="205"/>
    </row>
    <row r="268" spans="1:29">
      <c r="A268" s="219" t="str">
        <f t="shared" si="73"/>
        <v/>
      </c>
      <c r="B268" s="219"/>
      <c r="C268" s="184"/>
      <c r="D268" s="185"/>
      <c r="E268" s="185" t="str">
        <f>IF(OR(C268="",C268=Data!$B$3),"",IF(C268=Data!$B$2,"L","S"))</f>
        <v/>
      </c>
      <c r="F268" s="185" t="str">
        <f t="shared" si="74"/>
        <v/>
      </c>
      <c r="G268" s="186" t="str">
        <f t="shared" ref="G268:G331" si="85">IF(A268="","",$D$3)</f>
        <v/>
      </c>
      <c r="H268" s="187"/>
      <c r="I268" s="188" t="str">
        <f t="shared" si="75"/>
        <v/>
      </c>
      <c r="J268" s="188" t="str">
        <f t="shared" si="76"/>
        <v/>
      </c>
      <c r="K268" s="189" t="str">
        <f t="shared" si="77"/>
        <v/>
      </c>
      <c r="L268" s="189" t="str">
        <f t="shared" si="78"/>
        <v/>
      </c>
      <c r="M268" s="190"/>
      <c r="N268" s="190"/>
      <c r="O268" s="188" t="str">
        <f t="shared" si="79"/>
        <v/>
      </c>
      <c r="P268" s="191" t="str">
        <f t="shared" ref="P268:P331" si="86">IF(O268="","",IF(L268*F268*G268=0,0,L268*F268*G268))</f>
        <v/>
      </c>
      <c r="Q268" s="192" t="str">
        <f t="shared" si="80"/>
        <v/>
      </c>
      <c r="R268" s="191" t="str">
        <f t="shared" ref="R268:R331" si="87">IF(O268&lt;&gt;"",IF(K268*F268*G268=0,"",K268*F268*G268),"")</f>
        <v/>
      </c>
      <c r="S268" s="193" t="str">
        <f t="shared" si="81"/>
        <v/>
      </c>
      <c r="T268" s="194" t="str">
        <f t="shared" ref="T268:T331" si="88">IF(X268="","",X268*F268*G268)</f>
        <v/>
      </c>
      <c r="U268" s="192" t="str">
        <f t="shared" si="82"/>
        <v/>
      </c>
      <c r="V268" s="195" t="str">
        <f t="shared" ref="V268:V331" si="89">IF(O268="","",IF(AND(O268&gt;I268,E268="L"),1, IF(AND(I268&gt;O268,E268="S"),1,0)))</f>
        <v/>
      </c>
      <c r="W268" s="195" t="str">
        <f t="shared" ref="W268:W331" si="90">IF(O268="","",IF(AND(O268&lt;I268,E268="L"),1, IF(AND(I268&lt;O268,E268="S"),1,0)))</f>
        <v/>
      </c>
      <c r="X268" s="196" t="str">
        <f t="shared" si="83"/>
        <v/>
      </c>
      <c r="Y268" s="191" t="str">
        <f t="shared" si="84"/>
        <v/>
      </c>
      <c r="Z268" s="197" t="str">
        <f t="shared" ref="Z268:Z331" si="91">IF(M268="","",MONTH(M268))</f>
        <v/>
      </c>
      <c r="AA268" s="197" t="str">
        <f t="shared" ref="AA268:AA331" si="92">IF(M268="","",YEAR(M268))</f>
        <v/>
      </c>
      <c r="AB268" s="218"/>
      <c r="AC268" s="205"/>
    </row>
    <row r="269" spans="1:29">
      <c r="A269" s="219" t="str">
        <f t="shared" ref="A269:A332" si="93">IF(C269="","",1)</f>
        <v/>
      </c>
      <c r="B269" s="219"/>
      <c r="C269" s="184"/>
      <c r="D269" s="185"/>
      <c r="E269" s="185" t="str">
        <f>IF(OR(C269="",C269=Data!$B$3),"",IF(C269=Data!$B$2,"L","S"))</f>
        <v/>
      </c>
      <c r="F269" s="185" t="str">
        <f t="shared" ref="F269:F332" si="94">IF(A269&lt;&gt;"",$D$2,"")</f>
        <v/>
      </c>
      <c r="G269" s="186" t="str">
        <f t="shared" si="85"/>
        <v/>
      </c>
      <c r="H269" s="187"/>
      <c r="I269" s="188" t="str">
        <f t="shared" ref="I269:I332" si="95">IF(H269="","",IF(E269="L",H269+$D$4*0.0001,H269-$D$4*0.0001))</f>
        <v/>
      </c>
      <c r="J269" s="188" t="str">
        <f t="shared" ref="J269:J332" si="96">IF(AND(H269&lt;&gt;"",I269&lt;&gt;""),IF(E269="L",I269+(I269-H269)*3,I269-(H269-I269)*3),"")</f>
        <v/>
      </c>
      <c r="K269" s="189" t="str">
        <f t="shared" ref="K269:K332" si="97">IF(AND(E269&lt;&gt;"",AND(I269&lt;&gt;"",J269&lt;&gt;"")),IF(E269="L",(J269-I269)*IF(I269&gt;10,IF(SEARCH("JPY",D269),10,100),10000),(I269-J269)*IF(I269&gt;10,IF(SEARCH("JPY",D269),10,100),10000)),"")</f>
        <v/>
      </c>
      <c r="L269" s="189" t="str">
        <f t="shared" ref="L269:L332" si="98">IF(AND(E269&lt;&gt;"",AND(H269&lt;&gt;"",I269&lt;&gt;"")),IF(E269="L",(I269-H269)*IF(I269&gt;10,IF(SEARCH("JPY",D269),10,100),10000),(H269-I269)*IF(I269&gt;10,IF(SEARCH("JPY",D269),10,100),10000)),"")</f>
        <v/>
      </c>
      <c r="M269" s="190"/>
      <c r="N269" s="190"/>
      <c r="O269" s="188" t="str">
        <f t="shared" ref="O269:O332" si="99">J269</f>
        <v/>
      </c>
      <c r="P269" s="191" t="str">
        <f t="shared" si="86"/>
        <v/>
      </c>
      <c r="Q269" s="192" t="str">
        <f t="shared" ref="Q269:Q332" si="100">IF(P269="","",IF(P269=0,0,P269/$I$4))</f>
        <v/>
      </c>
      <c r="R269" s="191" t="str">
        <f t="shared" si="87"/>
        <v/>
      </c>
      <c r="S269" s="193" t="str">
        <f t="shared" ref="S269:S332" si="101">IF(P269="","",IF(P269=0,0,R269/P269))</f>
        <v/>
      </c>
      <c r="T269" s="194" t="str">
        <f t="shared" si="88"/>
        <v/>
      </c>
      <c r="U269" s="192" t="str">
        <f t="shared" ref="U269:U332" si="102">IF(T269="","",IF($I$4="","",T269/$I$4))</f>
        <v/>
      </c>
      <c r="V269" s="195" t="str">
        <f t="shared" si="89"/>
        <v/>
      </c>
      <c r="W269" s="195" t="str">
        <f t="shared" si="90"/>
        <v/>
      </c>
      <c r="X269" s="196" t="str">
        <f t="shared" ref="X269:X332" si="103">IF((O269=""),"",IF(E269="L",1,-1)*(O269-I269)*IF(O269&gt;10,IF(SEARCH("JPY",D269),10,100),10000))</f>
        <v/>
      </c>
      <c r="Y269" s="191" t="str">
        <f t="shared" si="84"/>
        <v/>
      </c>
      <c r="Z269" s="197" t="str">
        <f t="shared" si="91"/>
        <v/>
      </c>
      <c r="AA269" s="197" t="str">
        <f t="shared" si="92"/>
        <v/>
      </c>
      <c r="AB269" s="218"/>
      <c r="AC269" s="205"/>
    </row>
    <row r="270" spans="1:29">
      <c r="A270" s="219" t="str">
        <f t="shared" si="93"/>
        <v/>
      </c>
      <c r="B270" s="219"/>
      <c r="C270" s="184"/>
      <c r="D270" s="185"/>
      <c r="E270" s="185" t="str">
        <f>IF(OR(C270="",C270=Data!$B$3),"",IF(C270=Data!$B$2,"L","S"))</f>
        <v/>
      </c>
      <c r="F270" s="185" t="str">
        <f t="shared" si="94"/>
        <v/>
      </c>
      <c r="G270" s="186" t="str">
        <f t="shared" si="85"/>
        <v/>
      </c>
      <c r="H270" s="187"/>
      <c r="I270" s="188" t="str">
        <f t="shared" si="95"/>
        <v/>
      </c>
      <c r="J270" s="188" t="str">
        <f t="shared" si="96"/>
        <v/>
      </c>
      <c r="K270" s="189" t="str">
        <f t="shared" si="97"/>
        <v/>
      </c>
      <c r="L270" s="189" t="str">
        <f t="shared" si="98"/>
        <v/>
      </c>
      <c r="M270" s="190"/>
      <c r="N270" s="190"/>
      <c r="O270" s="188" t="str">
        <f t="shared" si="99"/>
        <v/>
      </c>
      <c r="P270" s="191" t="str">
        <f t="shared" si="86"/>
        <v/>
      </c>
      <c r="Q270" s="192" t="str">
        <f t="shared" si="100"/>
        <v/>
      </c>
      <c r="R270" s="191" t="str">
        <f t="shared" si="87"/>
        <v/>
      </c>
      <c r="S270" s="193" t="str">
        <f t="shared" si="101"/>
        <v/>
      </c>
      <c r="T270" s="194" t="str">
        <f t="shared" si="88"/>
        <v/>
      </c>
      <c r="U270" s="192" t="str">
        <f t="shared" si="102"/>
        <v/>
      </c>
      <c r="V270" s="195" t="str">
        <f t="shared" si="89"/>
        <v/>
      </c>
      <c r="W270" s="195" t="str">
        <f t="shared" si="90"/>
        <v/>
      </c>
      <c r="X270" s="196" t="str">
        <f t="shared" si="103"/>
        <v/>
      </c>
      <c r="Y270" s="191" t="str">
        <f t="shared" si="84"/>
        <v/>
      </c>
      <c r="Z270" s="197" t="str">
        <f t="shared" si="91"/>
        <v/>
      </c>
      <c r="AA270" s="197" t="str">
        <f t="shared" si="92"/>
        <v/>
      </c>
      <c r="AB270" s="218"/>
      <c r="AC270" s="205"/>
    </row>
    <row r="271" spans="1:29">
      <c r="A271" s="219" t="str">
        <f t="shared" si="93"/>
        <v/>
      </c>
      <c r="B271" s="219"/>
      <c r="C271" s="184"/>
      <c r="D271" s="185"/>
      <c r="E271" s="185" t="str">
        <f>IF(OR(C271="",C271=Data!$B$3),"",IF(C271=Data!$B$2,"L","S"))</f>
        <v/>
      </c>
      <c r="F271" s="185" t="str">
        <f t="shared" si="94"/>
        <v/>
      </c>
      <c r="G271" s="186" t="str">
        <f t="shared" si="85"/>
        <v/>
      </c>
      <c r="H271" s="187"/>
      <c r="I271" s="188" t="str">
        <f t="shared" si="95"/>
        <v/>
      </c>
      <c r="J271" s="188" t="str">
        <f t="shared" si="96"/>
        <v/>
      </c>
      <c r="K271" s="189" t="str">
        <f t="shared" si="97"/>
        <v/>
      </c>
      <c r="L271" s="189" t="str">
        <f t="shared" si="98"/>
        <v/>
      </c>
      <c r="M271" s="190"/>
      <c r="N271" s="190"/>
      <c r="O271" s="188" t="str">
        <f t="shared" si="99"/>
        <v/>
      </c>
      <c r="P271" s="191" t="str">
        <f t="shared" si="86"/>
        <v/>
      </c>
      <c r="Q271" s="192" t="str">
        <f t="shared" si="100"/>
        <v/>
      </c>
      <c r="R271" s="191" t="str">
        <f t="shared" si="87"/>
        <v/>
      </c>
      <c r="S271" s="193" t="str">
        <f t="shared" si="101"/>
        <v/>
      </c>
      <c r="T271" s="194" t="str">
        <f t="shared" si="88"/>
        <v/>
      </c>
      <c r="U271" s="192" t="str">
        <f t="shared" si="102"/>
        <v/>
      </c>
      <c r="V271" s="195" t="str">
        <f t="shared" si="89"/>
        <v/>
      </c>
      <c r="W271" s="195" t="str">
        <f t="shared" si="90"/>
        <v/>
      </c>
      <c r="X271" s="196" t="str">
        <f t="shared" si="103"/>
        <v/>
      </c>
      <c r="Y271" s="191" t="str">
        <f t="shared" si="84"/>
        <v/>
      </c>
      <c r="Z271" s="197" t="str">
        <f t="shared" si="91"/>
        <v/>
      </c>
      <c r="AA271" s="197" t="str">
        <f t="shared" si="92"/>
        <v/>
      </c>
      <c r="AB271" s="218"/>
      <c r="AC271" s="205"/>
    </row>
    <row r="272" spans="1:29">
      <c r="A272" s="219" t="str">
        <f t="shared" si="93"/>
        <v/>
      </c>
      <c r="B272" s="219"/>
      <c r="C272" s="184"/>
      <c r="D272" s="185"/>
      <c r="E272" s="185" t="str">
        <f>IF(OR(C272="",C272=Data!$B$3),"",IF(C272=Data!$B$2,"L","S"))</f>
        <v/>
      </c>
      <c r="F272" s="185" t="str">
        <f t="shared" si="94"/>
        <v/>
      </c>
      <c r="G272" s="186" t="str">
        <f t="shared" si="85"/>
        <v/>
      </c>
      <c r="H272" s="187"/>
      <c r="I272" s="188" t="str">
        <f t="shared" si="95"/>
        <v/>
      </c>
      <c r="J272" s="188" t="str">
        <f t="shared" si="96"/>
        <v/>
      </c>
      <c r="K272" s="189" t="str">
        <f t="shared" si="97"/>
        <v/>
      </c>
      <c r="L272" s="189" t="str">
        <f t="shared" si="98"/>
        <v/>
      </c>
      <c r="M272" s="190"/>
      <c r="N272" s="190"/>
      <c r="O272" s="188" t="str">
        <f t="shared" si="99"/>
        <v/>
      </c>
      <c r="P272" s="191" t="str">
        <f t="shared" si="86"/>
        <v/>
      </c>
      <c r="Q272" s="192" t="str">
        <f t="shared" si="100"/>
        <v/>
      </c>
      <c r="R272" s="191" t="str">
        <f t="shared" si="87"/>
        <v/>
      </c>
      <c r="S272" s="193" t="str">
        <f t="shared" si="101"/>
        <v/>
      </c>
      <c r="T272" s="194" t="str">
        <f t="shared" si="88"/>
        <v/>
      </c>
      <c r="U272" s="192" t="str">
        <f t="shared" si="102"/>
        <v/>
      </c>
      <c r="V272" s="195" t="str">
        <f t="shared" si="89"/>
        <v/>
      </c>
      <c r="W272" s="195" t="str">
        <f t="shared" si="90"/>
        <v/>
      </c>
      <c r="X272" s="196" t="str">
        <f t="shared" si="103"/>
        <v/>
      </c>
      <c r="Y272" s="191" t="str">
        <f t="shared" si="84"/>
        <v/>
      </c>
      <c r="Z272" s="197" t="str">
        <f t="shared" si="91"/>
        <v/>
      </c>
      <c r="AA272" s="197" t="str">
        <f t="shared" si="92"/>
        <v/>
      </c>
      <c r="AB272" s="218"/>
      <c r="AC272" s="205"/>
    </row>
    <row r="273" spans="1:29">
      <c r="A273" s="219" t="str">
        <f t="shared" si="93"/>
        <v/>
      </c>
      <c r="B273" s="219"/>
      <c r="C273" s="184"/>
      <c r="D273" s="185"/>
      <c r="E273" s="185" t="str">
        <f>IF(OR(C273="",C273=Data!$B$3),"",IF(C273=Data!$B$2,"L","S"))</f>
        <v/>
      </c>
      <c r="F273" s="185" t="str">
        <f t="shared" si="94"/>
        <v/>
      </c>
      <c r="G273" s="186" t="str">
        <f t="shared" si="85"/>
        <v/>
      </c>
      <c r="H273" s="187"/>
      <c r="I273" s="188" t="str">
        <f t="shared" si="95"/>
        <v/>
      </c>
      <c r="J273" s="188" t="str">
        <f t="shared" si="96"/>
        <v/>
      </c>
      <c r="K273" s="189" t="str">
        <f t="shared" si="97"/>
        <v/>
      </c>
      <c r="L273" s="189" t="str">
        <f t="shared" si="98"/>
        <v/>
      </c>
      <c r="M273" s="190"/>
      <c r="N273" s="190"/>
      <c r="O273" s="188" t="str">
        <f t="shared" si="99"/>
        <v/>
      </c>
      <c r="P273" s="191" t="str">
        <f t="shared" si="86"/>
        <v/>
      </c>
      <c r="Q273" s="192" t="str">
        <f t="shared" si="100"/>
        <v/>
      </c>
      <c r="R273" s="191" t="str">
        <f t="shared" si="87"/>
        <v/>
      </c>
      <c r="S273" s="193" t="str">
        <f t="shared" si="101"/>
        <v/>
      </c>
      <c r="T273" s="194" t="str">
        <f t="shared" si="88"/>
        <v/>
      </c>
      <c r="U273" s="192" t="str">
        <f t="shared" si="102"/>
        <v/>
      </c>
      <c r="V273" s="195" t="str">
        <f t="shared" si="89"/>
        <v/>
      </c>
      <c r="W273" s="195" t="str">
        <f t="shared" si="90"/>
        <v/>
      </c>
      <c r="X273" s="196" t="str">
        <f t="shared" si="103"/>
        <v/>
      </c>
      <c r="Y273" s="191" t="str">
        <f t="shared" si="84"/>
        <v/>
      </c>
      <c r="Z273" s="197" t="str">
        <f t="shared" si="91"/>
        <v/>
      </c>
      <c r="AA273" s="197" t="str">
        <f t="shared" si="92"/>
        <v/>
      </c>
      <c r="AB273" s="218"/>
      <c r="AC273" s="205"/>
    </row>
    <row r="274" spans="1:29">
      <c r="A274" s="219" t="str">
        <f t="shared" si="93"/>
        <v/>
      </c>
      <c r="B274" s="219"/>
      <c r="C274" s="184"/>
      <c r="D274" s="185"/>
      <c r="E274" s="185" t="str">
        <f>IF(OR(C274="",C274=Data!$B$3),"",IF(C274=Data!$B$2,"L","S"))</f>
        <v/>
      </c>
      <c r="F274" s="185" t="str">
        <f t="shared" si="94"/>
        <v/>
      </c>
      <c r="G274" s="186" t="str">
        <f t="shared" si="85"/>
        <v/>
      </c>
      <c r="H274" s="187"/>
      <c r="I274" s="188" t="str">
        <f t="shared" si="95"/>
        <v/>
      </c>
      <c r="J274" s="188" t="str">
        <f t="shared" si="96"/>
        <v/>
      </c>
      <c r="K274" s="189" t="str">
        <f t="shared" si="97"/>
        <v/>
      </c>
      <c r="L274" s="189" t="str">
        <f t="shared" si="98"/>
        <v/>
      </c>
      <c r="M274" s="190"/>
      <c r="N274" s="190"/>
      <c r="O274" s="188" t="str">
        <f t="shared" si="99"/>
        <v/>
      </c>
      <c r="P274" s="191" t="str">
        <f t="shared" si="86"/>
        <v/>
      </c>
      <c r="Q274" s="192" t="str">
        <f t="shared" si="100"/>
        <v/>
      </c>
      <c r="R274" s="191" t="str">
        <f t="shared" si="87"/>
        <v/>
      </c>
      <c r="S274" s="193" t="str">
        <f t="shared" si="101"/>
        <v/>
      </c>
      <c r="T274" s="194" t="str">
        <f t="shared" si="88"/>
        <v/>
      </c>
      <c r="U274" s="192" t="str">
        <f t="shared" si="102"/>
        <v/>
      </c>
      <c r="V274" s="195" t="str">
        <f t="shared" si="89"/>
        <v/>
      </c>
      <c r="W274" s="195" t="str">
        <f t="shared" si="90"/>
        <v/>
      </c>
      <c r="X274" s="196" t="str">
        <f t="shared" si="103"/>
        <v/>
      </c>
      <c r="Y274" s="191" t="str">
        <f t="shared" si="84"/>
        <v/>
      </c>
      <c r="Z274" s="197" t="str">
        <f t="shared" si="91"/>
        <v/>
      </c>
      <c r="AA274" s="197" t="str">
        <f t="shared" si="92"/>
        <v/>
      </c>
      <c r="AB274" s="218"/>
      <c r="AC274" s="205"/>
    </row>
    <row r="275" spans="1:29">
      <c r="A275" s="219" t="str">
        <f t="shared" si="93"/>
        <v/>
      </c>
      <c r="B275" s="219"/>
      <c r="C275" s="184"/>
      <c r="D275" s="185"/>
      <c r="E275" s="185" t="str">
        <f>IF(OR(C275="",C275=Data!$B$3),"",IF(C275=Data!$B$2,"L","S"))</f>
        <v/>
      </c>
      <c r="F275" s="185" t="str">
        <f t="shared" si="94"/>
        <v/>
      </c>
      <c r="G275" s="186" t="str">
        <f t="shared" si="85"/>
        <v/>
      </c>
      <c r="H275" s="187"/>
      <c r="I275" s="188" t="str">
        <f t="shared" si="95"/>
        <v/>
      </c>
      <c r="J275" s="188" t="str">
        <f t="shared" si="96"/>
        <v/>
      </c>
      <c r="K275" s="189" t="str">
        <f t="shared" si="97"/>
        <v/>
      </c>
      <c r="L275" s="189" t="str">
        <f t="shared" si="98"/>
        <v/>
      </c>
      <c r="M275" s="190"/>
      <c r="N275" s="190"/>
      <c r="O275" s="188" t="str">
        <f t="shared" si="99"/>
        <v/>
      </c>
      <c r="P275" s="191" t="str">
        <f t="shared" si="86"/>
        <v/>
      </c>
      <c r="Q275" s="192" t="str">
        <f t="shared" si="100"/>
        <v/>
      </c>
      <c r="R275" s="191" t="str">
        <f t="shared" si="87"/>
        <v/>
      </c>
      <c r="S275" s="193" t="str">
        <f t="shared" si="101"/>
        <v/>
      </c>
      <c r="T275" s="194" t="str">
        <f t="shared" si="88"/>
        <v/>
      </c>
      <c r="U275" s="192" t="str">
        <f t="shared" si="102"/>
        <v/>
      </c>
      <c r="V275" s="195" t="str">
        <f t="shared" si="89"/>
        <v/>
      </c>
      <c r="W275" s="195" t="str">
        <f t="shared" si="90"/>
        <v/>
      </c>
      <c r="X275" s="196" t="str">
        <f t="shared" si="103"/>
        <v/>
      </c>
      <c r="Y275" s="191" t="str">
        <f t="shared" si="84"/>
        <v/>
      </c>
      <c r="Z275" s="197" t="str">
        <f t="shared" si="91"/>
        <v/>
      </c>
      <c r="AA275" s="197" t="str">
        <f t="shared" si="92"/>
        <v/>
      </c>
      <c r="AB275" s="218"/>
      <c r="AC275" s="205"/>
    </row>
    <row r="276" spans="1:29">
      <c r="A276" s="219" t="str">
        <f t="shared" si="93"/>
        <v/>
      </c>
      <c r="B276" s="219"/>
      <c r="C276" s="184"/>
      <c r="D276" s="185"/>
      <c r="E276" s="185" t="str">
        <f>IF(OR(C276="",C276=Data!$B$3),"",IF(C276=Data!$B$2,"L","S"))</f>
        <v/>
      </c>
      <c r="F276" s="185" t="str">
        <f t="shared" si="94"/>
        <v/>
      </c>
      <c r="G276" s="186" t="str">
        <f t="shared" si="85"/>
        <v/>
      </c>
      <c r="H276" s="187"/>
      <c r="I276" s="188" t="str">
        <f t="shared" si="95"/>
        <v/>
      </c>
      <c r="J276" s="188" t="str">
        <f t="shared" si="96"/>
        <v/>
      </c>
      <c r="K276" s="189" t="str">
        <f t="shared" si="97"/>
        <v/>
      </c>
      <c r="L276" s="189" t="str">
        <f t="shared" si="98"/>
        <v/>
      </c>
      <c r="M276" s="190"/>
      <c r="N276" s="190"/>
      <c r="O276" s="188" t="str">
        <f t="shared" si="99"/>
        <v/>
      </c>
      <c r="P276" s="191" t="str">
        <f t="shared" si="86"/>
        <v/>
      </c>
      <c r="Q276" s="192" t="str">
        <f t="shared" si="100"/>
        <v/>
      </c>
      <c r="R276" s="191" t="str">
        <f t="shared" si="87"/>
        <v/>
      </c>
      <c r="S276" s="193" t="str">
        <f t="shared" si="101"/>
        <v/>
      </c>
      <c r="T276" s="194" t="str">
        <f t="shared" si="88"/>
        <v/>
      </c>
      <c r="U276" s="192" t="str">
        <f t="shared" si="102"/>
        <v/>
      </c>
      <c r="V276" s="195" t="str">
        <f t="shared" si="89"/>
        <v/>
      </c>
      <c r="W276" s="195" t="str">
        <f t="shared" si="90"/>
        <v/>
      </c>
      <c r="X276" s="196" t="str">
        <f t="shared" si="103"/>
        <v/>
      </c>
      <c r="Y276" s="191" t="str">
        <f t="shared" ref="Y276:Y339" si="104">IF(Y275="","",IF(T276="","",Y275+T276))</f>
        <v/>
      </c>
      <c r="Z276" s="197" t="str">
        <f t="shared" si="91"/>
        <v/>
      </c>
      <c r="AA276" s="197" t="str">
        <f t="shared" si="92"/>
        <v/>
      </c>
      <c r="AB276" s="218"/>
      <c r="AC276" s="205"/>
    </row>
    <row r="277" spans="1:29">
      <c r="A277" s="219" t="str">
        <f t="shared" si="93"/>
        <v/>
      </c>
      <c r="B277" s="219"/>
      <c r="C277" s="184"/>
      <c r="D277" s="185"/>
      <c r="E277" s="185" t="str">
        <f>IF(OR(C277="",C277=Data!$B$3),"",IF(C277=Data!$B$2,"L","S"))</f>
        <v/>
      </c>
      <c r="F277" s="185" t="str">
        <f t="shared" si="94"/>
        <v/>
      </c>
      <c r="G277" s="186" t="str">
        <f t="shared" si="85"/>
        <v/>
      </c>
      <c r="H277" s="187"/>
      <c r="I277" s="188" t="str">
        <f t="shared" si="95"/>
        <v/>
      </c>
      <c r="J277" s="188" t="str">
        <f t="shared" si="96"/>
        <v/>
      </c>
      <c r="K277" s="189" t="str">
        <f t="shared" si="97"/>
        <v/>
      </c>
      <c r="L277" s="189" t="str">
        <f t="shared" si="98"/>
        <v/>
      </c>
      <c r="M277" s="190"/>
      <c r="N277" s="190"/>
      <c r="O277" s="188" t="str">
        <f t="shared" si="99"/>
        <v/>
      </c>
      <c r="P277" s="191" t="str">
        <f t="shared" si="86"/>
        <v/>
      </c>
      <c r="Q277" s="192" t="str">
        <f t="shared" si="100"/>
        <v/>
      </c>
      <c r="R277" s="191" t="str">
        <f t="shared" si="87"/>
        <v/>
      </c>
      <c r="S277" s="193" t="str">
        <f t="shared" si="101"/>
        <v/>
      </c>
      <c r="T277" s="194" t="str">
        <f t="shared" si="88"/>
        <v/>
      </c>
      <c r="U277" s="192" t="str">
        <f t="shared" si="102"/>
        <v/>
      </c>
      <c r="V277" s="195" t="str">
        <f t="shared" si="89"/>
        <v/>
      </c>
      <c r="W277" s="195" t="str">
        <f t="shared" si="90"/>
        <v/>
      </c>
      <c r="X277" s="196" t="str">
        <f t="shared" si="103"/>
        <v/>
      </c>
      <c r="Y277" s="191" t="str">
        <f t="shared" si="104"/>
        <v/>
      </c>
      <c r="Z277" s="197" t="str">
        <f t="shared" si="91"/>
        <v/>
      </c>
      <c r="AA277" s="197" t="str">
        <f t="shared" si="92"/>
        <v/>
      </c>
      <c r="AB277" s="218"/>
      <c r="AC277" s="205"/>
    </row>
    <row r="278" spans="1:29">
      <c r="A278" s="219" t="str">
        <f t="shared" si="93"/>
        <v/>
      </c>
      <c r="B278" s="219"/>
      <c r="C278" s="184"/>
      <c r="D278" s="185"/>
      <c r="E278" s="185" t="str">
        <f>IF(OR(C278="",C278=Data!$B$3),"",IF(C278=Data!$B$2,"L","S"))</f>
        <v/>
      </c>
      <c r="F278" s="185" t="str">
        <f t="shared" si="94"/>
        <v/>
      </c>
      <c r="G278" s="186" t="str">
        <f t="shared" si="85"/>
        <v/>
      </c>
      <c r="H278" s="187"/>
      <c r="I278" s="188" t="str">
        <f t="shared" si="95"/>
        <v/>
      </c>
      <c r="J278" s="188" t="str">
        <f t="shared" si="96"/>
        <v/>
      </c>
      <c r="K278" s="189" t="str">
        <f t="shared" si="97"/>
        <v/>
      </c>
      <c r="L278" s="189" t="str">
        <f t="shared" si="98"/>
        <v/>
      </c>
      <c r="M278" s="190"/>
      <c r="N278" s="190"/>
      <c r="O278" s="188" t="str">
        <f t="shared" si="99"/>
        <v/>
      </c>
      <c r="P278" s="191" t="str">
        <f t="shared" si="86"/>
        <v/>
      </c>
      <c r="Q278" s="192" t="str">
        <f t="shared" si="100"/>
        <v/>
      </c>
      <c r="R278" s="191" t="str">
        <f t="shared" si="87"/>
        <v/>
      </c>
      <c r="S278" s="193" t="str">
        <f t="shared" si="101"/>
        <v/>
      </c>
      <c r="T278" s="194" t="str">
        <f t="shared" si="88"/>
        <v/>
      </c>
      <c r="U278" s="192" t="str">
        <f t="shared" si="102"/>
        <v/>
      </c>
      <c r="V278" s="195" t="str">
        <f t="shared" si="89"/>
        <v/>
      </c>
      <c r="W278" s="195" t="str">
        <f t="shared" si="90"/>
        <v/>
      </c>
      <c r="X278" s="196" t="str">
        <f t="shared" si="103"/>
        <v/>
      </c>
      <c r="Y278" s="191" t="str">
        <f t="shared" si="104"/>
        <v/>
      </c>
      <c r="Z278" s="197" t="str">
        <f t="shared" si="91"/>
        <v/>
      </c>
      <c r="AA278" s="197" t="str">
        <f t="shared" si="92"/>
        <v/>
      </c>
      <c r="AB278" s="218"/>
      <c r="AC278" s="205"/>
    </row>
    <row r="279" spans="1:29">
      <c r="A279" s="219" t="str">
        <f t="shared" si="93"/>
        <v/>
      </c>
      <c r="B279" s="219"/>
      <c r="C279" s="184"/>
      <c r="D279" s="185"/>
      <c r="E279" s="185" t="str">
        <f>IF(OR(C279="",C279=Data!$B$3),"",IF(C279=Data!$B$2,"L","S"))</f>
        <v/>
      </c>
      <c r="F279" s="185" t="str">
        <f t="shared" si="94"/>
        <v/>
      </c>
      <c r="G279" s="186" t="str">
        <f t="shared" si="85"/>
        <v/>
      </c>
      <c r="H279" s="187"/>
      <c r="I279" s="188" t="str">
        <f t="shared" si="95"/>
        <v/>
      </c>
      <c r="J279" s="188" t="str">
        <f t="shared" si="96"/>
        <v/>
      </c>
      <c r="K279" s="189" t="str">
        <f t="shared" si="97"/>
        <v/>
      </c>
      <c r="L279" s="189" t="str">
        <f t="shared" si="98"/>
        <v/>
      </c>
      <c r="M279" s="190"/>
      <c r="N279" s="190"/>
      <c r="O279" s="188" t="str">
        <f t="shared" si="99"/>
        <v/>
      </c>
      <c r="P279" s="191" t="str">
        <f t="shared" si="86"/>
        <v/>
      </c>
      <c r="Q279" s="192" t="str">
        <f t="shared" si="100"/>
        <v/>
      </c>
      <c r="R279" s="191" t="str">
        <f t="shared" si="87"/>
        <v/>
      </c>
      <c r="S279" s="193" t="str">
        <f t="shared" si="101"/>
        <v/>
      </c>
      <c r="T279" s="194" t="str">
        <f t="shared" si="88"/>
        <v/>
      </c>
      <c r="U279" s="192" t="str">
        <f t="shared" si="102"/>
        <v/>
      </c>
      <c r="V279" s="195" t="str">
        <f t="shared" si="89"/>
        <v/>
      </c>
      <c r="W279" s="195" t="str">
        <f t="shared" si="90"/>
        <v/>
      </c>
      <c r="X279" s="196" t="str">
        <f t="shared" si="103"/>
        <v/>
      </c>
      <c r="Y279" s="191" t="str">
        <f t="shared" si="104"/>
        <v/>
      </c>
      <c r="Z279" s="197" t="str">
        <f t="shared" si="91"/>
        <v/>
      </c>
      <c r="AA279" s="197" t="str">
        <f t="shared" si="92"/>
        <v/>
      </c>
      <c r="AB279" s="218"/>
      <c r="AC279" s="205"/>
    </row>
    <row r="280" spans="1:29">
      <c r="A280" s="219" t="str">
        <f t="shared" si="93"/>
        <v/>
      </c>
      <c r="B280" s="219"/>
      <c r="C280" s="184"/>
      <c r="D280" s="185"/>
      <c r="E280" s="185" t="str">
        <f>IF(OR(C280="",C280=Data!$B$3),"",IF(C280=Data!$B$2,"L","S"))</f>
        <v/>
      </c>
      <c r="F280" s="185" t="str">
        <f t="shared" si="94"/>
        <v/>
      </c>
      <c r="G280" s="186" t="str">
        <f t="shared" si="85"/>
        <v/>
      </c>
      <c r="H280" s="187"/>
      <c r="I280" s="188" t="str">
        <f t="shared" si="95"/>
        <v/>
      </c>
      <c r="J280" s="188" t="str">
        <f t="shared" si="96"/>
        <v/>
      </c>
      <c r="K280" s="189" t="str">
        <f t="shared" si="97"/>
        <v/>
      </c>
      <c r="L280" s="189" t="str">
        <f t="shared" si="98"/>
        <v/>
      </c>
      <c r="M280" s="190"/>
      <c r="N280" s="190"/>
      <c r="O280" s="188" t="str">
        <f t="shared" si="99"/>
        <v/>
      </c>
      <c r="P280" s="191" t="str">
        <f t="shared" si="86"/>
        <v/>
      </c>
      <c r="Q280" s="192" t="str">
        <f t="shared" si="100"/>
        <v/>
      </c>
      <c r="R280" s="191" t="str">
        <f t="shared" si="87"/>
        <v/>
      </c>
      <c r="S280" s="193" t="str">
        <f t="shared" si="101"/>
        <v/>
      </c>
      <c r="T280" s="194" t="str">
        <f t="shared" si="88"/>
        <v/>
      </c>
      <c r="U280" s="192" t="str">
        <f t="shared" si="102"/>
        <v/>
      </c>
      <c r="V280" s="195" t="str">
        <f t="shared" si="89"/>
        <v/>
      </c>
      <c r="W280" s="195" t="str">
        <f t="shared" si="90"/>
        <v/>
      </c>
      <c r="X280" s="196" t="str">
        <f t="shared" si="103"/>
        <v/>
      </c>
      <c r="Y280" s="191" t="str">
        <f t="shared" si="104"/>
        <v/>
      </c>
      <c r="Z280" s="197" t="str">
        <f t="shared" si="91"/>
        <v/>
      </c>
      <c r="AA280" s="197" t="str">
        <f t="shared" si="92"/>
        <v/>
      </c>
      <c r="AB280" s="218"/>
      <c r="AC280" s="205"/>
    </row>
    <row r="281" spans="1:29">
      <c r="A281" s="219" t="str">
        <f t="shared" si="93"/>
        <v/>
      </c>
      <c r="B281" s="219"/>
      <c r="C281" s="184"/>
      <c r="D281" s="185"/>
      <c r="E281" s="185" t="str">
        <f>IF(OR(C281="",C281=Data!$B$3),"",IF(C281=Data!$B$2,"L","S"))</f>
        <v/>
      </c>
      <c r="F281" s="185" t="str">
        <f t="shared" si="94"/>
        <v/>
      </c>
      <c r="G281" s="186" t="str">
        <f t="shared" si="85"/>
        <v/>
      </c>
      <c r="H281" s="187"/>
      <c r="I281" s="188" t="str">
        <f t="shared" si="95"/>
        <v/>
      </c>
      <c r="J281" s="188" t="str">
        <f t="shared" si="96"/>
        <v/>
      </c>
      <c r="K281" s="189" t="str">
        <f t="shared" si="97"/>
        <v/>
      </c>
      <c r="L281" s="189" t="str">
        <f t="shared" si="98"/>
        <v/>
      </c>
      <c r="M281" s="190"/>
      <c r="N281" s="190"/>
      <c r="O281" s="188" t="str">
        <f t="shared" si="99"/>
        <v/>
      </c>
      <c r="P281" s="191" t="str">
        <f t="shared" si="86"/>
        <v/>
      </c>
      <c r="Q281" s="192" t="str">
        <f t="shared" si="100"/>
        <v/>
      </c>
      <c r="R281" s="191" t="str">
        <f t="shared" si="87"/>
        <v/>
      </c>
      <c r="S281" s="193" t="str">
        <f t="shared" si="101"/>
        <v/>
      </c>
      <c r="T281" s="194" t="str">
        <f t="shared" si="88"/>
        <v/>
      </c>
      <c r="U281" s="192" t="str">
        <f t="shared" si="102"/>
        <v/>
      </c>
      <c r="V281" s="195" t="str">
        <f t="shared" si="89"/>
        <v/>
      </c>
      <c r="W281" s="195" t="str">
        <f t="shared" si="90"/>
        <v/>
      </c>
      <c r="X281" s="196" t="str">
        <f t="shared" si="103"/>
        <v/>
      </c>
      <c r="Y281" s="191" t="str">
        <f t="shared" si="104"/>
        <v/>
      </c>
      <c r="Z281" s="197" t="str">
        <f t="shared" si="91"/>
        <v/>
      </c>
      <c r="AA281" s="197" t="str">
        <f t="shared" si="92"/>
        <v/>
      </c>
      <c r="AB281" s="218"/>
      <c r="AC281" s="205"/>
    </row>
    <row r="282" spans="1:29">
      <c r="A282" s="219" t="str">
        <f t="shared" si="93"/>
        <v/>
      </c>
      <c r="B282" s="219"/>
      <c r="C282" s="184"/>
      <c r="D282" s="185"/>
      <c r="E282" s="185" t="str">
        <f>IF(OR(C282="",C282=Data!$B$3),"",IF(C282=Data!$B$2,"L","S"))</f>
        <v/>
      </c>
      <c r="F282" s="185" t="str">
        <f t="shared" si="94"/>
        <v/>
      </c>
      <c r="G282" s="186" t="str">
        <f t="shared" si="85"/>
        <v/>
      </c>
      <c r="H282" s="187"/>
      <c r="I282" s="188" t="str">
        <f t="shared" si="95"/>
        <v/>
      </c>
      <c r="J282" s="188" t="str">
        <f t="shared" si="96"/>
        <v/>
      </c>
      <c r="K282" s="189" t="str">
        <f t="shared" si="97"/>
        <v/>
      </c>
      <c r="L282" s="189" t="str">
        <f t="shared" si="98"/>
        <v/>
      </c>
      <c r="M282" s="190"/>
      <c r="N282" s="190"/>
      <c r="O282" s="188" t="str">
        <f t="shared" si="99"/>
        <v/>
      </c>
      <c r="P282" s="191" t="str">
        <f t="shared" si="86"/>
        <v/>
      </c>
      <c r="Q282" s="192" t="str">
        <f t="shared" si="100"/>
        <v/>
      </c>
      <c r="R282" s="191" t="str">
        <f t="shared" si="87"/>
        <v/>
      </c>
      <c r="S282" s="193" t="str">
        <f t="shared" si="101"/>
        <v/>
      </c>
      <c r="T282" s="194" t="str">
        <f t="shared" si="88"/>
        <v/>
      </c>
      <c r="U282" s="192" t="str">
        <f t="shared" si="102"/>
        <v/>
      </c>
      <c r="V282" s="195" t="str">
        <f t="shared" si="89"/>
        <v/>
      </c>
      <c r="W282" s="195" t="str">
        <f t="shared" si="90"/>
        <v/>
      </c>
      <c r="X282" s="196" t="str">
        <f t="shared" si="103"/>
        <v/>
      </c>
      <c r="Y282" s="191" t="str">
        <f t="shared" si="104"/>
        <v/>
      </c>
      <c r="Z282" s="197" t="str">
        <f t="shared" si="91"/>
        <v/>
      </c>
      <c r="AA282" s="197" t="str">
        <f t="shared" si="92"/>
        <v/>
      </c>
      <c r="AB282" s="218"/>
      <c r="AC282" s="205"/>
    </row>
    <row r="283" spans="1:29">
      <c r="A283" s="219" t="str">
        <f t="shared" si="93"/>
        <v/>
      </c>
      <c r="B283" s="219"/>
      <c r="C283" s="184"/>
      <c r="D283" s="185"/>
      <c r="E283" s="185" t="str">
        <f>IF(OR(C283="",C283=Data!$B$3),"",IF(C283=Data!$B$2,"L","S"))</f>
        <v/>
      </c>
      <c r="F283" s="185" t="str">
        <f t="shared" si="94"/>
        <v/>
      </c>
      <c r="G283" s="186" t="str">
        <f t="shared" si="85"/>
        <v/>
      </c>
      <c r="H283" s="187"/>
      <c r="I283" s="188" t="str">
        <f t="shared" si="95"/>
        <v/>
      </c>
      <c r="J283" s="188" t="str">
        <f t="shared" si="96"/>
        <v/>
      </c>
      <c r="K283" s="189" t="str">
        <f t="shared" si="97"/>
        <v/>
      </c>
      <c r="L283" s="189" t="str">
        <f t="shared" si="98"/>
        <v/>
      </c>
      <c r="M283" s="190"/>
      <c r="N283" s="190"/>
      <c r="O283" s="188" t="str">
        <f t="shared" si="99"/>
        <v/>
      </c>
      <c r="P283" s="191" t="str">
        <f t="shared" si="86"/>
        <v/>
      </c>
      <c r="Q283" s="192" t="str">
        <f t="shared" si="100"/>
        <v/>
      </c>
      <c r="R283" s="191" t="str">
        <f t="shared" si="87"/>
        <v/>
      </c>
      <c r="S283" s="193" t="str">
        <f t="shared" si="101"/>
        <v/>
      </c>
      <c r="T283" s="194" t="str">
        <f t="shared" si="88"/>
        <v/>
      </c>
      <c r="U283" s="192" t="str">
        <f t="shared" si="102"/>
        <v/>
      </c>
      <c r="V283" s="195" t="str">
        <f t="shared" si="89"/>
        <v/>
      </c>
      <c r="W283" s="195" t="str">
        <f t="shared" si="90"/>
        <v/>
      </c>
      <c r="X283" s="196" t="str">
        <f t="shared" si="103"/>
        <v/>
      </c>
      <c r="Y283" s="191" t="str">
        <f t="shared" si="104"/>
        <v/>
      </c>
      <c r="Z283" s="197" t="str">
        <f t="shared" si="91"/>
        <v/>
      </c>
      <c r="AA283" s="197" t="str">
        <f t="shared" si="92"/>
        <v/>
      </c>
      <c r="AB283" s="218"/>
      <c r="AC283" s="205"/>
    </row>
    <row r="284" spans="1:29">
      <c r="A284" s="219" t="str">
        <f t="shared" si="93"/>
        <v/>
      </c>
      <c r="B284" s="219"/>
      <c r="C284" s="184"/>
      <c r="D284" s="185"/>
      <c r="E284" s="185" t="str">
        <f>IF(OR(C284="",C284=Data!$B$3),"",IF(C284=Data!$B$2,"L","S"))</f>
        <v/>
      </c>
      <c r="F284" s="185" t="str">
        <f t="shared" si="94"/>
        <v/>
      </c>
      <c r="G284" s="186" t="str">
        <f t="shared" si="85"/>
        <v/>
      </c>
      <c r="H284" s="187"/>
      <c r="I284" s="188" t="str">
        <f t="shared" si="95"/>
        <v/>
      </c>
      <c r="J284" s="188" t="str">
        <f t="shared" si="96"/>
        <v/>
      </c>
      <c r="K284" s="189" t="str">
        <f t="shared" si="97"/>
        <v/>
      </c>
      <c r="L284" s="189" t="str">
        <f t="shared" si="98"/>
        <v/>
      </c>
      <c r="M284" s="190"/>
      <c r="N284" s="190"/>
      <c r="O284" s="188" t="str">
        <f t="shared" si="99"/>
        <v/>
      </c>
      <c r="P284" s="191" t="str">
        <f t="shared" si="86"/>
        <v/>
      </c>
      <c r="Q284" s="192" t="str">
        <f t="shared" si="100"/>
        <v/>
      </c>
      <c r="R284" s="191" t="str">
        <f t="shared" si="87"/>
        <v/>
      </c>
      <c r="S284" s="193" t="str">
        <f t="shared" si="101"/>
        <v/>
      </c>
      <c r="T284" s="194" t="str">
        <f t="shared" si="88"/>
        <v/>
      </c>
      <c r="U284" s="192" t="str">
        <f t="shared" si="102"/>
        <v/>
      </c>
      <c r="V284" s="195" t="str">
        <f t="shared" si="89"/>
        <v/>
      </c>
      <c r="W284" s="195" t="str">
        <f t="shared" si="90"/>
        <v/>
      </c>
      <c r="X284" s="196" t="str">
        <f t="shared" si="103"/>
        <v/>
      </c>
      <c r="Y284" s="191" t="str">
        <f t="shared" si="104"/>
        <v/>
      </c>
      <c r="Z284" s="197" t="str">
        <f t="shared" si="91"/>
        <v/>
      </c>
      <c r="AA284" s="197" t="str">
        <f t="shared" si="92"/>
        <v/>
      </c>
      <c r="AB284" s="218"/>
      <c r="AC284" s="205"/>
    </row>
    <row r="285" spans="1:29">
      <c r="A285" s="219" t="str">
        <f t="shared" si="93"/>
        <v/>
      </c>
      <c r="B285" s="219"/>
      <c r="C285" s="184"/>
      <c r="D285" s="185"/>
      <c r="E285" s="185" t="str">
        <f>IF(OR(C285="",C285=Data!$B$3),"",IF(C285=Data!$B$2,"L","S"))</f>
        <v/>
      </c>
      <c r="F285" s="185" t="str">
        <f t="shared" si="94"/>
        <v/>
      </c>
      <c r="G285" s="186" t="str">
        <f t="shared" si="85"/>
        <v/>
      </c>
      <c r="H285" s="187"/>
      <c r="I285" s="188" t="str">
        <f t="shared" si="95"/>
        <v/>
      </c>
      <c r="J285" s="188" t="str">
        <f t="shared" si="96"/>
        <v/>
      </c>
      <c r="K285" s="189" t="str">
        <f t="shared" si="97"/>
        <v/>
      </c>
      <c r="L285" s="189" t="str">
        <f t="shared" si="98"/>
        <v/>
      </c>
      <c r="M285" s="190"/>
      <c r="N285" s="190"/>
      <c r="O285" s="188" t="str">
        <f t="shared" si="99"/>
        <v/>
      </c>
      <c r="P285" s="191" t="str">
        <f t="shared" si="86"/>
        <v/>
      </c>
      <c r="Q285" s="192" t="str">
        <f t="shared" si="100"/>
        <v/>
      </c>
      <c r="R285" s="191" t="str">
        <f t="shared" si="87"/>
        <v/>
      </c>
      <c r="S285" s="193" t="str">
        <f t="shared" si="101"/>
        <v/>
      </c>
      <c r="T285" s="194" t="str">
        <f t="shared" si="88"/>
        <v/>
      </c>
      <c r="U285" s="192" t="str">
        <f t="shared" si="102"/>
        <v/>
      </c>
      <c r="V285" s="195" t="str">
        <f t="shared" si="89"/>
        <v/>
      </c>
      <c r="W285" s="195" t="str">
        <f t="shared" si="90"/>
        <v/>
      </c>
      <c r="X285" s="196" t="str">
        <f t="shared" si="103"/>
        <v/>
      </c>
      <c r="Y285" s="191" t="str">
        <f t="shared" si="104"/>
        <v/>
      </c>
      <c r="Z285" s="197" t="str">
        <f t="shared" si="91"/>
        <v/>
      </c>
      <c r="AA285" s="197" t="str">
        <f t="shared" si="92"/>
        <v/>
      </c>
      <c r="AB285" s="218"/>
      <c r="AC285" s="205"/>
    </row>
    <row r="286" spans="1:29">
      <c r="A286" s="219" t="str">
        <f t="shared" si="93"/>
        <v/>
      </c>
      <c r="B286" s="219"/>
      <c r="C286" s="184"/>
      <c r="D286" s="185"/>
      <c r="E286" s="185" t="str">
        <f>IF(OR(C286="",C286=Data!$B$3),"",IF(C286=Data!$B$2,"L","S"))</f>
        <v/>
      </c>
      <c r="F286" s="185" t="str">
        <f t="shared" si="94"/>
        <v/>
      </c>
      <c r="G286" s="186" t="str">
        <f t="shared" si="85"/>
        <v/>
      </c>
      <c r="H286" s="187"/>
      <c r="I286" s="188" t="str">
        <f t="shared" si="95"/>
        <v/>
      </c>
      <c r="J286" s="188" t="str">
        <f t="shared" si="96"/>
        <v/>
      </c>
      <c r="K286" s="189" t="str">
        <f t="shared" si="97"/>
        <v/>
      </c>
      <c r="L286" s="189" t="str">
        <f t="shared" si="98"/>
        <v/>
      </c>
      <c r="M286" s="190"/>
      <c r="N286" s="190"/>
      <c r="O286" s="188" t="str">
        <f t="shared" si="99"/>
        <v/>
      </c>
      <c r="P286" s="191" t="str">
        <f t="shared" si="86"/>
        <v/>
      </c>
      <c r="Q286" s="192" t="str">
        <f t="shared" si="100"/>
        <v/>
      </c>
      <c r="R286" s="191" t="str">
        <f t="shared" si="87"/>
        <v/>
      </c>
      <c r="S286" s="193" t="str">
        <f t="shared" si="101"/>
        <v/>
      </c>
      <c r="T286" s="194" t="str">
        <f t="shared" si="88"/>
        <v/>
      </c>
      <c r="U286" s="192" t="str">
        <f t="shared" si="102"/>
        <v/>
      </c>
      <c r="V286" s="195" t="str">
        <f t="shared" si="89"/>
        <v/>
      </c>
      <c r="W286" s="195" t="str">
        <f t="shared" si="90"/>
        <v/>
      </c>
      <c r="X286" s="196" t="str">
        <f t="shared" si="103"/>
        <v/>
      </c>
      <c r="Y286" s="191" t="str">
        <f t="shared" si="104"/>
        <v/>
      </c>
      <c r="Z286" s="197" t="str">
        <f t="shared" si="91"/>
        <v/>
      </c>
      <c r="AA286" s="197" t="str">
        <f t="shared" si="92"/>
        <v/>
      </c>
      <c r="AB286" s="218"/>
      <c r="AC286" s="205"/>
    </row>
    <row r="287" spans="1:29">
      <c r="A287" s="219" t="str">
        <f t="shared" si="93"/>
        <v/>
      </c>
      <c r="B287" s="219"/>
      <c r="C287" s="184"/>
      <c r="D287" s="185"/>
      <c r="E287" s="185" t="str">
        <f>IF(OR(C287="",C287=Data!$B$3),"",IF(C287=Data!$B$2,"L","S"))</f>
        <v/>
      </c>
      <c r="F287" s="185" t="str">
        <f t="shared" si="94"/>
        <v/>
      </c>
      <c r="G287" s="186" t="str">
        <f t="shared" si="85"/>
        <v/>
      </c>
      <c r="H287" s="187"/>
      <c r="I287" s="188" t="str">
        <f t="shared" si="95"/>
        <v/>
      </c>
      <c r="J287" s="188" t="str">
        <f t="shared" si="96"/>
        <v/>
      </c>
      <c r="K287" s="189" t="str">
        <f t="shared" si="97"/>
        <v/>
      </c>
      <c r="L287" s="189" t="str">
        <f t="shared" si="98"/>
        <v/>
      </c>
      <c r="M287" s="190"/>
      <c r="N287" s="190"/>
      <c r="O287" s="188" t="str">
        <f t="shared" si="99"/>
        <v/>
      </c>
      <c r="P287" s="191" t="str">
        <f t="shared" si="86"/>
        <v/>
      </c>
      <c r="Q287" s="192" t="str">
        <f t="shared" si="100"/>
        <v/>
      </c>
      <c r="R287" s="191" t="str">
        <f t="shared" si="87"/>
        <v/>
      </c>
      <c r="S287" s="193" t="str">
        <f t="shared" si="101"/>
        <v/>
      </c>
      <c r="T287" s="194" t="str">
        <f t="shared" si="88"/>
        <v/>
      </c>
      <c r="U287" s="192" t="str">
        <f t="shared" si="102"/>
        <v/>
      </c>
      <c r="V287" s="195" t="str">
        <f t="shared" si="89"/>
        <v/>
      </c>
      <c r="W287" s="195" t="str">
        <f t="shared" si="90"/>
        <v/>
      </c>
      <c r="X287" s="196" t="str">
        <f t="shared" si="103"/>
        <v/>
      </c>
      <c r="Y287" s="191" t="str">
        <f t="shared" si="104"/>
        <v/>
      </c>
      <c r="Z287" s="197" t="str">
        <f t="shared" si="91"/>
        <v/>
      </c>
      <c r="AA287" s="197" t="str">
        <f t="shared" si="92"/>
        <v/>
      </c>
      <c r="AB287" s="218"/>
      <c r="AC287" s="205"/>
    </row>
    <row r="288" spans="1:29">
      <c r="A288" s="219" t="str">
        <f t="shared" si="93"/>
        <v/>
      </c>
      <c r="B288" s="219"/>
      <c r="C288" s="184"/>
      <c r="D288" s="185"/>
      <c r="E288" s="185" t="str">
        <f>IF(OR(C288="",C288=Data!$B$3),"",IF(C288=Data!$B$2,"L","S"))</f>
        <v/>
      </c>
      <c r="F288" s="185" t="str">
        <f t="shared" si="94"/>
        <v/>
      </c>
      <c r="G288" s="186" t="str">
        <f t="shared" si="85"/>
        <v/>
      </c>
      <c r="H288" s="187"/>
      <c r="I288" s="188" t="str">
        <f t="shared" si="95"/>
        <v/>
      </c>
      <c r="J288" s="188" t="str">
        <f t="shared" si="96"/>
        <v/>
      </c>
      <c r="K288" s="189" t="str">
        <f t="shared" si="97"/>
        <v/>
      </c>
      <c r="L288" s="189" t="str">
        <f t="shared" si="98"/>
        <v/>
      </c>
      <c r="M288" s="190"/>
      <c r="N288" s="190"/>
      <c r="O288" s="188" t="str">
        <f t="shared" si="99"/>
        <v/>
      </c>
      <c r="P288" s="191" t="str">
        <f t="shared" si="86"/>
        <v/>
      </c>
      <c r="Q288" s="192" t="str">
        <f t="shared" si="100"/>
        <v/>
      </c>
      <c r="R288" s="191" t="str">
        <f t="shared" si="87"/>
        <v/>
      </c>
      <c r="S288" s="193" t="str">
        <f t="shared" si="101"/>
        <v/>
      </c>
      <c r="T288" s="194" t="str">
        <f t="shared" si="88"/>
        <v/>
      </c>
      <c r="U288" s="192" t="str">
        <f t="shared" si="102"/>
        <v/>
      </c>
      <c r="V288" s="195" t="str">
        <f t="shared" si="89"/>
        <v/>
      </c>
      <c r="W288" s="195" t="str">
        <f t="shared" si="90"/>
        <v/>
      </c>
      <c r="X288" s="196" t="str">
        <f t="shared" si="103"/>
        <v/>
      </c>
      <c r="Y288" s="191" t="str">
        <f t="shared" si="104"/>
        <v/>
      </c>
      <c r="Z288" s="197" t="str">
        <f t="shared" si="91"/>
        <v/>
      </c>
      <c r="AA288" s="197" t="str">
        <f t="shared" si="92"/>
        <v/>
      </c>
      <c r="AB288" s="218"/>
      <c r="AC288" s="205"/>
    </row>
    <row r="289" spans="1:29">
      <c r="A289" s="219" t="str">
        <f t="shared" si="93"/>
        <v/>
      </c>
      <c r="B289" s="219"/>
      <c r="C289" s="184"/>
      <c r="D289" s="185"/>
      <c r="E289" s="185" t="str">
        <f>IF(OR(C289="",C289=Data!$B$3),"",IF(C289=Data!$B$2,"L","S"))</f>
        <v/>
      </c>
      <c r="F289" s="185" t="str">
        <f t="shared" si="94"/>
        <v/>
      </c>
      <c r="G289" s="186" t="str">
        <f t="shared" si="85"/>
        <v/>
      </c>
      <c r="H289" s="187"/>
      <c r="I289" s="188" t="str">
        <f t="shared" si="95"/>
        <v/>
      </c>
      <c r="J289" s="188" t="str">
        <f t="shared" si="96"/>
        <v/>
      </c>
      <c r="K289" s="189" t="str">
        <f t="shared" si="97"/>
        <v/>
      </c>
      <c r="L289" s="189" t="str">
        <f t="shared" si="98"/>
        <v/>
      </c>
      <c r="M289" s="190"/>
      <c r="N289" s="190"/>
      <c r="O289" s="188" t="str">
        <f t="shared" si="99"/>
        <v/>
      </c>
      <c r="P289" s="191" t="str">
        <f t="shared" si="86"/>
        <v/>
      </c>
      <c r="Q289" s="192" t="str">
        <f t="shared" si="100"/>
        <v/>
      </c>
      <c r="R289" s="191" t="str">
        <f t="shared" si="87"/>
        <v/>
      </c>
      <c r="S289" s="193" t="str">
        <f t="shared" si="101"/>
        <v/>
      </c>
      <c r="T289" s="194" t="str">
        <f t="shared" si="88"/>
        <v/>
      </c>
      <c r="U289" s="192" t="str">
        <f t="shared" si="102"/>
        <v/>
      </c>
      <c r="V289" s="195" t="str">
        <f t="shared" si="89"/>
        <v/>
      </c>
      <c r="W289" s="195" t="str">
        <f t="shared" si="90"/>
        <v/>
      </c>
      <c r="X289" s="196" t="str">
        <f t="shared" si="103"/>
        <v/>
      </c>
      <c r="Y289" s="191" t="str">
        <f t="shared" si="104"/>
        <v/>
      </c>
      <c r="Z289" s="197" t="str">
        <f t="shared" si="91"/>
        <v/>
      </c>
      <c r="AA289" s="197" t="str">
        <f t="shared" si="92"/>
        <v/>
      </c>
      <c r="AB289" s="218"/>
      <c r="AC289" s="205"/>
    </row>
    <row r="290" spans="1:29">
      <c r="A290" s="219" t="str">
        <f t="shared" si="93"/>
        <v/>
      </c>
      <c r="B290" s="219"/>
      <c r="C290" s="184"/>
      <c r="D290" s="185"/>
      <c r="E290" s="185" t="str">
        <f>IF(OR(C290="",C290=Data!$B$3),"",IF(C290=Data!$B$2,"L","S"))</f>
        <v/>
      </c>
      <c r="F290" s="185" t="str">
        <f t="shared" si="94"/>
        <v/>
      </c>
      <c r="G290" s="186" t="str">
        <f t="shared" si="85"/>
        <v/>
      </c>
      <c r="H290" s="187"/>
      <c r="I290" s="188" t="str">
        <f t="shared" si="95"/>
        <v/>
      </c>
      <c r="J290" s="188" t="str">
        <f t="shared" si="96"/>
        <v/>
      </c>
      <c r="K290" s="189" t="str">
        <f t="shared" si="97"/>
        <v/>
      </c>
      <c r="L290" s="189" t="str">
        <f t="shared" si="98"/>
        <v/>
      </c>
      <c r="M290" s="190"/>
      <c r="N290" s="190"/>
      <c r="O290" s="188" t="str">
        <f t="shared" si="99"/>
        <v/>
      </c>
      <c r="P290" s="191" t="str">
        <f t="shared" si="86"/>
        <v/>
      </c>
      <c r="Q290" s="192" t="str">
        <f t="shared" si="100"/>
        <v/>
      </c>
      <c r="R290" s="191" t="str">
        <f t="shared" si="87"/>
        <v/>
      </c>
      <c r="S290" s="193" t="str">
        <f t="shared" si="101"/>
        <v/>
      </c>
      <c r="T290" s="194" t="str">
        <f t="shared" si="88"/>
        <v/>
      </c>
      <c r="U290" s="192" t="str">
        <f t="shared" si="102"/>
        <v/>
      </c>
      <c r="V290" s="195" t="str">
        <f t="shared" si="89"/>
        <v/>
      </c>
      <c r="W290" s="195" t="str">
        <f t="shared" si="90"/>
        <v/>
      </c>
      <c r="X290" s="196" t="str">
        <f t="shared" si="103"/>
        <v/>
      </c>
      <c r="Y290" s="191" t="str">
        <f t="shared" si="104"/>
        <v/>
      </c>
      <c r="Z290" s="197" t="str">
        <f t="shared" si="91"/>
        <v/>
      </c>
      <c r="AA290" s="197" t="str">
        <f t="shared" si="92"/>
        <v/>
      </c>
      <c r="AB290" s="218"/>
      <c r="AC290" s="205"/>
    </row>
    <row r="291" spans="1:29">
      <c r="A291" s="219" t="str">
        <f t="shared" si="93"/>
        <v/>
      </c>
      <c r="B291" s="219"/>
      <c r="C291" s="184"/>
      <c r="D291" s="185"/>
      <c r="E291" s="185" t="str">
        <f>IF(OR(C291="",C291=Data!$B$3),"",IF(C291=Data!$B$2,"L","S"))</f>
        <v/>
      </c>
      <c r="F291" s="185" t="str">
        <f t="shared" si="94"/>
        <v/>
      </c>
      <c r="G291" s="186" t="str">
        <f t="shared" si="85"/>
        <v/>
      </c>
      <c r="H291" s="187"/>
      <c r="I291" s="188" t="str">
        <f t="shared" si="95"/>
        <v/>
      </c>
      <c r="J291" s="188" t="str">
        <f t="shared" si="96"/>
        <v/>
      </c>
      <c r="K291" s="189" t="str">
        <f t="shared" si="97"/>
        <v/>
      </c>
      <c r="L291" s="189" t="str">
        <f t="shared" si="98"/>
        <v/>
      </c>
      <c r="M291" s="190"/>
      <c r="N291" s="190"/>
      <c r="O291" s="188" t="str">
        <f t="shared" si="99"/>
        <v/>
      </c>
      <c r="P291" s="191" t="str">
        <f t="shared" si="86"/>
        <v/>
      </c>
      <c r="Q291" s="192" t="str">
        <f t="shared" si="100"/>
        <v/>
      </c>
      <c r="R291" s="191" t="str">
        <f t="shared" si="87"/>
        <v/>
      </c>
      <c r="S291" s="193" t="str">
        <f t="shared" si="101"/>
        <v/>
      </c>
      <c r="T291" s="194" t="str">
        <f t="shared" si="88"/>
        <v/>
      </c>
      <c r="U291" s="192" t="str">
        <f t="shared" si="102"/>
        <v/>
      </c>
      <c r="V291" s="195" t="str">
        <f t="shared" si="89"/>
        <v/>
      </c>
      <c r="W291" s="195" t="str">
        <f t="shared" si="90"/>
        <v/>
      </c>
      <c r="X291" s="196" t="str">
        <f t="shared" si="103"/>
        <v/>
      </c>
      <c r="Y291" s="191" t="str">
        <f t="shared" si="104"/>
        <v/>
      </c>
      <c r="Z291" s="197" t="str">
        <f t="shared" si="91"/>
        <v/>
      </c>
      <c r="AA291" s="197" t="str">
        <f t="shared" si="92"/>
        <v/>
      </c>
      <c r="AB291" s="218"/>
      <c r="AC291" s="205"/>
    </row>
    <row r="292" spans="1:29">
      <c r="A292" s="219" t="str">
        <f t="shared" si="93"/>
        <v/>
      </c>
      <c r="B292" s="219"/>
      <c r="C292" s="184"/>
      <c r="D292" s="185"/>
      <c r="E292" s="185" t="str">
        <f>IF(OR(C292="",C292=Data!$B$3),"",IF(C292=Data!$B$2,"L","S"))</f>
        <v/>
      </c>
      <c r="F292" s="185" t="str">
        <f t="shared" si="94"/>
        <v/>
      </c>
      <c r="G292" s="186" t="str">
        <f t="shared" si="85"/>
        <v/>
      </c>
      <c r="H292" s="187"/>
      <c r="I292" s="188" t="str">
        <f t="shared" si="95"/>
        <v/>
      </c>
      <c r="J292" s="188" t="str">
        <f t="shared" si="96"/>
        <v/>
      </c>
      <c r="K292" s="189" t="str">
        <f t="shared" si="97"/>
        <v/>
      </c>
      <c r="L292" s="189" t="str">
        <f t="shared" si="98"/>
        <v/>
      </c>
      <c r="M292" s="190"/>
      <c r="N292" s="190"/>
      <c r="O292" s="188" t="str">
        <f t="shared" si="99"/>
        <v/>
      </c>
      <c r="P292" s="191" t="str">
        <f t="shared" si="86"/>
        <v/>
      </c>
      <c r="Q292" s="192" t="str">
        <f t="shared" si="100"/>
        <v/>
      </c>
      <c r="R292" s="191" t="str">
        <f t="shared" si="87"/>
        <v/>
      </c>
      <c r="S292" s="193" t="str">
        <f t="shared" si="101"/>
        <v/>
      </c>
      <c r="T292" s="194" t="str">
        <f t="shared" si="88"/>
        <v/>
      </c>
      <c r="U292" s="192" t="str">
        <f t="shared" si="102"/>
        <v/>
      </c>
      <c r="V292" s="195" t="str">
        <f t="shared" si="89"/>
        <v/>
      </c>
      <c r="W292" s="195" t="str">
        <f t="shared" si="90"/>
        <v/>
      </c>
      <c r="X292" s="196" t="str">
        <f t="shared" si="103"/>
        <v/>
      </c>
      <c r="Y292" s="191" t="str">
        <f t="shared" si="104"/>
        <v/>
      </c>
      <c r="Z292" s="197" t="str">
        <f t="shared" si="91"/>
        <v/>
      </c>
      <c r="AA292" s="197" t="str">
        <f t="shared" si="92"/>
        <v/>
      </c>
      <c r="AB292" s="218"/>
      <c r="AC292" s="205"/>
    </row>
    <row r="293" spans="1:29">
      <c r="A293" s="219" t="str">
        <f t="shared" si="93"/>
        <v/>
      </c>
      <c r="B293" s="219"/>
      <c r="C293" s="184"/>
      <c r="D293" s="185"/>
      <c r="E293" s="185" t="str">
        <f>IF(OR(C293="",C293=Data!$B$3),"",IF(C293=Data!$B$2,"L","S"))</f>
        <v/>
      </c>
      <c r="F293" s="185" t="str">
        <f t="shared" si="94"/>
        <v/>
      </c>
      <c r="G293" s="186" t="str">
        <f t="shared" si="85"/>
        <v/>
      </c>
      <c r="H293" s="187"/>
      <c r="I293" s="188" t="str">
        <f t="shared" si="95"/>
        <v/>
      </c>
      <c r="J293" s="188" t="str">
        <f t="shared" si="96"/>
        <v/>
      </c>
      <c r="K293" s="189" t="str">
        <f t="shared" si="97"/>
        <v/>
      </c>
      <c r="L293" s="189" t="str">
        <f t="shared" si="98"/>
        <v/>
      </c>
      <c r="M293" s="190"/>
      <c r="N293" s="190"/>
      <c r="O293" s="188" t="str">
        <f t="shared" si="99"/>
        <v/>
      </c>
      <c r="P293" s="191" t="str">
        <f t="shared" si="86"/>
        <v/>
      </c>
      <c r="Q293" s="192" t="str">
        <f t="shared" si="100"/>
        <v/>
      </c>
      <c r="R293" s="191" t="str">
        <f t="shared" si="87"/>
        <v/>
      </c>
      <c r="S293" s="193" t="str">
        <f t="shared" si="101"/>
        <v/>
      </c>
      <c r="T293" s="194" t="str">
        <f t="shared" si="88"/>
        <v/>
      </c>
      <c r="U293" s="192" t="str">
        <f t="shared" si="102"/>
        <v/>
      </c>
      <c r="V293" s="195" t="str">
        <f t="shared" si="89"/>
        <v/>
      </c>
      <c r="W293" s="195" t="str">
        <f t="shared" si="90"/>
        <v/>
      </c>
      <c r="X293" s="196" t="str">
        <f t="shared" si="103"/>
        <v/>
      </c>
      <c r="Y293" s="191" t="str">
        <f t="shared" si="104"/>
        <v/>
      </c>
      <c r="Z293" s="197" t="str">
        <f t="shared" si="91"/>
        <v/>
      </c>
      <c r="AA293" s="197" t="str">
        <f t="shared" si="92"/>
        <v/>
      </c>
      <c r="AB293" s="218"/>
      <c r="AC293" s="205"/>
    </row>
    <row r="294" spans="1:29">
      <c r="A294" s="219" t="str">
        <f t="shared" si="93"/>
        <v/>
      </c>
      <c r="B294" s="219"/>
      <c r="C294" s="184"/>
      <c r="D294" s="185"/>
      <c r="E294" s="185" t="str">
        <f>IF(OR(C294="",C294=Data!$B$3),"",IF(C294=Data!$B$2,"L","S"))</f>
        <v/>
      </c>
      <c r="F294" s="185" t="str">
        <f t="shared" si="94"/>
        <v/>
      </c>
      <c r="G294" s="186" t="str">
        <f t="shared" si="85"/>
        <v/>
      </c>
      <c r="H294" s="187"/>
      <c r="I294" s="188" t="str">
        <f t="shared" si="95"/>
        <v/>
      </c>
      <c r="J294" s="188" t="str">
        <f t="shared" si="96"/>
        <v/>
      </c>
      <c r="K294" s="189" t="str">
        <f t="shared" si="97"/>
        <v/>
      </c>
      <c r="L294" s="189" t="str">
        <f t="shared" si="98"/>
        <v/>
      </c>
      <c r="M294" s="190"/>
      <c r="N294" s="190"/>
      <c r="O294" s="188" t="str">
        <f t="shared" si="99"/>
        <v/>
      </c>
      <c r="P294" s="191" t="str">
        <f t="shared" si="86"/>
        <v/>
      </c>
      <c r="Q294" s="192" t="str">
        <f t="shared" si="100"/>
        <v/>
      </c>
      <c r="R294" s="191" t="str">
        <f t="shared" si="87"/>
        <v/>
      </c>
      <c r="S294" s="193" t="str">
        <f t="shared" si="101"/>
        <v/>
      </c>
      <c r="T294" s="194" t="str">
        <f t="shared" si="88"/>
        <v/>
      </c>
      <c r="U294" s="192" t="str">
        <f t="shared" si="102"/>
        <v/>
      </c>
      <c r="V294" s="195" t="str">
        <f t="shared" si="89"/>
        <v/>
      </c>
      <c r="W294" s="195" t="str">
        <f t="shared" si="90"/>
        <v/>
      </c>
      <c r="X294" s="196" t="str">
        <f t="shared" si="103"/>
        <v/>
      </c>
      <c r="Y294" s="191" t="str">
        <f t="shared" si="104"/>
        <v/>
      </c>
      <c r="Z294" s="197" t="str">
        <f t="shared" si="91"/>
        <v/>
      </c>
      <c r="AA294" s="197" t="str">
        <f t="shared" si="92"/>
        <v/>
      </c>
      <c r="AB294" s="218"/>
      <c r="AC294" s="205"/>
    </row>
    <row r="295" spans="1:29">
      <c r="A295" s="219" t="str">
        <f t="shared" si="93"/>
        <v/>
      </c>
      <c r="B295" s="219"/>
      <c r="C295" s="184"/>
      <c r="D295" s="185"/>
      <c r="E295" s="185" t="str">
        <f>IF(OR(C295="",C295=Data!$B$3),"",IF(C295=Data!$B$2,"L","S"))</f>
        <v/>
      </c>
      <c r="F295" s="185" t="str">
        <f t="shared" si="94"/>
        <v/>
      </c>
      <c r="G295" s="186" t="str">
        <f t="shared" si="85"/>
        <v/>
      </c>
      <c r="H295" s="187"/>
      <c r="I295" s="188" t="str">
        <f t="shared" si="95"/>
        <v/>
      </c>
      <c r="J295" s="188" t="str">
        <f t="shared" si="96"/>
        <v/>
      </c>
      <c r="K295" s="189" t="str">
        <f t="shared" si="97"/>
        <v/>
      </c>
      <c r="L295" s="189" t="str">
        <f t="shared" si="98"/>
        <v/>
      </c>
      <c r="M295" s="190"/>
      <c r="N295" s="190"/>
      <c r="O295" s="188" t="str">
        <f t="shared" si="99"/>
        <v/>
      </c>
      <c r="P295" s="191" t="str">
        <f t="shared" si="86"/>
        <v/>
      </c>
      <c r="Q295" s="192" t="str">
        <f t="shared" si="100"/>
        <v/>
      </c>
      <c r="R295" s="191" t="str">
        <f t="shared" si="87"/>
        <v/>
      </c>
      <c r="S295" s="193" t="str">
        <f t="shared" si="101"/>
        <v/>
      </c>
      <c r="T295" s="194" t="str">
        <f t="shared" si="88"/>
        <v/>
      </c>
      <c r="U295" s="192" t="str">
        <f t="shared" si="102"/>
        <v/>
      </c>
      <c r="V295" s="195" t="str">
        <f t="shared" si="89"/>
        <v/>
      </c>
      <c r="W295" s="195" t="str">
        <f t="shared" si="90"/>
        <v/>
      </c>
      <c r="X295" s="196" t="str">
        <f t="shared" si="103"/>
        <v/>
      </c>
      <c r="Y295" s="191" t="str">
        <f t="shared" si="104"/>
        <v/>
      </c>
      <c r="Z295" s="197" t="str">
        <f t="shared" si="91"/>
        <v/>
      </c>
      <c r="AA295" s="197" t="str">
        <f t="shared" si="92"/>
        <v/>
      </c>
      <c r="AB295" s="218"/>
      <c r="AC295" s="205"/>
    </row>
    <row r="296" spans="1:29">
      <c r="A296" s="219" t="str">
        <f t="shared" si="93"/>
        <v/>
      </c>
      <c r="B296" s="219"/>
      <c r="C296" s="184"/>
      <c r="D296" s="185"/>
      <c r="E296" s="185" t="str">
        <f>IF(OR(C296="",C296=Data!$B$3),"",IF(C296=Data!$B$2,"L","S"))</f>
        <v/>
      </c>
      <c r="F296" s="185" t="str">
        <f t="shared" si="94"/>
        <v/>
      </c>
      <c r="G296" s="186" t="str">
        <f t="shared" si="85"/>
        <v/>
      </c>
      <c r="H296" s="187"/>
      <c r="I296" s="188" t="str">
        <f t="shared" si="95"/>
        <v/>
      </c>
      <c r="J296" s="188" t="str">
        <f t="shared" si="96"/>
        <v/>
      </c>
      <c r="K296" s="189" t="str">
        <f t="shared" si="97"/>
        <v/>
      </c>
      <c r="L296" s="189" t="str">
        <f t="shared" si="98"/>
        <v/>
      </c>
      <c r="M296" s="190"/>
      <c r="N296" s="190"/>
      <c r="O296" s="188" t="str">
        <f t="shared" si="99"/>
        <v/>
      </c>
      <c r="P296" s="191" t="str">
        <f t="shared" si="86"/>
        <v/>
      </c>
      <c r="Q296" s="192" t="str">
        <f t="shared" si="100"/>
        <v/>
      </c>
      <c r="R296" s="191" t="str">
        <f t="shared" si="87"/>
        <v/>
      </c>
      <c r="S296" s="193" t="str">
        <f t="shared" si="101"/>
        <v/>
      </c>
      <c r="T296" s="194" t="str">
        <f t="shared" si="88"/>
        <v/>
      </c>
      <c r="U296" s="192" t="str">
        <f t="shared" si="102"/>
        <v/>
      </c>
      <c r="V296" s="195" t="str">
        <f t="shared" si="89"/>
        <v/>
      </c>
      <c r="W296" s="195" t="str">
        <f t="shared" si="90"/>
        <v/>
      </c>
      <c r="X296" s="196" t="str">
        <f t="shared" si="103"/>
        <v/>
      </c>
      <c r="Y296" s="191" t="str">
        <f t="shared" si="104"/>
        <v/>
      </c>
      <c r="Z296" s="197" t="str">
        <f t="shared" si="91"/>
        <v/>
      </c>
      <c r="AA296" s="197" t="str">
        <f t="shared" si="92"/>
        <v/>
      </c>
      <c r="AB296" s="218"/>
      <c r="AC296" s="205"/>
    </row>
    <row r="297" spans="1:29">
      <c r="A297" s="219" t="str">
        <f t="shared" si="93"/>
        <v/>
      </c>
      <c r="B297" s="219"/>
      <c r="C297" s="184"/>
      <c r="D297" s="185"/>
      <c r="E297" s="185" t="str">
        <f>IF(OR(C297="",C297=Data!$B$3),"",IF(C297=Data!$B$2,"L","S"))</f>
        <v/>
      </c>
      <c r="F297" s="185" t="str">
        <f t="shared" si="94"/>
        <v/>
      </c>
      <c r="G297" s="186" t="str">
        <f t="shared" si="85"/>
        <v/>
      </c>
      <c r="H297" s="187"/>
      <c r="I297" s="188" t="str">
        <f t="shared" si="95"/>
        <v/>
      </c>
      <c r="J297" s="188" t="str">
        <f t="shared" si="96"/>
        <v/>
      </c>
      <c r="K297" s="189" t="str">
        <f t="shared" si="97"/>
        <v/>
      </c>
      <c r="L297" s="189" t="str">
        <f t="shared" si="98"/>
        <v/>
      </c>
      <c r="M297" s="190"/>
      <c r="N297" s="190"/>
      <c r="O297" s="188" t="str">
        <f t="shared" si="99"/>
        <v/>
      </c>
      <c r="P297" s="191" t="str">
        <f t="shared" si="86"/>
        <v/>
      </c>
      <c r="Q297" s="192" t="str">
        <f t="shared" si="100"/>
        <v/>
      </c>
      <c r="R297" s="191" t="str">
        <f t="shared" si="87"/>
        <v/>
      </c>
      <c r="S297" s="193" t="str">
        <f t="shared" si="101"/>
        <v/>
      </c>
      <c r="T297" s="194" t="str">
        <f t="shared" si="88"/>
        <v/>
      </c>
      <c r="U297" s="192" t="str">
        <f t="shared" si="102"/>
        <v/>
      </c>
      <c r="V297" s="195" t="str">
        <f t="shared" si="89"/>
        <v/>
      </c>
      <c r="W297" s="195" t="str">
        <f t="shared" si="90"/>
        <v/>
      </c>
      <c r="X297" s="196" t="str">
        <f t="shared" si="103"/>
        <v/>
      </c>
      <c r="Y297" s="191" t="str">
        <f t="shared" si="104"/>
        <v/>
      </c>
      <c r="Z297" s="197" t="str">
        <f t="shared" si="91"/>
        <v/>
      </c>
      <c r="AA297" s="197" t="str">
        <f t="shared" si="92"/>
        <v/>
      </c>
      <c r="AB297" s="218"/>
      <c r="AC297" s="205"/>
    </row>
    <row r="298" spans="1:29">
      <c r="A298" s="219" t="str">
        <f t="shared" si="93"/>
        <v/>
      </c>
      <c r="B298" s="219"/>
      <c r="C298" s="184"/>
      <c r="D298" s="185"/>
      <c r="E298" s="185" t="str">
        <f>IF(OR(C298="",C298=Data!$B$3),"",IF(C298=Data!$B$2,"L","S"))</f>
        <v/>
      </c>
      <c r="F298" s="185" t="str">
        <f t="shared" si="94"/>
        <v/>
      </c>
      <c r="G298" s="186" t="str">
        <f t="shared" si="85"/>
        <v/>
      </c>
      <c r="H298" s="187"/>
      <c r="I298" s="188" t="str">
        <f t="shared" si="95"/>
        <v/>
      </c>
      <c r="J298" s="188" t="str">
        <f t="shared" si="96"/>
        <v/>
      </c>
      <c r="K298" s="189" t="str">
        <f t="shared" si="97"/>
        <v/>
      </c>
      <c r="L298" s="189" t="str">
        <f t="shared" si="98"/>
        <v/>
      </c>
      <c r="M298" s="190"/>
      <c r="N298" s="190"/>
      <c r="O298" s="188" t="str">
        <f t="shared" si="99"/>
        <v/>
      </c>
      <c r="P298" s="191" t="str">
        <f t="shared" si="86"/>
        <v/>
      </c>
      <c r="Q298" s="192" t="str">
        <f t="shared" si="100"/>
        <v/>
      </c>
      <c r="R298" s="191" t="str">
        <f t="shared" si="87"/>
        <v/>
      </c>
      <c r="S298" s="193" t="str">
        <f t="shared" si="101"/>
        <v/>
      </c>
      <c r="T298" s="194" t="str">
        <f t="shared" si="88"/>
        <v/>
      </c>
      <c r="U298" s="192" t="str">
        <f t="shared" si="102"/>
        <v/>
      </c>
      <c r="V298" s="195" t="str">
        <f t="shared" si="89"/>
        <v/>
      </c>
      <c r="W298" s="195" t="str">
        <f t="shared" si="90"/>
        <v/>
      </c>
      <c r="X298" s="196" t="str">
        <f t="shared" si="103"/>
        <v/>
      </c>
      <c r="Y298" s="191" t="str">
        <f t="shared" si="104"/>
        <v/>
      </c>
      <c r="Z298" s="197" t="str">
        <f t="shared" si="91"/>
        <v/>
      </c>
      <c r="AA298" s="197" t="str">
        <f t="shared" si="92"/>
        <v/>
      </c>
      <c r="AB298" s="218"/>
      <c r="AC298" s="205"/>
    </row>
    <row r="299" spans="1:29">
      <c r="A299" s="219" t="str">
        <f t="shared" si="93"/>
        <v/>
      </c>
      <c r="B299" s="219"/>
      <c r="C299" s="184"/>
      <c r="D299" s="185"/>
      <c r="E299" s="185" t="str">
        <f>IF(OR(C299="",C299=Data!$B$3),"",IF(C299=Data!$B$2,"L","S"))</f>
        <v/>
      </c>
      <c r="F299" s="185" t="str">
        <f t="shared" si="94"/>
        <v/>
      </c>
      <c r="G299" s="186" t="str">
        <f t="shared" si="85"/>
        <v/>
      </c>
      <c r="H299" s="187"/>
      <c r="I299" s="188" t="str">
        <f t="shared" si="95"/>
        <v/>
      </c>
      <c r="J299" s="188" t="str">
        <f t="shared" si="96"/>
        <v/>
      </c>
      <c r="K299" s="189" t="str">
        <f t="shared" si="97"/>
        <v/>
      </c>
      <c r="L299" s="189" t="str">
        <f t="shared" si="98"/>
        <v/>
      </c>
      <c r="M299" s="190"/>
      <c r="N299" s="190"/>
      <c r="O299" s="188" t="str">
        <f t="shared" si="99"/>
        <v/>
      </c>
      <c r="P299" s="191" t="str">
        <f t="shared" si="86"/>
        <v/>
      </c>
      <c r="Q299" s="192" t="str">
        <f t="shared" si="100"/>
        <v/>
      </c>
      <c r="R299" s="191" t="str">
        <f t="shared" si="87"/>
        <v/>
      </c>
      <c r="S299" s="193" t="str">
        <f t="shared" si="101"/>
        <v/>
      </c>
      <c r="T299" s="194" t="str">
        <f t="shared" si="88"/>
        <v/>
      </c>
      <c r="U299" s="192" t="str">
        <f t="shared" si="102"/>
        <v/>
      </c>
      <c r="V299" s="195" t="str">
        <f t="shared" si="89"/>
        <v/>
      </c>
      <c r="W299" s="195" t="str">
        <f t="shared" si="90"/>
        <v/>
      </c>
      <c r="X299" s="196" t="str">
        <f t="shared" si="103"/>
        <v/>
      </c>
      <c r="Y299" s="191" t="str">
        <f t="shared" si="104"/>
        <v/>
      </c>
      <c r="Z299" s="197" t="str">
        <f t="shared" si="91"/>
        <v/>
      </c>
      <c r="AA299" s="197" t="str">
        <f t="shared" si="92"/>
        <v/>
      </c>
      <c r="AB299" s="218"/>
      <c r="AC299" s="205"/>
    </row>
    <row r="300" spans="1:29">
      <c r="A300" s="219" t="str">
        <f t="shared" si="93"/>
        <v/>
      </c>
      <c r="B300" s="219"/>
      <c r="C300" s="184"/>
      <c r="D300" s="185"/>
      <c r="E300" s="185" t="str">
        <f>IF(OR(C300="",C300=Data!$B$3),"",IF(C300=Data!$B$2,"L","S"))</f>
        <v/>
      </c>
      <c r="F300" s="185" t="str">
        <f t="shared" si="94"/>
        <v/>
      </c>
      <c r="G300" s="186" t="str">
        <f t="shared" si="85"/>
        <v/>
      </c>
      <c r="H300" s="187"/>
      <c r="I300" s="188" t="str">
        <f t="shared" si="95"/>
        <v/>
      </c>
      <c r="J300" s="188" t="str">
        <f t="shared" si="96"/>
        <v/>
      </c>
      <c r="K300" s="189" t="str">
        <f t="shared" si="97"/>
        <v/>
      </c>
      <c r="L300" s="189" t="str">
        <f t="shared" si="98"/>
        <v/>
      </c>
      <c r="M300" s="190"/>
      <c r="N300" s="190"/>
      <c r="O300" s="188" t="str">
        <f t="shared" si="99"/>
        <v/>
      </c>
      <c r="P300" s="191" t="str">
        <f t="shared" si="86"/>
        <v/>
      </c>
      <c r="Q300" s="192" t="str">
        <f t="shared" si="100"/>
        <v/>
      </c>
      <c r="R300" s="191" t="str">
        <f t="shared" si="87"/>
        <v/>
      </c>
      <c r="S300" s="193" t="str">
        <f t="shared" si="101"/>
        <v/>
      </c>
      <c r="T300" s="194" t="str">
        <f t="shared" si="88"/>
        <v/>
      </c>
      <c r="U300" s="192" t="str">
        <f t="shared" si="102"/>
        <v/>
      </c>
      <c r="V300" s="195" t="str">
        <f t="shared" si="89"/>
        <v/>
      </c>
      <c r="W300" s="195" t="str">
        <f t="shared" si="90"/>
        <v/>
      </c>
      <c r="X300" s="196" t="str">
        <f t="shared" si="103"/>
        <v/>
      </c>
      <c r="Y300" s="191" t="str">
        <f t="shared" si="104"/>
        <v/>
      </c>
      <c r="Z300" s="197" t="str">
        <f t="shared" si="91"/>
        <v/>
      </c>
      <c r="AA300" s="197" t="str">
        <f t="shared" si="92"/>
        <v/>
      </c>
      <c r="AB300" s="218"/>
      <c r="AC300" s="205"/>
    </row>
    <row r="301" spans="1:29">
      <c r="A301" s="219" t="str">
        <f t="shared" si="93"/>
        <v/>
      </c>
      <c r="B301" s="219"/>
      <c r="C301" s="184"/>
      <c r="D301" s="185"/>
      <c r="E301" s="185" t="str">
        <f>IF(OR(C301="",C301=Data!$B$3),"",IF(C301=Data!$B$2,"L","S"))</f>
        <v/>
      </c>
      <c r="F301" s="185" t="str">
        <f t="shared" si="94"/>
        <v/>
      </c>
      <c r="G301" s="186" t="str">
        <f t="shared" si="85"/>
        <v/>
      </c>
      <c r="H301" s="187"/>
      <c r="I301" s="188" t="str">
        <f t="shared" si="95"/>
        <v/>
      </c>
      <c r="J301" s="188" t="str">
        <f t="shared" si="96"/>
        <v/>
      </c>
      <c r="K301" s="189" t="str">
        <f t="shared" si="97"/>
        <v/>
      </c>
      <c r="L301" s="189" t="str">
        <f t="shared" si="98"/>
        <v/>
      </c>
      <c r="M301" s="190"/>
      <c r="N301" s="190"/>
      <c r="O301" s="188" t="str">
        <f t="shared" si="99"/>
        <v/>
      </c>
      <c r="P301" s="191" t="str">
        <f t="shared" si="86"/>
        <v/>
      </c>
      <c r="Q301" s="192" t="str">
        <f t="shared" si="100"/>
        <v/>
      </c>
      <c r="R301" s="191" t="str">
        <f t="shared" si="87"/>
        <v/>
      </c>
      <c r="S301" s="193" t="str">
        <f t="shared" si="101"/>
        <v/>
      </c>
      <c r="T301" s="194" t="str">
        <f t="shared" si="88"/>
        <v/>
      </c>
      <c r="U301" s="192" t="str">
        <f t="shared" si="102"/>
        <v/>
      </c>
      <c r="V301" s="195" t="str">
        <f t="shared" si="89"/>
        <v/>
      </c>
      <c r="W301" s="195" t="str">
        <f t="shared" si="90"/>
        <v/>
      </c>
      <c r="X301" s="196" t="str">
        <f t="shared" si="103"/>
        <v/>
      </c>
      <c r="Y301" s="191" t="str">
        <f t="shared" si="104"/>
        <v/>
      </c>
      <c r="Z301" s="197" t="str">
        <f t="shared" si="91"/>
        <v/>
      </c>
      <c r="AA301" s="197" t="str">
        <f t="shared" si="92"/>
        <v/>
      </c>
      <c r="AB301" s="218"/>
      <c r="AC301" s="205"/>
    </row>
    <row r="302" spans="1:29">
      <c r="A302" s="219" t="str">
        <f t="shared" si="93"/>
        <v/>
      </c>
      <c r="B302" s="219"/>
      <c r="C302" s="184"/>
      <c r="D302" s="185"/>
      <c r="E302" s="185" t="str">
        <f>IF(OR(C302="",C302=Data!$B$3),"",IF(C302=Data!$B$2,"L","S"))</f>
        <v/>
      </c>
      <c r="F302" s="185" t="str">
        <f t="shared" si="94"/>
        <v/>
      </c>
      <c r="G302" s="186" t="str">
        <f t="shared" si="85"/>
        <v/>
      </c>
      <c r="H302" s="187"/>
      <c r="I302" s="188" t="str">
        <f t="shared" si="95"/>
        <v/>
      </c>
      <c r="J302" s="188" t="str">
        <f t="shared" si="96"/>
        <v/>
      </c>
      <c r="K302" s="189" t="str">
        <f t="shared" si="97"/>
        <v/>
      </c>
      <c r="L302" s="189" t="str">
        <f t="shared" si="98"/>
        <v/>
      </c>
      <c r="M302" s="190"/>
      <c r="N302" s="190"/>
      <c r="O302" s="188" t="str">
        <f t="shared" si="99"/>
        <v/>
      </c>
      <c r="P302" s="191" t="str">
        <f t="shared" si="86"/>
        <v/>
      </c>
      <c r="Q302" s="192" t="str">
        <f t="shared" si="100"/>
        <v/>
      </c>
      <c r="R302" s="191" t="str">
        <f t="shared" si="87"/>
        <v/>
      </c>
      <c r="S302" s="193" t="str">
        <f t="shared" si="101"/>
        <v/>
      </c>
      <c r="T302" s="194" t="str">
        <f t="shared" si="88"/>
        <v/>
      </c>
      <c r="U302" s="192" t="str">
        <f t="shared" si="102"/>
        <v/>
      </c>
      <c r="V302" s="195" t="str">
        <f t="shared" si="89"/>
        <v/>
      </c>
      <c r="W302" s="195" t="str">
        <f t="shared" si="90"/>
        <v/>
      </c>
      <c r="X302" s="196" t="str">
        <f t="shared" si="103"/>
        <v/>
      </c>
      <c r="Y302" s="191" t="str">
        <f t="shared" si="104"/>
        <v/>
      </c>
      <c r="Z302" s="197" t="str">
        <f t="shared" si="91"/>
        <v/>
      </c>
      <c r="AA302" s="197" t="str">
        <f t="shared" si="92"/>
        <v/>
      </c>
      <c r="AB302" s="218"/>
      <c r="AC302" s="205"/>
    </row>
    <row r="303" spans="1:29">
      <c r="A303" s="219" t="str">
        <f t="shared" si="93"/>
        <v/>
      </c>
      <c r="B303" s="219"/>
      <c r="C303" s="184"/>
      <c r="D303" s="185"/>
      <c r="E303" s="185" t="str">
        <f>IF(OR(C303="",C303=Data!$B$3),"",IF(C303=Data!$B$2,"L","S"))</f>
        <v/>
      </c>
      <c r="F303" s="185" t="str">
        <f t="shared" si="94"/>
        <v/>
      </c>
      <c r="G303" s="186" t="str">
        <f t="shared" si="85"/>
        <v/>
      </c>
      <c r="H303" s="187"/>
      <c r="I303" s="188" t="str">
        <f t="shared" si="95"/>
        <v/>
      </c>
      <c r="J303" s="188" t="str">
        <f t="shared" si="96"/>
        <v/>
      </c>
      <c r="K303" s="189" t="str">
        <f t="shared" si="97"/>
        <v/>
      </c>
      <c r="L303" s="189" t="str">
        <f t="shared" si="98"/>
        <v/>
      </c>
      <c r="M303" s="190"/>
      <c r="N303" s="190"/>
      <c r="O303" s="188" t="str">
        <f t="shared" si="99"/>
        <v/>
      </c>
      <c r="P303" s="191" t="str">
        <f t="shared" si="86"/>
        <v/>
      </c>
      <c r="Q303" s="192" t="str">
        <f t="shared" si="100"/>
        <v/>
      </c>
      <c r="R303" s="191" t="str">
        <f t="shared" si="87"/>
        <v/>
      </c>
      <c r="S303" s="193" t="str">
        <f t="shared" si="101"/>
        <v/>
      </c>
      <c r="T303" s="194" t="str">
        <f t="shared" si="88"/>
        <v/>
      </c>
      <c r="U303" s="192" t="str">
        <f t="shared" si="102"/>
        <v/>
      </c>
      <c r="V303" s="195" t="str">
        <f t="shared" si="89"/>
        <v/>
      </c>
      <c r="W303" s="195" t="str">
        <f t="shared" si="90"/>
        <v/>
      </c>
      <c r="X303" s="196" t="str">
        <f t="shared" si="103"/>
        <v/>
      </c>
      <c r="Y303" s="191" t="str">
        <f t="shared" si="104"/>
        <v/>
      </c>
      <c r="Z303" s="197" t="str">
        <f t="shared" si="91"/>
        <v/>
      </c>
      <c r="AA303" s="197" t="str">
        <f t="shared" si="92"/>
        <v/>
      </c>
      <c r="AB303" s="218"/>
      <c r="AC303" s="205"/>
    </row>
    <row r="304" spans="1:29">
      <c r="A304" s="219" t="str">
        <f t="shared" si="93"/>
        <v/>
      </c>
      <c r="B304" s="219"/>
      <c r="C304" s="184"/>
      <c r="D304" s="185"/>
      <c r="E304" s="185" t="str">
        <f>IF(OR(C304="",C304=Data!$B$3),"",IF(C304=Data!$B$2,"L","S"))</f>
        <v/>
      </c>
      <c r="F304" s="185" t="str">
        <f t="shared" si="94"/>
        <v/>
      </c>
      <c r="G304" s="186" t="str">
        <f t="shared" si="85"/>
        <v/>
      </c>
      <c r="H304" s="187"/>
      <c r="I304" s="188" t="str">
        <f t="shared" si="95"/>
        <v/>
      </c>
      <c r="J304" s="188" t="str">
        <f t="shared" si="96"/>
        <v/>
      </c>
      <c r="K304" s="189" t="str">
        <f t="shared" si="97"/>
        <v/>
      </c>
      <c r="L304" s="189" t="str">
        <f t="shared" si="98"/>
        <v/>
      </c>
      <c r="M304" s="190"/>
      <c r="N304" s="190"/>
      <c r="O304" s="188" t="str">
        <f t="shared" si="99"/>
        <v/>
      </c>
      <c r="P304" s="191" t="str">
        <f t="shared" si="86"/>
        <v/>
      </c>
      <c r="Q304" s="192" t="str">
        <f t="shared" si="100"/>
        <v/>
      </c>
      <c r="R304" s="191" t="str">
        <f t="shared" si="87"/>
        <v/>
      </c>
      <c r="S304" s="193" t="str">
        <f t="shared" si="101"/>
        <v/>
      </c>
      <c r="T304" s="194" t="str">
        <f t="shared" si="88"/>
        <v/>
      </c>
      <c r="U304" s="192" t="str">
        <f t="shared" si="102"/>
        <v/>
      </c>
      <c r="V304" s="195" t="str">
        <f t="shared" si="89"/>
        <v/>
      </c>
      <c r="W304" s="195" t="str">
        <f t="shared" si="90"/>
        <v/>
      </c>
      <c r="X304" s="196" t="str">
        <f t="shared" si="103"/>
        <v/>
      </c>
      <c r="Y304" s="191" t="str">
        <f t="shared" si="104"/>
        <v/>
      </c>
      <c r="Z304" s="197" t="str">
        <f t="shared" si="91"/>
        <v/>
      </c>
      <c r="AA304" s="197" t="str">
        <f t="shared" si="92"/>
        <v/>
      </c>
      <c r="AB304" s="218"/>
      <c r="AC304" s="205"/>
    </row>
    <row r="305" spans="1:29">
      <c r="A305" s="219" t="str">
        <f t="shared" si="93"/>
        <v/>
      </c>
      <c r="B305" s="219"/>
      <c r="C305" s="184"/>
      <c r="D305" s="185"/>
      <c r="E305" s="185" t="str">
        <f>IF(OR(C305="",C305=Data!$B$3),"",IF(C305=Data!$B$2,"L","S"))</f>
        <v/>
      </c>
      <c r="F305" s="185" t="str">
        <f t="shared" si="94"/>
        <v/>
      </c>
      <c r="G305" s="186" t="str">
        <f t="shared" si="85"/>
        <v/>
      </c>
      <c r="H305" s="187"/>
      <c r="I305" s="188" t="str">
        <f t="shared" si="95"/>
        <v/>
      </c>
      <c r="J305" s="188" t="str">
        <f t="shared" si="96"/>
        <v/>
      </c>
      <c r="K305" s="189" t="str">
        <f t="shared" si="97"/>
        <v/>
      </c>
      <c r="L305" s="189" t="str">
        <f t="shared" si="98"/>
        <v/>
      </c>
      <c r="M305" s="190"/>
      <c r="N305" s="190"/>
      <c r="O305" s="188" t="str">
        <f t="shared" si="99"/>
        <v/>
      </c>
      <c r="P305" s="191" t="str">
        <f t="shared" si="86"/>
        <v/>
      </c>
      <c r="Q305" s="192" t="str">
        <f t="shared" si="100"/>
        <v/>
      </c>
      <c r="R305" s="191" t="str">
        <f t="shared" si="87"/>
        <v/>
      </c>
      <c r="S305" s="193" t="str">
        <f t="shared" si="101"/>
        <v/>
      </c>
      <c r="T305" s="194" t="str">
        <f t="shared" si="88"/>
        <v/>
      </c>
      <c r="U305" s="192" t="str">
        <f t="shared" si="102"/>
        <v/>
      </c>
      <c r="V305" s="195" t="str">
        <f t="shared" si="89"/>
        <v/>
      </c>
      <c r="W305" s="195" t="str">
        <f t="shared" si="90"/>
        <v/>
      </c>
      <c r="X305" s="196" t="str">
        <f t="shared" si="103"/>
        <v/>
      </c>
      <c r="Y305" s="191" t="str">
        <f t="shared" si="104"/>
        <v/>
      </c>
      <c r="Z305" s="197" t="str">
        <f t="shared" si="91"/>
        <v/>
      </c>
      <c r="AA305" s="197" t="str">
        <f t="shared" si="92"/>
        <v/>
      </c>
      <c r="AB305" s="218"/>
      <c r="AC305" s="205"/>
    </row>
    <row r="306" spans="1:29">
      <c r="A306" s="219" t="str">
        <f t="shared" si="93"/>
        <v/>
      </c>
      <c r="B306" s="219"/>
      <c r="C306" s="184"/>
      <c r="D306" s="185"/>
      <c r="E306" s="185" t="str">
        <f>IF(OR(C306="",C306=Data!$B$3),"",IF(C306=Data!$B$2,"L","S"))</f>
        <v/>
      </c>
      <c r="F306" s="185" t="str">
        <f t="shared" si="94"/>
        <v/>
      </c>
      <c r="G306" s="186" t="str">
        <f t="shared" si="85"/>
        <v/>
      </c>
      <c r="H306" s="187"/>
      <c r="I306" s="188" t="str">
        <f t="shared" si="95"/>
        <v/>
      </c>
      <c r="J306" s="188" t="str">
        <f t="shared" si="96"/>
        <v/>
      </c>
      <c r="K306" s="189" t="str">
        <f t="shared" si="97"/>
        <v/>
      </c>
      <c r="L306" s="189" t="str">
        <f t="shared" si="98"/>
        <v/>
      </c>
      <c r="M306" s="190"/>
      <c r="N306" s="190"/>
      <c r="O306" s="188" t="str">
        <f t="shared" si="99"/>
        <v/>
      </c>
      <c r="P306" s="191" t="str">
        <f t="shared" si="86"/>
        <v/>
      </c>
      <c r="Q306" s="192" t="str">
        <f t="shared" si="100"/>
        <v/>
      </c>
      <c r="R306" s="191" t="str">
        <f t="shared" si="87"/>
        <v/>
      </c>
      <c r="S306" s="193" t="str">
        <f t="shared" si="101"/>
        <v/>
      </c>
      <c r="T306" s="194" t="str">
        <f t="shared" si="88"/>
        <v/>
      </c>
      <c r="U306" s="192" t="str">
        <f t="shared" si="102"/>
        <v/>
      </c>
      <c r="V306" s="195" t="str">
        <f t="shared" si="89"/>
        <v/>
      </c>
      <c r="W306" s="195" t="str">
        <f t="shared" si="90"/>
        <v/>
      </c>
      <c r="X306" s="196" t="str">
        <f t="shared" si="103"/>
        <v/>
      </c>
      <c r="Y306" s="191" t="str">
        <f t="shared" si="104"/>
        <v/>
      </c>
      <c r="Z306" s="197" t="str">
        <f t="shared" si="91"/>
        <v/>
      </c>
      <c r="AA306" s="197" t="str">
        <f t="shared" si="92"/>
        <v/>
      </c>
      <c r="AB306" s="218"/>
      <c r="AC306" s="205"/>
    </row>
    <row r="307" spans="1:29">
      <c r="A307" s="219" t="str">
        <f t="shared" si="93"/>
        <v/>
      </c>
      <c r="B307" s="219"/>
      <c r="C307" s="184"/>
      <c r="D307" s="185"/>
      <c r="E307" s="185" t="str">
        <f>IF(OR(C307="",C307=Data!$B$3),"",IF(C307=Data!$B$2,"L","S"))</f>
        <v/>
      </c>
      <c r="F307" s="185" t="str">
        <f t="shared" si="94"/>
        <v/>
      </c>
      <c r="G307" s="186" t="str">
        <f t="shared" si="85"/>
        <v/>
      </c>
      <c r="H307" s="187"/>
      <c r="I307" s="188" t="str">
        <f t="shared" si="95"/>
        <v/>
      </c>
      <c r="J307" s="188" t="str">
        <f t="shared" si="96"/>
        <v/>
      </c>
      <c r="K307" s="189" t="str">
        <f t="shared" si="97"/>
        <v/>
      </c>
      <c r="L307" s="189" t="str">
        <f t="shared" si="98"/>
        <v/>
      </c>
      <c r="M307" s="190"/>
      <c r="N307" s="190"/>
      <c r="O307" s="188" t="str">
        <f t="shared" si="99"/>
        <v/>
      </c>
      <c r="P307" s="191" t="str">
        <f t="shared" si="86"/>
        <v/>
      </c>
      <c r="Q307" s="192" t="str">
        <f t="shared" si="100"/>
        <v/>
      </c>
      <c r="R307" s="191" t="str">
        <f t="shared" si="87"/>
        <v/>
      </c>
      <c r="S307" s="193" t="str">
        <f t="shared" si="101"/>
        <v/>
      </c>
      <c r="T307" s="194" t="str">
        <f t="shared" si="88"/>
        <v/>
      </c>
      <c r="U307" s="192" t="str">
        <f t="shared" si="102"/>
        <v/>
      </c>
      <c r="V307" s="195" t="str">
        <f t="shared" si="89"/>
        <v/>
      </c>
      <c r="W307" s="195" t="str">
        <f t="shared" si="90"/>
        <v/>
      </c>
      <c r="X307" s="196" t="str">
        <f t="shared" si="103"/>
        <v/>
      </c>
      <c r="Y307" s="191" t="str">
        <f t="shared" si="104"/>
        <v/>
      </c>
      <c r="Z307" s="197" t="str">
        <f t="shared" si="91"/>
        <v/>
      </c>
      <c r="AA307" s="197" t="str">
        <f t="shared" si="92"/>
        <v/>
      </c>
      <c r="AB307" s="218"/>
      <c r="AC307" s="205"/>
    </row>
    <row r="308" spans="1:29">
      <c r="A308" s="219" t="str">
        <f t="shared" si="93"/>
        <v/>
      </c>
      <c r="B308" s="219"/>
      <c r="C308" s="184"/>
      <c r="D308" s="185"/>
      <c r="E308" s="185" t="str">
        <f>IF(OR(C308="",C308=Data!$B$3),"",IF(C308=Data!$B$2,"L","S"))</f>
        <v/>
      </c>
      <c r="F308" s="185" t="str">
        <f t="shared" si="94"/>
        <v/>
      </c>
      <c r="G308" s="186" t="str">
        <f t="shared" si="85"/>
        <v/>
      </c>
      <c r="H308" s="187"/>
      <c r="I308" s="188" t="str">
        <f t="shared" si="95"/>
        <v/>
      </c>
      <c r="J308" s="188" t="str">
        <f t="shared" si="96"/>
        <v/>
      </c>
      <c r="K308" s="189" t="str">
        <f t="shared" si="97"/>
        <v/>
      </c>
      <c r="L308" s="189" t="str">
        <f t="shared" si="98"/>
        <v/>
      </c>
      <c r="M308" s="190"/>
      <c r="N308" s="190"/>
      <c r="O308" s="188" t="str">
        <f t="shared" si="99"/>
        <v/>
      </c>
      <c r="P308" s="191" t="str">
        <f t="shared" si="86"/>
        <v/>
      </c>
      <c r="Q308" s="192" t="str">
        <f t="shared" si="100"/>
        <v/>
      </c>
      <c r="R308" s="191" t="str">
        <f t="shared" si="87"/>
        <v/>
      </c>
      <c r="S308" s="193" t="str">
        <f t="shared" si="101"/>
        <v/>
      </c>
      <c r="T308" s="194" t="str">
        <f t="shared" si="88"/>
        <v/>
      </c>
      <c r="U308" s="192" t="str">
        <f t="shared" si="102"/>
        <v/>
      </c>
      <c r="V308" s="195" t="str">
        <f t="shared" si="89"/>
        <v/>
      </c>
      <c r="W308" s="195" t="str">
        <f t="shared" si="90"/>
        <v/>
      </c>
      <c r="X308" s="196" t="str">
        <f t="shared" si="103"/>
        <v/>
      </c>
      <c r="Y308" s="191" t="str">
        <f t="shared" si="104"/>
        <v/>
      </c>
      <c r="Z308" s="197" t="str">
        <f t="shared" si="91"/>
        <v/>
      </c>
      <c r="AA308" s="197" t="str">
        <f t="shared" si="92"/>
        <v/>
      </c>
      <c r="AB308" s="218"/>
      <c r="AC308" s="205"/>
    </row>
    <row r="309" spans="1:29">
      <c r="A309" s="219" t="str">
        <f t="shared" si="93"/>
        <v/>
      </c>
      <c r="B309" s="219"/>
      <c r="C309" s="184"/>
      <c r="D309" s="185"/>
      <c r="E309" s="185" t="str">
        <f>IF(OR(C309="",C309=Data!$B$3),"",IF(C309=Data!$B$2,"L","S"))</f>
        <v/>
      </c>
      <c r="F309" s="185" t="str">
        <f t="shared" si="94"/>
        <v/>
      </c>
      <c r="G309" s="186" t="str">
        <f t="shared" si="85"/>
        <v/>
      </c>
      <c r="H309" s="187"/>
      <c r="I309" s="188" t="str">
        <f t="shared" si="95"/>
        <v/>
      </c>
      <c r="J309" s="188" t="str">
        <f t="shared" si="96"/>
        <v/>
      </c>
      <c r="K309" s="189" t="str">
        <f t="shared" si="97"/>
        <v/>
      </c>
      <c r="L309" s="189" t="str">
        <f t="shared" si="98"/>
        <v/>
      </c>
      <c r="M309" s="190"/>
      <c r="N309" s="190"/>
      <c r="O309" s="188" t="str">
        <f t="shared" si="99"/>
        <v/>
      </c>
      <c r="P309" s="191" t="str">
        <f t="shared" si="86"/>
        <v/>
      </c>
      <c r="Q309" s="192" t="str">
        <f t="shared" si="100"/>
        <v/>
      </c>
      <c r="R309" s="191" t="str">
        <f t="shared" si="87"/>
        <v/>
      </c>
      <c r="S309" s="193" t="str">
        <f t="shared" si="101"/>
        <v/>
      </c>
      <c r="T309" s="194" t="str">
        <f t="shared" si="88"/>
        <v/>
      </c>
      <c r="U309" s="192" t="str">
        <f t="shared" si="102"/>
        <v/>
      </c>
      <c r="V309" s="195" t="str">
        <f t="shared" si="89"/>
        <v/>
      </c>
      <c r="W309" s="195" t="str">
        <f t="shared" si="90"/>
        <v/>
      </c>
      <c r="X309" s="196" t="str">
        <f t="shared" si="103"/>
        <v/>
      </c>
      <c r="Y309" s="191" t="str">
        <f t="shared" si="104"/>
        <v/>
      </c>
      <c r="Z309" s="197" t="str">
        <f t="shared" si="91"/>
        <v/>
      </c>
      <c r="AA309" s="197" t="str">
        <f t="shared" si="92"/>
        <v/>
      </c>
      <c r="AB309" s="218"/>
      <c r="AC309" s="205"/>
    </row>
    <row r="310" spans="1:29">
      <c r="A310" s="219" t="str">
        <f t="shared" si="93"/>
        <v/>
      </c>
      <c r="B310" s="219"/>
      <c r="C310" s="184"/>
      <c r="D310" s="185"/>
      <c r="E310" s="185" t="str">
        <f>IF(OR(C310="",C310=Data!$B$3),"",IF(C310=Data!$B$2,"L","S"))</f>
        <v/>
      </c>
      <c r="F310" s="185" t="str">
        <f t="shared" si="94"/>
        <v/>
      </c>
      <c r="G310" s="186" t="str">
        <f t="shared" si="85"/>
        <v/>
      </c>
      <c r="H310" s="187"/>
      <c r="I310" s="188" t="str">
        <f t="shared" si="95"/>
        <v/>
      </c>
      <c r="J310" s="188" t="str">
        <f t="shared" si="96"/>
        <v/>
      </c>
      <c r="K310" s="189" t="str">
        <f t="shared" si="97"/>
        <v/>
      </c>
      <c r="L310" s="189" t="str">
        <f t="shared" si="98"/>
        <v/>
      </c>
      <c r="M310" s="190"/>
      <c r="N310" s="190"/>
      <c r="O310" s="188" t="str">
        <f t="shared" si="99"/>
        <v/>
      </c>
      <c r="P310" s="191" t="str">
        <f t="shared" si="86"/>
        <v/>
      </c>
      <c r="Q310" s="192" t="str">
        <f t="shared" si="100"/>
        <v/>
      </c>
      <c r="R310" s="191" t="str">
        <f t="shared" si="87"/>
        <v/>
      </c>
      <c r="S310" s="193" t="str">
        <f t="shared" si="101"/>
        <v/>
      </c>
      <c r="T310" s="194" t="str">
        <f t="shared" si="88"/>
        <v/>
      </c>
      <c r="U310" s="192" t="str">
        <f t="shared" si="102"/>
        <v/>
      </c>
      <c r="V310" s="195" t="str">
        <f t="shared" si="89"/>
        <v/>
      </c>
      <c r="W310" s="195" t="str">
        <f t="shared" si="90"/>
        <v/>
      </c>
      <c r="X310" s="196" t="str">
        <f t="shared" si="103"/>
        <v/>
      </c>
      <c r="Y310" s="191" t="str">
        <f t="shared" si="104"/>
        <v/>
      </c>
      <c r="Z310" s="197" t="str">
        <f t="shared" si="91"/>
        <v/>
      </c>
      <c r="AA310" s="197" t="str">
        <f t="shared" si="92"/>
        <v/>
      </c>
      <c r="AB310" s="218"/>
      <c r="AC310" s="205"/>
    </row>
    <row r="311" spans="1:29">
      <c r="A311" s="219" t="str">
        <f t="shared" si="93"/>
        <v/>
      </c>
      <c r="B311" s="219"/>
      <c r="C311" s="184"/>
      <c r="D311" s="185"/>
      <c r="E311" s="185" t="str">
        <f>IF(OR(C311="",C311=Data!$B$3),"",IF(C311=Data!$B$2,"L","S"))</f>
        <v/>
      </c>
      <c r="F311" s="185" t="str">
        <f t="shared" si="94"/>
        <v/>
      </c>
      <c r="G311" s="186" t="str">
        <f t="shared" si="85"/>
        <v/>
      </c>
      <c r="H311" s="187"/>
      <c r="I311" s="188" t="str">
        <f t="shared" si="95"/>
        <v/>
      </c>
      <c r="J311" s="188" t="str">
        <f t="shared" si="96"/>
        <v/>
      </c>
      <c r="K311" s="189" t="str">
        <f t="shared" si="97"/>
        <v/>
      </c>
      <c r="L311" s="189" t="str">
        <f t="shared" si="98"/>
        <v/>
      </c>
      <c r="M311" s="190"/>
      <c r="N311" s="190"/>
      <c r="O311" s="188" t="str">
        <f t="shared" si="99"/>
        <v/>
      </c>
      <c r="P311" s="191" t="str">
        <f t="shared" si="86"/>
        <v/>
      </c>
      <c r="Q311" s="192" t="str">
        <f t="shared" si="100"/>
        <v/>
      </c>
      <c r="R311" s="191" t="str">
        <f t="shared" si="87"/>
        <v/>
      </c>
      <c r="S311" s="193" t="str">
        <f t="shared" si="101"/>
        <v/>
      </c>
      <c r="T311" s="194" t="str">
        <f t="shared" si="88"/>
        <v/>
      </c>
      <c r="U311" s="192" t="str">
        <f t="shared" si="102"/>
        <v/>
      </c>
      <c r="V311" s="195" t="str">
        <f t="shared" si="89"/>
        <v/>
      </c>
      <c r="W311" s="195" t="str">
        <f t="shared" si="90"/>
        <v/>
      </c>
      <c r="X311" s="196" t="str">
        <f t="shared" si="103"/>
        <v/>
      </c>
      <c r="Y311" s="191" t="str">
        <f t="shared" si="104"/>
        <v/>
      </c>
      <c r="Z311" s="197" t="str">
        <f t="shared" si="91"/>
        <v/>
      </c>
      <c r="AA311" s="197" t="str">
        <f t="shared" si="92"/>
        <v/>
      </c>
      <c r="AB311" s="218"/>
      <c r="AC311" s="205"/>
    </row>
    <row r="312" spans="1:29">
      <c r="A312" s="219" t="str">
        <f t="shared" si="93"/>
        <v/>
      </c>
      <c r="B312" s="219"/>
      <c r="C312" s="184"/>
      <c r="D312" s="185"/>
      <c r="E312" s="185" t="str">
        <f>IF(OR(C312="",C312=Data!$B$3),"",IF(C312=Data!$B$2,"L","S"))</f>
        <v/>
      </c>
      <c r="F312" s="185" t="str">
        <f t="shared" si="94"/>
        <v/>
      </c>
      <c r="G312" s="186" t="str">
        <f t="shared" si="85"/>
        <v/>
      </c>
      <c r="H312" s="187"/>
      <c r="I312" s="188" t="str">
        <f t="shared" si="95"/>
        <v/>
      </c>
      <c r="J312" s="188" t="str">
        <f t="shared" si="96"/>
        <v/>
      </c>
      <c r="K312" s="189" t="str">
        <f t="shared" si="97"/>
        <v/>
      </c>
      <c r="L312" s="189" t="str">
        <f t="shared" si="98"/>
        <v/>
      </c>
      <c r="M312" s="190"/>
      <c r="N312" s="190"/>
      <c r="O312" s="188" t="str">
        <f t="shared" si="99"/>
        <v/>
      </c>
      <c r="P312" s="191" t="str">
        <f t="shared" si="86"/>
        <v/>
      </c>
      <c r="Q312" s="192" t="str">
        <f t="shared" si="100"/>
        <v/>
      </c>
      <c r="R312" s="191" t="str">
        <f t="shared" si="87"/>
        <v/>
      </c>
      <c r="S312" s="193" t="str">
        <f t="shared" si="101"/>
        <v/>
      </c>
      <c r="T312" s="194" t="str">
        <f t="shared" si="88"/>
        <v/>
      </c>
      <c r="U312" s="192" t="str">
        <f t="shared" si="102"/>
        <v/>
      </c>
      <c r="V312" s="195" t="str">
        <f t="shared" si="89"/>
        <v/>
      </c>
      <c r="W312" s="195" t="str">
        <f t="shared" si="90"/>
        <v/>
      </c>
      <c r="X312" s="196" t="str">
        <f t="shared" si="103"/>
        <v/>
      </c>
      <c r="Y312" s="191" t="str">
        <f t="shared" si="104"/>
        <v/>
      </c>
      <c r="Z312" s="197" t="str">
        <f t="shared" si="91"/>
        <v/>
      </c>
      <c r="AA312" s="197" t="str">
        <f t="shared" si="92"/>
        <v/>
      </c>
      <c r="AB312" s="218"/>
      <c r="AC312" s="205"/>
    </row>
    <row r="313" spans="1:29">
      <c r="A313" s="219" t="str">
        <f t="shared" si="93"/>
        <v/>
      </c>
      <c r="B313" s="219"/>
      <c r="C313" s="184"/>
      <c r="D313" s="185"/>
      <c r="E313" s="185" t="str">
        <f>IF(OR(C313="",C313=Data!$B$3),"",IF(C313=Data!$B$2,"L","S"))</f>
        <v/>
      </c>
      <c r="F313" s="185" t="str">
        <f t="shared" si="94"/>
        <v/>
      </c>
      <c r="G313" s="186" t="str">
        <f t="shared" si="85"/>
        <v/>
      </c>
      <c r="H313" s="187"/>
      <c r="I313" s="188" t="str">
        <f t="shared" si="95"/>
        <v/>
      </c>
      <c r="J313" s="188" t="str">
        <f t="shared" si="96"/>
        <v/>
      </c>
      <c r="K313" s="189" t="str">
        <f t="shared" si="97"/>
        <v/>
      </c>
      <c r="L313" s="189" t="str">
        <f t="shared" si="98"/>
        <v/>
      </c>
      <c r="M313" s="190"/>
      <c r="N313" s="190"/>
      <c r="O313" s="188" t="str">
        <f t="shared" si="99"/>
        <v/>
      </c>
      <c r="P313" s="191" t="str">
        <f t="shared" si="86"/>
        <v/>
      </c>
      <c r="Q313" s="192" t="str">
        <f t="shared" si="100"/>
        <v/>
      </c>
      <c r="R313" s="191" t="str">
        <f t="shared" si="87"/>
        <v/>
      </c>
      <c r="S313" s="193" t="str">
        <f t="shared" si="101"/>
        <v/>
      </c>
      <c r="T313" s="194" t="str">
        <f t="shared" si="88"/>
        <v/>
      </c>
      <c r="U313" s="192" t="str">
        <f t="shared" si="102"/>
        <v/>
      </c>
      <c r="V313" s="195" t="str">
        <f t="shared" si="89"/>
        <v/>
      </c>
      <c r="W313" s="195" t="str">
        <f t="shared" si="90"/>
        <v/>
      </c>
      <c r="X313" s="196" t="str">
        <f t="shared" si="103"/>
        <v/>
      </c>
      <c r="Y313" s="191" t="str">
        <f t="shared" si="104"/>
        <v/>
      </c>
      <c r="Z313" s="197" t="str">
        <f t="shared" si="91"/>
        <v/>
      </c>
      <c r="AA313" s="197" t="str">
        <f t="shared" si="92"/>
        <v/>
      </c>
      <c r="AB313" s="218"/>
      <c r="AC313" s="205"/>
    </row>
    <row r="314" spans="1:29">
      <c r="A314" s="219" t="str">
        <f t="shared" si="93"/>
        <v/>
      </c>
      <c r="B314" s="219"/>
      <c r="C314" s="184"/>
      <c r="D314" s="185"/>
      <c r="E314" s="185" t="str">
        <f>IF(OR(C314="",C314=Data!$B$3),"",IF(C314=Data!$B$2,"L","S"))</f>
        <v/>
      </c>
      <c r="F314" s="185" t="str">
        <f t="shared" si="94"/>
        <v/>
      </c>
      <c r="G314" s="186" t="str">
        <f t="shared" si="85"/>
        <v/>
      </c>
      <c r="H314" s="187"/>
      <c r="I314" s="188" t="str">
        <f t="shared" si="95"/>
        <v/>
      </c>
      <c r="J314" s="188" t="str">
        <f t="shared" si="96"/>
        <v/>
      </c>
      <c r="K314" s="189" t="str">
        <f t="shared" si="97"/>
        <v/>
      </c>
      <c r="L314" s="189" t="str">
        <f t="shared" si="98"/>
        <v/>
      </c>
      <c r="M314" s="190"/>
      <c r="N314" s="190"/>
      <c r="O314" s="188" t="str">
        <f t="shared" si="99"/>
        <v/>
      </c>
      <c r="P314" s="191" t="str">
        <f t="shared" si="86"/>
        <v/>
      </c>
      <c r="Q314" s="192" t="str">
        <f t="shared" si="100"/>
        <v/>
      </c>
      <c r="R314" s="191" t="str">
        <f t="shared" si="87"/>
        <v/>
      </c>
      <c r="S314" s="193" t="str">
        <f t="shared" si="101"/>
        <v/>
      </c>
      <c r="T314" s="194" t="str">
        <f t="shared" si="88"/>
        <v/>
      </c>
      <c r="U314" s="192" t="str">
        <f t="shared" si="102"/>
        <v/>
      </c>
      <c r="V314" s="195" t="str">
        <f t="shared" si="89"/>
        <v/>
      </c>
      <c r="W314" s="195" t="str">
        <f t="shared" si="90"/>
        <v/>
      </c>
      <c r="X314" s="196" t="str">
        <f t="shared" si="103"/>
        <v/>
      </c>
      <c r="Y314" s="191" t="str">
        <f t="shared" si="104"/>
        <v/>
      </c>
      <c r="Z314" s="197" t="str">
        <f t="shared" si="91"/>
        <v/>
      </c>
      <c r="AA314" s="197" t="str">
        <f t="shared" si="92"/>
        <v/>
      </c>
      <c r="AB314" s="218"/>
      <c r="AC314" s="205"/>
    </row>
    <row r="315" spans="1:29">
      <c r="A315" s="219" t="str">
        <f t="shared" si="93"/>
        <v/>
      </c>
      <c r="B315" s="219"/>
      <c r="C315" s="184"/>
      <c r="D315" s="185"/>
      <c r="E315" s="185" t="str">
        <f>IF(OR(C315="",C315=Data!$B$3),"",IF(C315=Data!$B$2,"L","S"))</f>
        <v/>
      </c>
      <c r="F315" s="185" t="str">
        <f t="shared" si="94"/>
        <v/>
      </c>
      <c r="G315" s="186" t="str">
        <f t="shared" si="85"/>
        <v/>
      </c>
      <c r="H315" s="187"/>
      <c r="I315" s="188" t="str">
        <f t="shared" si="95"/>
        <v/>
      </c>
      <c r="J315" s="188" t="str">
        <f t="shared" si="96"/>
        <v/>
      </c>
      <c r="K315" s="189" t="str">
        <f t="shared" si="97"/>
        <v/>
      </c>
      <c r="L315" s="189" t="str">
        <f t="shared" si="98"/>
        <v/>
      </c>
      <c r="M315" s="190"/>
      <c r="N315" s="190"/>
      <c r="O315" s="188" t="str">
        <f t="shared" si="99"/>
        <v/>
      </c>
      <c r="P315" s="191" t="str">
        <f t="shared" si="86"/>
        <v/>
      </c>
      <c r="Q315" s="192" t="str">
        <f t="shared" si="100"/>
        <v/>
      </c>
      <c r="R315" s="191" t="str">
        <f t="shared" si="87"/>
        <v/>
      </c>
      <c r="S315" s="193" t="str">
        <f t="shared" si="101"/>
        <v/>
      </c>
      <c r="T315" s="194" t="str">
        <f t="shared" si="88"/>
        <v/>
      </c>
      <c r="U315" s="192" t="str">
        <f t="shared" si="102"/>
        <v/>
      </c>
      <c r="V315" s="195" t="str">
        <f t="shared" si="89"/>
        <v/>
      </c>
      <c r="W315" s="195" t="str">
        <f t="shared" si="90"/>
        <v/>
      </c>
      <c r="X315" s="196" t="str">
        <f t="shared" si="103"/>
        <v/>
      </c>
      <c r="Y315" s="191" t="str">
        <f t="shared" si="104"/>
        <v/>
      </c>
      <c r="Z315" s="197" t="str">
        <f t="shared" si="91"/>
        <v/>
      </c>
      <c r="AA315" s="197" t="str">
        <f t="shared" si="92"/>
        <v/>
      </c>
      <c r="AB315" s="218"/>
      <c r="AC315" s="205"/>
    </row>
    <row r="316" spans="1:29">
      <c r="A316" s="219" t="str">
        <f t="shared" si="93"/>
        <v/>
      </c>
      <c r="B316" s="219"/>
      <c r="C316" s="184"/>
      <c r="D316" s="185"/>
      <c r="E316" s="185" t="str">
        <f>IF(OR(C316="",C316=Data!$B$3),"",IF(C316=Data!$B$2,"L","S"))</f>
        <v/>
      </c>
      <c r="F316" s="185" t="str">
        <f t="shared" si="94"/>
        <v/>
      </c>
      <c r="G316" s="186" t="str">
        <f t="shared" si="85"/>
        <v/>
      </c>
      <c r="H316" s="187"/>
      <c r="I316" s="188" t="str">
        <f t="shared" si="95"/>
        <v/>
      </c>
      <c r="J316" s="188" t="str">
        <f t="shared" si="96"/>
        <v/>
      </c>
      <c r="K316" s="189" t="str">
        <f t="shared" si="97"/>
        <v/>
      </c>
      <c r="L316" s="189" t="str">
        <f t="shared" si="98"/>
        <v/>
      </c>
      <c r="M316" s="190"/>
      <c r="N316" s="190"/>
      <c r="O316" s="188" t="str">
        <f t="shared" si="99"/>
        <v/>
      </c>
      <c r="P316" s="191" t="str">
        <f t="shared" si="86"/>
        <v/>
      </c>
      <c r="Q316" s="192" t="str">
        <f t="shared" si="100"/>
        <v/>
      </c>
      <c r="R316" s="191" t="str">
        <f t="shared" si="87"/>
        <v/>
      </c>
      <c r="S316" s="193" t="str">
        <f t="shared" si="101"/>
        <v/>
      </c>
      <c r="T316" s="194" t="str">
        <f t="shared" si="88"/>
        <v/>
      </c>
      <c r="U316" s="192" t="str">
        <f t="shared" si="102"/>
        <v/>
      </c>
      <c r="V316" s="195" t="str">
        <f t="shared" si="89"/>
        <v/>
      </c>
      <c r="W316" s="195" t="str">
        <f t="shared" si="90"/>
        <v/>
      </c>
      <c r="X316" s="196" t="str">
        <f t="shared" si="103"/>
        <v/>
      </c>
      <c r="Y316" s="191" t="str">
        <f t="shared" si="104"/>
        <v/>
      </c>
      <c r="Z316" s="197" t="str">
        <f t="shared" si="91"/>
        <v/>
      </c>
      <c r="AA316" s="197" t="str">
        <f t="shared" si="92"/>
        <v/>
      </c>
      <c r="AB316" s="218"/>
      <c r="AC316" s="205"/>
    </row>
    <row r="317" spans="1:29">
      <c r="A317" s="219" t="str">
        <f t="shared" si="93"/>
        <v/>
      </c>
      <c r="B317" s="219"/>
      <c r="C317" s="184"/>
      <c r="D317" s="185"/>
      <c r="E317" s="185" t="str">
        <f>IF(OR(C317="",C317=Data!$B$3),"",IF(C317=Data!$B$2,"L","S"))</f>
        <v/>
      </c>
      <c r="F317" s="185" t="str">
        <f t="shared" si="94"/>
        <v/>
      </c>
      <c r="G317" s="186" t="str">
        <f t="shared" si="85"/>
        <v/>
      </c>
      <c r="H317" s="187"/>
      <c r="I317" s="188" t="str">
        <f t="shared" si="95"/>
        <v/>
      </c>
      <c r="J317" s="188" t="str">
        <f t="shared" si="96"/>
        <v/>
      </c>
      <c r="K317" s="189" t="str">
        <f t="shared" si="97"/>
        <v/>
      </c>
      <c r="L317" s="189" t="str">
        <f t="shared" si="98"/>
        <v/>
      </c>
      <c r="M317" s="190"/>
      <c r="N317" s="190"/>
      <c r="O317" s="188" t="str">
        <f t="shared" si="99"/>
        <v/>
      </c>
      <c r="P317" s="191" t="str">
        <f t="shared" si="86"/>
        <v/>
      </c>
      <c r="Q317" s="192" t="str">
        <f t="shared" si="100"/>
        <v/>
      </c>
      <c r="R317" s="191" t="str">
        <f t="shared" si="87"/>
        <v/>
      </c>
      <c r="S317" s="193" t="str">
        <f t="shared" si="101"/>
        <v/>
      </c>
      <c r="T317" s="194" t="str">
        <f t="shared" si="88"/>
        <v/>
      </c>
      <c r="U317" s="192" t="str">
        <f t="shared" si="102"/>
        <v/>
      </c>
      <c r="V317" s="195" t="str">
        <f t="shared" si="89"/>
        <v/>
      </c>
      <c r="W317" s="195" t="str">
        <f t="shared" si="90"/>
        <v/>
      </c>
      <c r="X317" s="196" t="str">
        <f t="shared" si="103"/>
        <v/>
      </c>
      <c r="Y317" s="191" t="str">
        <f t="shared" si="104"/>
        <v/>
      </c>
      <c r="Z317" s="197" t="str">
        <f t="shared" si="91"/>
        <v/>
      </c>
      <c r="AA317" s="197" t="str">
        <f t="shared" si="92"/>
        <v/>
      </c>
      <c r="AB317" s="218"/>
      <c r="AC317" s="205"/>
    </row>
    <row r="318" spans="1:29">
      <c r="A318" s="219" t="str">
        <f t="shared" si="93"/>
        <v/>
      </c>
      <c r="B318" s="219"/>
      <c r="C318" s="184"/>
      <c r="D318" s="185"/>
      <c r="E318" s="185" t="str">
        <f>IF(OR(C318="",C318=Data!$B$3),"",IF(C318=Data!$B$2,"L","S"))</f>
        <v/>
      </c>
      <c r="F318" s="185" t="str">
        <f t="shared" si="94"/>
        <v/>
      </c>
      <c r="G318" s="186" t="str">
        <f t="shared" si="85"/>
        <v/>
      </c>
      <c r="H318" s="187"/>
      <c r="I318" s="188" t="str">
        <f t="shared" si="95"/>
        <v/>
      </c>
      <c r="J318" s="188" t="str">
        <f t="shared" si="96"/>
        <v/>
      </c>
      <c r="K318" s="189" t="str">
        <f t="shared" si="97"/>
        <v/>
      </c>
      <c r="L318" s="189" t="str">
        <f t="shared" si="98"/>
        <v/>
      </c>
      <c r="M318" s="190"/>
      <c r="N318" s="190"/>
      <c r="O318" s="188" t="str">
        <f t="shared" si="99"/>
        <v/>
      </c>
      <c r="P318" s="191" t="str">
        <f t="shared" si="86"/>
        <v/>
      </c>
      <c r="Q318" s="192" t="str">
        <f t="shared" si="100"/>
        <v/>
      </c>
      <c r="R318" s="191" t="str">
        <f t="shared" si="87"/>
        <v/>
      </c>
      <c r="S318" s="193" t="str">
        <f t="shared" si="101"/>
        <v/>
      </c>
      <c r="T318" s="194" t="str">
        <f t="shared" si="88"/>
        <v/>
      </c>
      <c r="U318" s="192" t="str">
        <f t="shared" si="102"/>
        <v/>
      </c>
      <c r="V318" s="195" t="str">
        <f t="shared" si="89"/>
        <v/>
      </c>
      <c r="W318" s="195" t="str">
        <f t="shared" si="90"/>
        <v/>
      </c>
      <c r="X318" s="196" t="str">
        <f t="shared" si="103"/>
        <v/>
      </c>
      <c r="Y318" s="191" t="str">
        <f t="shared" si="104"/>
        <v/>
      </c>
      <c r="Z318" s="197" t="str">
        <f t="shared" si="91"/>
        <v/>
      </c>
      <c r="AA318" s="197" t="str">
        <f t="shared" si="92"/>
        <v/>
      </c>
      <c r="AB318" s="218"/>
      <c r="AC318" s="205"/>
    </row>
    <row r="319" spans="1:29">
      <c r="A319" s="219" t="str">
        <f t="shared" si="93"/>
        <v/>
      </c>
      <c r="B319" s="219"/>
      <c r="C319" s="184"/>
      <c r="D319" s="185"/>
      <c r="E319" s="185" t="str">
        <f>IF(OR(C319="",C319=Data!$B$3),"",IF(C319=Data!$B$2,"L","S"))</f>
        <v/>
      </c>
      <c r="F319" s="185" t="str">
        <f t="shared" si="94"/>
        <v/>
      </c>
      <c r="G319" s="186" t="str">
        <f t="shared" si="85"/>
        <v/>
      </c>
      <c r="H319" s="187"/>
      <c r="I319" s="188" t="str">
        <f t="shared" si="95"/>
        <v/>
      </c>
      <c r="J319" s="188" t="str">
        <f t="shared" si="96"/>
        <v/>
      </c>
      <c r="K319" s="189" t="str">
        <f t="shared" si="97"/>
        <v/>
      </c>
      <c r="L319" s="189" t="str">
        <f t="shared" si="98"/>
        <v/>
      </c>
      <c r="M319" s="190"/>
      <c r="N319" s="190"/>
      <c r="O319" s="188" t="str">
        <f t="shared" si="99"/>
        <v/>
      </c>
      <c r="P319" s="191" t="str">
        <f t="shared" si="86"/>
        <v/>
      </c>
      <c r="Q319" s="192" t="str">
        <f t="shared" si="100"/>
        <v/>
      </c>
      <c r="R319" s="191" t="str">
        <f t="shared" si="87"/>
        <v/>
      </c>
      <c r="S319" s="193" t="str">
        <f t="shared" si="101"/>
        <v/>
      </c>
      <c r="T319" s="194" t="str">
        <f t="shared" si="88"/>
        <v/>
      </c>
      <c r="U319" s="192" t="str">
        <f t="shared" si="102"/>
        <v/>
      </c>
      <c r="V319" s="195" t="str">
        <f t="shared" si="89"/>
        <v/>
      </c>
      <c r="W319" s="195" t="str">
        <f t="shared" si="90"/>
        <v/>
      </c>
      <c r="X319" s="196" t="str">
        <f t="shared" si="103"/>
        <v/>
      </c>
      <c r="Y319" s="191" t="str">
        <f t="shared" si="104"/>
        <v/>
      </c>
      <c r="Z319" s="197" t="str">
        <f t="shared" si="91"/>
        <v/>
      </c>
      <c r="AA319" s="197" t="str">
        <f t="shared" si="92"/>
        <v/>
      </c>
      <c r="AB319" s="218"/>
      <c r="AC319" s="205"/>
    </row>
    <row r="320" spans="1:29">
      <c r="A320" s="219" t="str">
        <f t="shared" si="93"/>
        <v/>
      </c>
      <c r="B320" s="219"/>
      <c r="C320" s="184"/>
      <c r="D320" s="185"/>
      <c r="E320" s="185" t="str">
        <f>IF(OR(C320="",C320=Data!$B$3),"",IF(C320=Data!$B$2,"L","S"))</f>
        <v/>
      </c>
      <c r="F320" s="185" t="str">
        <f t="shared" si="94"/>
        <v/>
      </c>
      <c r="G320" s="186" t="str">
        <f t="shared" si="85"/>
        <v/>
      </c>
      <c r="H320" s="187"/>
      <c r="I320" s="188" t="str">
        <f t="shared" si="95"/>
        <v/>
      </c>
      <c r="J320" s="188" t="str">
        <f t="shared" si="96"/>
        <v/>
      </c>
      <c r="K320" s="189" t="str">
        <f t="shared" si="97"/>
        <v/>
      </c>
      <c r="L320" s="189" t="str">
        <f t="shared" si="98"/>
        <v/>
      </c>
      <c r="M320" s="190"/>
      <c r="N320" s="190"/>
      <c r="O320" s="188" t="str">
        <f t="shared" si="99"/>
        <v/>
      </c>
      <c r="P320" s="191" t="str">
        <f t="shared" si="86"/>
        <v/>
      </c>
      <c r="Q320" s="192" t="str">
        <f t="shared" si="100"/>
        <v/>
      </c>
      <c r="R320" s="191" t="str">
        <f t="shared" si="87"/>
        <v/>
      </c>
      <c r="S320" s="193" t="str">
        <f t="shared" si="101"/>
        <v/>
      </c>
      <c r="T320" s="194" t="str">
        <f t="shared" si="88"/>
        <v/>
      </c>
      <c r="U320" s="192" t="str">
        <f t="shared" si="102"/>
        <v/>
      </c>
      <c r="V320" s="195" t="str">
        <f t="shared" si="89"/>
        <v/>
      </c>
      <c r="W320" s="195" t="str">
        <f t="shared" si="90"/>
        <v/>
      </c>
      <c r="X320" s="196" t="str">
        <f t="shared" si="103"/>
        <v/>
      </c>
      <c r="Y320" s="191" t="str">
        <f t="shared" si="104"/>
        <v/>
      </c>
      <c r="Z320" s="197" t="str">
        <f t="shared" si="91"/>
        <v/>
      </c>
      <c r="AA320" s="197" t="str">
        <f t="shared" si="92"/>
        <v/>
      </c>
      <c r="AB320" s="218"/>
      <c r="AC320" s="205"/>
    </row>
    <row r="321" spans="1:29">
      <c r="A321" s="219" t="str">
        <f t="shared" si="93"/>
        <v/>
      </c>
      <c r="B321" s="219"/>
      <c r="C321" s="184"/>
      <c r="D321" s="185"/>
      <c r="E321" s="185" t="str">
        <f>IF(OR(C321="",C321=Data!$B$3),"",IF(C321=Data!$B$2,"L","S"))</f>
        <v/>
      </c>
      <c r="F321" s="185" t="str">
        <f t="shared" si="94"/>
        <v/>
      </c>
      <c r="G321" s="186" t="str">
        <f t="shared" si="85"/>
        <v/>
      </c>
      <c r="H321" s="187"/>
      <c r="I321" s="188" t="str">
        <f t="shared" si="95"/>
        <v/>
      </c>
      <c r="J321" s="188" t="str">
        <f t="shared" si="96"/>
        <v/>
      </c>
      <c r="K321" s="189" t="str">
        <f t="shared" si="97"/>
        <v/>
      </c>
      <c r="L321" s="189" t="str">
        <f t="shared" si="98"/>
        <v/>
      </c>
      <c r="M321" s="190"/>
      <c r="N321" s="190"/>
      <c r="O321" s="188" t="str">
        <f t="shared" si="99"/>
        <v/>
      </c>
      <c r="P321" s="191" t="str">
        <f t="shared" si="86"/>
        <v/>
      </c>
      <c r="Q321" s="192" t="str">
        <f t="shared" si="100"/>
        <v/>
      </c>
      <c r="R321" s="191" t="str">
        <f t="shared" si="87"/>
        <v/>
      </c>
      <c r="S321" s="193" t="str">
        <f t="shared" si="101"/>
        <v/>
      </c>
      <c r="T321" s="194" t="str">
        <f t="shared" si="88"/>
        <v/>
      </c>
      <c r="U321" s="192" t="str">
        <f t="shared" si="102"/>
        <v/>
      </c>
      <c r="V321" s="195" t="str">
        <f t="shared" si="89"/>
        <v/>
      </c>
      <c r="W321" s="195" t="str">
        <f t="shared" si="90"/>
        <v/>
      </c>
      <c r="X321" s="196" t="str">
        <f t="shared" si="103"/>
        <v/>
      </c>
      <c r="Y321" s="191" t="str">
        <f t="shared" si="104"/>
        <v/>
      </c>
      <c r="Z321" s="197" t="str">
        <f t="shared" si="91"/>
        <v/>
      </c>
      <c r="AA321" s="197" t="str">
        <f t="shared" si="92"/>
        <v/>
      </c>
      <c r="AB321" s="218"/>
      <c r="AC321" s="205"/>
    </row>
    <row r="322" spans="1:29">
      <c r="A322" s="219" t="str">
        <f t="shared" si="93"/>
        <v/>
      </c>
      <c r="B322" s="219"/>
      <c r="C322" s="184"/>
      <c r="D322" s="185"/>
      <c r="E322" s="185" t="str">
        <f>IF(OR(C322="",C322=Data!$B$3),"",IF(C322=Data!$B$2,"L","S"))</f>
        <v/>
      </c>
      <c r="F322" s="185" t="str">
        <f t="shared" si="94"/>
        <v/>
      </c>
      <c r="G322" s="186" t="str">
        <f t="shared" si="85"/>
        <v/>
      </c>
      <c r="H322" s="187"/>
      <c r="I322" s="188" t="str">
        <f t="shared" si="95"/>
        <v/>
      </c>
      <c r="J322" s="188" t="str">
        <f t="shared" si="96"/>
        <v/>
      </c>
      <c r="K322" s="189" t="str">
        <f t="shared" si="97"/>
        <v/>
      </c>
      <c r="L322" s="189" t="str">
        <f t="shared" si="98"/>
        <v/>
      </c>
      <c r="M322" s="190"/>
      <c r="N322" s="190"/>
      <c r="O322" s="188" t="str">
        <f t="shared" si="99"/>
        <v/>
      </c>
      <c r="P322" s="191" t="str">
        <f t="shared" si="86"/>
        <v/>
      </c>
      <c r="Q322" s="192" t="str">
        <f t="shared" si="100"/>
        <v/>
      </c>
      <c r="R322" s="191" t="str">
        <f t="shared" si="87"/>
        <v/>
      </c>
      <c r="S322" s="193" t="str">
        <f t="shared" si="101"/>
        <v/>
      </c>
      <c r="T322" s="194" t="str">
        <f t="shared" si="88"/>
        <v/>
      </c>
      <c r="U322" s="192" t="str">
        <f t="shared" si="102"/>
        <v/>
      </c>
      <c r="V322" s="195" t="str">
        <f t="shared" si="89"/>
        <v/>
      </c>
      <c r="W322" s="195" t="str">
        <f t="shared" si="90"/>
        <v/>
      </c>
      <c r="X322" s="196" t="str">
        <f t="shared" si="103"/>
        <v/>
      </c>
      <c r="Y322" s="191" t="str">
        <f t="shared" si="104"/>
        <v/>
      </c>
      <c r="Z322" s="197" t="str">
        <f t="shared" si="91"/>
        <v/>
      </c>
      <c r="AA322" s="197" t="str">
        <f t="shared" si="92"/>
        <v/>
      </c>
      <c r="AB322" s="218"/>
      <c r="AC322" s="205"/>
    </row>
    <row r="323" spans="1:29">
      <c r="A323" s="219" t="str">
        <f t="shared" si="93"/>
        <v/>
      </c>
      <c r="B323" s="219"/>
      <c r="C323" s="184"/>
      <c r="D323" s="185"/>
      <c r="E323" s="185" t="str">
        <f>IF(OR(C323="",C323=Data!$B$3),"",IF(C323=Data!$B$2,"L","S"))</f>
        <v/>
      </c>
      <c r="F323" s="185" t="str">
        <f t="shared" si="94"/>
        <v/>
      </c>
      <c r="G323" s="186" t="str">
        <f t="shared" si="85"/>
        <v/>
      </c>
      <c r="H323" s="187"/>
      <c r="I323" s="188" t="str">
        <f t="shared" si="95"/>
        <v/>
      </c>
      <c r="J323" s="188" t="str">
        <f t="shared" si="96"/>
        <v/>
      </c>
      <c r="K323" s="189" t="str">
        <f t="shared" si="97"/>
        <v/>
      </c>
      <c r="L323" s="189" t="str">
        <f t="shared" si="98"/>
        <v/>
      </c>
      <c r="M323" s="190"/>
      <c r="N323" s="190"/>
      <c r="O323" s="188" t="str">
        <f t="shared" si="99"/>
        <v/>
      </c>
      <c r="P323" s="191" t="str">
        <f t="shared" si="86"/>
        <v/>
      </c>
      <c r="Q323" s="192" t="str">
        <f t="shared" si="100"/>
        <v/>
      </c>
      <c r="R323" s="191" t="str">
        <f t="shared" si="87"/>
        <v/>
      </c>
      <c r="S323" s="193" t="str">
        <f t="shared" si="101"/>
        <v/>
      </c>
      <c r="T323" s="194" t="str">
        <f t="shared" si="88"/>
        <v/>
      </c>
      <c r="U323" s="192" t="str">
        <f t="shared" si="102"/>
        <v/>
      </c>
      <c r="V323" s="195" t="str">
        <f t="shared" si="89"/>
        <v/>
      </c>
      <c r="W323" s="195" t="str">
        <f t="shared" si="90"/>
        <v/>
      </c>
      <c r="X323" s="196" t="str">
        <f t="shared" si="103"/>
        <v/>
      </c>
      <c r="Y323" s="191" t="str">
        <f t="shared" si="104"/>
        <v/>
      </c>
      <c r="Z323" s="197" t="str">
        <f t="shared" si="91"/>
        <v/>
      </c>
      <c r="AA323" s="197" t="str">
        <f t="shared" si="92"/>
        <v/>
      </c>
      <c r="AB323" s="218"/>
      <c r="AC323" s="205"/>
    </row>
    <row r="324" spans="1:29">
      <c r="A324" s="219" t="str">
        <f t="shared" si="93"/>
        <v/>
      </c>
      <c r="B324" s="219"/>
      <c r="C324" s="184"/>
      <c r="D324" s="185"/>
      <c r="E324" s="185" t="str">
        <f>IF(OR(C324="",C324=Data!$B$3),"",IF(C324=Data!$B$2,"L","S"))</f>
        <v/>
      </c>
      <c r="F324" s="185" t="str">
        <f t="shared" si="94"/>
        <v/>
      </c>
      <c r="G324" s="186" t="str">
        <f t="shared" si="85"/>
        <v/>
      </c>
      <c r="H324" s="187"/>
      <c r="I324" s="188" t="str">
        <f t="shared" si="95"/>
        <v/>
      </c>
      <c r="J324" s="188" t="str">
        <f t="shared" si="96"/>
        <v/>
      </c>
      <c r="K324" s="189" t="str">
        <f t="shared" si="97"/>
        <v/>
      </c>
      <c r="L324" s="189" t="str">
        <f t="shared" si="98"/>
        <v/>
      </c>
      <c r="M324" s="190"/>
      <c r="N324" s="190"/>
      <c r="O324" s="188" t="str">
        <f t="shared" si="99"/>
        <v/>
      </c>
      <c r="P324" s="191" t="str">
        <f t="shared" si="86"/>
        <v/>
      </c>
      <c r="Q324" s="192" t="str">
        <f t="shared" si="100"/>
        <v/>
      </c>
      <c r="R324" s="191" t="str">
        <f t="shared" si="87"/>
        <v/>
      </c>
      <c r="S324" s="193" t="str">
        <f t="shared" si="101"/>
        <v/>
      </c>
      <c r="T324" s="194" t="str">
        <f t="shared" si="88"/>
        <v/>
      </c>
      <c r="U324" s="192" t="str">
        <f t="shared" si="102"/>
        <v/>
      </c>
      <c r="V324" s="195" t="str">
        <f t="shared" si="89"/>
        <v/>
      </c>
      <c r="W324" s="195" t="str">
        <f t="shared" si="90"/>
        <v/>
      </c>
      <c r="X324" s="196" t="str">
        <f t="shared" si="103"/>
        <v/>
      </c>
      <c r="Y324" s="191" t="str">
        <f t="shared" si="104"/>
        <v/>
      </c>
      <c r="Z324" s="197" t="str">
        <f t="shared" si="91"/>
        <v/>
      </c>
      <c r="AA324" s="197" t="str">
        <f t="shared" si="92"/>
        <v/>
      </c>
      <c r="AB324" s="218"/>
      <c r="AC324" s="205"/>
    </row>
    <row r="325" spans="1:29">
      <c r="A325" s="219" t="str">
        <f t="shared" si="93"/>
        <v/>
      </c>
      <c r="B325" s="219"/>
      <c r="C325" s="184"/>
      <c r="D325" s="185"/>
      <c r="E325" s="185" t="str">
        <f>IF(OR(C325="",C325=Data!$B$3),"",IF(C325=Data!$B$2,"L","S"))</f>
        <v/>
      </c>
      <c r="F325" s="185" t="str">
        <f t="shared" si="94"/>
        <v/>
      </c>
      <c r="G325" s="186" t="str">
        <f t="shared" si="85"/>
        <v/>
      </c>
      <c r="H325" s="187"/>
      <c r="I325" s="188" t="str">
        <f t="shared" si="95"/>
        <v/>
      </c>
      <c r="J325" s="188" t="str">
        <f t="shared" si="96"/>
        <v/>
      </c>
      <c r="K325" s="189" t="str">
        <f t="shared" si="97"/>
        <v/>
      </c>
      <c r="L325" s="189" t="str">
        <f t="shared" si="98"/>
        <v/>
      </c>
      <c r="M325" s="190"/>
      <c r="N325" s="190"/>
      <c r="O325" s="188" t="str">
        <f t="shared" si="99"/>
        <v/>
      </c>
      <c r="P325" s="191" t="str">
        <f t="shared" si="86"/>
        <v/>
      </c>
      <c r="Q325" s="192" t="str">
        <f t="shared" si="100"/>
        <v/>
      </c>
      <c r="R325" s="191" t="str">
        <f t="shared" si="87"/>
        <v/>
      </c>
      <c r="S325" s="193" t="str">
        <f t="shared" si="101"/>
        <v/>
      </c>
      <c r="T325" s="194" t="str">
        <f t="shared" si="88"/>
        <v/>
      </c>
      <c r="U325" s="192" t="str">
        <f t="shared" si="102"/>
        <v/>
      </c>
      <c r="V325" s="195" t="str">
        <f t="shared" si="89"/>
        <v/>
      </c>
      <c r="W325" s="195" t="str">
        <f t="shared" si="90"/>
        <v/>
      </c>
      <c r="X325" s="196" t="str">
        <f t="shared" si="103"/>
        <v/>
      </c>
      <c r="Y325" s="191" t="str">
        <f t="shared" si="104"/>
        <v/>
      </c>
      <c r="Z325" s="197" t="str">
        <f t="shared" si="91"/>
        <v/>
      </c>
      <c r="AA325" s="197" t="str">
        <f t="shared" si="92"/>
        <v/>
      </c>
      <c r="AB325" s="218"/>
      <c r="AC325" s="205"/>
    </row>
    <row r="326" spans="1:29">
      <c r="A326" s="219" t="str">
        <f t="shared" si="93"/>
        <v/>
      </c>
      <c r="B326" s="219"/>
      <c r="C326" s="184"/>
      <c r="D326" s="185"/>
      <c r="E326" s="185" t="str">
        <f>IF(OR(C326="",C326=Data!$B$3),"",IF(C326=Data!$B$2,"L","S"))</f>
        <v/>
      </c>
      <c r="F326" s="185" t="str">
        <f t="shared" si="94"/>
        <v/>
      </c>
      <c r="G326" s="186" t="str">
        <f t="shared" si="85"/>
        <v/>
      </c>
      <c r="H326" s="187"/>
      <c r="I326" s="188" t="str">
        <f t="shared" si="95"/>
        <v/>
      </c>
      <c r="J326" s="188" t="str">
        <f t="shared" si="96"/>
        <v/>
      </c>
      <c r="K326" s="189" t="str">
        <f t="shared" si="97"/>
        <v/>
      </c>
      <c r="L326" s="189" t="str">
        <f t="shared" si="98"/>
        <v/>
      </c>
      <c r="M326" s="190"/>
      <c r="N326" s="190"/>
      <c r="O326" s="188" t="str">
        <f t="shared" si="99"/>
        <v/>
      </c>
      <c r="P326" s="191" t="str">
        <f t="shared" si="86"/>
        <v/>
      </c>
      <c r="Q326" s="192" t="str">
        <f t="shared" si="100"/>
        <v/>
      </c>
      <c r="R326" s="191" t="str">
        <f t="shared" si="87"/>
        <v/>
      </c>
      <c r="S326" s="193" t="str">
        <f t="shared" si="101"/>
        <v/>
      </c>
      <c r="T326" s="194" t="str">
        <f t="shared" si="88"/>
        <v/>
      </c>
      <c r="U326" s="192" t="str">
        <f t="shared" si="102"/>
        <v/>
      </c>
      <c r="V326" s="195" t="str">
        <f t="shared" si="89"/>
        <v/>
      </c>
      <c r="W326" s="195" t="str">
        <f t="shared" si="90"/>
        <v/>
      </c>
      <c r="X326" s="196" t="str">
        <f t="shared" si="103"/>
        <v/>
      </c>
      <c r="Y326" s="191" t="str">
        <f t="shared" si="104"/>
        <v/>
      </c>
      <c r="Z326" s="197" t="str">
        <f t="shared" si="91"/>
        <v/>
      </c>
      <c r="AA326" s="197" t="str">
        <f t="shared" si="92"/>
        <v/>
      </c>
      <c r="AB326" s="218"/>
      <c r="AC326" s="205"/>
    </row>
    <row r="327" spans="1:29">
      <c r="A327" s="219" t="str">
        <f t="shared" si="93"/>
        <v/>
      </c>
      <c r="B327" s="219"/>
      <c r="C327" s="184"/>
      <c r="D327" s="185"/>
      <c r="E327" s="185" t="str">
        <f>IF(OR(C327="",C327=Data!$B$3),"",IF(C327=Data!$B$2,"L","S"))</f>
        <v/>
      </c>
      <c r="F327" s="185" t="str">
        <f t="shared" si="94"/>
        <v/>
      </c>
      <c r="G327" s="186" t="str">
        <f t="shared" si="85"/>
        <v/>
      </c>
      <c r="H327" s="187"/>
      <c r="I327" s="188" t="str">
        <f t="shared" si="95"/>
        <v/>
      </c>
      <c r="J327" s="188" t="str">
        <f t="shared" si="96"/>
        <v/>
      </c>
      <c r="K327" s="189" t="str">
        <f t="shared" si="97"/>
        <v/>
      </c>
      <c r="L327" s="189" t="str">
        <f t="shared" si="98"/>
        <v/>
      </c>
      <c r="M327" s="190"/>
      <c r="N327" s="190"/>
      <c r="O327" s="188" t="str">
        <f t="shared" si="99"/>
        <v/>
      </c>
      <c r="P327" s="191" t="str">
        <f t="shared" si="86"/>
        <v/>
      </c>
      <c r="Q327" s="192" t="str">
        <f t="shared" si="100"/>
        <v/>
      </c>
      <c r="R327" s="191" t="str">
        <f t="shared" si="87"/>
        <v/>
      </c>
      <c r="S327" s="193" t="str">
        <f t="shared" si="101"/>
        <v/>
      </c>
      <c r="T327" s="194" t="str">
        <f t="shared" si="88"/>
        <v/>
      </c>
      <c r="U327" s="192" t="str">
        <f t="shared" si="102"/>
        <v/>
      </c>
      <c r="V327" s="195" t="str">
        <f t="shared" si="89"/>
        <v/>
      </c>
      <c r="W327" s="195" t="str">
        <f t="shared" si="90"/>
        <v/>
      </c>
      <c r="X327" s="196" t="str">
        <f t="shared" si="103"/>
        <v/>
      </c>
      <c r="Y327" s="191" t="str">
        <f t="shared" si="104"/>
        <v/>
      </c>
      <c r="Z327" s="197" t="str">
        <f t="shared" si="91"/>
        <v/>
      </c>
      <c r="AA327" s="197" t="str">
        <f t="shared" si="92"/>
        <v/>
      </c>
      <c r="AB327" s="218"/>
      <c r="AC327" s="205"/>
    </row>
    <row r="328" spans="1:29">
      <c r="A328" s="219" t="str">
        <f t="shared" si="93"/>
        <v/>
      </c>
      <c r="B328" s="219"/>
      <c r="C328" s="184"/>
      <c r="D328" s="185"/>
      <c r="E328" s="185" t="str">
        <f>IF(OR(C328="",C328=Data!$B$3),"",IF(C328=Data!$B$2,"L","S"))</f>
        <v/>
      </c>
      <c r="F328" s="185" t="str">
        <f t="shared" si="94"/>
        <v/>
      </c>
      <c r="G328" s="186" t="str">
        <f t="shared" si="85"/>
        <v/>
      </c>
      <c r="H328" s="187"/>
      <c r="I328" s="188" t="str">
        <f t="shared" si="95"/>
        <v/>
      </c>
      <c r="J328" s="188" t="str">
        <f t="shared" si="96"/>
        <v/>
      </c>
      <c r="K328" s="189" t="str">
        <f t="shared" si="97"/>
        <v/>
      </c>
      <c r="L328" s="189" t="str">
        <f t="shared" si="98"/>
        <v/>
      </c>
      <c r="M328" s="190"/>
      <c r="N328" s="190"/>
      <c r="O328" s="188" t="str">
        <f t="shared" si="99"/>
        <v/>
      </c>
      <c r="P328" s="191" t="str">
        <f t="shared" si="86"/>
        <v/>
      </c>
      <c r="Q328" s="192" t="str">
        <f t="shared" si="100"/>
        <v/>
      </c>
      <c r="R328" s="191" t="str">
        <f t="shared" si="87"/>
        <v/>
      </c>
      <c r="S328" s="193" t="str">
        <f t="shared" si="101"/>
        <v/>
      </c>
      <c r="T328" s="194" t="str">
        <f t="shared" si="88"/>
        <v/>
      </c>
      <c r="U328" s="192" t="str">
        <f t="shared" si="102"/>
        <v/>
      </c>
      <c r="V328" s="195" t="str">
        <f t="shared" si="89"/>
        <v/>
      </c>
      <c r="W328" s="195" t="str">
        <f t="shared" si="90"/>
        <v/>
      </c>
      <c r="X328" s="196" t="str">
        <f t="shared" si="103"/>
        <v/>
      </c>
      <c r="Y328" s="191" t="str">
        <f t="shared" si="104"/>
        <v/>
      </c>
      <c r="Z328" s="197" t="str">
        <f t="shared" si="91"/>
        <v/>
      </c>
      <c r="AA328" s="197" t="str">
        <f t="shared" si="92"/>
        <v/>
      </c>
      <c r="AB328" s="218"/>
      <c r="AC328" s="205"/>
    </row>
    <row r="329" spans="1:29">
      <c r="A329" s="219" t="str">
        <f t="shared" si="93"/>
        <v/>
      </c>
      <c r="B329" s="219"/>
      <c r="C329" s="184"/>
      <c r="D329" s="185"/>
      <c r="E329" s="185" t="str">
        <f>IF(OR(C329="",C329=Data!$B$3),"",IF(C329=Data!$B$2,"L","S"))</f>
        <v/>
      </c>
      <c r="F329" s="185" t="str">
        <f t="shared" si="94"/>
        <v/>
      </c>
      <c r="G329" s="186" t="str">
        <f t="shared" si="85"/>
        <v/>
      </c>
      <c r="H329" s="187"/>
      <c r="I329" s="188" t="str">
        <f t="shared" si="95"/>
        <v/>
      </c>
      <c r="J329" s="188" t="str">
        <f t="shared" si="96"/>
        <v/>
      </c>
      <c r="K329" s="189" t="str">
        <f t="shared" si="97"/>
        <v/>
      </c>
      <c r="L329" s="189" t="str">
        <f t="shared" si="98"/>
        <v/>
      </c>
      <c r="M329" s="190"/>
      <c r="N329" s="190"/>
      <c r="O329" s="188" t="str">
        <f t="shared" si="99"/>
        <v/>
      </c>
      <c r="P329" s="191" t="str">
        <f t="shared" si="86"/>
        <v/>
      </c>
      <c r="Q329" s="192" t="str">
        <f t="shared" si="100"/>
        <v/>
      </c>
      <c r="R329" s="191" t="str">
        <f t="shared" si="87"/>
        <v/>
      </c>
      <c r="S329" s="193" t="str">
        <f t="shared" si="101"/>
        <v/>
      </c>
      <c r="T329" s="194" t="str">
        <f t="shared" si="88"/>
        <v/>
      </c>
      <c r="U329" s="192" t="str">
        <f t="shared" si="102"/>
        <v/>
      </c>
      <c r="V329" s="195" t="str">
        <f t="shared" si="89"/>
        <v/>
      </c>
      <c r="W329" s="195" t="str">
        <f t="shared" si="90"/>
        <v/>
      </c>
      <c r="X329" s="196" t="str">
        <f t="shared" si="103"/>
        <v/>
      </c>
      <c r="Y329" s="191" t="str">
        <f t="shared" si="104"/>
        <v/>
      </c>
      <c r="Z329" s="197" t="str">
        <f t="shared" si="91"/>
        <v/>
      </c>
      <c r="AA329" s="197" t="str">
        <f t="shared" si="92"/>
        <v/>
      </c>
      <c r="AB329" s="218"/>
      <c r="AC329" s="205"/>
    </row>
    <row r="330" spans="1:29">
      <c r="A330" s="219" t="str">
        <f t="shared" si="93"/>
        <v/>
      </c>
      <c r="B330" s="219"/>
      <c r="C330" s="184"/>
      <c r="D330" s="185"/>
      <c r="E330" s="185" t="str">
        <f>IF(OR(C330="",C330=Data!$B$3),"",IF(C330=Data!$B$2,"L","S"))</f>
        <v/>
      </c>
      <c r="F330" s="185" t="str">
        <f t="shared" si="94"/>
        <v/>
      </c>
      <c r="G330" s="186" t="str">
        <f t="shared" si="85"/>
        <v/>
      </c>
      <c r="H330" s="187"/>
      <c r="I330" s="188" t="str">
        <f t="shared" si="95"/>
        <v/>
      </c>
      <c r="J330" s="188" t="str">
        <f t="shared" si="96"/>
        <v/>
      </c>
      <c r="K330" s="189" t="str">
        <f t="shared" si="97"/>
        <v/>
      </c>
      <c r="L330" s="189" t="str">
        <f t="shared" si="98"/>
        <v/>
      </c>
      <c r="M330" s="190"/>
      <c r="N330" s="190"/>
      <c r="O330" s="188" t="str">
        <f t="shared" si="99"/>
        <v/>
      </c>
      <c r="P330" s="191" t="str">
        <f t="shared" si="86"/>
        <v/>
      </c>
      <c r="Q330" s="192" t="str">
        <f t="shared" si="100"/>
        <v/>
      </c>
      <c r="R330" s="191" t="str">
        <f t="shared" si="87"/>
        <v/>
      </c>
      <c r="S330" s="193" t="str">
        <f t="shared" si="101"/>
        <v/>
      </c>
      <c r="T330" s="194" t="str">
        <f t="shared" si="88"/>
        <v/>
      </c>
      <c r="U330" s="192" t="str">
        <f t="shared" si="102"/>
        <v/>
      </c>
      <c r="V330" s="195" t="str">
        <f t="shared" si="89"/>
        <v/>
      </c>
      <c r="W330" s="195" t="str">
        <f t="shared" si="90"/>
        <v/>
      </c>
      <c r="X330" s="196" t="str">
        <f t="shared" si="103"/>
        <v/>
      </c>
      <c r="Y330" s="191" t="str">
        <f t="shared" si="104"/>
        <v/>
      </c>
      <c r="Z330" s="197" t="str">
        <f t="shared" si="91"/>
        <v/>
      </c>
      <c r="AA330" s="197" t="str">
        <f t="shared" si="92"/>
        <v/>
      </c>
      <c r="AB330" s="218"/>
      <c r="AC330" s="205"/>
    </row>
    <row r="331" spans="1:29">
      <c r="A331" s="219" t="str">
        <f t="shared" si="93"/>
        <v/>
      </c>
      <c r="B331" s="219"/>
      <c r="C331" s="184"/>
      <c r="D331" s="185"/>
      <c r="E331" s="185" t="str">
        <f>IF(OR(C331="",C331=Data!$B$3),"",IF(C331=Data!$B$2,"L","S"))</f>
        <v/>
      </c>
      <c r="F331" s="185" t="str">
        <f t="shared" si="94"/>
        <v/>
      </c>
      <c r="G331" s="186" t="str">
        <f t="shared" si="85"/>
        <v/>
      </c>
      <c r="H331" s="187"/>
      <c r="I331" s="188" t="str">
        <f t="shared" si="95"/>
        <v/>
      </c>
      <c r="J331" s="188" t="str">
        <f t="shared" si="96"/>
        <v/>
      </c>
      <c r="K331" s="189" t="str">
        <f t="shared" si="97"/>
        <v/>
      </c>
      <c r="L331" s="189" t="str">
        <f t="shared" si="98"/>
        <v/>
      </c>
      <c r="M331" s="190"/>
      <c r="N331" s="190"/>
      <c r="O331" s="188" t="str">
        <f t="shared" si="99"/>
        <v/>
      </c>
      <c r="P331" s="191" t="str">
        <f t="shared" si="86"/>
        <v/>
      </c>
      <c r="Q331" s="192" t="str">
        <f t="shared" si="100"/>
        <v/>
      </c>
      <c r="R331" s="191" t="str">
        <f t="shared" si="87"/>
        <v/>
      </c>
      <c r="S331" s="193" t="str">
        <f t="shared" si="101"/>
        <v/>
      </c>
      <c r="T331" s="194" t="str">
        <f t="shared" si="88"/>
        <v/>
      </c>
      <c r="U331" s="192" t="str">
        <f t="shared" si="102"/>
        <v/>
      </c>
      <c r="V331" s="195" t="str">
        <f t="shared" si="89"/>
        <v/>
      </c>
      <c r="W331" s="195" t="str">
        <f t="shared" si="90"/>
        <v/>
      </c>
      <c r="X331" s="196" t="str">
        <f t="shared" si="103"/>
        <v/>
      </c>
      <c r="Y331" s="191" t="str">
        <f t="shared" si="104"/>
        <v/>
      </c>
      <c r="Z331" s="197" t="str">
        <f t="shared" si="91"/>
        <v/>
      </c>
      <c r="AA331" s="197" t="str">
        <f t="shared" si="92"/>
        <v/>
      </c>
      <c r="AB331" s="218"/>
      <c r="AC331" s="205"/>
    </row>
    <row r="332" spans="1:29">
      <c r="A332" s="219" t="str">
        <f t="shared" si="93"/>
        <v/>
      </c>
      <c r="B332" s="219"/>
      <c r="C332" s="184"/>
      <c r="D332" s="185"/>
      <c r="E332" s="185" t="str">
        <f>IF(OR(C332="",C332=Data!$B$3),"",IF(C332=Data!$B$2,"L","S"))</f>
        <v/>
      </c>
      <c r="F332" s="185" t="str">
        <f t="shared" si="94"/>
        <v/>
      </c>
      <c r="G332" s="186" t="str">
        <f t="shared" ref="G332:G395" si="105">IF(A332="","",$D$3)</f>
        <v/>
      </c>
      <c r="H332" s="187"/>
      <c r="I332" s="188" t="str">
        <f t="shared" si="95"/>
        <v/>
      </c>
      <c r="J332" s="188" t="str">
        <f t="shared" si="96"/>
        <v/>
      </c>
      <c r="K332" s="189" t="str">
        <f t="shared" si="97"/>
        <v/>
      </c>
      <c r="L332" s="189" t="str">
        <f t="shared" si="98"/>
        <v/>
      </c>
      <c r="M332" s="190"/>
      <c r="N332" s="190"/>
      <c r="O332" s="188" t="str">
        <f t="shared" si="99"/>
        <v/>
      </c>
      <c r="P332" s="191" t="str">
        <f t="shared" ref="P332:P395" si="106">IF(O332="","",IF(L332*F332*G332=0,0,L332*F332*G332))</f>
        <v/>
      </c>
      <c r="Q332" s="192" t="str">
        <f t="shared" si="100"/>
        <v/>
      </c>
      <c r="R332" s="191" t="str">
        <f t="shared" ref="R332:R395" si="107">IF(O332&lt;&gt;"",IF(K332*F332*G332=0,"",K332*F332*G332),"")</f>
        <v/>
      </c>
      <c r="S332" s="193" t="str">
        <f t="shared" si="101"/>
        <v/>
      </c>
      <c r="T332" s="194" t="str">
        <f t="shared" ref="T332:T395" si="108">IF(X332="","",X332*F332*G332)</f>
        <v/>
      </c>
      <c r="U332" s="192" t="str">
        <f t="shared" si="102"/>
        <v/>
      </c>
      <c r="V332" s="195" t="str">
        <f t="shared" ref="V332:V395" si="109">IF(O332="","",IF(AND(O332&gt;I332,E332="L"),1, IF(AND(I332&gt;O332,E332="S"),1,0)))</f>
        <v/>
      </c>
      <c r="W332" s="195" t="str">
        <f t="shared" ref="W332:W395" si="110">IF(O332="","",IF(AND(O332&lt;I332,E332="L"),1, IF(AND(I332&lt;O332,E332="S"),1,0)))</f>
        <v/>
      </c>
      <c r="X332" s="196" t="str">
        <f t="shared" si="103"/>
        <v/>
      </c>
      <c r="Y332" s="191" t="str">
        <f t="shared" si="104"/>
        <v/>
      </c>
      <c r="Z332" s="197" t="str">
        <f t="shared" ref="Z332:Z395" si="111">IF(M332="","",MONTH(M332))</f>
        <v/>
      </c>
      <c r="AA332" s="197" t="str">
        <f t="shared" ref="AA332:AA395" si="112">IF(M332="","",YEAR(M332))</f>
        <v/>
      </c>
      <c r="AB332" s="218"/>
      <c r="AC332" s="205"/>
    </row>
    <row r="333" spans="1:29">
      <c r="A333" s="219" t="str">
        <f t="shared" ref="A333:A396" si="113">IF(C333="","",1)</f>
        <v/>
      </c>
      <c r="B333" s="219"/>
      <c r="C333" s="184"/>
      <c r="D333" s="185"/>
      <c r="E333" s="185" t="str">
        <f>IF(OR(C333="",C333=Data!$B$3),"",IF(C333=Data!$B$2,"L","S"))</f>
        <v/>
      </c>
      <c r="F333" s="185" t="str">
        <f t="shared" ref="F333:F396" si="114">IF(A333&lt;&gt;"",$D$2,"")</f>
        <v/>
      </c>
      <c r="G333" s="186" t="str">
        <f t="shared" si="105"/>
        <v/>
      </c>
      <c r="H333" s="187"/>
      <c r="I333" s="188" t="str">
        <f t="shared" ref="I333:I396" si="115">IF(H333="","",IF(E333="L",H333+$D$4*0.0001,H333-$D$4*0.0001))</f>
        <v/>
      </c>
      <c r="J333" s="188" t="str">
        <f t="shared" ref="J333:J396" si="116">IF(AND(H333&lt;&gt;"",I333&lt;&gt;""),IF(E333="L",I333+(I333-H333)*3,I333-(H333-I333)*3),"")</f>
        <v/>
      </c>
      <c r="K333" s="189" t="str">
        <f t="shared" ref="K333:K396" si="117">IF(AND(E333&lt;&gt;"",AND(I333&lt;&gt;"",J333&lt;&gt;"")),IF(E333="L",(J333-I333)*IF(I333&gt;10,IF(SEARCH("JPY",D333),10,100),10000),(I333-J333)*IF(I333&gt;10,IF(SEARCH("JPY",D333),10,100),10000)),"")</f>
        <v/>
      </c>
      <c r="L333" s="189" t="str">
        <f t="shared" ref="L333:L396" si="118">IF(AND(E333&lt;&gt;"",AND(H333&lt;&gt;"",I333&lt;&gt;"")),IF(E333="L",(I333-H333)*IF(I333&gt;10,IF(SEARCH("JPY",D333),10,100),10000),(H333-I333)*IF(I333&gt;10,IF(SEARCH("JPY",D333),10,100),10000)),"")</f>
        <v/>
      </c>
      <c r="M333" s="190"/>
      <c r="N333" s="190"/>
      <c r="O333" s="188" t="str">
        <f t="shared" ref="O333:O396" si="119">J333</f>
        <v/>
      </c>
      <c r="P333" s="191" t="str">
        <f t="shared" si="106"/>
        <v/>
      </c>
      <c r="Q333" s="192" t="str">
        <f t="shared" ref="Q333:Q396" si="120">IF(P333="","",IF(P333=0,0,P333/$I$4))</f>
        <v/>
      </c>
      <c r="R333" s="191" t="str">
        <f t="shared" si="107"/>
        <v/>
      </c>
      <c r="S333" s="193" t="str">
        <f t="shared" ref="S333:S396" si="121">IF(P333="","",IF(P333=0,0,R333/P333))</f>
        <v/>
      </c>
      <c r="T333" s="194" t="str">
        <f t="shared" si="108"/>
        <v/>
      </c>
      <c r="U333" s="192" t="str">
        <f t="shared" ref="U333:U396" si="122">IF(T333="","",IF($I$4="","",T333/$I$4))</f>
        <v/>
      </c>
      <c r="V333" s="195" t="str">
        <f t="shared" si="109"/>
        <v/>
      </c>
      <c r="W333" s="195" t="str">
        <f t="shared" si="110"/>
        <v/>
      </c>
      <c r="X333" s="196" t="str">
        <f t="shared" ref="X333:X396" si="123">IF((O333=""),"",IF(E333="L",1,-1)*(O333-I333)*IF(O333&gt;10,IF(SEARCH("JPY",D333),10,100),10000))</f>
        <v/>
      </c>
      <c r="Y333" s="191" t="str">
        <f t="shared" si="104"/>
        <v/>
      </c>
      <c r="Z333" s="197" t="str">
        <f t="shared" si="111"/>
        <v/>
      </c>
      <c r="AA333" s="197" t="str">
        <f t="shared" si="112"/>
        <v/>
      </c>
      <c r="AB333" s="218"/>
      <c r="AC333" s="205"/>
    </row>
    <row r="334" spans="1:29">
      <c r="A334" s="219" t="str">
        <f t="shared" si="113"/>
        <v/>
      </c>
      <c r="B334" s="219"/>
      <c r="C334" s="184"/>
      <c r="D334" s="185"/>
      <c r="E334" s="185" t="str">
        <f>IF(OR(C334="",C334=Data!$B$3),"",IF(C334=Data!$B$2,"L","S"))</f>
        <v/>
      </c>
      <c r="F334" s="185" t="str">
        <f t="shared" si="114"/>
        <v/>
      </c>
      <c r="G334" s="186" t="str">
        <f t="shared" si="105"/>
        <v/>
      </c>
      <c r="H334" s="187"/>
      <c r="I334" s="188" t="str">
        <f t="shared" si="115"/>
        <v/>
      </c>
      <c r="J334" s="188" t="str">
        <f t="shared" si="116"/>
        <v/>
      </c>
      <c r="K334" s="189" t="str">
        <f t="shared" si="117"/>
        <v/>
      </c>
      <c r="L334" s="189" t="str">
        <f t="shared" si="118"/>
        <v/>
      </c>
      <c r="M334" s="190"/>
      <c r="N334" s="190"/>
      <c r="O334" s="188" t="str">
        <f t="shared" si="119"/>
        <v/>
      </c>
      <c r="P334" s="191" t="str">
        <f t="shared" si="106"/>
        <v/>
      </c>
      <c r="Q334" s="192" t="str">
        <f t="shared" si="120"/>
        <v/>
      </c>
      <c r="R334" s="191" t="str">
        <f t="shared" si="107"/>
        <v/>
      </c>
      <c r="S334" s="193" t="str">
        <f t="shared" si="121"/>
        <v/>
      </c>
      <c r="T334" s="194" t="str">
        <f t="shared" si="108"/>
        <v/>
      </c>
      <c r="U334" s="192" t="str">
        <f t="shared" si="122"/>
        <v/>
      </c>
      <c r="V334" s="195" t="str">
        <f t="shared" si="109"/>
        <v/>
      </c>
      <c r="W334" s="195" t="str">
        <f t="shared" si="110"/>
        <v/>
      </c>
      <c r="X334" s="196" t="str">
        <f t="shared" si="123"/>
        <v/>
      </c>
      <c r="Y334" s="191" t="str">
        <f t="shared" si="104"/>
        <v/>
      </c>
      <c r="Z334" s="197" t="str">
        <f t="shared" si="111"/>
        <v/>
      </c>
      <c r="AA334" s="197" t="str">
        <f t="shared" si="112"/>
        <v/>
      </c>
      <c r="AB334" s="218"/>
      <c r="AC334" s="205"/>
    </row>
    <row r="335" spans="1:29">
      <c r="A335" s="219" t="str">
        <f t="shared" si="113"/>
        <v/>
      </c>
      <c r="B335" s="219"/>
      <c r="C335" s="184"/>
      <c r="D335" s="185"/>
      <c r="E335" s="185" t="str">
        <f>IF(OR(C335="",C335=Data!$B$3),"",IF(C335=Data!$B$2,"L","S"))</f>
        <v/>
      </c>
      <c r="F335" s="185" t="str">
        <f t="shared" si="114"/>
        <v/>
      </c>
      <c r="G335" s="186" t="str">
        <f t="shared" si="105"/>
        <v/>
      </c>
      <c r="H335" s="187"/>
      <c r="I335" s="188" t="str">
        <f t="shared" si="115"/>
        <v/>
      </c>
      <c r="J335" s="188" t="str">
        <f t="shared" si="116"/>
        <v/>
      </c>
      <c r="K335" s="189" t="str">
        <f t="shared" si="117"/>
        <v/>
      </c>
      <c r="L335" s="189" t="str">
        <f t="shared" si="118"/>
        <v/>
      </c>
      <c r="M335" s="190"/>
      <c r="N335" s="190"/>
      <c r="O335" s="188" t="str">
        <f t="shared" si="119"/>
        <v/>
      </c>
      <c r="P335" s="191" t="str">
        <f t="shared" si="106"/>
        <v/>
      </c>
      <c r="Q335" s="192" t="str">
        <f t="shared" si="120"/>
        <v/>
      </c>
      <c r="R335" s="191" t="str">
        <f t="shared" si="107"/>
        <v/>
      </c>
      <c r="S335" s="193" t="str">
        <f t="shared" si="121"/>
        <v/>
      </c>
      <c r="T335" s="194" t="str">
        <f t="shared" si="108"/>
        <v/>
      </c>
      <c r="U335" s="192" t="str">
        <f t="shared" si="122"/>
        <v/>
      </c>
      <c r="V335" s="195" t="str">
        <f t="shared" si="109"/>
        <v/>
      </c>
      <c r="W335" s="195" t="str">
        <f t="shared" si="110"/>
        <v/>
      </c>
      <c r="X335" s="196" t="str">
        <f t="shared" si="123"/>
        <v/>
      </c>
      <c r="Y335" s="191" t="str">
        <f t="shared" si="104"/>
        <v/>
      </c>
      <c r="Z335" s="197" t="str">
        <f t="shared" si="111"/>
        <v/>
      </c>
      <c r="AA335" s="197" t="str">
        <f t="shared" si="112"/>
        <v/>
      </c>
      <c r="AB335" s="218"/>
      <c r="AC335" s="205"/>
    </row>
    <row r="336" spans="1:29">
      <c r="A336" s="219" t="str">
        <f t="shared" si="113"/>
        <v/>
      </c>
      <c r="B336" s="219"/>
      <c r="C336" s="184"/>
      <c r="D336" s="185"/>
      <c r="E336" s="185" t="str">
        <f>IF(OR(C336="",C336=Data!$B$3),"",IF(C336=Data!$B$2,"L","S"))</f>
        <v/>
      </c>
      <c r="F336" s="185" t="str">
        <f t="shared" si="114"/>
        <v/>
      </c>
      <c r="G336" s="186" t="str">
        <f t="shared" si="105"/>
        <v/>
      </c>
      <c r="H336" s="187"/>
      <c r="I336" s="188" t="str">
        <f t="shared" si="115"/>
        <v/>
      </c>
      <c r="J336" s="188" t="str">
        <f t="shared" si="116"/>
        <v/>
      </c>
      <c r="K336" s="189" t="str">
        <f t="shared" si="117"/>
        <v/>
      </c>
      <c r="L336" s="189" t="str">
        <f t="shared" si="118"/>
        <v/>
      </c>
      <c r="M336" s="190"/>
      <c r="N336" s="190"/>
      <c r="O336" s="188" t="str">
        <f t="shared" si="119"/>
        <v/>
      </c>
      <c r="P336" s="191" t="str">
        <f t="shared" si="106"/>
        <v/>
      </c>
      <c r="Q336" s="192" t="str">
        <f t="shared" si="120"/>
        <v/>
      </c>
      <c r="R336" s="191" t="str">
        <f t="shared" si="107"/>
        <v/>
      </c>
      <c r="S336" s="193" t="str">
        <f t="shared" si="121"/>
        <v/>
      </c>
      <c r="T336" s="194" t="str">
        <f t="shared" si="108"/>
        <v/>
      </c>
      <c r="U336" s="192" t="str">
        <f t="shared" si="122"/>
        <v/>
      </c>
      <c r="V336" s="195" t="str">
        <f t="shared" si="109"/>
        <v/>
      </c>
      <c r="W336" s="195" t="str">
        <f t="shared" si="110"/>
        <v/>
      </c>
      <c r="X336" s="196" t="str">
        <f t="shared" si="123"/>
        <v/>
      </c>
      <c r="Y336" s="191" t="str">
        <f t="shared" si="104"/>
        <v/>
      </c>
      <c r="Z336" s="197" t="str">
        <f t="shared" si="111"/>
        <v/>
      </c>
      <c r="AA336" s="197" t="str">
        <f t="shared" si="112"/>
        <v/>
      </c>
      <c r="AB336" s="218"/>
      <c r="AC336" s="205"/>
    </row>
    <row r="337" spans="1:29">
      <c r="A337" s="219" t="str">
        <f t="shared" si="113"/>
        <v/>
      </c>
      <c r="B337" s="219"/>
      <c r="C337" s="184"/>
      <c r="D337" s="185"/>
      <c r="E337" s="185" t="str">
        <f>IF(OR(C337="",C337=Data!$B$3),"",IF(C337=Data!$B$2,"L","S"))</f>
        <v/>
      </c>
      <c r="F337" s="185" t="str">
        <f t="shared" si="114"/>
        <v/>
      </c>
      <c r="G337" s="186" t="str">
        <f t="shared" si="105"/>
        <v/>
      </c>
      <c r="H337" s="187"/>
      <c r="I337" s="188" t="str">
        <f t="shared" si="115"/>
        <v/>
      </c>
      <c r="J337" s="188" t="str">
        <f t="shared" si="116"/>
        <v/>
      </c>
      <c r="K337" s="189" t="str">
        <f t="shared" si="117"/>
        <v/>
      </c>
      <c r="L337" s="189" t="str">
        <f t="shared" si="118"/>
        <v/>
      </c>
      <c r="M337" s="190"/>
      <c r="N337" s="190"/>
      <c r="O337" s="188" t="str">
        <f t="shared" si="119"/>
        <v/>
      </c>
      <c r="P337" s="191" t="str">
        <f t="shared" si="106"/>
        <v/>
      </c>
      <c r="Q337" s="192" t="str">
        <f t="shared" si="120"/>
        <v/>
      </c>
      <c r="R337" s="191" t="str">
        <f t="shared" si="107"/>
        <v/>
      </c>
      <c r="S337" s="193" t="str">
        <f t="shared" si="121"/>
        <v/>
      </c>
      <c r="T337" s="194" t="str">
        <f t="shared" si="108"/>
        <v/>
      </c>
      <c r="U337" s="192" t="str">
        <f t="shared" si="122"/>
        <v/>
      </c>
      <c r="V337" s="195" t="str">
        <f t="shared" si="109"/>
        <v/>
      </c>
      <c r="W337" s="195" t="str">
        <f t="shared" si="110"/>
        <v/>
      </c>
      <c r="X337" s="196" t="str">
        <f t="shared" si="123"/>
        <v/>
      </c>
      <c r="Y337" s="191" t="str">
        <f t="shared" si="104"/>
        <v/>
      </c>
      <c r="Z337" s="197" t="str">
        <f t="shared" si="111"/>
        <v/>
      </c>
      <c r="AA337" s="197" t="str">
        <f t="shared" si="112"/>
        <v/>
      </c>
      <c r="AB337" s="218"/>
      <c r="AC337" s="205"/>
    </row>
    <row r="338" spans="1:29">
      <c r="A338" s="219" t="str">
        <f t="shared" si="113"/>
        <v/>
      </c>
      <c r="B338" s="219"/>
      <c r="C338" s="184"/>
      <c r="D338" s="185"/>
      <c r="E338" s="185" t="str">
        <f>IF(OR(C338="",C338=Data!$B$3),"",IF(C338=Data!$B$2,"L","S"))</f>
        <v/>
      </c>
      <c r="F338" s="185" t="str">
        <f t="shared" si="114"/>
        <v/>
      </c>
      <c r="G338" s="186" t="str">
        <f t="shared" si="105"/>
        <v/>
      </c>
      <c r="H338" s="187"/>
      <c r="I338" s="188" t="str">
        <f t="shared" si="115"/>
        <v/>
      </c>
      <c r="J338" s="188" t="str">
        <f t="shared" si="116"/>
        <v/>
      </c>
      <c r="K338" s="189" t="str">
        <f t="shared" si="117"/>
        <v/>
      </c>
      <c r="L338" s="189" t="str">
        <f t="shared" si="118"/>
        <v/>
      </c>
      <c r="M338" s="190"/>
      <c r="N338" s="190"/>
      <c r="O338" s="188" t="str">
        <f t="shared" si="119"/>
        <v/>
      </c>
      <c r="P338" s="191" t="str">
        <f t="shared" si="106"/>
        <v/>
      </c>
      <c r="Q338" s="192" t="str">
        <f t="shared" si="120"/>
        <v/>
      </c>
      <c r="R338" s="191" t="str">
        <f t="shared" si="107"/>
        <v/>
      </c>
      <c r="S338" s="193" t="str">
        <f t="shared" si="121"/>
        <v/>
      </c>
      <c r="T338" s="194" t="str">
        <f t="shared" si="108"/>
        <v/>
      </c>
      <c r="U338" s="192" t="str">
        <f t="shared" si="122"/>
        <v/>
      </c>
      <c r="V338" s="195" t="str">
        <f t="shared" si="109"/>
        <v/>
      </c>
      <c r="W338" s="195" t="str">
        <f t="shared" si="110"/>
        <v/>
      </c>
      <c r="X338" s="196" t="str">
        <f t="shared" si="123"/>
        <v/>
      </c>
      <c r="Y338" s="191" t="str">
        <f t="shared" si="104"/>
        <v/>
      </c>
      <c r="Z338" s="197" t="str">
        <f t="shared" si="111"/>
        <v/>
      </c>
      <c r="AA338" s="197" t="str">
        <f t="shared" si="112"/>
        <v/>
      </c>
      <c r="AB338" s="218"/>
      <c r="AC338" s="205"/>
    </row>
    <row r="339" spans="1:29">
      <c r="A339" s="219" t="str">
        <f t="shared" si="113"/>
        <v/>
      </c>
      <c r="B339" s="219"/>
      <c r="C339" s="184"/>
      <c r="D339" s="185"/>
      <c r="E339" s="185" t="str">
        <f>IF(OR(C339="",C339=Data!$B$3),"",IF(C339=Data!$B$2,"L","S"))</f>
        <v/>
      </c>
      <c r="F339" s="185" t="str">
        <f t="shared" si="114"/>
        <v/>
      </c>
      <c r="G339" s="186" t="str">
        <f t="shared" si="105"/>
        <v/>
      </c>
      <c r="H339" s="187"/>
      <c r="I339" s="188" t="str">
        <f t="shared" si="115"/>
        <v/>
      </c>
      <c r="J339" s="188" t="str">
        <f t="shared" si="116"/>
        <v/>
      </c>
      <c r="K339" s="189" t="str">
        <f t="shared" si="117"/>
        <v/>
      </c>
      <c r="L339" s="189" t="str">
        <f t="shared" si="118"/>
        <v/>
      </c>
      <c r="M339" s="190"/>
      <c r="N339" s="190"/>
      <c r="O339" s="188" t="str">
        <f t="shared" si="119"/>
        <v/>
      </c>
      <c r="P339" s="191" t="str">
        <f t="shared" si="106"/>
        <v/>
      </c>
      <c r="Q339" s="192" t="str">
        <f t="shared" si="120"/>
        <v/>
      </c>
      <c r="R339" s="191" t="str">
        <f t="shared" si="107"/>
        <v/>
      </c>
      <c r="S339" s="193" t="str">
        <f t="shared" si="121"/>
        <v/>
      </c>
      <c r="T339" s="194" t="str">
        <f t="shared" si="108"/>
        <v/>
      </c>
      <c r="U339" s="192" t="str">
        <f t="shared" si="122"/>
        <v/>
      </c>
      <c r="V339" s="195" t="str">
        <f t="shared" si="109"/>
        <v/>
      </c>
      <c r="W339" s="195" t="str">
        <f t="shared" si="110"/>
        <v/>
      </c>
      <c r="X339" s="196" t="str">
        <f t="shared" si="123"/>
        <v/>
      </c>
      <c r="Y339" s="191" t="str">
        <f t="shared" si="104"/>
        <v/>
      </c>
      <c r="Z339" s="197" t="str">
        <f t="shared" si="111"/>
        <v/>
      </c>
      <c r="AA339" s="197" t="str">
        <f t="shared" si="112"/>
        <v/>
      </c>
      <c r="AB339" s="218"/>
      <c r="AC339" s="205"/>
    </row>
    <row r="340" spans="1:29">
      <c r="A340" s="219" t="str">
        <f t="shared" si="113"/>
        <v/>
      </c>
      <c r="B340" s="219"/>
      <c r="C340" s="184"/>
      <c r="D340" s="185"/>
      <c r="E340" s="185" t="str">
        <f>IF(OR(C340="",C340=Data!$B$3),"",IF(C340=Data!$B$2,"L","S"))</f>
        <v/>
      </c>
      <c r="F340" s="185" t="str">
        <f t="shared" si="114"/>
        <v/>
      </c>
      <c r="G340" s="186" t="str">
        <f t="shared" si="105"/>
        <v/>
      </c>
      <c r="H340" s="187"/>
      <c r="I340" s="188" t="str">
        <f t="shared" si="115"/>
        <v/>
      </c>
      <c r="J340" s="188" t="str">
        <f t="shared" si="116"/>
        <v/>
      </c>
      <c r="K340" s="189" t="str">
        <f t="shared" si="117"/>
        <v/>
      </c>
      <c r="L340" s="189" t="str">
        <f t="shared" si="118"/>
        <v/>
      </c>
      <c r="M340" s="190"/>
      <c r="N340" s="190"/>
      <c r="O340" s="188" t="str">
        <f t="shared" si="119"/>
        <v/>
      </c>
      <c r="P340" s="191" t="str">
        <f t="shared" si="106"/>
        <v/>
      </c>
      <c r="Q340" s="192" t="str">
        <f t="shared" si="120"/>
        <v/>
      </c>
      <c r="R340" s="191" t="str">
        <f t="shared" si="107"/>
        <v/>
      </c>
      <c r="S340" s="193" t="str">
        <f t="shared" si="121"/>
        <v/>
      </c>
      <c r="T340" s="194" t="str">
        <f t="shared" si="108"/>
        <v/>
      </c>
      <c r="U340" s="192" t="str">
        <f t="shared" si="122"/>
        <v/>
      </c>
      <c r="V340" s="195" t="str">
        <f t="shared" si="109"/>
        <v/>
      </c>
      <c r="W340" s="195" t="str">
        <f t="shared" si="110"/>
        <v/>
      </c>
      <c r="X340" s="196" t="str">
        <f t="shared" si="123"/>
        <v/>
      </c>
      <c r="Y340" s="191" t="str">
        <f t="shared" ref="Y340:Y403" si="124">IF(Y339="","",IF(T340="","",Y339+T340))</f>
        <v/>
      </c>
      <c r="Z340" s="197" t="str">
        <f t="shared" si="111"/>
        <v/>
      </c>
      <c r="AA340" s="197" t="str">
        <f t="shared" si="112"/>
        <v/>
      </c>
      <c r="AB340" s="218"/>
      <c r="AC340" s="205"/>
    </row>
    <row r="341" spans="1:29">
      <c r="A341" s="219" t="str">
        <f t="shared" si="113"/>
        <v/>
      </c>
      <c r="B341" s="219"/>
      <c r="C341" s="184"/>
      <c r="D341" s="185"/>
      <c r="E341" s="185" t="str">
        <f>IF(OR(C341="",C341=Data!$B$3),"",IF(C341=Data!$B$2,"L","S"))</f>
        <v/>
      </c>
      <c r="F341" s="185" t="str">
        <f t="shared" si="114"/>
        <v/>
      </c>
      <c r="G341" s="186" t="str">
        <f t="shared" si="105"/>
        <v/>
      </c>
      <c r="H341" s="187"/>
      <c r="I341" s="188" t="str">
        <f t="shared" si="115"/>
        <v/>
      </c>
      <c r="J341" s="188" t="str">
        <f t="shared" si="116"/>
        <v/>
      </c>
      <c r="K341" s="189" t="str">
        <f t="shared" si="117"/>
        <v/>
      </c>
      <c r="L341" s="189" t="str">
        <f t="shared" si="118"/>
        <v/>
      </c>
      <c r="M341" s="190"/>
      <c r="N341" s="190"/>
      <c r="O341" s="188" t="str">
        <f t="shared" si="119"/>
        <v/>
      </c>
      <c r="P341" s="191" t="str">
        <f t="shared" si="106"/>
        <v/>
      </c>
      <c r="Q341" s="192" t="str">
        <f t="shared" si="120"/>
        <v/>
      </c>
      <c r="R341" s="191" t="str">
        <f t="shared" si="107"/>
        <v/>
      </c>
      <c r="S341" s="193" t="str">
        <f t="shared" si="121"/>
        <v/>
      </c>
      <c r="T341" s="194" t="str">
        <f t="shared" si="108"/>
        <v/>
      </c>
      <c r="U341" s="192" t="str">
        <f t="shared" si="122"/>
        <v/>
      </c>
      <c r="V341" s="195" t="str">
        <f t="shared" si="109"/>
        <v/>
      </c>
      <c r="W341" s="195" t="str">
        <f t="shared" si="110"/>
        <v/>
      </c>
      <c r="X341" s="196" t="str">
        <f t="shared" si="123"/>
        <v/>
      </c>
      <c r="Y341" s="191" t="str">
        <f t="shared" si="124"/>
        <v/>
      </c>
      <c r="Z341" s="197" t="str">
        <f t="shared" si="111"/>
        <v/>
      </c>
      <c r="AA341" s="197" t="str">
        <f t="shared" si="112"/>
        <v/>
      </c>
      <c r="AB341" s="218"/>
      <c r="AC341" s="205"/>
    </row>
    <row r="342" spans="1:29">
      <c r="A342" s="219" t="str">
        <f t="shared" si="113"/>
        <v/>
      </c>
      <c r="B342" s="219"/>
      <c r="C342" s="184"/>
      <c r="D342" s="185"/>
      <c r="E342" s="185" t="str">
        <f>IF(OR(C342="",C342=Data!$B$3),"",IF(C342=Data!$B$2,"L","S"))</f>
        <v/>
      </c>
      <c r="F342" s="185" t="str">
        <f t="shared" si="114"/>
        <v/>
      </c>
      <c r="G342" s="186" t="str">
        <f t="shared" si="105"/>
        <v/>
      </c>
      <c r="H342" s="187"/>
      <c r="I342" s="188" t="str">
        <f t="shared" si="115"/>
        <v/>
      </c>
      <c r="J342" s="188" t="str">
        <f t="shared" si="116"/>
        <v/>
      </c>
      <c r="K342" s="189" t="str">
        <f t="shared" si="117"/>
        <v/>
      </c>
      <c r="L342" s="189" t="str">
        <f t="shared" si="118"/>
        <v/>
      </c>
      <c r="M342" s="190"/>
      <c r="N342" s="190"/>
      <c r="O342" s="188" t="str">
        <f t="shared" si="119"/>
        <v/>
      </c>
      <c r="P342" s="191" t="str">
        <f t="shared" si="106"/>
        <v/>
      </c>
      <c r="Q342" s="192" t="str">
        <f t="shared" si="120"/>
        <v/>
      </c>
      <c r="R342" s="191" t="str">
        <f t="shared" si="107"/>
        <v/>
      </c>
      <c r="S342" s="193" t="str">
        <f t="shared" si="121"/>
        <v/>
      </c>
      <c r="T342" s="194" t="str">
        <f t="shared" si="108"/>
        <v/>
      </c>
      <c r="U342" s="192" t="str">
        <f t="shared" si="122"/>
        <v/>
      </c>
      <c r="V342" s="195" t="str">
        <f t="shared" si="109"/>
        <v/>
      </c>
      <c r="W342" s="195" t="str">
        <f t="shared" si="110"/>
        <v/>
      </c>
      <c r="X342" s="196" t="str">
        <f t="shared" si="123"/>
        <v/>
      </c>
      <c r="Y342" s="191" t="str">
        <f t="shared" si="124"/>
        <v/>
      </c>
      <c r="Z342" s="197" t="str">
        <f t="shared" si="111"/>
        <v/>
      </c>
      <c r="AA342" s="197" t="str">
        <f t="shared" si="112"/>
        <v/>
      </c>
      <c r="AB342" s="218"/>
      <c r="AC342" s="205"/>
    </row>
    <row r="343" spans="1:29">
      <c r="A343" s="219" t="str">
        <f t="shared" si="113"/>
        <v/>
      </c>
      <c r="B343" s="219"/>
      <c r="C343" s="184"/>
      <c r="D343" s="185"/>
      <c r="E343" s="185" t="str">
        <f>IF(OR(C343="",C343=Data!$B$3),"",IF(C343=Data!$B$2,"L","S"))</f>
        <v/>
      </c>
      <c r="F343" s="185" t="str">
        <f t="shared" si="114"/>
        <v/>
      </c>
      <c r="G343" s="186" t="str">
        <f t="shared" si="105"/>
        <v/>
      </c>
      <c r="H343" s="187"/>
      <c r="I343" s="188" t="str">
        <f t="shared" si="115"/>
        <v/>
      </c>
      <c r="J343" s="188" t="str">
        <f t="shared" si="116"/>
        <v/>
      </c>
      <c r="K343" s="189" t="str">
        <f t="shared" si="117"/>
        <v/>
      </c>
      <c r="L343" s="189" t="str">
        <f t="shared" si="118"/>
        <v/>
      </c>
      <c r="M343" s="190"/>
      <c r="N343" s="190"/>
      <c r="O343" s="188" t="str">
        <f t="shared" si="119"/>
        <v/>
      </c>
      <c r="P343" s="191" t="str">
        <f t="shared" si="106"/>
        <v/>
      </c>
      <c r="Q343" s="192" t="str">
        <f t="shared" si="120"/>
        <v/>
      </c>
      <c r="R343" s="191" t="str">
        <f t="shared" si="107"/>
        <v/>
      </c>
      <c r="S343" s="193" t="str">
        <f t="shared" si="121"/>
        <v/>
      </c>
      <c r="T343" s="194" t="str">
        <f t="shared" si="108"/>
        <v/>
      </c>
      <c r="U343" s="192" t="str">
        <f t="shared" si="122"/>
        <v/>
      </c>
      <c r="V343" s="195" t="str">
        <f t="shared" si="109"/>
        <v/>
      </c>
      <c r="W343" s="195" t="str">
        <f t="shared" si="110"/>
        <v/>
      </c>
      <c r="X343" s="196" t="str">
        <f t="shared" si="123"/>
        <v/>
      </c>
      <c r="Y343" s="191" t="str">
        <f t="shared" si="124"/>
        <v/>
      </c>
      <c r="Z343" s="197" t="str">
        <f t="shared" si="111"/>
        <v/>
      </c>
      <c r="AA343" s="197" t="str">
        <f t="shared" si="112"/>
        <v/>
      </c>
      <c r="AB343" s="218"/>
      <c r="AC343" s="205"/>
    </row>
    <row r="344" spans="1:29">
      <c r="A344" s="219" t="str">
        <f t="shared" si="113"/>
        <v/>
      </c>
      <c r="B344" s="219"/>
      <c r="C344" s="184"/>
      <c r="D344" s="185"/>
      <c r="E344" s="185" t="str">
        <f>IF(OR(C344="",C344=Data!$B$3),"",IF(C344=Data!$B$2,"L","S"))</f>
        <v/>
      </c>
      <c r="F344" s="185" t="str">
        <f t="shared" si="114"/>
        <v/>
      </c>
      <c r="G344" s="186" t="str">
        <f t="shared" si="105"/>
        <v/>
      </c>
      <c r="H344" s="187"/>
      <c r="I344" s="188" t="str">
        <f t="shared" si="115"/>
        <v/>
      </c>
      <c r="J344" s="188" t="str">
        <f t="shared" si="116"/>
        <v/>
      </c>
      <c r="K344" s="189" t="str">
        <f t="shared" si="117"/>
        <v/>
      </c>
      <c r="L344" s="189" t="str">
        <f t="shared" si="118"/>
        <v/>
      </c>
      <c r="M344" s="190"/>
      <c r="N344" s="190"/>
      <c r="O344" s="188" t="str">
        <f t="shared" si="119"/>
        <v/>
      </c>
      <c r="P344" s="191" t="str">
        <f t="shared" si="106"/>
        <v/>
      </c>
      <c r="Q344" s="192" t="str">
        <f t="shared" si="120"/>
        <v/>
      </c>
      <c r="R344" s="191" t="str">
        <f t="shared" si="107"/>
        <v/>
      </c>
      <c r="S344" s="193" t="str">
        <f t="shared" si="121"/>
        <v/>
      </c>
      <c r="T344" s="194" t="str">
        <f t="shared" si="108"/>
        <v/>
      </c>
      <c r="U344" s="192" t="str">
        <f t="shared" si="122"/>
        <v/>
      </c>
      <c r="V344" s="195" t="str">
        <f t="shared" si="109"/>
        <v/>
      </c>
      <c r="W344" s="195" t="str">
        <f t="shared" si="110"/>
        <v/>
      </c>
      <c r="X344" s="196" t="str">
        <f t="shared" si="123"/>
        <v/>
      </c>
      <c r="Y344" s="191" t="str">
        <f t="shared" si="124"/>
        <v/>
      </c>
      <c r="Z344" s="197" t="str">
        <f t="shared" si="111"/>
        <v/>
      </c>
      <c r="AA344" s="197" t="str">
        <f t="shared" si="112"/>
        <v/>
      </c>
      <c r="AB344" s="218"/>
      <c r="AC344" s="205"/>
    </row>
    <row r="345" spans="1:29">
      <c r="A345" s="219" t="str">
        <f t="shared" si="113"/>
        <v/>
      </c>
      <c r="B345" s="219"/>
      <c r="C345" s="184"/>
      <c r="D345" s="185"/>
      <c r="E345" s="185" t="str">
        <f>IF(OR(C345="",C345=Data!$B$3),"",IF(C345=Data!$B$2,"L","S"))</f>
        <v/>
      </c>
      <c r="F345" s="185" t="str">
        <f t="shared" si="114"/>
        <v/>
      </c>
      <c r="G345" s="186" t="str">
        <f t="shared" si="105"/>
        <v/>
      </c>
      <c r="H345" s="187"/>
      <c r="I345" s="188" t="str">
        <f t="shared" si="115"/>
        <v/>
      </c>
      <c r="J345" s="188" t="str">
        <f t="shared" si="116"/>
        <v/>
      </c>
      <c r="K345" s="189" t="str">
        <f t="shared" si="117"/>
        <v/>
      </c>
      <c r="L345" s="189" t="str">
        <f t="shared" si="118"/>
        <v/>
      </c>
      <c r="M345" s="190"/>
      <c r="N345" s="190"/>
      <c r="O345" s="188" t="str">
        <f t="shared" si="119"/>
        <v/>
      </c>
      <c r="P345" s="191" t="str">
        <f t="shared" si="106"/>
        <v/>
      </c>
      <c r="Q345" s="192" t="str">
        <f t="shared" si="120"/>
        <v/>
      </c>
      <c r="R345" s="191" t="str">
        <f t="shared" si="107"/>
        <v/>
      </c>
      <c r="S345" s="193" t="str">
        <f t="shared" si="121"/>
        <v/>
      </c>
      <c r="T345" s="194" t="str">
        <f t="shared" si="108"/>
        <v/>
      </c>
      <c r="U345" s="192" t="str">
        <f t="shared" si="122"/>
        <v/>
      </c>
      <c r="V345" s="195" t="str">
        <f t="shared" si="109"/>
        <v/>
      </c>
      <c r="W345" s="195" t="str">
        <f t="shared" si="110"/>
        <v/>
      </c>
      <c r="X345" s="196" t="str">
        <f t="shared" si="123"/>
        <v/>
      </c>
      <c r="Y345" s="191" t="str">
        <f t="shared" si="124"/>
        <v/>
      </c>
      <c r="Z345" s="197" t="str">
        <f t="shared" si="111"/>
        <v/>
      </c>
      <c r="AA345" s="197" t="str">
        <f t="shared" si="112"/>
        <v/>
      </c>
      <c r="AB345" s="218"/>
      <c r="AC345" s="205"/>
    </row>
    <row r="346" spans="1:29">
      <c r="A346" s="219" t="str">
        <f t="shared" si="113"/>
        <v/>
      </c>
      <c r="B346" s="219"/>
      <c r="C346" s="184"/>
      <c r="D346" s="185"/>
      <c r="E346" s="185" t="str">
        <f>IF(OR(C346="",C346=Data!$B$3),"",IF(C346=Data!$B$2,"L","S"))</f>
        <v/>
      </c>
      <c r="F346" s="185" t="str">
        <f t="shared" si="114"/>
        <v/>
      </c>
      <c r="G346" s="186" t="str">
        <f t="shared" si="105"/>
        <v/>
      </c>
      <c r="H346" s="187"/>
      <c r="I346" s="188" t="str">
        <f t="shared" si="115"/>
        <v/>
      </c>
      <c r="J346" s="188" t="str">
        <f t="shared" si="116"/>
        <v/>
      </c>
      <c r="K346" s="189" t="str">
        <f t="shared" si="117"/>
        <v/>
      </c>
      <c r="L346" s="189" t="str">
        <f t="shared" si="118"/>
        <v/>
      </c>
      <c r="M346" s="190"/>
      <c r="N346" s="190"/>
      <c r="O346" s="188" t="str">
        <f t="shared" si="119"/>
        <v/>
      </c>
      <c r="P346" s="191" t="str">
        <f t="shared" si="106"/>
        <v/>
      </c>
      <c r="Q346" s="192" t="str">
        <f t="shared" si="120"/>
        <v/>
      </c>
      <c r="R346" s="191" t="str">
        <f t="shared" si="107"/>
        <v/>
      </c>
      <c r="S346" s="193" t="str">
        <f t="shared" si="121"/>
        <v/>
      </c>
      <c r="T346" s="194" t="str">
        <f t="shared" si="108"/>
        <v/>
      </c>
      <c r="U346" s="192" t="str">
        <f t="shared" si="122"/>
        <v/>
      </c>
      <c r="V346" s="195" t="str">
        <f t="shared" si="109"/>
        <v/>
      </c>
      <c r="W346" s="195" t="str">
        <f t="shared" si="110"/>
        <v/>
      </c>
      <c r="X346" s="196" t="str">
        <f t="shared" si="123"/>
        <v/>
      </c>
      <c r="Y346" s="191" t="str">
        <f t="shared" si="124"/>
        <v/>
      </c>
      <c r="Z346" s="197" t="str">
        <f t="shared" si="111"/>
        <v/>
      </c>
      <c r="AA346" s="197" t="str">
        <f t="shared" si="112"/>
        <v/>
      </c>
      <c r="AB346" s="218"/>
      <c r="AC346" s="205"/>
    </row>
    <row r="347" spans="1:29">
      <c r="A347" s="219" t="str">
        <f t="shared" si="113"/>
        <v/>
      </c>
      <c r="B347" s="219"/>
      <c r="C347" s="184"/>
      <c r="D347" s="185"/>
      <c r="E347" s="185" t="str">
        <f>IF(OR(C347="",C347=Data!$B$3),"",IF(C347=Data!$B$2,"L","S"))</f>
        <v/>
      </c>
      <c r="F347" s="185" t="str">
        <f t="shared" si="114"/>
        <v/>
      </c>
      <c r="G347" s="186" t="str">
        <f t="shared" si="105"/>
        <v/>
      </c>
      <c r="H347" s="187"/>
      <c r="I347" s="188" t="str">
        <f t="shared" si="115"/>
        <v/>
      </c>
      <c r="J347" s="188" t="str">
        <f t="shared" si="116"/>
        <v/>
      </c>
      <c r="K347" s="189" t="str">
        <f t="shared" si="117"/>
        <v/>
      </c>
      <c r="L347" s="189" t="str">
        <f t="shared" si="118"/>
        <v/>
      </c>
      <c r="M347" s="190"/>
      <c r="N347" s="190"/>
      <c r="O347" s="188" t="str">
        <f t="shared" si="119"/>
        <v/>
      </c>
      <c r="P347" s="191" t="str">
        <f t="shared" si="106"/>
        <v/>
      </c>
      <c r="Q347" s="192" t="str">
        <f t="shared" si="120"/>
        <v/>
      </c>
      <c r="R347" s="191" t="str">
        <f t="shared" si="107"/>
        <v/>
      </c>
      <c r="S347" s="193" t="str">
        <f t="shared" si="121"/>
        <v/>
      </c>
      <c r="T347" s="194" t="str">
        <f t="shared" si="108"/>
        <v/>
      </c>
      <c r="U347" s="192" t="str">
        <f t="shared" si="122"/>
        <v/>
      </c>
      <c r="V347" s="195" t="str">
        <f t="shared" si="109"/>
        <v/>
      </c>
      <c r="W347" s="195" t="str">
        <f t="shared" si="110"/>
        <v/>
      </c>
      <c r="X347" s="196" t="str">
        <f t="shared" si="123"/>
        <v/>
      </c>
      <c r="Y347" s="191" t="str">
        <f t="shared" si="124"/>
        <v/>
      </c>
      <c r="Z347" s="197" t="str">
        <f t="shared" si="111"/>
        <v/>
      </c>
      <c r="AA347" s="197" t="str">
        <f t="shared" si="112"/>
        <v/>
      </c>
      <c r="AB347" s="218"/>
      <c r="AC347" s="205"/>
    </row>
    <row r="348" spans="1:29">
      <c r="A348" s="219" t="str">
        <f t="shared" si="113"/>
        <v/>
      </c>
      <c r="B348" s="219"/>
      <c r="C348" s="184"/>
      <c r="D348" s="185"/>
      <c r="E348" s="185" t="str">
        <f>IF(OR(C348="",C348=Data!$B$3),"",IF(C348=Data!$B$2,"L","S"))</f>
        <v/>
      </c>
      <c r="F348" s="185" t="str">
        <f t="shared" si="114"/>
        <v/>
      </c>
      <c r="G348" s="186" t="str">
        <f t="shared" si="105"/>
        <v/>
      </c>
      <c r="H348" s="187"/>
      <c r="I348" s="188" t="str">
        <f t="shared" si="115"/>
        <v/>
      </c>
      <c r="J348" s="188" t="str">
        <f t="shared" si="116"/>
        <v/>
      </c>
      <c r="K348" s="189" t="str">
        <f t="shared" si="117"/>
        <v/>
      </c>
      <c r="L348" s="189" t="str">
        <f t="shared" si="118"/>
        <v/>
      </c>
      <c r="M348" s="190"/>
      <c r="N348" s="190"/>
      <c r="O348" s="188" t="str">
        <f t="shared" si="119"/>
        <v/>
      </c>
      <c r="P348" s="191" t="str">
        <f t="shared" si="106"/>
        <v/>
      </c>
      <c r="Q348" s="192" t="str">
        <f t="shared" si="120"/>
        <v/>
      </c>
      <c r="R348" s="191" t="str">
        <f t="shared" si="107"/>
        <v/>
      </c>
      <c r="S348" s="193" t="str">
        <f t="shared" si="121"/>
        <v/>
      </c>
      <c r="T348" s="194" t="str">
        <f t="shared" si="108"/>
        <v/>
      </c>
      <c r="U348" s="192" t="str">
        <f t="shared" si="122"/>
        <v/>
      </c>
      <c r="V348" s="195" t="str">
        <f t="shared" si="109"/>
        <v/>
      </c>
      <c r="W348" s="195" t="str">
        <f t="shared" si="110"/>
        <v/>
      </c>
      <c r="X348" s="196" t="str">
        <f t="shared" si="123"/>
        <v/>
      </c>
      <c r="Y348" s="191" t="str">
        <f t="shared" si="124"/>
        <v/>
      </c>
      <c r="Z348" s="197" t="str">
        <f t="shared" si="111"/>
        <v/>
      </c>
      <c r="AA348" s="197" t="str">
        <f t="shared" si="112"/>
        <v/>
      </c>
      <c r="AB348" s="218"/>
      <c r="AC348" s="205"/>
    </row>
    <row r="349" spans="1:29">
      <c r="A349" s="219" t="str">
        <f t="shared" si="113"/>
        <v/>
      </c>
      <c r="B349" s="219"/>
      <c r="C349" s="184"/>
      <c r="D349" s="185"/>
      <c r="E349" s="185" t="str">
        <f>IF(OR(C349="",C349=Data!$B$3),"",IF(C349=Data!$B$2,"L","S"))</f>
        <v/>
      </c>
      <c r="F349" s="185" t="str">
        <f t="shared" si="114"/>
        <v/>
      </c>
      <c r="G349" s="186" t="str">
        <f t="shared" si="105"/>
        <v/>
      </c>
      <c r="H349" s="187"/>
      <c r="I349" s="188" t="str">
        <f t="shared" si="115"/>
        <v/>
      </c>
      <c r="J349" s="188" t="str">
        <f t="shared" si="116"/>
        <v/>
      </c>
      <c r="K349" s="189" t="str">
        <f t="shared" si="117"/>
        <v/>
      </c>
      <c r="L349" s="189" t="str">
        <f t="shared" si="118"/>
        <v/>
      </c>
      <c r="M349" s="190"/>
      <c r="N349" s="190"/>
      <c r="O349" s="188" t="str">
        <f t="shared" si="119"/>
        <v/>
      </c>
      <c r="P349" s="191" t="str">
        <f t="shared" si="106"/>
        <v/>
      </c>
      <c r="Q349" s="192" t="str">
        <f t="shared" si="120"/>
        <v/>
      </c>
      <c r="R349" s="191" t="str">
        <f t="shared" si="107"/>
        <v/>
      </c>
      <c r="S349" s="193" t="str">
        <f t="shared" si="121"/>
        <v/>
      </c>
      <c r="T349" s="194" t="str">
        <f t="shared" si="108"/>
        <v/>
      </c>
      <c r="U349" s="192" t="str">
        <f t="shared" si="122"/>
        <v/>
      </c>
      <c r="V349" s="195" t="str">
        <f t="shared" si="109"/>
        <v/>
      </c>
      <c r="W349" s="195" t="str">
        <f t="shared" si="110"/>
        <v/>
      </c>
      <c r="X349" s="196" t="str">
        <f t="shared" si="123"/>
        <v/>
      </c>
      <c r="Y349" s="191" t="str">
        <f t="shared" si="124"/>
        <v/>
      </c>
      <c r="Z349" s="197" t="str">
        <f t="shared" si="111"/>
        <v/>
      </c>
      <c r="AA349" s="197" t="str">
        <f t="shared" si="112"/>
        <v/>
      </c>
      <c r="AB349" s="218"/>
      <c r="AC349" s="205"/>
    </row>
    <row r="350" spans="1:29">
      <c r="A350" s="219" t="str">
        <f t="shared" si="113"/>
        <v/>
      </c>
      <c r="B350" s="219"/>
      <c r="C350" s="184"/>
      <c r="D350" s="185"/>
      <c r="E350" s="185" t="str">
        <f>IF(OR(C350="",C350=Data!$B$3),"",IF(C350=Data!$B$2,"L","S"))</f>
        <v/>
      </c>
      <c r="F350" s="185" t="str">
        <f t="shared" si="114"/>
        <v/>
      </c>
      <c r="G350" s="186" t="str">
        <f t="shared" si="105"/>
        <v/>
      </c>
      <c r="H350" s="187"/>
      <c r="I350" s="188" t="str">
        <f t="shared" si="115"/>
        <v/>
      </c>
      <c r="J350" s="188" t="str">
        <f t="shared" si="116"/>
        <v/>
      </c>
      <c r="K350" s="189" t="str">
        <f t="shared" si="117"/>
        <v/>
      </c>
      <c r="L350" s="189" t="str">
        <f t="shared" si="118"/>
        <v/>
      </c>
      <c r="M350" s="190"/>
      <c r="N350" s="190"/>
      <c r="O350" s="188" t="str">
        <f t="shared" si="119"/>
        <v/>
      </c>
      <c r="P350" s="191" t="str">
        <f t="shared" si="106"/>
        <v/>
      </c>
      <c r="Q350" s="192" t="str">
        <f t="shared" si="120"/>
        <v/>
      </c>
      <c r="R350" s="191" t="str">
        <f t="shared" si="107"/>
        <v/>
      </c>
      <c r="S350" s="193" t="str">
        <f t="shared" si="121"/>
        <v/>
      </c>
      <c r="T350" s="194" t="str">
        <f t="shared" si="108"/>
        <v/>
      </c>
      <c r="U350" s="192" t="str">
        <f t="shared" si="122"/>
        <v/>
      </c>
      <c r="V350" s="195" t="str">
        <f t="shared" si="109"/>
        <v/>
      </c>
      <c r="W350" s="195" t="str">
        <f t="shared" si="110"/>
        <v/>
      </c>
      <c r="X350" s="196" t="str">
        <f t="shared" si="123"/>
        <v/>
      </c>
      <c r="Y350" s="191" t="str">
        <f t="shared" si="124"/>
        <v/>
      </c>
      <c r="Z350" s="197" t="str">
        <f t="shared" si="111"/>
        <v/>
      </c>
      <c r="AA350" s="197" t="str">
        <f t="shared" si="112"/>
        <v/>
      </c>
      <c r="AB350" s="218"/>
      <c r="AC350" s="205"/>
    </row>
    <row r="351" spans="1:29">
      <c r="A351" s="219" t="str">
        <f t="shared" si="113"/>
        <v/>
      </c>
      <c r="B351" s="219"/>
      <c r="C351" s="184"/>
      <c r="D351" s="185"/>
      <c r="E351" s="185" t="str">
        <f>IF(OR(C351="",C351=Data!$B$3),"",IF(C351=Data!$B$2,"L","S"))</f>
        <v/>
      </c>
      <c r="F351" s="185" t="str">
        <f t="shared" si="114"/>
        <v/>
      </c>
      <c r="G351" s="186" t="str">
        <f t="shared" si="105"/>
        <v/>
      </c>
      <c r="H351" s="187"/>
      <c r="I351" s="188" t="str">
        <f t="shared" si="115"/>
        <v/>
      </c>
      <c r="J351" s="188" t="str">
        <f t="shared" si="116"/>
        <v/>
      </c>
      <c r="K351" s="189" t="str">
        <f t="shared" si="117"/>
        <v/>
      </c>
      <c r="L351" s="189" t="str">
        <f t="shared" si="118"/>
        <v/>
      </c>
      <c r="M351" s="190"/>
      <c r="N351" s="190"/>
      <c r="O351" s="188" t="str">
        <f t="shared" si="119"/>
        <v/>
      </c>
      <c r="P351" s="191" t="str">
        <f t="shared" si="106"/>
        <v/>
      </c>
      <c r="Q351" s="192" t="str">
        <f t="shared" si="120"/>
        <v/>
      </c>
      <c r="R351" s="191" t="str">
        <f t="shared" si="107"/>
        <v/>
      </c>
      <c r="S351" s="193" t="str">
        <f t="shared" si="121"/>
        <v/>
      </c>
      <c r="T351" s="194" t="str">
        <f t="shared" si="108"/>
        <v/>
      </c>
      <c r="U351" s="192" t="str">
        <f t="shared" si="122"/>
        <v/>
      </c>
      <c r="V351" s="195" t="str">
        <f t="shared" si="109"/>
        <v/>
      </c>
      <c r="W351" s="195" t="str">
        <f t="shared" si="110"/>
        <v/>
      </c>
      <c r="X351" s="196" t="str">
        <f t="shared" si="123"/>
        <v/>
      </c>
      <c r="Y351" s="191" t="str">
        <f t="shared" si="124"/>
        <v/>
      </c>
      <c r="Z351" s="197" t="str">
        <f t="shared" si="111"/>
        <v/>
      </c>
      <c r="AA351" s="197" t="str">
        <f t="shared" si="112"/>
        <v/>
      </c>
      <c r="AB351" s="218"/>
      <c r="AC351" s="205"/>
    </row>
    <row r="352" spans="1:29">
      <c r="A352" s="219" t="str">
        <f t="shared" si="113"/>
        <v/>
      </c>
      <c r="B352" s="219"/>
      <c r="C352" s="184"/>
      <c r="D352" s="185"/>
      <c r="E352" s="185" t="str">
        <f>IF(OR(C352="",C352=Data!$B$3),"",IF(C352=Data!$B$2,"L","S"))</f>
        <v/>
      </c>
      <c r="F352" s="185" t="str">
        <f t="shared" si="114"/>
        <v/>
      </c>
      <c r="G352" s="186" t="str">
        <f t="shared" si="105"/>
        <v/>
      </c>
      <c r="H352" s="187"/>
      <c r="I352" s="188" t="str">
        <f t="shared" si="115"/>
        <v/>
      </c>
      <c r="J352" s="188" t="str">
        <f t="shared" si="116"/>
        <v/>
      </c>
      <c r="K352" s="189" t="str">
        <f t="shared" si="117"/>
        <v/>
      </c>
      <c r="L352" s="189" t="str">
        <f t="shared" si="118"/>
        <v/>
      </c>
      <c r="M352" s="190"/>
      <c r="N352" s="190"/>
      <c r="O352" s="188" t="str">
        <f t="shared" si="119"/>
        <v/>
      </c>
      <c r="P352" s="191" t="str">
        <f t="shared" si="106"/>
        <v/>
      </c>
      <c r="Q352" s="192" t="str">
        <f t="shared" si="120"/>
        <v/>
      </c>
      <c r="R352" s="191" t="str">
        <f t="shared" si="107"/>
        <v/>
      </c>
      <c r="S352" s="193" t="str">
        <f t="shared" si="121"/>
        <v/>
      </c>
      <c r="T352" s="194" t="str">
        <f t="shared" si="108"/>
        <v/>
      </c>
      <c r="U352" s="192" t="str">
        <f t="shared" si="122"/>
        <v/>
      </c>
      <c r="V352" s="195" t="str">
        <f t="shared" si="109"/>
        <v/>
      </c>
      <c r="W352" s="195" t="str">
        <f t="shared" si="110"/>
        <v/>
      </c>
      <c r="X352" s="196" t="str">
        <f t="shared" si="123"/>
        <v/>
      </c>
      <c r="Y352" s="191" t="str">
        <f t="shared" si="124"/>
        <v/>
      </c>
      <c r="Z352" s="197" t="str">
        <f t="shared" si="111"/>
        <v/>
      </c>
      <c r="AA352" s="197" t="str">
        <f t="shared" si="112"/>
        <v/>
      </c>
      <c r="AB352" s="218"/>
      <c r="AC352" s="205"/>
    </row>
    <row r="353" spans="1:29">
      <c r="A353" s="219" t="str">
        <f t="shared" si="113"/>
        <v/>
      </c>
      <c r="B353" s="219"/>
      <c r="C353" s="184"/>
      <c r="D353" s="185"/>
      <c r="E353" s="185" t="str">
        <f>IF(OR(C353="",C353=Data!$B$3),"",IF(C353=Data!$B$2,"L","S"))</f>
        <v/>
      </c>
      <c r="F353" s="185" t="str">
        <f t="shared" si="114"/>
        <v/>
      </c>
      <c r="G353" s="186" t="str">
        <f t="shared" si="105"/>
        <v/>
      </c>
      <c r="H353" s="187"/>
      <c r="I353" s="188" t="str">
        <f t="shared" si="115"/>
        <v/>
      </c>
      <c r="J353" s="188" t="str">
        <f t="shared" si="116"/>
        <v/>
      </c>
      <c r="K353" s="189" t="str">
        <f t="shared" si="117"/>
        <v/>
      </c>
      <c r="L353" s="189" t="str">
        <f t="shared" si="118"/>
        <v/>
      </c>
      <c r="M353" s="190"/>
      <c r="N353" s="190"/>
      <c r="O353" s="188" t="str">
        <f t="shared" si="119"/>
        <v/>
      </c>
      <c r="P353" s="191" t="str">
        <f t="shared" si="106"/>
        <v/>
      </c>
      <c r="Q353" s="192" t="str">
        <f t="shared" si="120"/>
        <v/>
      </c>
      <c r="R353" s="191" t="str">
        <f t="shared" si="107"/>
        <v/>
      </c>
      <c r="S353" s="193" t="str">
        <f t="shared" si="121"/>
        <v/>
      </c>
      <c r="T353" s="194" t="str">
        <f t="shared" si="108"/>
        <v/>
      </c>
      <c r="U353" s="192" t="str">
        <f t="shared" si="122"/>
        <v/>
      </c>
      <c r="V353" s="195" t="str">
        <f t="shared" si="109"/>
        <v/>
      </c>
      <c r="W353" s="195" t="str">
        <f t="shared" si="110"/>
        <v/>
      </c>
      <c r="X353" s="196" t="str">
        <f t="shared" si="123"/>
        <v/>
      </c>
      <c r="Y353" s="191" t="str">
        <f t="shared" si="124"/>
        <v/>
      </c>
      <c r="Z353" s="197" t="str">
        <f t="shared" si="111"/>
        <v/>
      </c>
      <c r="AA353" s="197" t="str">
        <f t="shared" si="112"/>
        <v/>
      </c>
      <c r="AB353" s="218"/>
      <c r="AC353" s="205"/>
    </row>
    <row r="354" spans="1:29">
      <c r="A354" s="219" t="str">
        <f t="shared" si="113"/>
        <v/>
      </c>
      <c r="B354" s="219"/>
      <c r="C354" s="184"/>
      <c r="D354" s="185"/>
      <c r="E354" s="185" t="str">
        <f>IF(OR(C354="",C354=Data!$B$3),"",IF(C354=Data!$B$2,"L","S"))</f>
        <v/>
      </c>
      <c r="F354" s="185" t="str">
        <f t="shared" si="114"/>
        <v/>
      </c>
      <c r="G354" s="186" t="str">
        <f t="shared" si="105"/>
        <v/>
      </c>
      <c r="H354" s="187"/>
      <c r="I354" s="188" t="str">
        <f t="shared" si="115"/>
        <v/>
      </c>
      <c r="J354" s="188" t="str">
        <f t="shared" si="116"/>
        <v/>
      </c>
      <c r="K354" s="189" t="str">
        <f t="shared" si="117"/>
        <v/>
      </c>
      <c r="L354" s="189" t="str">
        <f t="shared" si="118"/>
        <v/>
      </c>
      <c r="M354" s="190"/>
      <c r="N354" s="190"/>
      <c r="O354" s="188" t="str">
        <f t="shared" si="119"/>
        <v/>
      </c>
      <c r="P354" s="191" t="str">
        <f t="shared" si="106"/>
        <v/>
      </c>
      <c r="Q354" s="192" t="str">
        <f t="shared" si="120"/>
        <v/>
      </c>
      <c r="R354" s="191" t="str">
        <f t="shared" si="107"/>
        <v/>
      </c>
      <c r="S354" s="193" t="str">
        <f t="shared" si="121"/>
        <v/>
      </c>
      <c r="T354" s="194" t="str">
        <f t="shared" si="108"/>
        <v/>
      </c>
      <c r="U354" s="192" t="str">
        <f t="shared" si="122"/>
        <v/>
      </c>
      <c r="V354" s="195" t="str">
        <f t="shared" si="109"/>
        <v/>
      </c>
      <c r="W354" s="195" t="str">
        <f t="shared" si="110"/>
        <v/>
      </c>
      <c r="X354" s="196" t="str">
        <f t="shared" si="123"/>
        <v/>
      </c>
      <c r="Y354" s="191" t="str">
        <f t="shared" si="124"/>
        <v/>
      </c>
      <c r="Z354" s="197" t="str">
        <f t="shared" si="111"/>
        <v/>
      </c>
      <c r="AA354" s="197" t="str">
        <f t="shared" si="112"/>
        <v/>
      </c>
      <c r="AB354" s="218"/>
      <c r="AC354" s="205"/>
    </row>
    <row r="355" spans="1:29">
      <c r="A355" s="219" t="str">
        <f t="shared" si="113"/>
        <v/>
      </c>
      <c r="B355" s="219"/>
      <c r="C355" s="184"/>
      <c r="D355" s="185"/>
      <c r="E355" s="185" t="str">
        <f>IF(OR(C355="",C355=Data!$B$3),"",IF(C355=Data!$B$2,"L","S"))</f>
        <v/>
      </c>
      <c r="F355" s="185" t="str">
        <f t="shared" si="114"/>
        <v/>
      </c>
      <c r="G355" s="186" t="str">
        <f t="shared" si="105"/>
        <v/>
      </c>
      <c r="H355" s="187"/>
      <c r="I355" s="188" t="str">
        <f t="shared" si="115"/>
        <v/>
      </c>
      <c r="J355" s="188" t="str">
        <f t="shared" si="116"/>
        <v/>
      </c>
      <c r="K355" s="189" t="str">
        <f t="shared" si="117"/>
        <v/>
      </c>
      <c r="L355" s="189" t="str">
        <f t="shared" si="118"/>
        <v/>
      </c>
      <c r="M355" s="190"/>
      <c r="N355" s="190"/>
      <c r="O355" s="188" t="str">
        <f t="shared" si="119"/>
        <v/>
      </c>
      <c r="P355" s="191" t="str">
        <f t="shared" si="106"/>
        <v/>
      </c>
      <c r="Q355" s="192" t="str">
        <f t="shared" si="120"/>
        <v/>
      </c>
      <c r="R355" s="191" t="str">
        <f t="shared" si="107"/>
        <v/>
      </c>
      <c r="S355" s="193" t="str">
        <f t="shared" si="121"/>
        <v/>
      </c>
      <c r="T355" s="194" t="str">
        <f t="shared" si="108"/>
        <v/>
      </c>
      <c r="U355" s="192" t="str">
        <f t="shared" si="122"/>
        <v/>
      </c>
      <c r="V355" s="195" t="str">
        <f t="shared" si="109"/>
        <v/>
      </c>
      <c r="W355" s="195" t="str">
        <f t="shared" si="110"/>
        <v/>
      </c>
      <c r="X355" s="196" t="str">
        <f t="shared" si="123"/>
        <v/>
      </c>
      <c r="Y355" s="191" t="str">
        <f t="shared" si="124"/>
        <v/>
      </c>
      <c r="Z355" s="197" t="str">
        <f t="shared" si="111"/>
        <v/>
      </c>
      <c r="AA355" s="197" t="str">
        <f t="shared" si="112"/>
        <v/>
      </c>
      <c r="AB355" s="218"/>
      <c r="AC355" s="205"/>
    </row>
    <row r="356" spans="1:29">
      <c r="A356" s="219" t="str">
        <f t="shared" si="113"/>
        <v/>
      </c>
      <c r="B356" s="219"/>
      <c r="C356" s="184"/>
      <c r="D356" s="185"/>
      <c r="E356" s="185" t="str">
        <f>IF(OR(C356="",C356=Data!$B$3),"",IF(C356=Data!$B$2,"L","S"))</f>
        <v/>
      </c>
      <c r="F356" s="185" t="str">
        <f t="shared" si="114"/>
        <v/>
      </c>
      <c r="G356" s="186" t="str">
        <f t="shared" si="105"/>
        <v/>
      </c>
      <c r="H356" s="187"/>
      <c r="I356" s="188" t="str">
        <f t="shared" si="115"/>
        <v/>
      </c>
      <c r="J356" s="188" t="str">
        <f t="shared" si="116"/>
        <v/>
      </c>
      <c r="K356" s="189" t="str">
        <f t="shared" si="117"/>
        <v/>
      </c>
      <c r="L356" s="189" t="str">
        <f t="shared" si="118"/>
        <v/>
      </c>
      <c r="M356" s="190"/>
      <c r="N356" s="190"/>
      <c r="O356" s="188" t="str">
        <f t="shared" si="119"/>
        <v/>
      </c>
      <c r="P356" s="191" t="str">
        <f t="shared" si="106"/>
        <v/>
      </c>
      <c r="Q356" s="192" t="str">
        <f t="shared" si="120"/>
        <v/>
      </c>
      <c r="R356" s="191" t="str">
        <f t="shared" si="107"/>
        <v/>
      </c>
      <c r="S356" s="193" t="str">
        <f t="shared" si="121"/>
        <v/>
      </c>
      <c r="T356" s="194" t="str">
        <f t="shared" si="108"/>
        <v/>
      </c>
      <c r="U356" s="192" t="str">
        <f t="shared" si="122"/>
        <v/>
      </c>
      <c r="V356" s="195" t="str">
        <f t="shared" si="109"/>
        <v/>
      </c>
      <c r="W356" s="195" t="str">
        <f t="shared" si="110"/>
        <v/>
      </c>
      <c r="X356" s="196" t="str">
        <f t="shared" si="123"/>
        <v/>
      </c>
      <c r="Y356" s="191" t="str">
        <f t="shared" si="124"/>
        <v/>
      </c>
      <c r="Z356" s="197" t="str">
        <f t="shared" si="111"/>
        <v/>
      </c>
      <c r="AA356" s="197" t="str">
        <f t="shared" si="112"/>
        <v/>
      </c>
      <c r="AB356" s="218"/>
      <c r="AC356" s="205"/>
    </row>
    <row r="357" spans="1:29">
      <c r="A357" s="219" t="str">
        <f t="shared" si="113"/>
        <v/>
      </c>
      <c r="B357" s="219"/>
      <c r="C357" s="184"/>
      <c r="D357" s="185"/>
      <c r="E357" s="185" t="str">
        <f>IF(OR(C357="",C357=Data!$B$3),"",IF(C357=Data!$B$2,"L","S"))</f>
        <v/>
      </c>
      <c r="F357" s="185" t="str">
        <f t="shared" si="114"/>
        <v/>
      </c>
      <c r="G357" s="186" t="str">
        <f t="shared" si="105"/>
        <v/>
      </c>
      <c r="H357" s="187"/>
      <c r="I357" s="188" t="str">
        <f t="shared" si="115"/>
        <v/>
      </c>
      <c r="J357" s="188" t="str">
        <f t="shared" si="116"/>
        <v/>
      </c>
      <c r="K357" s="189" t="str">
        <f t="shared" si="117"/>
        <v/>
      </c>
      <c r="L357" s="189" t="str">
        <f t="shared" si="118"/>
        <v/>
      </c>
      <c r="M357" s="190"/>
      <c r="N357" s="190"/>
      <c r="O357" s="188" t="str">
        <f t="shared" si="119"/>
        <v/>
      </c>
      <c r="P357" s="191" t="str">
        <f t="shared" si="106"/>
        <v/>
      </c>
      <c r="Q357" s="192" t="str">
        <f t="shared" si="120"/>
        <v/>
      </c>
      <c r="R357" s="191" t="str">
        <f t="shared" si="107"/>
        <v/>
      </c>
      <c r="S357" s="193" t="str">
        <f t="shared" si="121"/>
        <v/>
      </c>
      <c r="T357" s="194" t="str">
        <f t="shared" si="108"/>
        <v/>
      </c>
      <c r="U357" s="192" t="str">
        <f t="shared" si="122"/>
        <v/>
      </c>
      <c r="V357" s="195" t="str">
        <f t="shared" si="109"/>
        <v/>
      </c>
      <c r="W357" s="195" t="str">
        <f t="shared" si="110"/>
        <v/>
      </c>
      <c r="X357" s="196" t="str">
        <f t="shared" si="123"/>
        <v/>
      </c>
      <c r="Y357" s="191" t="str">
        <f t="shared" si="124"/>
        <v/>
      </c>
      <c r="Z357" s="197" t="str">
        <f t="shared" si="111"/>
        <v/>
      </c>
      <c r="AA357" s="197" t="str">
        <f t="shared" si="112"/>
        <v/>
      </c>
      <c r="AB357" s="218"/>
      <c r="AC357" s="205"/>
    </row>
    <row r="358" spans="1:29">
      <c r="A358" s="219" t="str">
        <f t="shared" si="113"/>
        <v/>
      </c>
      <c r="B358" s="219"/>
      <c r="C358" s="184"/>
      <c r="D358" s="185"/>
      <c r="E358" s="185" t="str">
        <f>IF(OR(C358="",C358=Data!$B$3),"",IF(C358=Data!$B$2,"L","S"))</f>
        <v/>
      </c>
      <c r="F358" s="185" t="str">
        <f t="shared" si="114"/>
        <v/>
      </c>
      <c r="G358" s="186" t="str">
        <f t="shared" si="105"/>
        <v/>
      </c>
      <c r="H358" s="187"/>
      <c r="I358" s="188" t="str">
        <f t="shared" si="115"/>
        <v/>
      </c>
      <c r="J358" s="188" t="str">
        <f t="shared" si="116"/>
        <v/>
      </c>
      <c r="K358" s="189" t="str">
        <f t="shared" si="117"/>
        <v/>
      </c>
      <c r="L358" s="189" t="str">
        <f t="shared" si="118"/>
        <v/>
      </c>
      <c r="M358" s="190"/>
      <c r="N358" s="190"/>
      <c r="O358" s="188" t="str">
        <f t="shared" si="119"/>
        <v/>
      </c>
      <c r="P358" s="191" t="str">
        <f t="shared" si="106"/>
        <v/>
      </c>
      <c r="Q358" s="192" t="str">
        <f t="shared" si="120"/>
        <v/>
      </c>
      <c r="R358" s="191" t="str">
        <f t="shared" si="107"/>
        <v/>
      </c>
      <c r="S358" s="193" t="str">
        <f t="shared" si="121"/>
        <v/>
      </c>
      <c r="T358" s="194" t="str">
        <f t="shared" si="108"/>
        <v/>
      </c>
      <c r="U358" s="192" t="str">
        <f t="shared" si="122"/>
        <v/>
      </c>
      <c r="V358" s="195" t="str">
        <f t="shared" si="109"/>
        <v/>
      </c>
      <c r="W358" s="195" t="str">
        <f t="shared" si="110"/>
        <v/>
      </c>
      <c r="X358" s="196" t="str">
        <f t="shared" si="123"/>
        <v/>
      </c>
      <c r="Y358" s="191" t="str">
        <f t="shared" si="124"/>
        <v/>
      </c>
      <c r="Z358" s="197" t="str">
        <f t="shared" si="111"/>
        <v/>
      </c>
      <c r="AA358" s="197" t="str">
        <f t="shared" si="112"/>
        <v/>
      </c>
      <c r="AB358" s="218"/>
      <c r="AC358" s="205"/>
    </row>
    <row r="359" spans="1:29">
      <c r="A359" s="219" t="str">
        <f t="shared" si="113"/>
        <v/>
      </c>
      <c r="B359" s="219"/>
      <c r="C359" s="184"/>
      <c r="D359" s="185"/>
      <c r="E359" s="185" t="str">
        <f>IF(OR(C359="",C359=Data!$B$3),"",IF(C359=Data!$B$2,"L","S"))</f>
        <v/>
      </c>
      <c r="F359" s="185" t="str">
        <f t="shared" si="114"/>
        <v/>
      </c>
      <c r="G359" s="186" t="str">
        <f t="shared" si="105"/>
        <v/>
      </c>
      <c r="H359" s="187"/>
      <c r="I359" s="188" t="str">
        <f t="shared" si="115"/>
        <v/>
      </c>
      <c r="J359" s="188" t="str">
        <f t="shared" si="116"/>
        <v/>
      </c>
      <c r="K359" s="189" t="str">
        <f t="shared" si="117"/>
        <v/>
      </c>
      <c r="L359" s="189" t="str">
        <f t="shared" si="118"/>
        <v/>
      </c>
      <c r="M359" s="190"/>
      <c r="N359" s="190"/>
      <c r="O359" s="188" t="str">
        <f t="shared" si="119"/>
        <v/>
      </c>
      <c r="P359" s="191" t="str">
        <f t="shared" si="106"/>
        <v/>
      </c>
      <c r="Q359" s="192" t="str">
        <f t="shared" si="120"/>
        <v/>
      </c>
      <c r="R359" s="191" t="str">
        <f t="shared" si="107"/>
        <v/>
      </c>
      <c r="S359" s="193" t="str">
        <f t="shared" si="121"/>
        <v/>
      </c>
      <c r="T359" s="194" t="str">
        <f t="shared" si="108"/>
        <v/>
      </c>
      <c r="U359" s="192" t="str">
        <f t="shared" si="122"/>
        <v/>
      </c>
      <c r="V359" s="195" t="str">
        <f t="shared" si="109"/>
        <v/>
      </c>
      <c r="W359" s="195" t="str">
        <f t="shared" si="110"/>
        <v/>
      </c>
      <c r="X359" s="196" t="str">
        <f t="shared" si="123"/>
        <v/>
      </c>
      <c r="Y359" s="191" t="str">
        <f t="shared" si="124"/>
        <v/>
      </c>
      <c r="Z359" s="197" t="str">
        <f t="shared" si="111"/>
        <v/>
      </c>
      <c r="AA359" s="197" t="str">
        <f t="shared" si="112"/>
        <v/>
      </c>
      <c r="AB359" s="218"/>
      <c r="AC359" s="205"/>
    </row>
    <row r="360" spans="1:29">
      <c r="A360" s="219" t="str">
        <f t="shared" si="113"/>
        <v/>
      </c>
      <c r="B360" s="219"/>
      <c r="C360" s="184"/>
      <c r="D360" s="185"/>
      <c r="E360" s="185" t="str">
        <f>IF(OR(C360="",C360=Data!$B$3),"",IF(C360=Data!$B$2,"L","S"))</f>
        <v/>
      </c>
      <c r="F360" s="185" t="str">
        <f t="shared" si="114"/>
        <v/>
      </c>
      <c r="G360" s="186" t="str">
        <f t="shared" si="105"/>
        <v/>
      </c>
      <c r="H360" s="187"/>
      <c r="I360" s="188" t="str">
        <f t="shared" si="115"/>
        <v/>
      </c>
      <c r="J360" s="188" t="str">
        <f t="shared" si="116"/>
        <v/>
      </c>
      <c r="K360" s="189" t="str">
        <f t="shared" si="117"/>
        <v/>
      </c>
      <c r="L360" s="189" t="str">
        <f t="shared" si="118"/>
        <v/>
      </c>
      <c r="M360" s="190"/>
      <c r="N360" s="190"/>
      <c r="O360" s="188" t="str">
        <f t="shared" si="119"/>
        <v/>
      </c>
      <c r="P360" s="191" t="str">
        <f t="shared" si="106"/>
        <v/>
      </c>
      <c r="Q360" s="192" t="str">
        <f t="shared" si="120"/>
        <v/>
      </c>
      <c r="R360" s="191" t="str">
        <f t="shared" si="107"/>
        <v/>
      </c>
      <c r="S360" s="193" t="str">
        <f t="shared" si="121"/>
        <v/>
      </c>
      <c r="T360" s="194" t="str">
        <f t="shared" si="108"/>
        <v/>
      </c>
      <c r="U360" s="192" t="str">
        <f t="shared" si="122"/>
        <v/>
      </c>
      <c r="V360" s="195" t="str">
        <f t="shared" si="109"/>
        <v/>
      </c>
      <c r="W360" s="195" t="str">
        <f t="shared" si="110"/>
        <v/>
      </c>
      <c r="X360" s="196" t="str">
        <f t="shared" si="123"/>
        <v/>
      </c>
      <c r="Y360" s="191" t="str">
        <f t="shared" si="124"/>
        <v/>
      </c>
      <c r="Z360" s="197" t="str">
        <f t="shared" si="111"/>
        <v/>
      </c>
      <c r="AA360" s="197" t="str">
        <f t="shared" si="112"/>
        <v/>
      </c>
      <c r="AB360" s="218"/>
      <c r="AC360" s="205"/>
    </row>
    <row r="361" spans="1:29">
      <c r="A361" s="219" t="str">
        <f t="shared" si="113"/>
        <v/>
      </c>
      <c r="B361" s="219"/>
      <c r="C361" s="184"/>
      <c r="D361" s="185"/>
      <c r="E361" s="185" t="str">
        <f>IF(OR(C361="",C361=Data!$B$3),"",IF(C361=Data!$B$2,"L","S"))</f>
        <v/>
      </c>
      <c r="F361" s="185" t="str">
        <f t="shared" si="114"/>
        <v/>
      </c>
      <c r="G361" s="186" t="str">
        <f t="shared" si="105"/>
        <v/>
      </c>
      <c r="H361" s="187"/>
      <c r="I361" s="188" t="str">
        <f t="shared" si="115"/>
        <v/>
      </c>
      <c r="J361" s="188" t="str">
        <f t="shared" si="116"/>
        <v/>
      </c>
      <c r="K361" s="189" t="str">
        <f t="shared" si="117"/>
        <v/>
      </c>
      <c r="L361" s="189" t="str">
        <f t="shared" si="118"/>
        <v/>
      </c>
      <c r="M361" s="190"/>
      <c r="N361" s="190"/>
      <c r="O361" s="188" t="str">
        <f t="shared" si="119"/>
        <v/>
      </c>
      <c r="P361" s="191" t="str">
        <f t="shared" si="106"/>
        <v/>
      </c>
      <c r="Q361" s="192" t="str">
        <f t="shared" si="120"/>
        <v/>
      </c>
      <c r="R361" s="191" t="str">
        <f t="shared" si="107"/>
        <v/>
      </c>
      <c r="S361" s="193" t="str">
        <f t="shared" si="121"/>
        <v/>
      </c>
      <c r="T361" s="194" t="str">
        <f t="shared" si="108"/>
        <v/>
      </c>
      <c r="U361" s="192" t="str">
        <f t="shared" si="122"/>
        <v/>
      </c>
      <c r="V361" s="195" t="str">
        <f t="shared" si="109"/>
        <v/>
      </c>
      <c r="W361" s="195" t="str">
        <f t="shared" si="110"/>
        <v/>
      </c>
      <c r="X361" s="196" t="str">
        <f t="shared" si="123"/>
        <v/>
      </c>
      <c r="Y361" s="191" t="str">
        <f t="shared" si="124"/>
        <v/>
      </c>
      <c r="Z361" s="197" t="str">
        <f t="shared" si="111"/>
        <v/>
      </c>
      <c r="AA361" s="197" t="str">
        <f t="shared" si="112"/>
        <v/>
      </c>
      <c r="AB361" s="218"/>
      <c r="AC361" s="205"/>
    </row>
    <row r="362" spans="1:29">
      <c r="A362" s="219" t="str">
        <f t="shared" si="113"/>
        <v/>
      </c>
      <c r="B362" s="219"/>
      <c r="C362" s="184"/>
      <c r="D362" s="185"/>
      <c r="E362" s="185" t="str">
        <f>IF(OR(C362="",C362=Data!$B$3),"",IF(C362=Data!$B$2,"L","S"))</f>
        <v/>
      </c>
      <c r="F362" s="185" t="str">
        <f t="shared" si="114"/>
        <v/>
      </c>
      <c r="G362" s="186" t="str">
        <f t="shared" si="105"/>
        <v/>
      </c>
      <c r="H362" s="187"/>
      <c r="I362" s="188" t="str">
        <f t="shared" si="115"/>
        <v/>
      </c>
      <c r="J362" s="188" t="str">
        <f t="shared" si="116"/>
        <v/>
      </c>
      <c r="K362" s="189" t="str">
        <f t="shared" si="117"/>
        <v/>
      </c>
      <c r="L362" s="189" t="str">
        <f t="shared" si="118"/>
        <v/>
      </c>
      <c r="M362" s="190"/>
      <c r="N362" s="190"/>
      <c r="O362" s="188" t="str">
        <f t="shared" si="119"/>
        <v/>
      </c>
      <c r="P362" s="191" t="str">
        <f t="shared" si="106"/>
        <v/>
      </c>
      <c r="Q362" s="192" t="str">
        <f t="shared" si="120"/>
        <v/>
      </c>
      <c r="R362" s="191" t="str">
        <f t="shared" si="107"/>
        <v/>
      </c>
      <c r="S362" s="193" t="str">
        <f t="shared" si="121"/>
        <v/>
      </c>
      <c r="T362" s="194" t="str">
        <f t="shared" si="108"/>
        <v/>
      </c>
      <c r="U362" s="192" t="str">
        <f t="shared" si="122"/>
        <v/>
      </c>
      <c r="V362" s="195" t="str">
        <f t="shared" si="109"/>
        <v/>
      </c>
      <c r="W362" s="195" t="str">
        <f t="shared" si="110"/>
        <v/>
      </c>
      <c r="X362" s="196" t="str">
        <f t="shared" si="123"/>
        <v/>
      </c>
      <c r="Y362" s="191" t="str">
        <f t="shared" si="124"/>
        <v/>
      </c>
      <c r="Z362" s="197" t="str">
        <f t="shared" si="111"/>
        <v/>
      </c>
      <c r="AA362" s="197" t="str">
        <f t="shared" si="112"/>
        <v/>
      </c>
      <c r="AB362" s="218"/>
      <c r="AC362" s="205"/>
    </row>
    <row r="363" spans="1:29">
      <c r="A363" s="219" t="str">
        <f t="shared" si="113"/>
        <v/>
      </c>
      <c r="B363" s="219"/>
      <c r="C363" s="184"/>
      <c r="D363" s="185"/>
      <c r="E363" s="185" t="str">
        <f>IF(OR(C363="",C363=Data!$B$3),"",IF(C363=Data!$B$2,"L","S"))</f>
        <v/>
      </c>
      <c r="F363" s="185" t="str">
        <f t="shared" si="114"/>
        <v/>
      </c>
      <c r="G363" s="186" t="str">
        <f t="shared" si="105"/>
        <v/>
      </c>
      <c r="H363" s="187"/>
      <c r="I363" s="188" t="str">
        <f t="shared" si="115"/>
        <v/>
      </c>
      <c r="J363" s="188" t="str">
        <f t="shared" si="116"/>
        <v/>
      </c>
      <c r="K363" s="189" t="str">
        <f t="shared" si="117"/>
        <v/>
      </c>
      <c r="L363" s="189" t="str">
        <f t="shared" si="118"/>
        <v/>
      </c>
      <c r="M363" s="190"/>
      <c r="N363" s="190"/>
      <c r="O363" s="188" t="str">
        <f t="shared" si="119"/>
        <v/>
      </c>
      <c r="P363" s="191" t="str">
        <f t="shared" si="106"/>
        <v/>
      </c>
      <c r="Q363" s="192" t="str">
        <f t="shared" si="120"/>
        <v/>
      </c>
      <c r="R363" s="191" t="str">
        <f t="shared" si="107"/>
        <v/>
      </c>
      <c r="S363" s="193" t="str">
        <f t="shared" si="121"/>
        <v/>
      </c>
      <c r="T363" s="194" t="str">
        <f t="shared" si="108"/>
        <v/>
      </c>
      <c r="U363" s="192" t="str">
        <f t="shared" si="122"/>
        <v/>
      </c>
      <c r="V363" s="195" t="str">
        <f t="shared" si="109"/>
        <v/>
      </c>
      <c r="W363" s="195" t="str">
        <f t="shared" si="110"/>
        <v/>
      </c>
      <c r="X363" s="196" t="str">
        <f t="shared" si="123"/>
        <v/>
      </c>
      <c r="Y363" s="191" t="str">
        <f t="shared" si="124"/>
        <v/>
      </c>
      <c r="Z363" s="197" t="str">
        <f t="shared" si="111"/>
        <v/>
      </c>
      <c r="AA363" s="197" t="str">
        <f t="shared" si="112"/>
        <v/>
      </c>
      <c r="AB363" s="218"/>
      <c r="AC363" s="205"/>
    </row>
    <row r="364" spans="1:29">
      <c r="A364" s="219" t="str">
        <f t="shared" si="113"/>
        <v/>
      </c>
      <c r="B364" s="219"/>
      <c r="C364" s="184"/>
      <c r="D364" s="185"/>
      <c r="E364" s="185" t="str">
        <f>IF(OR(C364="",C364=Data!$B$3),"",IF(C364=Data!$B$2,"L","S"))</f>
        <v/>
      </c>
      <c r="F364" s="185" t="str">
        <f t="shared" si="114"/>
        <v/>
      </c>
      <c r="G364" s="186" t="str">
        <f t="shared" si="105"/>
        <v/>
      </c>
      <c r="H364" s="187"/>
      <c r="I364" s="188" t="str">
        <f t="shared" si="115"/>
        <v/>
      </c>
      <c r="J364" s="188" t="str">
        <f t="shared" si="116"/>
        <v/>
      </c>
      <c r="K364" s="189" t="str">
        <f t="shared" si="117"/>
        <v/>
      </c>
      <c r="L364" s="189" t="str">
        <f t="shared" si="118"/>
        <v/>
      </c>
      <c r="M364" s="190"/>
      <c r="N364" s="190"/>
      <c r="O364" s="188" t="str">
        <f t="shared" si="119"/>
        <v/>
      </c>
      <c r="P364" s="191" t="str">
        <f t="shared" si="106"/>
        <v/>
      </c>
      <c r="Q364" s="192" t="str">
        <f t="shared" si="120"/>
        <v/>
      </c>
      <c r="R364" s="191" t="str">
        <f t="shared" si="107"/>
        <v/>
      </c>
      <c r="S364" s="193" t="str">
        <f t="shared" si="121"/>
        <v/>
      </c>
      <c r="T364" s="194" t="str">
        <f t="shared" si="108"/>
        <v/>
      </c>
      <c r="U364" s="192" t="str">
        <f t="shared" si="122"/>
        <v/>
      </c>
      <c r="V364" s="195" t="str">
        <f t="shared" si="109"/>
        <v/>
      </c>
      <c r="W364" s="195" t="str">
        <f t="shared" si="110"/>
        <v/>
      </c>
      <c r="X364" s="196" t="str">
        <f t="shared" si="123"/>
        <v/>
      </c>
      <c r="Y364" s="191" t="str">
        <f t="shared" si="124"/>
        <v/>
      </c>
      <c r="Z364" s="197" t="str">
        <f t="shared" si="111"/>
        <v/>
      </c>
      <c r="AA364" s="197" t="str">
        <f t="shared" si="112"/>
        <v/>
      </c>
      <c r="AB364" s="218"/>
      <c r="AC364" s="205"/>
    </row>
    <row r="365" spans="1:29">
      <c r="A365" s="219" t="str">
        <f t="shared" si="113"/>
        <v/>
      </c>
      <c r="B365" s="219"/>
      <c r="C365" s="184"/>
      <c r="D365" s="185"/>
      <c r="E365" s="185" t="str">
        <f>IF(OR(C365="",C365=Data!$B$3),"",IF(C365=Data!$B$2,"L","S"))</f>
        <v/>
      </c>
      <c r="F365" s="185" t="str">
        <f t="shared" si="114"/>
        <v/>
      </c>
      <c r="G365" s="186" t="str">
        <f t="shared" si="105"/>
        <v/>
      </c>
      <c r="H365" s="187"/>
      <c r="I365" s="188" t="str">
        <f t="shared" si="115"/>
        <v/>
      </c>
      <c r="J365" s="188" t="str">
        <f t="shared" si="116"/>
        <v/>
      </c>
      <c r="K365" s="189" t="str">
        <f t="shared" si="117"/>
        <v/>
      </c>
      <c r="L365" s="189" t="str">
        <f t="shared" si="118"/>
        <v/>
      </c>
      <c r="M365" s="190"/>
      <c r="N365" s="190"/>
      <c r="O365" s="188" t="str">
        <f t="shared" si="119"/>
        <v/>
      </c>
      <c r="P365" s="191" t="str">
        <f t="shared" si="106"/>
        <v/>
      </c>
      <c r="Q365" s="192" t="str">
        <f t="shared" si="120"/>
        <v/>
      </c>
      <c r="R365" s="191" t="str">
        <f t="shared" si="107"/>
        <v/>
      </c>
      <c r="S365" s="193" t="str">
        <f t="shared" si="121"/>
        <v/>
      </c>
      <c r="T365" s="194" t="str">
        <f t="shared" si="108"/>
        <v/>
      </c>
      <c r="U365" s="192" t="str">
        <f t="shared" si="122"/>
        <v/>
      </c>
      <c r="V365" s="195" t="str">
        <f t="shared" si="109"/>
        <v/>
      </c>
      <c r="W365" s="195" t="str">
        <f t="shared" si="110"/>
        <v/>
      </c>
      <c r="X365" s="196" t="str">
        <f t="shared" si="123"/>
        <v/>
      </c>
      <c r="Y365" s="191" t="str">
        <f t="shared" si="124"/>
        <v/>
      </c>
      <c r="Z365" s="197" t="str">
        <f t="shared" si="111"/>
        <v/>
      </c>
      <c r="AA365" s="197" t="str">
        <f t="shared" si="112"/>
        <v/>
      </c>
      <c r="AB365" s="218"/>
      <c r="AC365" s="205"/>
    </row>
    <row r="366" spans="1:29">
      <c r="A366" s="219" t="str">
        <f t="shared" si="113"/>
        <v/>
      </c>
      <c r="B366" s="219"/>
      <c r="C366" s="184"/>
      <c r="D366" s="185"/>
      <c r="E366" s="185" t="str">
        <f>IF(OR(C366="",C366=Data!$B$3),"",IF(C366=Data!$B$2,"L","S"))</f>
        <v/>
      </c>
      <c r="F366" s="185" t="str">
        <f t="shared" si="114"/>
        <v/>
      </c>
      <c r="G366" s="186" t="str">
        <f t="shared" si="105"/>
        <v/>
      </c>
      <c r="H366" s="187"/>
      <c r="I366" s="188" t="str">
        <f t="shared" si="115"/>
        <v/>
      </c>
      <c r="J366" s="188" t="str">
        <f t="shared" si="116"/>
        <v/>
      </c>
      <c r="K366" s="189" t="str">
        <f t="shared" si="117"/>
        <v/>
      </c>
      <c r="L366" s="189" t="str">
        <f t="shared" si="118"/>
        <v/>
      </c>
      <c r="M366" s="190"/>
      <c r="N366" s="190"/>
      <c r="O366" s="188" t="str">
        <f t="shared" si="119"/>
        <v/>
      </c>
      <c r="P366" s="191" t="str">
        <f t="shared" si="106"/>
        <v/>
      </c>
      <c r="Q366" s="192" t="str">
        <f t="shared" si="120"/>
        <v/>
      </c>
      <c r="R366" s="191" t="str">
        <f t="shared" si="107"/>
        <v/>
      </c>
      <c r="S366" s="193" t="str">
        <f t="shared" si="121"/>
        <v/>
      </c>
      <c r="T366" s="194" t="str">
        <f t="shared" si="108"/>
        <v/>
      </c>
      <c r="U366" s="192" t="str">
        <f t="shared" si="122"/>
        <v/>
      </c>
      <c r="V366" s="195" t="str">
        <f t="shared" si="109"/>
        <v/>
      </c>
      <c r="W366" s="195" t="str">
        <f t="shared" si="110"/>
        <v/>
      </c>
      <c r="X366" s="196" t="str">
        <f t="shared" si="123"/>
        <v/>
      </c>
      <c r="Y366" s="191" t="str">
        <f t="shared" si="124"/>
        <v/>
      </c>
      <c r="Z366" s="197" t="str">
        <f t="shared" si="111"/>
        <v/>
      </c>
      <c r="AA366" s="197" t="str">
        <f t="shared" si="112"/>
        <v/>
      </c>
      <c r="AB366" s="218"/>
      <c r="AC366" s="205"/>
    </row>
    <row r="367" spans="1:29">
      <c r="A367" s="219" t="str">
        <f t="shared" si="113"/>
        <v/>
      </c>
      <c r="B367" s="219"/>
      <c r="C367" s="184"/>
      <c r="D367" s="185"/>
      <c r="E367" s="185" t="str">
        <f>IF(OR(C367="",C367=Data!$B$3),"",IF(C367=Data!$B$2,"L","S"))</f>
        <v/>
      </c>
      <c r="F367" s="185" t="str">
        <f t="shared" si="114"/>
        <v/>
      </c>
      <c r="G367" s="186" t="str">
        <f t="shared" si="105"/>
        <v/>
      </c>
      <c r="H367" s="187"/>
      <c r="I367" s="188" t="str">
        <f t="shared" si="115"/>
        <v/>
      </c>
      <c r="J367" s="188" t="str">
        <f t="shared" si="116"/>
        <v/>
      </c>
      <c r="K367" s="189" t="str">
        <f t="shared" si="117"/>
        <v/>
      </c>
      <c r="L367" s="189" t="str">
        <f t="shared" si="118"/>
        <v/>
      </c>
      <c r="M367" s="190"/>
      <c r="N367" s="190"/>
      <c r="O367" s="188" t="str">
        <f t="shared" si="119"/>
        <v/>
      </c>
      <c r="P367" s="191" t="str">
        <f t="shared" si="106"/>
        <v/>
      </c>
      <c r="Q367" s="192" t="str">
        <f t="shared" si="120"/>
        <v/>
      </c>
      <c r="R367" s="191" t="str">
        <f t="shared" si="107"/>
        <v/>
      </c>
      <c r="S367" s="193" t="str">
        <f t="shared" si="121"/>
        <v/>
      </c>
      <c r="T367" s="194" t="str">
        <f t="shared" si="108"/>
        <v/>
      </c>
      <c r="U367" s="192" t="str">
        <f t="shared" si="122"/>
        <v/>
      </c>
      <c r="V367" s="195" t="str">
        <f t="shared" si="109"/>
        <v/>
      </c>
      <c r="W367" s="195" t="str">
        <f t="shared" si="110"/>
        <v/>
      </c>
      <c r="X367" s="196" t="str">
        <f t="shared" si="123"/>
        <v/>
      </c>
      <c r="Y367" s="191" t="str">
        <f t="shared" si="124"/>
        <v/>
      </c>
      <c r="Z367" s="197" t="str">
        <f t="shared" si="111"/>
        <v/>
      </c>
      <c r="AA367" s="197" t="str">
        <f t="shared" si="112"/>
        <v/>
      </c>
      <c r="AB367" s="218"/>
      <c r="AC367" s="205"/>
    </row>
    <row r="368" spans="1:29">
      <c r="A368" s="219" t="str">
        <f t="shared" si="113"/>
        <v/>
      </c>
      <c r="B368" s="219"/>
      <c r="C368" s="184"/>
      <c r="D368" s="185"/>
      <c r="E368" s="185" t="str">
        <f>IF(OR(C368="",C368=Data!$B$3),"",IF(C368=Data!$B$2,"L","S"))</f>
        <v/>
      </c>
      <c r="F368" s="185" t="str">
        <f t="shared" si="114"/>
        <v/>
      </c>
      <c r="G368" s="186" t="str">
        <f t="shared" si="105"/>
        <v/>
      </c>
      <c r="H368" s="187"/>
      <c r="I368" s="188" t="str">
        <f t="shared" si="115"/>
        <v/>
      </c>
      <c r="J368" s="188" t="str">
        <f t="shared" si="116"/>
        <v/>
      </c>
      <c r="K368" s="189" t="str">
        <f t="shared" si="117"/>
        <v/>
      </c>
      <c r="L368" s="189" t="str">
        <f t="shared" si="118"/>
        <v/>
      </c>
      <c r="M368" s="190"/>
      <c r="N368" s="190"/>
      <c r="O368" s="188" t="str">
        <f t="shared" si="119"/>
        <v/>
      </c>
      <c r="P368" s="191" t="str">
        <f t="shared" si="106"/>
        <v/>
      </c>
      <c r="Q368" s="192" t="str">
        <f t="shared" si="120"/>
        <v/>
      </c>
      <c r="R368" s="191" t="str">
        <f t="shared" si="107"/>
        <v/>
      </c>
      <c r="S368" s="193" t="str">
        <f t="shared" si="121"/>
        <v/>
      </c>
      <c r="T368" s="194" t="str">
        <f t="shared" si="108"/>
        <v/>
      </c>
      <c r="U368" s="192" t="str">
        <f t="shared" si="122"/>
        <v/>
      </c>
      <c r="V368" s="195" t="str">
        <f t="shared" si="109"/>
        <v/>
      </c>
      <c r="W368" s="195" t="str">
        <f t="shared" si="110"/>
        <v/>
      </c>
      <c r="X368" s="196" t="str">
        <f t="shared" si="123"/>
        <v/>
      </c>
      <c r="Y368" s="191" t="str">
        <f t="shared" si="124"/>
        <v/>
      </c>
      <c r="Z368" s="197" t="str">
        <f t="shared" si="111"/>
        <v/>
      </c>
      <c r="AA368" s="197" t="str">
        <f t="shared" si="112"/>
        <v/>
      </c>
      <c r="AB368" s="218"/>
      <c r="AC368" s="205"/>
    </row>
    <row r="369" spans="1:29">
      <c r="A369" s="219" t="str">
        <f t="shared" si="113"/>
        <v/>
      </c>
      <c r="B369" s="219"/>
      <c r="C369" s="184"/>
      <c r="D369" s="185"/>
      <c r="E369" s="185" t="str">
        <f>IF(OR(C369="",C369=Data!$B$3),"",IF(C369=Data!$B$2,"L","S"))</f>
        <v/>
      </c>
      <c r="F369" s="185" t="str">
        <f t="shared" si="114"/>
        <v/>
      </c>
      <c r="G369" s="186" t="str">
        <f t="shared" si="105"/>
        <v/>
      </c>
      <c r="H369" s="187"/>
      <c r="I369" s="188" t="str">
        <f t="shared" si="115"/>
        <v/>
      </c>
      <c r="J369" s="188" t="str">
        <f t="shared" si="116"/>
        <v/>
      </c>
      <c r="K369" s="189" t="str">
        <f t="shared" si="117"/>
        <v/>
      </c>
      <c r="L369" s="189" t="str">
        <f t="shared" si="118"/>
        <v/>
      </c>
      <c r="M369" s="190"/>
      <c r="N369" s="190"/>
      <c r="O369" s="188" t="str">
        <f t="shared" si="119"/>
        <v/>
      </c>
      <c r="P369" s="191" t="str">
        <f t="shared" si="106"/>
        <v/>
      </c>
      <c r="Q369" s="192" t="str">
        <f t="shared" si="120"/>
        <v/>
      </c>
      <c r="R369" s="191" t="str">
        <f t="shared" si="107"/>
        <v/>
      </c>
      <c r="S369" s="193" t="str">
        <f t="shared" si="121"/>
        <v/>
      </c>
      <c r="T369" s="194" t="str">
        <f t="shared" si="108"/>
        <v/>
      </c>
      <c r="U369" s="192" t="str">
        <f t="shared" si="122"/>
        <v/>
      </c>
      <c r="V369" s="195" t="str">
        <f t="shared" si="109"/>
        <v/>
      </c>
      <c r="W369" s="195" t="str">
        <f t="shared" si="110"/>
        <v/>
      </c>
      <c r="X369" s="196" t="str">
        <f t="shared" si="123"/>
        <v/>
      </c>
      <c r="Y369" s="191" t="str">
        <f t="shared" si="124"/>
        <v/>
      </c>
      <c r="Z369" s="197" t="str">
        <f t="shared" si="111"/>
        <v/>
      </c>
      <c r="AA369" s="197" t="str">
        <f t="shared" si="112"/>
        <v/>
      </c>
      <c r="AB369" s="218"/>
      <c r="AC369" s="205"/>
    </row>
    <row r="370" spans="1:29">
      <c r="A370" s="219" t="str">
        <f t="shared" si="113"/>
        <v/>
      </c>
      <c r="B370" s="219"/>
      <c r="C370" s="184"/>
      <c r="D370" s="185"/>
      <c r="E370" s="185" t="str">
        <f>IF(OR(C370="",C370=Data!$B$3),"",IF(C370=Data!$B$2,"L","S"))</f>
        <v/>
      </c>
      <c r="F370" s="185" t="str">
        <f t="shared" si="114"/>
        <v/>
      </c>
      <c r="G370" s="186" t="str">
        <f t="shared" si="105"/>
        <v/>
      </c>
      <c r="H370" s="187"/>
      <c r="I370" s="188" t="str">
        <f t="shared" si="115"/>
        <v/>
      </c>
      <c r="J370" s="188" t="str">
        <f t="shared" si="116"/>
        <v/>
      </c>
      <c r="K370" s="189" t="str">
        <f t="shared" si="117"/>
        <v/>
      </c>
      <c r="L370" s="189" t="str">
        <f t="shared" si="118"/>
        <v/>
      </c>
      <c r="M370" s="190"/>
      <c r="N370" s="190"/>
      <c r="O370" s="188" t="str">
        <f t="shared" si="119"/>
        <v/>
      </c>
      <c r="P370" s="191" t="str">
        <f t="shared" si="106"/>
        <v/>
      </c>
      <c r="Q370" s="192" t="str">
        <f t="shared" si="120"/>
        <v/>
      </c>
      <c r="R370" s="191" t="str">
        <f t="shared" si="107"/>
        <v/>
      </c>
      <c r="S370" s="193" t="str">
        <f t="shared" si="121"/>
        <v/>
      </c>
      <c r="T370" s="194" t="str">
        <f t="shared" si="108"/>
        <v/>
      </c>
      <c r="U370" s="192" t="str">
        <f t="shared" si="122"/>
        <v/>
      </c>
      <c r="V370" s="195" t="str">
        <f t="shared" si="109"/>
        <v/>
      </c>
      <c r="W370" s="195" t="str">
        <f t="shared" si="110"/>
        <v/>
      </c>
      <c r="X370" s="196" t="str">
        <f t="shared" si="123"/>
        <v/>
      </c>
      <c r="Y370" s="191" t="str">
        <f t="shared" si="124"/>
        <v/>
      </c>
      <c r="Z370" s="197" t="str">
        <f t="shared" si="111"/>
        <v/>
      </c>
      <c r="AA370" s="197" t="str">
        <f t="shared" si="112"/>
        <v/>
      </c>
      <c r="AB370" s="218"/>
      <c r="AC370" s="205"/>
    </row>
    <row r="371" spans="1:29">
      <c r="A371" s="219" t="str">
        <f t="shared" si="113"/>
        <v/>
      </c>
      <c r="B371" s="219"/>
      <c r="C371" s="184"/>
      <c r="D371" s="185"/>
      <c r="E371" s="185" t="str">
        <f>IF(OR(C371="",C371=Data!$B$3),"",IF(C371=Data!$B$2,"L","S"))</f>
        <v/>
      </c>
      <c r="F371" s="185" t="str">
        <f t="shared" si="114"/>
        <v/>
      </c>
      <c r="G371" s="186" t="str">
        <f t="shared" si="105"/>
        <v/>
      </c>
      <c r="H371" s="187"/>
      <c r="I371" s="188" t="str">
        <f t="shared" si="115"/>
        <v/>
      </c>
      <c r="J371" s="188" t="str">
        <f t="shared" si="116"/>
        <v/>
      </c>
      <c r="K371" s="189" t="str">
        <f t="shared" si="117"/>
        <v/>
      </c>
      <c r="L371" s="189" t="str">
        <f t="shared" si="118"/>
        <v/>
      </c>
      <c r="M371" s="190"/>
      <c r="N371" s="190"/>
      <c r="O371" s="188" t="str">
        <f t="shared" si="119"/>
        <v/>
      </c>
      <c r="P371" s="191" t="str">
        <f t="shared" si="106"/>
        <v/>
      </c>
      <c r="Q371" s="192" t="str">
        <f t="shared" si="120"/>
        <v/>
      </c>
      <c r="R371" s="191" t="str">
        <f t="shared" si="107"/>
        <v/>
      </c>
      <c r="S371" s="193" t="str">
        <f t="shared" si="121"/>
        <v/>
      </c>
      <c r="T371" s="194" t="str">
        <f t="shared" si="108"/>
        <v/>
      </c>
      <c r="U371" s="192" t="str">
        <f t="shared" si="122"/>
        <v/>
      </c>
      <c r="V371" s="195" t="str">
        <f t="shared" si="109"/>
        <v/>
      </c>
      <c r="W371" s="195" t="str">
        <f t="shared" si="110"/>
        <v/>
      </c>
      <c r="X371" s="196" t="str">
        <f t="shared" si="123"/>
        <v/>
      </c>
      <c r="Y371" s="191" t="str">
        <f t="shared" si="124"/>
        <v/>
      </c>
      <c r="Z371" s="197" t="str">
        <f t="shared" si="111"/>
        <v/>
      </c>
      <c r="AA371" s="197" t="str">
        <f t="shared" si="112"/>
        <v/>
      </c>
      <c r="AB371" s="218"/>
      <c r="AC371" s="205"/>
    </row>
    <row r="372" spans="1:29">
      <c r="A372" s="219" t="str">
        <f t="shared" si="113"/>
        <v/>
      </c>
      <c r="B372" s="219"/>
      <c r="C372" s="184"/>
      <c r="D372" s="185"/>
      <c r="E372" s="185" t="str">
        <f>IF(OR(C372="",C372=Data!$B$3),"",IF(C372=Data!$B$2,"L","S"))</f>
        <v/>
      </c>
      <c r="F372" s="185" t="str">
        <f t="shared" si="114"/>
        <v/>
      </c>
      <c r="G372" s="186" t="str">
        <f t="shared" si="105"/>
        <v/>
      </c>
      <c r="H372" s="187"/>
      <c r="I372" s="188" t="str">
        <f t="shared" si="115"/>
        <v/>
      </c>
      <c r="J372" s="188" t="str">
        <f t="shared" si="116"/>
        <v/>
      </c>
      <c r="K372" s="189" t="str">
        <f t="shared" si="117"/>
        <v/>
      </c>
      <c r="L372" s="189" t="str">
        <f t="shared" si="118"/>
        <v/>
      </c>
      <c r="M372" s="190"/>
      <c r="N372" s="190"/>
      <c r="O372" s="188" t="str">
        <f t="shared" si="119"/>
        <v/>
      </c>
      <c r="P372" s="191" t="str">
        <f t="shared" si="106"/>
        <v/>
      </c>
      <c r="Q372" s="192" t="str">
        <f t="shared" si="120"/>
        <v/>
      </c>
      <c r="R372" s="191" t="str">
        <f t="shared" si="107"/>
        <v/>
      </c>
      <c r="S372" s="193" t="str">
        <f t="shared" si="121"/>
        <v/>
      </c>
      <c r="T372" s="194" t="str">
        <f t="shared" si="108"/>
        <v/>
      </c>
      <c r="U372" s="192" t="str">
        <f t="shared" si="122"/>
        <v/>
      </c>
      <c r="V372" s="195" t="str">
        <f t="shared" si="109"/>
        <v/>
      </c>
      <c r="W372" s="195" t="str">
        <f t="shared" si="110"/>
        <v/>
      </c>
      <c r="X372" s="196" t="str">
        <f t="shared" si="123"/>
        <v/>
      </c>
      <c r="Y372" s="191" t="str">
        <f t="shared" si="124"/>
        <v/>
      </c>
      <c r="Z372" s="197" t="str">
        <f t="shared" si="111"/>
        <v/>
      </c>
      <c r="AA372" s="197" t="str">
        <f t="shared" si="112"/>
        <v/>
      </c>
      <c r="AB372" s="218"/>
      <c r="AC372" s="205"/>
    </row>
    <row r="373" spans="1:29">
      <c r="A373" s="219" t="str">
        <f t="shared" si="113"/>
        <v/>
      </c>
      <c r="B373" s="219"/>
      <c r="C373" s="184"/>
      <c r="D373" s="185"/>
      <c r="E373" s="185" t="str">
        <f>IF(OR(C373="",C373=Data!$B$3),"",IF(C373=Data!$B$2,"L","S"))</f>
        <v/>
      </c>
      <c r="F373" s="185" t="str">
        <f t="shared" si="114"/>
        <v/>
      </c>
      <c r="G373" s="186" t="str">
        <f t="shared" si="105"/>
        <v/>
      </c>
      <c r="H373" s="187"/>
      <c r="I373" s="188" t="str">
        <f t="shared" si="115"/>
        <v/>
      </c>
      <c r="J373" s="188" t="str">
        <f t="shared" si="116"/>
        <v/>
      </c>
      <c r="K373" s="189" t="str">
        <f t="shared" si="117"/>
        <v/>
      </c>
      <c r="L373" s="189" t="str">
        <f t="shared" si="118"/>
        <v/>
      </c>
      <c r="M373" s="190"/>
      <c r="N373" s="190"/>
      <c r="O373" s="188" t="str">
        <f t="shared" si="119"/>
        <v/>
      </c>
      <c r="P373" s="191" t="str">
        <f t="shared" si="106"/>
        <v/>
      </c>
      <c r="Q373" s="192" t="str">
        <f t="shared" si="120"/>
        <v/>
      </c>
      <c r="R373" s="191" t="str">
        <f t="shared" si="107"/>
        <v/>
      </c>
      <c r="S373" s="193" t="str">
        <f t="shared" si="121"/>
        <v/>
      </c>
      <c r="T373" s="194" t="str">
        <f t="shared" si="108"/>
        <v/>
      </c>
      <c r="U373" s="192" t="str">
        <f t="shared" si="122"/>
        <v/>
      </c>
      <c r="V373" s="195" t="str">
        <f t="shared" si="109"/>
        <v/>
      </c>
      <c r="W373" s="195" t="str">
        <f t="shared" si="110"/>
        <v/>
      </c>
      <c r="X373" s="196" t="str">
        <f t="shared" si="123"/>
        <v/>
      </c>
      <c r="Y373" s="191" t="str">
        <f t="shared" si="124"/>
        <v/>
      </c>
      <c r="Z373" s="197" t="str">
        <f t="shared" si="111"/>
        <v/>
      </c>
      <c r="AA373" s="197" t="str">
        <f t="shared" si="112"/>
        <v/>
      </c>
      <c r="AB373" s="218"/>
      <c r="AC373" s="205"/>
    </row>
    <row r="374" spans="1:29">
      <c r="A374" s="219" t="str">
        <f t="shared" si="113"/>
        <v/>
      </c>
      <c r="B374" s="219"/>
      <c r="C374" s="184"/>
      <c r="D374" s="185"/>
      <c r="E374" s="185" t="str">
        <f>IF(OR(C374="",C374=Data!$B$3),"",IF(C374=Data!$B$2,"L","S"))</f>
        <v/>
      </c>
      <c r="F374" s="185" t="str">
        <f t="shared" si="114"/>
        <v/>
      </c>
      <c r="G374" s="186" t="str">
        <f t="shared" si="105"/>
        <v/>
      </c>
      <c r="H374" s="187"/>
      <c r="I374" s="188" t="str">
        <f t="shared" si="115"/>
        <v/>
      </c>
      <c r="J374" s="188" t="str">
        <f t="shared" si="116"/>
        <v/>
      </c>
      <c r="K374" s="189" t="str">
        <f t="shared" si="117"/>
        <v/>
      </c>
      <c r="L374" s="189" t="str">
        <f t="shared" si="118"/>
        <v/>
      </c>
      <c r="M374" s="190"/>
      <c r="N374" s="190"/>
      <c r="O374" s="188" t="str">
        <f t="shared" si="119"/>
        <v/>
      </c>
      <c r="P374" s="191" t="str">
        <f t="shared" si="106"/>
        <v/>
      </c>
      <c r="Q374" s="192" t="str">
        <f t="shared" si="120"/>
        <v/>
      </c>
      <c r="R374" s="191" t="str">
        <f t="shared" si="107"/>
        <v/>
      </c>
      <c r="S374" s="193" t="str">
        <f t="shared" si="121"/>
        <v/>
      </c>
      <c r="T374" s="194" t="str">
        <f t="shared" si="108"/>
        <v/>
      </c>
      <c r="U374" s="192" t="str">
        <f t="shared" si="122"/>
        <v/>
      </c>
      <c r="V374" s="195" t="str">
        <f t="shared" si="109"/>
        <v/>
      </c>
      <c r="W374" s="195" t="str">
        <f t="shared" si="110"/>
        <v/>
      </c>
      <c r="X374" s="196" t="str">
        <f t="shared" si="123"/>
        <v/>
      </c>
      <c r="Y374" s="191" t="str">
        <f t="shared" si="124"/>
        <v/>
      </c>
      <c r="Z374" s="197" t="str">
        <f t="shared" si="111"/>
        <v/>
      </c>
      <c r="AA374" s="197" t="str">
        <f t="shared" si="112"/>
        <v/>
      </c>
      <c r="AB374" s="218"/>
      <c r="AC374" s="205"/>
    </row>
    <row r="375" spans="1:29">
      <c r="A375" s="219" t="str">
        <f t="shared" si="113"/>
        <v/>
      </c>
      <c r="B375" s="219"/>
      <c r="C375" s="184"/>
      <c r="D375" s="185"/>
      <c r="E375" s="185" t="str">
        <f>IF(OR(C375="",C375=Data!$B$3),"",IF(C375=Data!$B$2,"L","S"))</f>
        <v/>
      </c>
      <c r="F375" s="185" t="str">
        <f t="shared" si="114"/>
        <v/>
      </c>
      <c r="G375" s="186" t="str">
        <f t="shared" si="105"/>
        <v/>
      </c>
      <c r="H375" s="187"/>
      <c r="I375" s="188" t="str">
        <f t="shared" si="115"/>
        <v/>
      </c>
      <c r="J375" s="188" t="str">
        <f t="shared" si="116"/>
        <v/>
      </c>
      <c r="K375" s="189" t="str">
        <f t="shared" si="117"/>
        <v/>
      </c>
      <c r="L375" s="189" t="str">
        <f t="shared" si="118"/>
        <v/>
      </c>
      <c r="M375" s="190"/>
      <c r="N375" s="190"/>
      <c r="O375" s="188" t="str">
        <f t="shared" si="119"/>
        <v/>
      </c>
      <c r="P375" s="191" t="str">
        <f t="shared" si="106"/>
        <v/>
      </c>
      <c r="Q375" s="192" t="str">
        <f t="shared" si="120"/>
        <v/>
      </c>
      <c r="R375" s="191" t="str">
        <f t="shared" si="107"/>
        <v/>
      </c>
      <c r="S375" s="193" t="str">
        <f t="shared" si="121"/>
        <v/>
      </c>
      <c r="T375" s="194" t="str">
        <f t="shared" si="108"/>
        <v/>
      </c>
      <c r="U375" s="192" t="str">
        <f t="shared" si="122"/>
        <v/>
      </c>
      <c r="V375" s="195" t="str">
        <f t="shared" si="109"/>
        <v/>
      </c>
      <c r="W375" s="195" t="str">
        <f t="shared" si="110"/>
        <v/>
      </c>
      <c r="X375" s="196" t="str">
        <f t="shared" si="123"/>
        <v/>
      </c>
      <c r="Y375" s="191" t="str">
        <f t="shared" si="124"/>
        <v/>
      </c>
      <c r="Z375" s="197" t="str">
        <f t="shared" si="111"/>
        <v/>
      </c>
      <c r="AA375" s="197" t="str">
        <f t="shared" si="112"/>
        <v/>
      </c>
      <c r="AB375" s="218"/>
      <c r="AC375" s="205"/>
    </row>
    <row r="376" spans="1:29">
      <c r="A376" s="219" t="str">
        <f t="shared" si="113"/>
        <v/>
      </c>
      <c r="B376" s="219"/>
      <c r="C376" s="184"/>
      <c r="D376" s="185"/>
      <c r="E376" s="185" t="str">
        <f>IF(OR(C376="",C376=Data!$B$3),"",IF(C376=Data!$B$2,"L","S"))</f>
        <v/>
      </c>
      <c r="F376" s="185" t="str">
        <f t="shared" si="114"/>
        <v/>
      </c>
      <c r="G376" s="186" t="str">
        <f t="shared" si="105"/>
        <v/>
      </c>
      <c r="H376" s="187"/>
      <c r="I376" s="188" t="str">
        <f t="shared" si="115"/>
        <v/>
      </c>
      <c r="J376" s="188" t="str">
        <f t="shared" si="116"/>
        <v/>
      </c>
      <c r="K376" s="189" t="str">
        <f t="shared" si="117"/>
        <v/>
      </c>
      <c r="L376" s="189" t="str">
        <f t="shared" si="118"/>
        <v/>
      </c>
      <c r="M376" s="190"/>
      <c r="N376" s="190"/>
      <c r="O376" s="188" t="str">
        <f t="shared" si="119"/>
        <v/>
      </c>
      <c r="P376" s="191" t="str">
        <f t="shared" si="106"/>
        <v/>
      </c>
      <c r="Q376" s="192" t="str">
        <f t="shared" si="120"/>
        <v/>
      </c>
      <c r="R376" s="191" t="str">
        <f t="shared" si="107"/>
        <v/>
      </c>
      <c r="S376" s="193" t="str">
        <f t="shared" si="121"/>
        <v/>
      </c>
      <c r="T376" s="194" t="str">
        <f t="shared" si="108"/>
        <v/>
      </c>
      <c r="U376" s="192" t="str">
        <f t="shared" si="122"/>
        <v/>
      </c>
      <c r="V376" s="195" t="str">
        <f t="shared" si="109"/>
        <v/>
      </c>
      <c r="W376" s="195" t="str">
        <f t="shared" si="110"/>
        <v/>
      </c>
      <c r="X376" s="196" t="str">
        <f t="shared" si="123"/>
        <v/>
      </c>
      <c r="Y376" s="191" t="str">
        <f t="shared" si="124"/>
        <v/>
      </c>
      <c r="Z376" s="197" t="str">
        <f t="shared" si="111"/>
        <v/>
      </c>
      <c r="AA376" s="197" t="str">
        <f t="shared" si="112"/>
        <v/>
      </c>
      <c r="AB376" s="218"/>
      <c r="AC376" s="205"/>
    </row>
    <row r="377" spans="1:29">
      <c r="A377" s="219" t="str">
        <f t="shared" si="113"/>
        <v/>
      </c>
      <c r="B377" s="219"/>
      <c r="C377" s="184"/>
      <c r="D377" s="185"/>
      <c r="E377" s="185" t="str">
        <f>IF(OR(C377="",C377=Data!$B$3),"",IF(C377=Data!$B$2,"L","S"))</f>
        <v/>
      </c>
      <c r="F377" s="185" t="str">
        <f t="shared" si="114"/>
        <v/>
      </c>
      <c r="G377" s="186" t="str">
        <f t="shared" si="105"/>
        <v/>
      </c>
      <c r="H377" s="187"/>
      <c r="I377" s="188" t="str">
        <f t="shared" si="115"/>
        <v/>
      </c>
      <c r="J377" s="188" t="str">
        <f t="shared" si="116"/>
        <v/>
      </c>
      <c r="K377" s="189" t="str">
        <f t="shared" si="117"/>
        <v/>
      </c>
      <c r="L377" s="189" t="str">
        <f t="shared" si="118"/>
        <v/>
      </c>
      <c r="M377" s="190"/>
      <c r="N377" s="190"/>
      <c r="O377" s="188" t="str">
        <f t="shared" si="119"/>
        <v/>
      </c>
      <c r="P377" s="191" t="str">
        <f t="shared" si="106"/>
        <v/>
      </c>
      <c r="Q377" s="192" t="str">
        <f t="shared" si="120"/>
        <v/>
      </c>
      <c r="R377" s="191" t="str">
        <f t="shared" si="107"/>
        <v/>
      </c>
      <c r="S377" s="193" t="str">
        <f t="shared" si="121"/>
        <v/>
      </c>
      <c r="T377" s="194" t="str">
        <f t="shared" si="108"/>
        <v/>
      </c>
      <c r="U377" s="192" t="str">
        <f t="shared" si="122"/>
        <v/>
      </c>
      <c r="V377" s="195" t="str">
        <f t="shared" si="109"/>
        <v/>
      </c>
      <c r="W377" s="195" t="str">
        <f t="shared" si="110"/>
        <v/>
      </c>
      <c r="X377" s="196" t="str">
        <f t="shared" si="123"/>
        <v/>
      </c>
      <c r="Y377" s="191" t="str">
        <f t="shared" si="124"/>
        <v/>
      </c>
      <c r="Z377" s="197" t="str">
        <f t="shared" si="111"/>
        <v/>
      </c>
      <c r="AA377" s="197" t="str">
        <f t="shared" si="112"/>
        <v/>
      </c>
      <c r="AB377" s="218"/>
      <c r="AC377" s="205"/>
    </row>
    <row r="378" spans="1:29">
      <c r="A378" s="219" t="str">
        <f t="shared" si="113"/>
        <v/>
      </c>
      <c r="B378" s="219"/>
      <c r="C378" s="184"/>
      <c r="D378" s="185"/>
      <c r="E378" s="185" t="str">
        <f>IF(OR(C378="",C378=Data!$B$3),"",IF(C378=Data!$B$2,"L","S"))</f>
        <v/>
      </c>
      <c r="F378" s="185" t="str">
        <f t="shared" si="114"/>
        <v/>
      </c>
      <c r="G378" s="186" t="str">
        <f t="shared" si="105"/>
        <v/>
      </c>
      <c r="H378" s="187"/>
      <c r="I378" s="188" t="str">
        <f t="shared" si="115"/>
        <v/>
      </c>
      <c r="J378" s="188" t="str">
        <f t="shared" si="116"/>
        <v/>
      </c>
      <c r="K378" s="189" t="str">
        <f t="shared" si="117"/>
        <v/>
      </c>
      <c r="L378" s="189" t="str">
        <f t="shared" si="118"/>
        <v/>
      </c>
      <c r="M378" s="190"/>
      <c r="N378" s="190"/>
      <c r="O378" s="188" t="str">
        <f t="shared" si="119"/>
        <v/>
      </c>
      <c r="P378" s="191" t="str">
        <f t="shared" si="106"/>
        <v/>
      </c>
      <c r="Q378" s="192" t="str">
        <f t="shared" si="120"/>
        <v/>
      </c>
      <c r="R378" s="191" t="str">
        <f t="shared" si="107"/>
        <v/>
      </c>
      <c r="S378" s="193" t="str">
        <f t="shared" si="121"/>
        <v/>
      </c>
      <c r="T378" s="194" t="str">
        <f t="shared" si="108"/>
        <v/>
      </c>
      <c r="U378" s="192" t="str">
        <f t="shared" si="122"/>
        <v/>
      </c>
      <c r="V378" s="195" t="str">
        <f t="shared" si="109"/>
        <v/>
      </c>
      <c r="W378" s="195" t="str">
        <f t="shared" si="110"/>
        <v/>
      </c>
      <c r="X378" s="196" t="str">
        <f t="shared" si="123"/>
        <v/>
      </c>
      <c r="Y378" s="191" t="str">
        <f t="shared" si="124"/>
        <v/>
      </c>
      <c r="Z378" s="197" t="str">
        <f t="shared" si="111"/>
        <v/>
      </c>
      <c r="AA378" s="197" t="str">
        <f t="shared" si="112"/>
        <v/>
      </c>
      <c r="AB378" s="218"/>
      <c r="AC378" s="205"/>
    </row>
    <row r="379" spans="1:29">
      <c r="A379" s="219" t="str">
        <f t="shared" si="113"/>
        <v/>
      </c>
      <c r="B379" s="219"/>
      <c r="C379" s="184"/>
      <c r="D379" s="185"/>
      <c r="E379" s="185" t="str">
        <f>IF(OR(C379="",C379=Data!$B$3),"",IF(C379=Data!$B$2,"L","S"))</f>
        <v/>
      </c>
      <c r="F379" s="185" t="str">
        <f t="shared" si="114"/>
        <v/>
      </c>
      <c r="G379" s="186" t="str">
        <f t="shared" si="105"/>
        <v/>
      </c>
      <c r="H379" s="187"/>
      <c r="I379" s="188" t="str">
        <f t="shared" si="115"/>
        <v/>
      </c>
      <c r="J379" s="188" t="str">
        <f t="shared" si="116"/>
        <v/>
      </c>
      <c r="K379" s="189" t="str">
        <f t="shared" si="117"/>
        <v/>
      </c>
      <c r="L379" s="189" t="str">
        <f t="shared" si="118"/>
        <v/>
      </c>
      <c r="M379" s="190"/>
      <c r="N379" s="190"/>
      <c r="O379" s="188" t="str">
        <f t="shared" si="119"/>
        <v/>
      </c>
      <c r="P379" s="191" t="str">
        <f t="shared" si="106"/>
        <v/>
      </c>
      <c r="Q379" s="192" t="str">
        <f t="shared" si="120"/>
        <v/>
      </c>
      <c r="R379" s="191" t="str">
        <f t="shared" si="107"/>
        <v/>
      </c>
      <c r="S379" s="193" t="str">
        <f t="shared" si="121"/>
        <v/>
      </c>
      <c r="T379" s="194" t="str">
        <f t="shared" si="108"/>
        <v/>
      </c>
      <c r="U379" s="192" t="str">
        <f t="shared" si="122"/>
        <v/>
      </c>
      <c r="V379" s="195" t="str">
        <f t="shared" si="109"/>
        <v/>
      </c>
      <c r="W379" s="195" t="str">
        <f t="shared" si="110"/>
        <v/>
      </c>
      <c r="X379" s="196" t="str">
        <f t="shared" si="123"/>
        <v/>
      </c>
      <c r="Y379" s="191" t="str">
        <f t="shared" si="124"/>
        <v/>
      </c>
      <c r="Z379" s="197" t="str">
        <f t="shared" si="111"/>
        <v/>
      </c>
      <c r="AA379" s="197" t="str">
        <f t="shared" si="112"/>
        <v/>
      </c>
      <c r="AB379" s="218"/>
      <c r="AC379" s="205"/>
    </row>
    <row r="380" spans="1:29">
      <c r="A380" s="219" t="str">
        <f t="shared" si="113"/>
        <v/>
      </c>
      <c r="B380" s="219"/>
      <c r="C380" s="184"/>
      <c r="D380" s="185"/>
      <c r="E380" s="185" t="str">
        <f>IF(OR(C380="",C380=Data!$B$3),"",IF(C380=Data!$B$2,"L","S"))</f>
        <v/>
      </c>
      <c r="F380" s="185" t="str">
        <f t="shared" si="114"/>
        <v/>
      </c>
      <c r="G380" s="186" t="str">
        <f t="shared" si="105"/>
        <v/>
      </c>
      <c r="H380" s="187"/>
      <c r="I380" s="188" t="str">
        <f t="shared" si="115"/>
        <v/>
      </c>
      <c r="J380" s="188" t="str">
        <f t="shared" si="116"/>
        <v/>
      </c>
      <c r="K380" s="189" t="str">
        <f t="shared" si="117"/>
        <v/>
      </c>
      <c r="L380" s="189" t="str">
        <f t="shared" si="118"/>
        <v/>
      </c>
      <c r="M380" s="190"/>
      <c r="N380" s="190"/>
      <c r="O380" s="188" t="str">
        <f t="shared" si="119"/>
        <v/>
      </c>
      <c r="P380" s="191" t="str">
        <f t="shared" si="106"/>
        <v/>
      </c>
      <c r="Q380" s="192" t="str">
        <f t="shared" si="120"/>
        <v/>
      </c>
      <c r="R380" s="191" t="str">
        <f t="shared" si="107"/>
        <v/>
      </c>
      <c r="S380" s="193" t="str">
        <f t="shared" si="121"/>
        <v/>
      </c>
      <c r="T380" s="194" t="str">
        <f t="shared" si="108"/>
        <v/>
      </c>
      <c r="U380" s="192" t="str">
        <f t="shared" si="122"/>
        <v/>
      </c>
      <c r="V380" s="195" t="str">
        <f t="shared" si="109"/>
        <v/>
      </c>
      <c r="W380" s="195" t="str">
        <f t="shared" si="110"/>
        <v/>
      </c>
      <c r="X380" s="196" t="str">
        <f t="shared" si="123"/>
        <v/>
      </c>
      <c r="Y380" s="191" t="str">
        <f t="shared" si="124"/>
        <v/>
      </c>
      <c r="Z380" s="197" t="str">
        <f t="shared" si="111"/>
        <v/>
      </c>
      <c r="AA380" s="197" t="str">
        <f t="shared" si="112"/>
        <v/>
      </c>
      <c r="AB380" s="218"/>
      <c r="AC380" s="205"/>
    </row>
    <row r="381" spans="1:29">
      <c r="A381" s="219" t="str">
        <f t="shared" si="113"/>
        <v/>
      </c>
      <c r="B381" s="219"/>
      <c r="C381" s="184"/>
      <c r="D381" s="185"/>
      <c r="E381" s="185" t="str">
        <f>IF(OR(C381="",C381=Data!$B$3),"",IF(C381=Data!$B$2,"L","S"))</f>
        <v/>
      </c>
      <c r="F381" s="185" t="str">
        <f t="shared" si="114"/>
        <v/>
      </c>
      <c r="G381" s="186" t="str">
        <f t="shared" si="105"/>
        <v/>
      </c>
      <c r="H381" s="187"/>
      <c r="I381" s="188" t="str">
        <f t="shared" si="115"/>
        <v/>
      </c>
      <c r="J381" s="188" t="str">
        <f t="shared" si="116"/>
        <v/>
      </c>
      <c r="K381" s="189" t="str">
        <f t="shared" si="117"/>
        <v/>
      </c>
      <c r="L381" s="189" t="str">
        <f t="shared" si="118"/>
        <v/>
      </c>
      <c r="M381" s="190"/>
      <c r="N381" s="190"/>
      <c r="O381" s="188" t="str">
        <f t="shared" si="119"/>
        <v/>
      </c>
      <c r="P381" s="191" t="str">
        <f t="shared" si="106"/>
        <v/>
      </c>
      <c r="Q381" s="192" t="str">
        <f t="shared" si="120"/>
        <v/>
      </c>
      <c r="R381" s="191" t="str">
        <f t="shared" si="107"/>
        <v/>
      </c>
      <c r="S381" s="193" t="str">
        <f t="shared" si="121"/>
        <v/>
      </c>
      <c r="T381" s="194" t="str">
        <f t="shared" si="108"/>
        <v/>
      </c>
      <c r="U381" s="192" t="str">
        <f t="shared" si="122"/>
        <v/>
      </c>
      <c r="V381" s="195" t="str">
        <f t="shared" si="109"/>
        <v/>
      </c>
      <c r="W381" s="195" t="str">
        <f t="shared" si="110"/>
        <v/>
      </c>
      <c r="X381" s="196" t="str">
        <f t="shared" si="123"/>
        <v/>
      </c>
      <c r="Y381" s="191" t="str">
        <f t="shared" si="124"/>
        <v/>
      </c>
      <c r="Z381" s="197" t="str">
        <f t="shared" si="111"/>
        <v/>
      </c>
      <c r="AA381" s="197" t="str">
        <f t="shared" si="112"/>
        <v/>
      </c>
      <c r="AB381" s="218"/>
      <c r="AC381" s="205"/>
    </row>
    <row r="382" spans="1:29">
      <c r="A382" s="219" t="str">
        <f t="shared" si="113"/>
        <v/>
      </c>
      <c r="B382" s="219"/>
      <c r="C382" s="184"/>
      <c r="D382" s="185"/>
      <c r="E382" s="185" t="str">
        <f>IF(OR(C382="",C382=Data!$B$3),"",IF(C382=Data!$B$2,"L","S"))</f>
        <v/>
      </c>
      <c r="F382" s="185" t="str">
        <f t="shared" si="114"/>
        <v/>
      </c>
      <c r="G382" s="186" t="str">
        <f t="shared" si="105"/>
        <v/>
      </c>
      <c r="H382" s="187"/>
      <c r="I382" s="188" t="str">
        <f t="shared" si="115"/>
        <v/>
      </c>
      <c r="J382" s="188" t="str">
        <f t="shared" si="116"/>
        <v/>
      </c>
      <c r="K382" s="189" t="str">
        <f t="shared" si="117"/>
        <v/>
      </c>
      <c r="L382" s="189" t="str">
        <f t="shared" si="118"/>
        <v/>
      </c>
      <c r="M382" s="190"/>
      <c r="N382" s="190"/>
      <c r="O382" s="188" t="str">
        <f t="shared" si="119"/>
        <v/>
      </c>
      <c r="P382" s="191" t="str">
        <f t="shared" si="106"/>
        <v/>
      </c>
      <c r="Q382" s="192" t="str">
        <f t="shared" si="120"/>
        <v/>
      </c>
      <c r="R382" s="191" t="str">
        <f t="shared" si="107"/>
        <v/>
      </c>
      <c r="S382" s="193" t="str">
        <f t="shared" si="121"/>
        <v/>
      </c>
      <c r="T382" s="194" t="str">
        <f t="shared" si="108"/>
        <v/>
      </c>
      <c r="U382" s="192" t="str">
        <f t="shared" si="122"/>
        <v/>
      </c>
      <c r="V382" s="195" t="str">
        <f t="shared" si="109"/>
        <v/>
      </c>
      <c r="W382" s="195" t="str">
        <f t="shared" si="110"/>
        <v/>
      </c>
      <c r="X382" s="196" t="str">
        <f t="shared" si="123"/>
        <v/>
      </c>
      <c r="Y382" s="191" t="str">
        <f t="shared" si="124"/>
        <v/>
      </c>
      <c r="Z382" s="197" t="str">
        <f t="shared" si="111"/>
        <v/>
      </c>
      <c r="AA382" s="197" t="str">
        <f t="shared" si="112"/>
        <v/>
      </c>
      <c r="AB382" s="218"/>
      <c r="AC382" s="205"/>
    </row>
    <row r="383" spans="1:29">
      <c r="A383" s="219" t="str">
        <f t="shared" si="113"/>
        <v/>
      </c>
      <c r="B383" s="219"/>
      <c r="C383" s="184"/>
      <c r="D383" s="185"/>
      <c r="E383" s="185" t="str">
        <f>IF(OR(C383="",C383=Data!$B$3),"",IF(C383=Data!$B$2,"L","S"))</f>
        <v/>
      </c>
      <c r="F383" s="185" t="str">
        <f t="shared" si="114"/>
        <v/>
      </c>
      <c r="G383" s="186" t="str">
        <f t="shared" si="105"/>
        <v/>
      </c>
      <c r="H383" s="187"/>
      <c r="I383" s="188" t="str">
        <f t="shared" si="115"/>
        <v/>
      </c>
      <c r="J383" s="188" t="str">
        <f t="shared" si="116"/>
        <v/>
      </c>
      <c r="K383" s="189" t="str">
        <f t="shared" si="117"/>
        <v/>
      </c>
      <c r="L383" s="189" t="str">
        <f t="shared" si="118"/>
        <v/>
      </c>
      <c r="M383" s="190"/>
      <c r="N383" s="190"/>
      <c r="O383" s="188" t="str">
        <f t="shared" si="119"/>
        <v/>
      </c>
      <c r="P383" s="191" t="str">
        <f t="shared" si="106"/>
        <v/>
      </c>
      <c r="Q383" s="192" t="str">
        <f t="shared" si="120"/>
        <v/>
      </c>
      <c r="R383" s="191" t="str">
        <f t="shared" si="107"/>
        <v/>
      </c>
      <c r="S383" s="193" t="str">
        <f t="shared" si="121"/>
        <v/>
      </c>
      <c r="T383" s="194" t="str">
        <f t="shared" si="108"/>
        <v/>
      </c>
      <c r="U383" s="192" t="str">
        <f t="shared" si="122"/>
        <v/>
      </c>
      <c r="V383" s="195" t="str">
        <f t="shared" si="109"/>
        <v/>
      </c>
      <c r="W383" s="195" t="str">
        <f t="shared" si="110"/>
        <v/>
      </c>
      <c r="X383" s="196" t="str">
        <f t="shared" si="123"/>
        <v/>
      </c>
      <c r="Y383" s="191" t="str">
        <f t="shared" si="124"/>
        <v/>
      </c>
      <c r="Z383" s="197" t="str">
        <f t="shared" si="111"/>
        <v/>
      </c>
      <c r="AA383" s="197" t="str">
        <f t="shared" si="112"/>
        <v/>
      </c>
      <c r="AB383" s="218"/>
      <c r="AC383" s="205"/>
    </row>
    <row r="384" spans="1:29">
      <c r="A384" s="219" t="str">
        <f t="shared" si="113"/>
        <v/>
      </c>
      <c r="B384" s="219"/>
      <c r="C384" s="184"/>
      <c r="D384" s="185"/>
      <c r="E384" s="185" t="str">
        <f>IF(OR(C384="",C384=Data!$B$3),"",IF(C384=Data!$B$2,"L","S"))</f>
        <v/>
      </c>
      <c r="F384" s="185" t="str">
        <f t="shared" si="114"/>
        <v/>
      </c>
      <c r="G384" s="186" t="str">
        <f t="shared" si="105"/>
        <v/>
      </c>
      <c r="H384" s="187"/>
      <c r="I384" s="188" t="str">
        <f t="shared" si="115"/>
        <v/>
      </c>
      <c r="J384" s="188" t="str">
        <f t="shared" si="116"/>
        <v/>
      </c>
      <c r="K384" s="189" t="str">
        <f t="shared" si="117"/>
        <v/>
      </c>
      <c r="L384" s="189" t="str">
        <f t="shared" si="118"/>
        <v/>
      </c>
      <c r="M384" s="190"/>
      <c r="N384" s="190"/>
      <c r="O384" s="188" t="str">
        <f t="shared" si="119"/>
        <v/>
      </c>
      <c r="P384" s="191" t="str">
        <f t="shared" si="106"/>
        <v/>
      </c>
      <c r="Q384" s="192" t="str">
        <f t="shared" si="120"/>
        <v/>
      </c>
      <c r="R384" s="191" t="str">
        <f t="shared" si="107"/>
        <v/>
      </c>
      <c r="S384" s="193" t="str">
        <f t="shared" si="121"/>
        <v/>
      </c>
      <c r="T384" s="194" t="str">
        <f t="shared" si="108"/>
        <v/>
      </c>
      <c r="U384" s="192" t="str">
        <f t="shared" si="122"/>
        <v/>
      </c>
      <c r="V384" s="195" t="str">
        <f t="shared" si="109"/>
        <v/>
      </c>
      <c r="W384" s="195" t="str">
        <f t="shared" si="110"/>
        <v/>
      </c>
      <c r="X384" s="196" t="str">
        <f t="shared" si="123"/>
        <v/>
      </c>
      <c r="Y384" s="191" t="str">
        <f t="shared" si="124"/>
        <v/>
      </c>
      <c r="Z384" s="197" t="str">
        <f t="shared" si="111"/>
        <v/>
      </c>
      <c r="AA384" s="197" t="str">
        <f t="shared" si="112"/>
        <v/>
      </c>
      <c r="AB384" s="218"/>
      <c r="AC384" s="205"/>
    </row>
    <row r="385" spans="1:29">
      <c r="A385" s="219" t="str">
        <f t="shared" si="113"/>
        <v/>
      </c>
      <c r="B385" s="219"/>
      <c r="C385" s="184"/>
      <c r="D385" s="185"/>
      <c r="E385" s="185" t="str">
        <f>IF(OR(C385="",C385=Data!$B$3),"",IF(C385=Data!$B$2,"L","S"))</f>
        <v/>
      </c>
      <c r="F385" s="185" t="str">
        <f t="shared" si="114"/>
        <v/>
      </c>
      <c r="G385" s="186" t="str">
        <f t="shared" si="105"/>
        <v/>
      </c>
      <c r="H385" s="187"/>
      <c r="I385" s="188" t="str">
        <f t="shared" si="115"/>
        <v/>
      </c>
      <c r="J385" s="188" t="str">
        <f t="shared" si="116"/>
        <v/>
      </c>
      <c r="K385" s="189" t="str">
        <f t="shared" si="117"/>
        <v/>
      </c>
      <c r="L385" s="189" t="str">
        <f t="shared" si="118"/>
        <v/>
      </c>
      <c r="M385" s="190"/>
      <c r="N385" s="190"/>
      <c r="O385" s="188" t="str">
        <f t="shared" si="119"/>
        <v/>
      </c>
      <c r="P385" s="191" t="str">
        <f t="shared" si="106"/>
        <v/>
      </c>
      <c r="Q385" s="192" t="str">
        <f t="shared" si="120"/>
        <v/>
      </c>
      <c r="R385" s="191" t="str">
        <f t="shared" si="107"/>
        <v/>
      </c>
      <c r="S385" s="193" t="str">
        <f t="shared" si="121"/>
        <v/>
      </c>
      <c r="T385" s="194" t="str">
        <f t="shared" si="108"/>
        <v/>
      </c>
      <c r="U385" s="192" t="str">
        <f t="shared" si="122"/>
        <v/>
      </c>
      <c r="V385" s="195" t="str">
        <f t="shared" si="109"/>
        <v/>
      </c>
      <c r="W385" s="195" t="str">
        <f t="shared" si="110"/>
        <v/>
      </c>
      <c r="X385" s="196" t="str">
        <f t="shared" si="123"/>
        <v/>
      </c>
      <c r="Y385" s="191" t="str">
        <f t="shared" si="124"/>
        <v/>
      </c>
      <c r="Z385" s="197" t="str">
        <f t="shared" si="111"/>
        <v/>
      </c>
      <c r="AA385" s="197" t="str">
        <f t="shared" si="112"/>
        <v/>
      </c>
      <c r="AB385" s="218"/>
      <c r="AC385" s="205"/>
    </row>
    <row r="386" spans="1:29">
      <c r="A386" s="219" t="str">
        <f t="shared" si="113"/>
        <v/>
      </c>
      <c r="B386" s="219"/>
      <c r="C386" s="184"/>
      <c r="D386" s="185"/>
      <c r="E386" s="185" t="str">
        <f>IF(OR(C386="",C386=Data!$B$3),"",IF(C386=Data!$B$2,"L","S"))</f>
        <v/>
      </c>
      <c r="F386" s="185" t="str">
        <f t="shared" si="114"/>
        <v/>
      </c>
      <c r="G386" s="186" t="str">
        <f t="shared" si="105"/>
        <v/>
      </c>
      <c r="H386" s="187"/>
      <c r="I386" s="188" t="str">
        <f t="shared" si="115"/>
        <v/>
      </c>
      <c r="J386" s="188" t="str">
        <f t="shared" si="116"/>
        <v/>
      </c>
      <c r="K386" s="189" t="str">
        <f t="shared" si="117"/>
        <v/>
      </c>
      <c r="L386" s="189" t="str">
        <f t="shared" si="118"/>
        <v/>
      </c>
      <c r="M386" s="190"/>
      <c r="N386" s="190"/>
      <c r="O386" s="188" t="str">
        <f t="shared" si="119"/>
        <v/>
      </c>
      <c r="P386" s="191" t="str">
        <f t="shared" si="106"/>
        <v/>
      </c>
      <c r="Q386" s="192" t="str">
        <f t="shared" si="120"/>
        <v/>
      </c>
      <c r="R386" s="191" t="str">
        <f t="shared" si="107"/>
        <v/>
      </c>
      <c r="S386" s="193" t="str">
        <f t="shared" si="121"/>
        <v/>
      </c>
      <c r="T386" s="194" t="str">
        <f t="shared" si="108"/>
        <v/>
      </c>
      <c r="U386" s="192" t="str">
        <f t="shared" si="122"/>
        <v/>
      </c>
      <c r="V386" s="195" t="str">
        <f t="shared" si="109"/>
        <v/>
      </c>
      <c r="W386" s="195" t="str">
        <f t="shared" si="110"/>
        <v/>
      </c>
      <c r="X386" s="196" t="str">
        <f t="shared" si="123"/>
        <v/>
      </c>
      <c r="Y386" s="191" t="str">
        <f t="shared" si="124"/>
        <v/>
      </c>
      <c r="Z386" s="197" t="str">
        <f t="shared" si="111"/>
        <v/>
      </c>
      <c r="AA386" s="197" t="str">
        <f t="shared" si="112"/>
        <v/>
      </c>
      <c r="AB386" s="218"/>
      <c r="AC386" s="205"/>
    </row>
    <row r="387" spans="1:29">
      <c r="A387" s="219" t="str">
        <f t="shared" si="113"/>
        <v/>
      </c>
      <c r="B387" s="219"/>
      <c r="C387" s="184"/>
      <c r="D387" s="185"/>
      <c r="E387" s="185" t="str">
        <f>IF(OR(C387="",C387=Data!$B$3),"",IF(C387=Data!$B$2,"L","S"))</f>
        <v/>
      </c>
      <c r="F387" s="185" t="str">
        <f t="shared" si="114"/>
        <v/>
      </c>
      <c r="G387" s="186" t="str">
        <f t="shared" si="105"/>
        <v/>
      </c>
      <c r="H387" s="187"/>
      <c r="I387" s="188" t="str">
        <f t="shared" si="115"/>
        <v/>
      </c>
      <c r="J387" s="188" t="str">
        <f t="shared" si="116"/>
        <v/>
      </c>
      <c r="K387" s="189" t="str">
        <f t="shared" si="117"/>
        <v/>
      </c>
      <c r="L387" s="189" t="str">
        <f t="shared" si="118"/>
        <v/>
      </c>
      <c r="M387" s="190"/>
      <c r="N387" s="190"/>
      <c r="O387" s="188" t="str">
        <f t="shared" si="119"/>
        <v/>
      </c>
      <c r="P387" s="191" t="str">
        <f t="shared" si="106"/>
        <v/>
      </c>
      <c r="Q387" s="192" t="str">
        <f t="shared" si="120"/>
        <v/>
      </c>
      <c r="R387" s="191" t="str">
        <f t="shared" si="107"/>
        <v/>
      </c>
      <c r="S387" s="193" t="str">
        <f t="shared" si="121"/>
        <v/>
      </c>
      <c r="T387" s="194" t="str">
        <f t="shared" si="108"/>
        <v/>
      </c>
      <c r="U387" s="192" t="str">
        <f t="shared" si="122"/>
        <v/>
      </c>
      <c r="V387" s="195" t="str">
        <f t="shared" si="109"/>
        <v/>
      </c>
      <c r="W387" s="195" t="str">
        <f t="shared" si="110"/>
        <v/>
      </c>
      <c r="X387" s="196" t="str">
        <f t="shared" si="123"/>
        <v/>
      </c>
      <c r="Y387" s="191" t="str">
        <f t="shared" si="124"/>
        <v/>
      </c>
      <c r="Z387" s="197" t="str">
        <f t="shared" si="111"/>
        <v/>
      </c>
      <c r="AA387" s="197" t="str">
        <f t="shared" si="112"/>
        <v/>
      </c>
      <c r="AB387" s="218"/>
      <c r="AC387" s="205"/>
    </row>
    <row r="388" spans="1:29">
      <c r="A388" s="219" t="str">
        <f t="shared" si="113"/>
        <v/>
      </c>
      <c r="B388" s="219"/>
      <c r="C388" s="184"/>
      <c r="D388" s="185"/>
      <c r="E388" s="185" t="str">
        <f>IF(OR(C388="",C388=Data!$B$3),"",IF(C388=Data!$B$2,"L","S"))</f>
        <v/>
      </c>
      <c r="F388" s="185" t="str">
        <f t="shared" si="114"/>
        <v/>
      </c>
      <c r="G388" s="186" t="str">
        <f t="shared" si="105"/>
        <v/>
      </c>
      <c r="H388" s="187"/>
      <c r="I388" s="188" t="str">
        <f t="shared" si="115"/>
        <v/>
      </c>
      <c r="J388" s="188" t="str">
        <f t="shared" si="116"/>
        <v/>
      </c>
      <c r="K388" s="189" t="str">
        <f t="shared" si="117"/>
        <v/>
      </c>
      <c r="L388" s="189" t="str">
        <f t="shared" si="118"/>
        <v/>
      </c>
      <c r="M388" s="190"/>
      <c r="N388" s="190"/>
      <c r="O388" s="188" t="str">
        <f t="shared" si="119"/>
        <v/>
      </c>
      <c r="P388" s="191" t="str">
        <f t="shared" si="106"/>
        <v/>
      </c>
      <c r="Q388" s="192" t="str">
        <f t="shared" si="120"/>
        <v/>
      </c>
      <c r="R388" s="191" t="str">
        <f t="shared" si="107"/>
        <v/>
      </c>
      <c r="S388" s="193" t="str">
        <f t="shared" si="121"/>
        <v/>
      </c>
      <c r="T388" s="194" t="str">
        <f t="shared" si="108"/>
        <v/>
      </c>
      <c r="U388" s="192" t="str">
        <f t="shared" si="122"/>
        <v/>
      </c>
      <c r="V388" s="195" t="str">
        <f t="shared" si="109"/>
        <v/>
      </c>
      <c r="W388" s="195" t="str">
        <f t="shared" si="110"/>
        <v/>
      </c>
      <c r="X388" s="196" t="str">
        <f t="shared" si="123"/>
        <v/>
      </c>
      <c r="Y388" s="191" t="str">
        <f t="shared" si="124"/>
        <v/>
      </c>
      <c r="Z388" s="197" t="str">
        <f t="shared" si="111"/>
        <v/>
      </c>
      <c r="AA388" s="197" t="str">
        <f t="shared" si="112"/>
        <v/>
      </c>
      <c r="AB388" s="218"/>
      <c r="AC388" s="205"/>
    </row>
    <row r="389" spans="1:29">
      <c r="A389" s="219" t="str">
        <f t="shared" si="113"/>
        <v/>
      </c>
      <c r="B389" s="219"/>
      <c r="C389" s="184"/>
      <c r="D389" s="185"/>
      <c r="E389" s="185" t="str">
        <f>IF(OR(C389="",C389=Data!$B$3),"",IF(C389=Data!$B$2,"L","S"))</f>
        <v/>
      </c>
      <c r="F389" s="185" t="str">
        <f t="shared" si="114"/>
        <v/>
      </c>
      <c r="G389" s="186" t="str">
        <f t="shared" si="105"/>
        <v/>
      </c>
      <c r="H389" s="187"/>
      <c r="I389" s="188" t="str">
        <f t="shared" si="115"/>
        <v/>
      </c>
      <c r="J389" s="188" t="str">
        <f t="shared" si="116"/>
        <v/>
      </c>
      <c r="K389" s="189" t="str">
        <f t="shared" si="117"/>
        <v/>
      </c>
      <c r="L389" s="189" t="str">
        <f t="shared" si="118"/>
        <v/>
      </c>
      <c r="M389" s="190"/>
      <c r="N389" s="190"/>
      <c r="O389" s="188" t="str">
        <f t="shared" si="119"/>
        <v/>
      </c>
      <c r="P389" s="191" t="str">
        <f t="shared" si="106"/>
        <v/>
      </c>
      <c r="Q389" s="192" t="str">
        <f t="shared" si="120"/>
        <v/>
      </c>
      <c r="R389" s="191" t="str">
        <f t="shared" si="107"/>
        <v/>
      </c>
      <c r="S389" s="193" t="str">
        <f t="shared" si="121"/>
        <v/>
      </c>
      <c r="T389" s="194" t="str">
        <f t="shared" si="108"/>
        <v/>
      </c>
      <c r="U389" s="192" t="str">
        <f t="shared" si="122"/>
        <v/>
      </c>
      <c r="V389" s="195" t="str">
        <f t="shared" si="109"/>
        <v/>
      </c>
      <c r="W389" s="195" t="str">
        <f t="shared" si="110"/>
        <v/>
      </c>
      <c r="X389" s="196" t="str">
        <f t="shared" si="123"/>
        <v/>
      </c>
      <c r="Y389" s="191" t="str">
        <f t="shared" si="124"/>
        <v/>
      </c>
      <c r="Z389" s="197" t="str">
        <f t="shared" si="111"/>
        <v/>
      </c>
      <c r="AA389" s="197" t="str">
        <f t="shared" si="112"/>
        <v/>
      </c>
      <c r="AB389" s="218"/>
      <c r="AC389" s="205"/>
    </row>
    <row r="390" spans="1:29">
      <c r="A390" s="219" t="str">
        <f t="shared" si="113"/>
        <v/>
      </c>
      <c r="B390" s="219"/>
      <c r="C390" s="184"/>
      <c r="D390" s="185"/>
      <c r="E390" s="185" t="str">
        <f>IF(OR(C390="",C390=Data!$B$3),"",IF(C390=Data!$B$2,"L","S"))</f>
        <v/>
      </c>
      <c r="F390" s="185" t="str">
        <f t="shared" si="114"/>
        <v/>
      </c>
      <c r="G390" s="186" t="str">
        <f t="shared" si="105"/>
        <v/>
      </c>
      <c r="H390" s="187"/>
      <c r="I390" s="188" t="str">
        <f t="shared" si="115"/>
        <v/>
      </c>
      <c r="J390" s="188" t="str">
        <f t="shared" si="116"/>
        <v/>
      </c>
      <c r="K390" s="189" t="str">
        <f t="shared" si="117"/>
        <v/>
      </c>
      <c r="L390" s="189" t="str">
        <f t="shared" si="118"/>
        <v/>
      </c>
      <c r="M390" s="190"/>
      <c r="N390" s="190"/>
      <c r="O390" s="188" t="str">
        <f t="shared" si="119"/>
        <v/>
      </c>
      <c r="P390" s="191" t="str">
        <f t="shared" si="106"/>
        <v/>
      </c>
      <c r="Q390" s="192" t="str">
        <f t="shared" si="120"/>
        <v/>
      </c>
      <c r="R390" s="191" t="str">
        <f t="shared" si="107"/>
        <v/>
      </c>
      <c r="S390" s="193" t="str">
        <f t="shared" si="121"/>
        <v/>
      </c>
      <c r="T390" s="194" t="str">
        <f t="shared" si="108"/>
        <v/>
      </c>
      <c r="U390" s="192" t="str">
        <f t="shared" si="122"/>
        <v/>
      </c>
      <c r="V390" s="195" t="str">
        <f t="shared" si="109"/>
        <v/>
      </c>
      <c r="W390" s="195" t="str">
        <f t="shared" si="110"/>
        <v/>
      </c>
      <c r="X390" s="196" t="str">
        <f t="shared" si="123"/>
        <v/>
      </c>
      <c r="Y390" s="191" t="str">
        <f t="shared" si="124"/>
        <v/>
      </c>
      <c r="Z390" s="197" t="str">
        <f t="shared" si="111"/>
        <v/>
      </c>
      <c r="AA390" s="197" t="str">
        <f t="shared" si="112"/>
        <v/>
      </c>
      <c r="AB390" s="218"/>
      <c r="AC390" s="205"/>
    </row>
    <row r="391" spans="1:29">
      <c r="A391" s="219" t="str">
        <f t="shared" si="113"/>
        <v/>
      </c>
      <c r="B391" s="219"/>
      <c r="C391" s="184"/>
      <c r="D391" s="185"/>
      <c r="E391" s="185" t="str">
        <f>IF(OR(C391="",C391=Data!$B$3),"",IF(C391=Data!$B$2,"L","S"))</f>
        <v/>
      </c>
      <c r="F391" s="185" t="str">
        <f t="shared" si="114"/>
        <v/>
      </c>
      <c r="G391" s="186" t="str">
        <f t="shared" si="105"/>
        <v/>
      </c>
      <c r="H391" s="187"/>
      <c r="I391" s="188" t="str">
        <f t="shared" si="115"/>
        <v/>
      </c>
      <c r="J391" s="188" t="str">
        <f t="shared" si="116"/>
        <v/>
      </c>
      <c r="K391" s="189" t="str">
        <f t="shared" si="117"/>
        <v/>
      </c>
      <c r="L391" s="189" t="str">
        <f t="shared" si="118"/>
        <v/>
      </c>
      <c r="M391" s="190"/>
      <c r="N391" s="190"/>
      <c r="O391" s="188" t="str">
        <f t="shared" si="119"/>
        <v/>
      </c>
      <c r="P391" s="191" t="str">
        <f t="shared" si="106"/>
        <v/>
      </c>
      <c r="Q391" s="192" t="str">
        <f t="shared" si="120"/>
        <v/>
      </c>
      <c r="R391" s="191" t="str">
        <f t="shared" si="107"/>
        <v/>
      </c>
      <c r="S391" s="193" t="str">
        <f t="shared" si="121"/>
        <v/>
      </c>
      <c r="T391" s="194" t="str">
        <f t="shared" si="108"/>
        <v/>
      </c>
      <c r="U391" s="192" t="str">
        <f t="shared" si="122"/>
        <v/>
      </c>
      <c r="V391" s="195" t="str">
        <f t="shared" si="109"/>
        <v/>
      </c>
      <c r="W391" s="195" t="str">
        <f t="shared" si="110"/>
        <v/>
      </c>
      <c r="X391" s="196" t="str">
        <f t="shared" si="123"/>
        <v/>
      </c>
      <c r="Y391" s="191" t="str">
        <f t="shared" si="124"/>
        <v/>
      </c>
      <c r="Z391" s="197" t="str">
        <f t="shared" si="111"/>
        <v/>
      </c>
      <c r="AA391" s="197" t="str">
        <f t="shared" si="112"/>
        <v/>
      </c>
      <c r="AB391" s="218"/>
      <c r="AC391" s="205"/>
    </row>
    <row r="392" spans="1:29">
      <c r="A392" s="219" t="str">
        <f t="shared" si="113"/>
        <v/>
      </c>
      <c r="B392" s="219"/>
      <c r="C392" s="184"/>
      <c r="D392" s="185"/>
      <c r="E392" s="185" t="str">
        <f>IF(OR(C392="",C392=Data!$B$3),"",IF(C392=Data!$B$2,"L","S"))</f>
        <v/>
      </c>
      <c r="F392" s="185" t="str">
        <f t="shared" si="114"/>
        <v/>
      </c>
      <c r="G392" s="186" t="str">
        <f t="shared" si="105"/>
        <v/>
      </c>
      <c r="H392" s="187"/>
      <c r="I392" s="188" t="str">
        <f t="shared" si="115"/>
        <v/>
      </c>
      <c r="J392" s="188" t="str">
        <f t="shared" si="116"/>
        <v/>
      </c>
      <c r="K392" s="189" t="str">
        <f t="shared" si="117"/>
        <v/>
      </c>
      <c r="L392" s="189" t="str">
        <f t="shared" si="118"/>
        <v/>
      </c>
      <c r="M392" s="190"/>
      <c r="N392" s="190"/>
      <c r="O392" s="188" t="str">
        <f t="shared" si="119"/>
        <v/>
      </c>
      <c r="P392" s="191" t="str">
        <f t="shared" si="106"/>
        <v/>
      </c>
      <c r="Q392" s="192" t="str">
        <f t="shared" si="120"/>
        <v/>
      </c>
      <c r="R392" s="191" t="str">
        <f t="shared" si="107"/>
        <v/>
      </c>
      <c r="S392" s="193" t="str">
        <f t="shared" si="121"/>
        <v/>
      </c>
      <c r="T392" s="194" t="str">
        <f t="shared" si="108"/>
        <v/>
      </c>
      <c r="U392" s="192" t="str">
        <f t="shared" si="122"/>
        <v/>
      </c>
      <c r="V392" s="195" t="str">
        <f t="shared" si="109"/>
        <v/>
      </c>
      <c r="W392" s="195" t="str">
        <f t="shared" si="110"/>
        <v/>
      </c>
      <c r="X392" s="196" t="str">
        <f t="shared" si="123"/>
        <v/>
      </c>
      <c r="Y392" s="191" t="str">
        <f t="shared" si="124"/>
        <v/>
      </c>
      <c r="Z392" s="197" t="str">
        <f t="shared" si="111"/>
        <v/>
      </c>
      <c r="AA392" s="197" t="str">
        <f t="shared" si="112"/>
        <v/>
      </c>
      <c r="AB392" s="218"/>
      <c r="AC392" s="205"/>
    </row>
    <row r="393" spans="1:29">
      <c r="A393" s="219" t="str">
        <f t="shared" si="113"/>
        <v/>
      </c>
      <c r="B393" s="219"/>
      <c r="C393" s="184"/>
      <c r="D393" s="185"/>
      <c r="E393" s="185" t="str">
        <f>IF(OR(C393="",C393=Data!$B$3),"",IF(C393=Data!$B$2,"L","S"))</f>
        <v/>
      </c>
      <c r="F393" s="185" t="str">
        <f t="shared" si="114"/>
        <v/>
      </c>
      <c r="G393" s="186" t="str">
        <f t="shared" si="105"/>
        <v/>
      </c>
      <c r="H393" s="187"/>
      <c r="I393" s="188" t="str">
        <f t="shared" si="115"/>
        <v/>
      </c>
      <c r="J393" s="188" t="str">
        <f t="shared" si="116"/>
        <v/>
      </c>
      <c r="K393" s="189" t="str">
        <f t="shared" si="117"/>
        <v/>
      </c>
      <c r="L393" s="189" t="str">
        <f t="shared" si="118"/>
        <v/>
      </c>
      <c r="M393" s="190"/>
      <c r="N393" s="190"/>
      <c r="O393" s="188" t="str">
        <f t="shared" si="119"/>
        <v/>
      </c>
      <c r="P393" s="191" t="str">
        <f t="shared" si="106"/>
        <v/>
      </c>
      <c r="Q393" s="192" t="str">
        <f t="shared" si="120"/>
        <v/>
      </c>
      <c r="R393" s="191" t="str">
        <f t="shared" si="107"/>
        <v/>
      </c>
      <c r="S393" s="193" t="str">
        <f t="shared" si="121"/>
        <v/>
      </c>
      <c r="T393" s="194" t="str">
        <f t="shared" si="108"/>
        <v/>
      </c>
      <c r="U393" s="192" t="str">
        <f t="shared" si="122"/>
        <v/>
      </c>
      <c r="V393" s="195" t="str">
        <f t="shared" si="109"/>
        <v/>
      </c>
      <c r="W393" s="195" t="str">
        <f t="shared" si="110"/>
        <v/>
      </c>
      <c r="X393" s="196" t="str">
        <f t="shared" si="123"/>
        <v/>
      </c>
      <c r="Y393" s="191" t="str">
        <f t="shared" si="124"/>
        <v/>
      </c>
      <c r="Z393" s="197" t="str">
        <f t="shared" si="111"/>
        <v/>
      </c>
      <c r="AA393" s="197" t="str">
        <f t="shared" si="112"/>
        <v/>
      </c>
      <c r="AB393" s="218"/>
      <c r="AC393" s="205"/>
    </row>
    <row r="394" spans="1:29">
      <c r="A394" s="219" t="str">
        <f t="shared" si="113"/>
        <v/>
      </c>
      <c r="B394" s="219"/>
      <c r="C394" s="184"/>
      <c r="D394" s="185"/>
      <c r="E394" s="185" t="str">
        <f>IF(OR(C394="",C394=Data!$B$3),"",IF(C394=Data!$B$2,"L","S"))</f>
        <v/>
      </c>
      <c r="F394" s="185" t="str">
        <f t="shared" si="114"/>
        <v/>
      </c>
      <c r="G394" s="186" t="str">
        <f t="shared" si="105"/>
        <v/>
      </c>
      <c r="H394" s="187"/>
      <c r="I394" s="188" t="str">
        <f t="shared" si="115"/>
        <v/>
      </c>
      <c r="J394" s="188" t="str">
        <f t="shared" si="116"/>
        <v/>
      </c>
      <c r="K394" s="189" t="str">
        <f t="shared" si="117"/>
        <v/>
      </c>
      <c r="L394" s="189" t="str">
        <f t="shared" si="118"/>
        <v/>
      </c>
      <c r="M394" s="190"/>
      <c r="N394" s="190"/>
      <c r="O394" s="188" t="str">
        <f t="shared" si="119"/>
        <v/>
      </c>
      <c r="P394" s="191" t="str">
        <f t="shared" si="106"/>
        <v/>
      </c>
      <c r="Q394" s="192" t="str">
        <f t="shared" si="120"/>
        <v/>
      </c>
      <c r="R394" s="191" t="str">
        <f t="shared" si="107"/>
        <v/>
      </c>
      <c r="S394" s="193" t="str">
        <f t="shared" si="121"/>
        <v/>
      </c>
      <c r="T394" s="194" t="str">
        <f t="shared" si="108"/>
        <v/>
      </c>
      <c r="U394" s="192" t="str">
        <f t="shared" si="122"/>
        <v/>
      </c>
      <c r="V394" s="195" t="str">
        <f t="shared" si="109"/>
        <v/>
      </c>
      <c r="W394" s="195" t="str">
        <f t="shared" si="110"/>
        <v/>
      </c>
      <c r="X394" s="196" t="str">
        <f t="shared" si="123"/>
        <v/>
      </c>
      <c r="Y394" s="191" t="str">
        <f t="shared" si="124"/>
        <v/>
      </c>
      <c r="Z394" s="197" t="str">
        <f t="shared" si="111"/>
        <v/>
      </c>
      <c r="AA394" s="197" t="str">
        <f t="shared" si="112"/>
        <v/>
      </c>
      <c r="AB394" s="218"/>
      <c r="AC394" s="205"/>
    </row>
    <row r="395" spans="1:29">
      <c r="A395" s="219" t="str">
        <f t="shared" si="113"/>
        <v/>
      </c>
      <c r="B395" s="219"/>
      <c r="C395" s="184"/>
      <c r="D395" s="185"/>
      <c r="E395" s="185" t="str">
        <f>IF(OR(C395="",C395=Data!$B$3),"",IF(C395=Data!$B$2,"L","S"))</f>
        <v/>
      </c>
      <c r="F395" s="185" t="str">
        <f t="shared" si="114"/>
        <v/>
      </c>
      <c r="G395" s="186" t="str">
        <f t="shared" si="105"/>
        <v/>
      </c>
      <c r="H395" s="187"/>
      <c r="I395" s="188" t="str">
        <f t="shared" si="115"/>
        <v/>
      </c>
      <c r="J395" s="188" t="str">
        <f t="shared" si="116"/>
        <v/>
      </c>
      <c r="K395" s="189" t="str">
        <f t="shared" si="117"/>
        <v/>
      </c>
      <c r="L395" s="189" t="str">
        <f t="shared" si="118"/>
        <v/>
      </c>
      <c r="M395" s="190"/>
      <c r="N395" s="190"/>
      <c r="O395" s="188" t="str">
        <f t="shared" si="119"/>
        <v/>
      </c>
      <c r="P395" s="191" t="str">
        <f t="shared" si="106"/>
        <v/>
      </c>
      <c r="Q395" s="192" t="str">
        <f t="shared" si="120"/>
        <v/>
      </c>
      <c r="R395" s="191" t="str">
        <f t="shared" si="107"/>
        <v/>
      </c>
      <c r="S395" s="193" t="str">
        <f t="shared" si="121"/>
        <v/>
      </c>
      <c r="T395" s="194" t="str">
        <f t="shared" si="108"/>
        <v/>
      </c>
      <c r="U395" s="192" t="str">
        <f t="shared" si="122"/>
        <v/>
      </c>
      <c r="V395" s="195" t="str">
        <f t="shared" si="109"/>
        <v/>
      </c>
      <c r="W395" s="195" t="str">
        <f t="shared" si="110"/>
        <v/>
      </c>
      <c r="X395" s="196" t="str">
        <f t="shared" si="123"/>
        <v/>
      </c>
      <c r="Y395" s="191" t="str">
        <f t="shared" si="124"/>
        <v/>
      </c>
      <c r="Z395" s="197" t="str">
        <f t="shared" si="111"/>
        <v/>
      </c>
      <c r="AA395" s="197" t="str">
        <f t="shared" si="112"/>
        <v/>
      </c>
      <c r="AB395" s="218"/>
      <c r="AC395" s="205"/>
    </row>
    <row r="396" spans="1:29">
      <c r="A396" s="219" t="str">
        <f t="shared" si="113"/>
        <v/>
      </c>
      <c r="B396" s="219"/>
      <c r="C396" s="184"/>
      <c r="D396" s="185"/>
      <c r="E396" s="185" t="str">
        <f>IF(OR(C396="",C396=Data!$B$3),"",IF(C396=Data!$B$2,"L","S"))</f>
        <v/>
      </c>
      <c r="F396" s="185" t="str">
        <f t="shared" si="114"/>
        <v/>
      </c>
      <c r="G396" s="186" t="str">
        <f t="shared" ref="G396:G459" si="125">IF(A396="","",$D$3)</f>
        <v/>
      </c>
      <c r="H396" s="187"/>
      <c r="I396" s="188" t="str">
        <f t="shared" si="115"/>
        <v/>
      </c>
      <c r="J396" s="188" t="str">
        <f t="shared" si="116"/>
        <v/>
      </c>
      <c r="K396" s="189" t="str">
        <f t="shared" si="117"/>
        <v/>
      </c>
      <c r="L396" s="189" t="str">
        <f t="shared" si="118"/>
        <v/>
      </c>
      <c r="M396" s="190"/>
      <c r="N396" s="190"/>
      <c r="O396" s="188" t="str">
        <f t="shared" si="119"/>
        <v/>
      </c>
      <c r="P396" s="191" t="str">
        <f t="shared" ref="P396:P459" si="126">IF(O396="","",IF(L396*F396*G396=0,0,L396*F396*G396))</f>
        <v/>
      </c>
      <c r="Q396" s="192" t="str">
        <f t="shared" si="120"/>
        <v/>
      </c>
      <c r="R396" s="191" t="str">
        <f t="shared" ref="R396:R459" si="127">IF(O396&lt;&gt;"",IF(K396*F396*G396=0,"",K396*F396*G396),"")</f>
        <v/>
      </c>
      <c r="S396" s="193" t="str">
        <f t="shared" si="121"/>
        <v/>
      </c>
      <c r="T396" s="194" t="str">
        <f t="shared" ref="T396:T459" si="128">IF(X396="","",X396*F396*G396)</f>
        <v/>
      </c>
      <c r="U396" s="192" t="str">
        <f t="shared" si="122"/>
        <v/>
      </c>
      <c r="V396" s="195" t="str">
        <f t="shared" ref="V396:V459" si="129">IF(O396="","",IF(AND(O396&gt;I396,E396="L"),1, IF(AND(I396&gt;O396,E396="S"),1,0)))</f>
        <v/>
      </c>
      <c r="W396" s="195" t="str">
        <f t="shared" ref="W396:W459" si="130">IF(O396="","",IF(AND(O396&lt;I396,E396="L"),1, IF(AND(I396&lt;O396,E396="S"),1,0)))</f>
        <v/>
      </c>
      <c r="X396" s="196" t="str">
        <f t="shared" si="123"/>
        <v/>
      </c>
      <c r="Y396" s="191" t="str">
        <f t="shared" si="124"/>
        <v/>
      </c>
      <c r="Z396" s="197" t="str">
        <f t="shared" ref="Z396:Z459" si="131">IF(M396="","",MONTH(M396))</f>
        <v/>
      </c>
      <c r="AA396" s="197" t="str">
        <f t="shared" ref="AA396:AA459" si="132">IF(M396="","",YEAR(M396))</f>
        <v/>
      </c>
      <c r="AB396" s="218"/>
      <c r="AC396" s="205"/>
    </row>
    <row r="397" spans="1:29">
      <c r="A397" s="219" t="str">
        <f t="shared" ref="A397:A460" si="133">IF(C397="","",1)</f>
        <v/>
      </c>
      <c r="B397" s="219"/>
      <c r="C397" s="184"/>
      <c r="D397" s="185"/>
      <c r="E397" s="185" t="str">
        <f>IF(OR(C397="",C397=Data!$B$3),"",IF(C397=Data!$B$2,"L","S"))</f>
        <v/>
      </c>
      <c r="F397" s="185" t="str">
        <f t="shared" ref="F397:F460" si="134">IF(A397&lt;&gt;"",$D$2,"")</f>
        <v/>
      </c>
      <c r="G397" s="186" t="str">
        <f t="shared" si="125"/>
        <v/>
      </c>
      <c r="H397" s="187"/>
      <c r="I397" s="188" t="str">
        <f t="shared" ref="I397:I460" si="135">IF(H397="","",IF(E397="L",H397+$D$4*0.0001,H397-$D$4*0.0001))</f>
        <v/>
      </c>
      <c r="J397" s="188" t="str">
        <f t="shared" ref="J397:J460" si="136">IF(AND(H397&lt;&gt;"",I397&lt;&gt;""),IF(E397="L",I397+(I397-H397)*3,I397-(H397-I397)*3),"")</f>
        <v/>
      </c>
      <c r="K397" s="189" t="str">
        <f t="shared" ref="K397:K460" si="137">IF(AND(E397&lt;&gt;"",AND(I397&lt;&gt;"",J397&lt;&gt;"")),IF(E397="L",(J397-I397)*IF(I397&gt;10,IF(SEARCH("JPY",D397),10,100),10000),(I397-J397)*IF(I397&gt;10,IF(SEARCH("JPY",D397),10,100),10000)),"")</f>
        <v/>
      </c>
      <c r="L397" s="189" t="str">
        <f t="shared" ref="L397:L460" si="138">IF(AND(E397&lt;&gt;"",AND(H397&lt;&gt;"",I397&lt;&gt;"")),IF(E397="L",(I397-H397)*IF(I397&gt;10,IF(SEARCH("JPY",D397),10,100),10000),(H397-I397)*IF(I397&gt;10,IF(SEARCH("JPY",D397),10,100),10000)),"")</f>
        <v/>
      </c>
      <c r="M397" s="190"/>
      <c r="N397" s="190"/>
      <c r="O397" s="188" t="str">
        <f t="shared" ref="O397:O460" si="139">J397</f>
        <v/>
      </c>
      <c r="P397" s="191" t="str">
        <f t="shared" si="126"/>
        <v/>
      </c>
      <c r="Q397" s="192" t="str">
        <f t="shared" ref="Q397:Q460" si="140">IF(P397="","",IF(P397=0,0,P397/$I$4))</f>
        <v/>
      </c>
      <c r="R397" s="191" t="str">
        <f t="shared" si="127"/>
        <v/>
      </c>
      <c r="S397" s="193" t="str">
        <f t="shared" ref="S397:S460" si="141">IF(P397="","",IF(P397=0,0,R397/P397))</f>
        <v/>
      </c>
      <c r="T397" s="194" t="str">
        <f t="shared" si="128"/>
        <v/>
      </c>
      <c r="U397" s="192" t="str">
        <f t="shared" ref="U397:U460" si="142">IF(T397="","",IF($I$4="","",T397/$I$4))</f>
        <v/>
      </c>
      <c r="V397" s="195" t="str">
        <f t="shared" si="129"/>
        <v/>
      </c>
      <c r="W397" s="195" t="str">
        <f t="shared" si="130"/>
        <v/>
      </c>
      <c r="X397" s="196" t="str">
        <f t="shared" ref="X397:X460" si="143">IF((O397=""),"",IF(E397="L",1,-1)*(O397-I397)*IF(O397&gt;10,IF(SEARCH("JPY",D397),10,100),10000))</f>
        <v/>
      </c>
      <c r="Y397" s="191" t="str">
        <f t="shared" si="124"/>
        <v/>
      </c>
      <c r="Z397" s="197" t="str">
        <f t="shared" si="131"/>
        <v/>
      </c>
      <c r="AA397" s="197" t="str">
        <f t="shared" si="132"/>
        <v/>
      </c>
      <c r="AB397" s="218"/>
      <c r="AC397" s="205"/>
    </row>
    <row r="398" spans="1:29">
      <c r="A398" s="219" t="str">
        <f t="shared" si="133"/>
        <v/>
      </c>
      <c r="B398" s="219"/>
      <c r="C398" s="184"/>
      <c r="D398" s="185"/>
      <c r="E398" s="185" t="str">
        <f>IF(OR(C398="",C398=Data!$B$3),"",IF(C398=Data!$B$2,"L","S"))</f>
        <v/>
      </c>
      <c r="F398" s="185" t="str">
        <f t="shared" si="134"/>
        <v/>
      </c>
      <c r="G398" s="186" t="str">
        <f t="shared" si="125"/>
        <v/>
      </c>
      <c r="H398" s="187"/>
      <c r="I398" s="188" t="str">
        <f t="shared" si="135"/>
        <v/>
      </c>
      <c r="J398" s="188" t="str">
        <f t="shared" si="136"/>
        <v/>
      </c>
      <c r="K398" s="189" t="str">
        <f t="shared" si="137"/>
        <v/>
      </c>
      <c r="L398" s="189" t="str">
        <f t="shared" si="138"/>
        <v/>
      </c>
      <c r="M398" s="190"/>
      <c r="N398" s="190"/>
      <c r="O398" s="188" t="str">
        <f t="shared" si="139"/>
        <v/>
      </c>
      <c r="P398" s="191" t="str">
        <f t="shared" si="126"/>
        <v/>
      </c>
      <c r="Q398" s="192" t="str">
        <f t="shared" si="140"/>
        <v/>
      </c>
      <c r="R398" s="191" t="str">
        <f t="shared" si="127"/>
        <v/>
      </c>
      <c r="S398" s="193" t="str">
        <f t="shared" si="141"/>
        <v/>
      </c>
      <c r="T398" s="194" t="str">
        <f t="shared" si="128"/>
        <v/>
      </c>
      <c r="U398" s="192" t="str">
        <f t="shared" si="142"/>
        <v/>
      </c>
      <c r="V398" s="195" t="str">
        <f t="shared" si="129"/>
        <v/>
      </c>
      <c r="W398" s="195" t="str">
        <f t="shared" si="130"/>
        <v/>
      </c>
      <c r="X398" s="196" t="str">
        <f t="shared" si="143"/>
        <v/>
      </c>
      <c r="Y398" s="191" t="str">
        <f t="shared" si="124"/>
        <v/>
      </c>
      <c r="Z398" s="197" t="str">
        <f t="shared" si="131"/>
        <v/>
      </c>
      <c r="AA398" s="197" t="str">
        <f t="shared" si="132"/>
        <v/>
      </c>
      <c r="AB398" s="218"/>
      <c r="AC398" s="205"/>
    </row>
    <row r="399" spans="1:29">
      <c r="A399" s="219" t="str">
        <f t="shared" si="133"/>
        <v/>
      </c>
      <c r="B399" s="219"/>
      <c r="C399" s="184"/>
      <c r="D399" s="185"/>
      <c r="E399" s="185" t="str">
        <f>IF(OR(C399="",C399=Data!$B$3),"",IF(C399=Data!$B$2,"L","S"))</f>
        <v/>
      </c>
      <c r="F399" s="185" t="str">
        <f t="shared" si="134"/>
        <v/>
      </c>
      <c r="G399" s="186" t="str">
        <f t="shared" si="125"/>
        <v/>
      </c>
      <c r="H399" s="187"/>
      <c r="I399" s="188" t="str">
        <f t="shared" si="135"/>
        <v/>
      </c>
      <c r="J399" s="188" t="str">
        <f t="shared" si="136"/>
        <v/>
      </c>
      <c r="K399" s="189" t="str">
        <f t="shared" si="137"/>
        <v/>
      </c>
      <c r="L399" s="189" t="str">
        <f t="shared" si="138"/>
        <v/>
      </c>
      <c r="M399" s="190"/>
      <c r="N399" s="190"/>
      <c r="O399" s="188" t="str">
        <f t="shared" si="139"/>
        <v/>
      </c>
      <c r="P399" s="191" t="str">
        <f t="shared" si="126"/>
        <v/>
      </c>
      <c r="Q399" s="192" t="str">
        <f t="shared" si="140"/>
        <v/>
      </c>
      <c r="R399" s="191" t="str">
        <f t="shared" si="127"/>
        <v/>
      </c>
      <c r="S399" s="193" t="str">
        <f t="shared" si="141"/>
        <v/>
      </c>
      <c r="T399" s="194" t="str">
        <f t="shared" si="128"/>
        <v/>
      </c>
      <c r="U399" s="192" t="str">
        <f t="shared" si="142"/>
        <v/>
      </c>
      <c r="V399" s="195" t="str">
        <f t="shared" si="129"/>
        <v/>
      </c>
      <c r="W399" s="195" t="str">
        <f t="shared" si="130"/>
        <v/>
      </c>
      <c r="X399" s="196" t="str">
        <f t="shared" si="143"/>
        <v/>
      </c>
      <c r="Y399" s="191" t="str">
        <f t="shared" si="124"/>
        <v/>
      </c>
      <c r="Z399" s="197" t="str">
        <f t="shared" si="131"/>
        <v/>
      </c>
      <c r="AA399" s="197" t="str">
        <f t="shared" si="132"/>
        <v/>
      </c>
      <c r="AB399" s="218"/>
      <c r="AC399" s="205"/>
    </row>
    <row r="400" spans="1:29">
      <c r="A400" s="219" t="str">
        <f t="shared" si="133"/>
        <v/>
      </c>
      <c r="B400" s="219"/>
      <c r="C400" s="184"/>
      <c r="D400" s="185"/>
      <c r="E400" s="185" t="str">
        <f>IF(OR(C400="",C400=Data!$B$3),"",IF(C400=Data!$B$2,"L","S"))</f>
        <v/>
      </c>
      <c r="F400" s="185" t="str">
        <f t="shared" si="134"/>
        <v/>
      </c>
      <c r="G400" s="186" t="str">
        <f t="shared" si="125"/>
        <v/>
      </c>
      <c r="H400" s="187"/>
      <c r="I400" s="188" t="str">
        <f t="shared" si="135"/>
        <v/>
      </c>
      <c r="J400" s="188" t="str">
        <f t="shared" si="136"/>
        <v/>
      </c>
      <c r="K400" s="189" t="str">
        <f t="shared" si="137"/>
        <v/>
      </c>
      <c r="L400" s="189" t="str">
        <f t="shared" si="138"/>
        <v/>
      </c>
      <c r="M400" s="190"/>
      <c r="N400" s="190"/>
      <c r="O400" s="188" t="str">
        <f t="shared" si="139"/>
        <v/>
      </c>
      <c r="P400" s="191" t="str">
        <f t="shared" si="126"/>
        <v/>
      </c>
      <c r="Q400" s="192" t="str">
        <f t="shared" si="140"/>
        <v/>
      </c>
      <c r="R400" s="191" t="str">
        <f t="shared" si="127"/>
        <v/>
      </c>
      <c r="S400" s="193" t="str">
        <f t="shared" si="141"/>
        <v/>
      </c>
      <c r="T400" s="194" t="str">
        <f t="shared" si="128"/>
        <v/>
      </c>
      <c r="U400" s="192" t="str">
        <f t="shared" si="142"/>
        <v/>
      </c>
      <c r="V400" s="195" t="str">
        <f t="shared" si="129"/>
        <v/>
      </c>
      <c r="W400" s="195" t="str">
        <f t="shared" si="130"/>
        <v/>
      </c>
      <c r="X400" s="196" t="str">
        <f t="shared" si="143"/>
        <v/>
      </c>
      <c r="Y400" s="191" t="str">
        <f t="shared" si="124"/>
        <v/>
      </c>
      <c r="Z400" s="197" t="str">
        <f t="shared" si="131"/>
        <v/>
      </c>
      <c r="AA400" s="197" t="str">
        <f t="shared" si="132"/>
        <v/>
      </c>
      <c r="AB400" s="218"/>
      <c r="AC400" s="205"/>
    </row>
    <row r="401" spans="1:29">
      <c r="A401" s="219" t="str">
        <f t="shared" si="133"/>
        <v/>
      </c>
      <c r="B401" s="219"/>
      <c r="C401" s="184"/>
      <c r="D401" s="185"/>
      <c r="E401" s="185" t="str">
        <f>IF(OR(C401="",C401=Data!$B$3),"",IF(C401=Data!$B$2,"L","S"))</f>
        <v/>
      </c>
      <c r="F401" s="185" t="str">
        <f t="shared" si="134"/>
        <v/>
      </c>
      <c r="G401" s="186" t="str">
        <f t="shared" si="125"/>
        <v/>
      </c>
      <c r="H401" s="187"/>
      <c r="I401" s="188" t="str">
        <f t="shared" si="135"/>
        <v/>
      </c>
      <c r="J401" s="188" t="str">
        <f t="shared" si="136"/>
        <v/>
      </c>
      <c r="K401" s="189" t="str">
        <f t="shared" si="137"/>
        <v/>
      </c>
      <c r="L401" s="189" t="str">
        <f t="shared" si="138"/>
        <v/>
      </c>
      <c r="M401" s="190"/>
      <c r="N401" s="190"/>
      <c r="O401" s="188" t="str">
        <f t="shared" si="139"/>
        <v/>
      </c>
      <c r="P401" s="191" t="str">
        <f t="shared" si="126"/>
        <v/>
      </c>
      <c r="Q401" s="192" t="str">
        <f t="shared" si="140"/>
        <v/>
      </c>
      <c r="R401" s="191" t="str">
        <f t="shared" si="127"/>
        <v/>
      </c>
      <c r="S401" s="193" t="str">
        <f t="shared" si="141"/>
        <v/>
      </c>
      <c r="T401" s="194" t="str">
        <f t="shared" si="128"/>
        <v/>
      </c>
      <c r="U401" s="192" t="str">
        <f t="shared" si="142"/>
        <v/>
      </c>
      <c r="V401" s="195" t="str">
        <f t="shared" si="129"/>
        <v/>
      </c>
      <c r="W401" s="195" t="str">
        <f t="shared" si="130"/>
        <v/>
      </c>
      <c r="X401" s="196" t="str">
        <f t="shared" si="143"/>
        <v/>
      </c>
      <c r="Y401" s="191" t="str">
        <f t="shared" si="124"/>
        <v/>
      </c>
      <c r="Z401" s="197" t="str">
        <f t="shared" si="131"/>
        <v/>
      </c>
      <c r="AA401" s="197" t="str">
        <f t="shared" si="132"/>
        <v/>
      </c>
      <c r="AB401" s="218"/>
      <c r="AC401" s="205"/>
    </row>
    <row r="402" spans="1:29">
      <c r="A402" s="219" t="str">
        <f t="shared" si="133"/>
        <v/>
      </c>
      <c r="B402" s="219"/>
      <c r="C402" s="184"/>
      <c r="D402" s="185"/>
      <c r="E402" s="185" t="str">
        <f>IF(OR(C402="",C402=Data!$B$3),"",IF(C402=Data!$B$2,"L","S"))</f>
        <v/>
      </c>
      <c r="F402" s="185" t="str">
        <f t="shared" si="134"/>
        <v/>
      </c>
      <c r="G402" s="186" t="str">
        <f t="shared" si="125"/>
        <v/>
      </c>
      <c r="H402" s="187"/>
      <c r="I402" s="188" t="str">
        <f t="shared" si="135"/>
        <v/>
      </c>
      <c r="J402" s="188" t="str">
        <f t="shared" si="136"/>
        <v/>
      </c>
      <c r="K402" s="189" t="str">
        <f t="shared" si="137"/>
        <v/>
      </c>
      <c r="L402" s="189" t="str">
        <f t="shared" si="138"/>
        <v/>
      </c>
      <c r="M402" s="190"/>
      <c r="N402" s="190"/>
      <c r="O402" s="188" t="str">
        <f t="shared" si="139"/>
        <v/>
      </c>
      <c r="P402" s="191" t="str">
        <f t="shared" si="126"/>
        <v/>
      </c>
      <c r="Q402" s="192" t="str">
        <f t="shared" si="140"/>
        <v/>
      </c>
      <c r="R402" s="191" t="str">
        <f t="shared" si="127"/>
        <v/>
      </c>
      <c r="S402" s="193" t="str">
        <f t="shared" si="141"/>
        <v/>
      </c>
      <c r="T402" s="194" t="str">
        <f t="shared" si="128"/>
        <v/>
      </c>
      <c r="U402" s="192" t="str">
        <f t="shared" si="142"/>
        <v/>
      </c>
      <c r="V402" s="195" t="str">
        <f t="shared" si="129"/>
        <v/>
      </c>
      <c r="W402" s="195" t="str">
        <f t="shared" si="130"/>
        <v/>
      </c>
      <c r="X402" s="196" t="str">
        <f t="shared" si="143"/>
        <v/>
      </c>
      <c r="Y402" s="191" t="str">
        <f t="shared" si="124"/>
        <v/>
      </c>
      <c r="Z402" s="197" t="str">
        <f t="shared" si="131"/>
        <v/>
      </c>
      <c r="AA402" s="197" t="str">
        <f t="shared" si="132"/>
        <v/>
      </c>
      <c r="AB402" s="218"/>
      <c r="AC402" s="205"/>
    </row>
    <row r="403" spans="1:29">
      <c r="A403" s="219" t="str">
        <f t="shared" si="133"/>
        <v/>
      </c>
      <c r="B403" s="219"/>
      <c r="C403" s="184"/>
      <c r="D403" s="185"/>
      <c r="E403" s="185" t="str">
        <f>IF(OR(C403="",C403=Data!$B$3),"",IF(C403=Data!$B$2,"L","S"))</f>
        <v/>
      </c>
      <c r="F403" s="185" t="str">
        <f t="shared" si="134"/>
        <v/>
      </c>
      <c r="G403" s="186" t="str">
        <f t="shared" si="125"/>
        <v/>
      </c>
      <c r="H403" s="187"/>
      <c r="I403" s="188" t="str">
        <f t="shared" si="135"/>
        <v/>
      </c>
      <c r="J403" s="188" t="str">
        <f t="shared" si="136"/>
        <v/>
      </c>
      <c r="K403" s="189" t="str">
        <f t="shared" si="137"/>
        <v/>
      </c>
      <c r="L403" s="189" t="str">
        <f t="shared" si="138"/>
        <v/>
      </c>
      <c r="M403" s="190"/>
      <c r="N403" s="190"/>
      <c r="O403" s="188" t="str">
        <f t="shared" si="139"/>
        <v/>
      </c>
      <c r="P403" s="191" t="str">
        <f t="shared" si="126"/>
        <v/>
      </c>
      <c r="Q403" s="192" t="str">
        <f t="shared" si="140"/>
        <v/>
      </c>
      <c r="R403" s="191" t="str">
        <f t="shared" si="127"/>
        <v/>
      </c>
      <c r="S403" s="193" t="str">
        <f t="shared" si="141"/>
        <v/>
      </c>
      <c r="T403" s="194" t="str">
        <f t="shared" si="128"/>
        <v/>
      </c>
      <c r="U403" s="192" t="str">
        <f t="shared" si="142"/>
        <v/>
      </c>
      <c r="V403" s="195" t="str">
        <f t="shared" si="129"/>
        <v/>
      </c>
      <c r="W403" s="195" t="str">
        <f t="shared" si="130"/>
        <v/>
      </c>
      <c r="X403" s="196" t="str">
        <f t="shared" si="143"/>
        <v/>
      </c>
      <c r="Y403" s="191" t="str">
        <f t="shared" si="124"/>
        <v/>
      </c>
      <c r="Z403" s="197" t="str">
        <f t="shared" si="131"/>
        <v/>
      </c>
      <c r="AA403" s="197" t="str">
        <f t="shared" si="132"/>
        <v/>
      </c>
      <c r="AB403" s="218"/>
      <c r="AC403" s="205"/>
    </row>
    <row r="404" spans="1:29">
      <c r="A404" s="219" t="str">
        <f t="shared" si="133"/>
        <v/>
      </c>
      <c r="B404" s="219"/>
      <c r="C404" s="184"/>
      <c r="D404" s="185"/>
      <c r="E404" s="185" t="str">
        <f>IF(OR(C404="",C404=Data!$B$3),"",IF(C404=Data!$B$2,"L","S"))</f>
        <v/>
      </c>
      <c r="F404" s="185" t="str">
        <f t="shared" si="134"/>
        <v/>
      </c>
      <c r="G404" s="186" t="str">
        <f t="shared" si="125"/>
        <v/>
      </c>
      <c r="H404" s="187"/>
      <c r="I404" s="188" t="str">
        <f t="shared" si="135"/>
        <v/>
      </c>
      <c r="J404" s="188" t="str">
        <f t="shared" si="136"/>
        <v/>
      </c>
      <c r="K404" s="189" t="str">
        <f t="shared" si="137"/>
        <v/>
      </c>
      <c r="L404" s="189" t="str">
        <f t="shared" si="138"/>
        <v/>
      </c>
      <c r="M404" s="190"/>
      <c r="N404" s="190"/>
      <c r="O404" s="188" t="str">
        <f t="shared" si="139"/>
        <v/>
      </c>
      <c r="P404" s="191" t="str">
        <f t="shared" si="126"/>
        <v/>
      </c>
      <c r="Q404" s="192" t="str">
        <f t="shared" si="140"/>
        <v/>
      </c>
      <c r="R404" s="191" t="str">
        <f t="shared" si="127"/>
        <v/>
      </c>
      <c r="S404" s="193" t="str">
        <f t="shared" si="141"/>
        <v/>
      </c>
      <c r="T404" s="194" t="str">
        <f t="shared" si="128"/>
        <v/>
      </c>
      <c r="U404" s="192" t="str">
        <f t="shared" si="142"/>
        <v/>
      </c>
      <c r="V404" s="195" t="str">
        <f t="shared" si="129"/>
        <v/>
      </c>
      <c r="W404" s="195" t="str">
        <f t="shared" si="130"/>
        <v/>
      </c>
      <c r="X404" s="196" t="str">
        <f t="shared" si="143"/>
        <v/>
      </c>
      <c r="Y404" s="191" t="str">
        <f t="shared" ref="Y404:Y467" si="144">IF(Y403="","",IF(T404="","",Y403+T404))</f>
        <v/>
      </c>
      <c r="Z404" s="197" t="str">
        <f t="shared" si="131"/>
        <v/>
      </c>
      <c r="AA404" s="197" t="str">
        <f t="shared" si="132"/>
        <v/>
      </c>
      <c r="AB404" s="218"/>
      <c r="AC404" s="205"/>
    </row>
    <row r="405" spans="1:29">
      <c r="A405" s="219" t="str">
        <f t="shared" si="133"/>
        <v/>
      </c>
      <c r="B405" s="219"/>
      <c r="C405" s="184"/>
      <c r="D405" s="185"/>
      <c r="E405" s="185" t="str">
        <f>IF(OR(C405="",C405=Data!$B$3),"",IF(C405=Data!$B$2,"L","S"))</f>
        <v/>
      </c>
      <c r="F405" s="185" t="str">
        <f t="shared" si="134"/>
        <v/>
      </c>
      <c r="G405" s="186" t="str">
        <f t="shared" si="125"/>
        <v/>
      </c>
      <c r="H405" s="187"/>
      <c r="I405" s="188" t="str">
        <f t="shared" si="135"/>
        <v/>
      </c>
      <c r="J405" s="188" t="str">
        <f t="shared" si="136"/>
        <v/>
      </c>
      <c r="K405" s="189" t="str">
        <f t="shared" si="137"/>
        <v/>
      </c>
      <c r="L405" s="189" t="str">
        <f t="shared" si="138"/>
        <v/>
      </c>
      <c r="M405" s="190"/>
      <c r="N405" s="190"/>
      <c r="O405" s="188" t="str">
        <f t="shared" si="139"/>
        <v/>
      </c>
      <c r="P405" s="191" t="str">
        <f t="shared" si="126"/>
        <v/>
      </c>
      <c r="Q405" s="192" t="str">
        <f t="shared" si="140"/>
        <v/>
      </c>
      <c r="R405" s="191" t="str">
        <f t="shared" si="127"/>
        <v/>
      </c>
      <c r="S405" s="193" t="str">
        <f t="shared" si="141"/>
        <v/>
      </c>
      <c r="T405" s="194" t="str">
        <f t="shared" si="128"/>
        <v/>
      </c>
      <c r="U405" s="192" t="str">
        <f t="shared" si="142"/>
        <v/>
      </c>
      <c r="V405" s="195" t="str">
        <f t="shared" si="129"/>
        <v/>
      </c>
      <c r="W405" s="195" t="str">
        <f t="shared" si="130"/>
        <v/>
      </c>
      <c r="X405" s="196" t="str">
        <f t="shared" si="143"/>
        <v/>
      </c>
      <c r="Y405" s="191" t="str">
        <f t="shared" si="144"/>
        <v/>
      </c>
      <c r="Z405" s="197" t="str">
        <f t="shared" si="131"/>
        <v/>
      </c>
      <c r="AA405" s="197" t="str">
        <f t="shared" si="132"/>
        <v/>
      </c>
      <c r="AB405" s="218"/>
      <c r="AC405" s="205"/>
    </row>
    <row r="406" spans="1:29">
      <c r="A406" s="219" t="str">
        <f t="shared" si="133"/>
        <v/>
      </c>
      <c r="B406" s="219"/>
      <c r="C406" s="184"/>
      <c r="D406" s="185"/>
      <c r="E406" s="185" t="str">
        <f>IF(OR(C406="",C406=Data!$B$3),"",IF(C406=Data!$B$2,"L","S"))</f>
        <v/>
      </c>
      <c r="F406" s="185" t="str">
        <f t="shared" si="134"/>
        <v/>
      </c>
      <c r="G406" s="186" t="str">
        <f t="shared" si="125"/>
        <v/>
      </c>
      <c r="H406" s="187"/>
      <c r="I406" s="188" t="str">
        <f t="shared" si="135"/>
        <v/>
      </c>
      <c r="J406" s="188" t="str">
        <f t="shared" si="136"/>
        <v/>
      </c>
      <c r="K406" s="189" t="str">
        <f t="shared" si="137"/>
        <v/>
      </c>
      <c r="L406" s="189" t="str">
        <f t="shared" si="138"/>
        <v/>
      </c>
      <c r="M406" s="190"/>
      <c r="N406" s="190"/>
      <c r="O406" s="188" t="str">
        <f t="shared" si="139"/>
        <v/>
      </c>
      <c r="P406" s="191" t="str">
        <f t="shared" si="126"/>
        <v/>
      </c>
      <c r="Q406" s="192" t="str">
        <f t="shared" si="140"/>
        <v/>
      </c>
      <c r="R406" s="191" t="str">
        <f t="shared" si="127"/>
        <v/>
      </c>
      <c r="S406" s="193" t="str">
        <f t="shared" si="141"/>
        <v/>
      </c>
      <c r="T406" s="194" t="str">
        <f t="shared" si="128"/>
        <v/>
      </c>
      <c r="U406" s="192" t="str">
        <f t="shared" si="142"/>
        <v/>
      </c>
      <c r="V406" s="195" t="str">
        <f t="shared" si="129"/>
        <v/>
      </c>
      <c r="W406" s="195" t="str">
        <f t="shared" si="130"/>
        <v/>
      </c>
      <c r="X406" s="196" t="str">
        <f t="shared" si="143"/>
        <v/>
      </c>
      <c r="Y406" s="191" t="str">
        <f t="shared" si="144"/>
        <v/>
      </c>
      <c r="Z406" s="197" t="str">
        <f t="shared" si="131"/>
        <v/>
      </c>
      <c r="AA406" s="197" t="str">
        <f t="shared" si="132"/>
        <v/>
      </c>
      <c r="AB406" s="218"/>
      <c r="AC406" s="205"/>
    </row>
    <row r="407" spans="1:29">
      <c r="A407" s="219" t="str">
        <f t="shared" si="133"/>
        <v/>
      </c>
      <c r="B407" s="219"/>
      <c r="C407" s="184"/>
      <c r="D407" s="185"/>
      <c r="E407" s="185" t="str">
        <f>IF(OR(C407="",C407=Data!$B$3),"",IF(C407=Data!$B$2,"L","S"))</f>
        <v/>
      </c>
      <c r="F407" s="185" t="str">
        <f t="shared" si="134"/>
        <v/>
      </c>
      <c r="G407" s="186" t="str">
        <f t="shared" si="125"/>
        <v/>
      </c>
      <c r="H407" s="187"/>
      <c r="I407" s="188" t="str">
        <f t="shared" si="135"/>
        <v/>
      </c>
      <c r="J407" s="188" t="str">
        <f t="shared" si="136"/>
        <v/>
      </c>
      <c r="K407" s="189" t="str">
        <f t="shared" si="137"/>
        <v/>
      </c>
      <c r="L407" s="189" t="str">
        <f t="shared" si="138"/>
        <v/>
      </c>
      <c r="M407" s="190"/>
      <c r="N407" s="190"/>
      <c r="O407" s="188" t="str">
        <f t="shared" si="139"/>
        <v/>
      </c>
      <c r="P407" s="191" t="str">
        <f t="shared" si="126"/>
        <v/>
      </c>
      <c r="Q407" s="192" t="str">
        <f t="shared" si="140"/>
        <v/>
      </c>
      <c r="R407" s="191" t="str">
        <f t="shared" si="127"/>
        <v/>
      </c>
      <c r="S407" s="193" t="str">
        <f t="shared" si="141"/>
        <v/>
      </c>
      <c r="T407" s="194" t="str">
        <f t="shared" si="128"/>
        <v/>
      </c>
      <c r="U407" s="192" t="str">
        <f t="shared" si="142"/>
        <v/>
      </c>
      <c r="V407" s="195" t="str">
        <f t="shared" si="129"/>
        <v/>
      </c>
      <c r="W407" s="195" t="str">
        <f t="shared" si="130"/>
        <v/>
      </c>
      <c r="X407" s="196" t="str">
        <f t="shared" si="143"/>
        <v/>
      </c>
      <c r="Y407" s="191" t="str">
        <f t="shared" si="144"/>
        <v/>
      </c>
      <c r="Z407" s="197" t="str">
        <f t="shared" si="131"/>
        <v/>
      </c>
      <c r="AA407" s="197" t="str">
        <f t="shared" si="132"/>
        <v/>
      </c>
      <c r="AB407" s="218"/>
      <c r="AC407" s="205"/>
    </row>
    <row r="408" spans="1:29">
      <c r="A408" s="219" t="str">
        <f t="shared" si="133"/>
        <v/>
      </c>
      <c r="B408" s="219"/>
      <c r="C408" s="184"/>
      <c r="D408" s="185"/>
      <c r="E408" s="185" t="str">
        <f>IF(OR(C408="",C408=Data!$B$3),"",IF(C408=Data!$B$2,"L","S"))</f>
        <v/>
      </c>
      <c r="F408" s="185" t="str">
        <f t="shared" si="134"/>
        <v/>
      </c>
      <c r="G408" s="186" t="str">
        <f t="shared" si="125"/>
        <v/>
      </c>
      <c r="H408" s="187"/>
      <c r="I408" s="188" t="str">
        <f t="shared" si="135"/>
        <v/>
      </c>
      <c r="J408" s="188" t="str">
        <f t="shared" si="136"/>
        <v/>
      </c>
      <c r="K408" s="189" t="str">
        <f t="shared" si="137"/>
        <v/>
      </c>
      <c r="L408" s="189" t="str">
        <f t="shared" si="138"/>
        <v/>
      </c>
      <c r="M408" s="190"/>
      <c r="N408" s="190"/>
      <c r="O408" s="188" t="str">
        <f t="shared" si="139"/>
        <v/>
      </c>
      <c r="P408" s="191" t="str">
        <f t="shared" si="126"/>
        <v/>
      </c>
      <c r="Q408" s="192" t="str">
        <f t="shared" si="140"/>
        <v/>
      </c>
      <c r="R408" s="191" t="str">
        <f t="shared" si="127"/>
        <v/>
      </c>
      <c r="S408" s="193" t="str">
        <f t="shared" si="141"/>
        <v/>
      </c>
      <c r="T408" s="194" t="str">
        <f t="shared" si="128"/>
        <v/>
      </c>
      <c r="U408" s="192" t="str">
        <f t="shared" si="142"/>
        <v/>
      </c>
      <c r="V408" s="195" t="str">
        <f t="shared" si="129"/>
        <v/>
      </c>
      <c r="W408" s="195" t="str">
        <f t="shared" si="130"/>
        <v/>
      </c>
      <c r="X408" s="196" t="str">
        <f t="shared" si="143"/>
        <v/>
      </c>
      <c r="Y408" s="191" t="str">
        <f t="shared" si="144"/>
        <v/>
      </c>
      <c r="Z408" s="197" t="str">
        <f t="shared" si="131"/>
        <v/>
      </c>
      <c r="AA408" s="197" t="str">
        <f t="shared" si="132"/>
        <v/>
      </c>
      <c r="AB408" s="218"/>
      <c r="AC408" s="205"/>
    </row>
    <row r="409" spans="1:29">
      <c r="A409" s="219" t="str">
        <f t="shared" si="133"/>
        <v/>
      </c>
      <c r="B409" s="219"/>
      <c r="C409" s="184"/>
      <c r="D409" s="185"/>
      <c r="E409" s="185" t="str">
        <f>IF(OR(C409="",C409=Data!$B$3),"",IF(C409=Data!$B$2,"L","S"))</f>
        <v/>
      </c>
      <c r="F409" s="185" t="str">
        <f t="shared" si="134"/>
        <v/>
      </c>
      <c r="G409" s="186" t="str">
        <f t="shared" si="125"/>
        <v/>
      </c>
      <c r="H409" s="187"/>
      <c r="I409" s="188" t="str">
        <f t="shared" si="135"/>
        <v/>
      </c>
      <c r="J409" s="188" t="str">
        <f t="shared" si="136"/>
        <v/>
      </c>
      <c r="K409" s="189" t="str">
        <f t="shared" si="137"/>
        <v/>
      </c>
      <c r="L409" s="189" t="str">
        <f t="shared" si="138"/>
        <v/>
      </c>
      <c r="M409" s="190"/>
      <c r="N409" s="190"/>
      <c r="O409" s="188" t="str">
        <f t="shared" si="139"/>
        <v/>
      </c>
      <c r="P409" s="191" t="str">
        <f t="shared" si="126"/>
        <v/>
      </c>
      <c r="Q409" s="192" t="str">
        <f t="shared" si="140"/>
        <v/>
      </c>
      <c r="R409" s="191" t="str">
        <f t="shared" si="127"/>
        <v/>
      </c>
      <c r="S409" s="193" t="str">
        <f t="shared" si="141"/>
        <v/>
      </c>
      <c r="T409" s="194" t="str">
        <f t="shared" si="128"/>
        <v/>
      </c>
      <c r="U409" s="192" t="str">
        <f t="shared" si="142"/>
        <v/>
      </c>
      <c r="V409" s="195" t="str">
        <f t="shared" si="129"/>
        <v/>
      </c>
      <c r="W409" s="195" t="str">
        <f t="shared" si="130"/>
        <v/>
      </c>
      <c r="X409" s="196" t="str">
        <f t="shared" si="143"/>
        <v/>
      </c>
      <c r="Y409" s="191" t="str">
        <f t="shared" si="144"/>
        <v/>
      </c>
      <c r="Z409" s="197" t="str">
        <f t="shared" si="131"/>
        <v/>
      </c>
      <c r="AA409" s="197" t="str">
        <f t="shared" si="132"/>
        <v/>
      </c>
      <c r="AB409" s="218"/>
      <c r="AC409" s="205"/>
    </row>
    <row r="410" spans="1:29">
      <c r="A410" s="219" t="str">
        <f t="shared" si="133"/>
        <v/>
      </c>
      <c r="B410" s="219"/>
      <c r="C410" s="184"/>
      <c r="D410" s="185"/>
      <c r="E410" s="185" t="str">
        <f>IF(OR(C410="",C410=Data!$B$3),"",IF(C410=Data!$B$2,"L","S"))</f>
        <v/>
      </c>
      <c r="F410" s="185" t="str">
        <f t="shared" si="134"/>
        <v/>
      </c>
      <c r="G410" s="186" t="str">
        <f t="shared" si="125"/>
        <v/>
      </c>
      <c r="H410" s="187"/>
      <c r="I410" s="188" t="str">
        <f t="shared" si="135"/>
        <v/>
      </c>
      <c r="J410" s="188" t="str">
        <f t="shared" si="136"/>
        <v/>
      </c>
      <c r="K410" s="189" t="str">
        <f t="shared" si="137"/>
        <v/>
      </c>
      <c r="L410" s="189" t="str">
        <f t="shared" si="138"/>
        <v/>
      </c>
      <c r="M410" s="190"/>
      <c r="N410" s="190"/>
      <c r="O410" s="188" t="str">
        <f t="shared" si="139"/>
        <v/>
      </c>
      <c r="P410" s="191" t="str">
        <f t="shared" si="126"/>
        <v/>
      </c>
      <c r="Q410" s="192" t="str">
        <f t="shared" si="140"/>
        <v/>
      </c>
      <c r="R410" s="191" t="str">
        <f t="shared" si="127"/>
        <v/>
      </c>
      <c r="S410" s="193" t="str">
        <f t="shared" si="141"/>
        <v/>
      </c>
      <c r="T410" s="194" t="str">
        <f t="shared" si="128"/>
        <v/>
      </c>
      <c r="U410" s="192" t="str">
        <f t="shared" si="142"/>
        <v/>
      </c>
      <c r="V410" s="195" t="str">
        <f t="shared" si="129"/>
        <v/>
      </c>
      <c r="W410" s="195" t="str">
        <f t="shared" si="130"/>
        <v/>
      </c>
      <c r="X410" s="196" t="str">
        <f t="shared" si="143"/>
        <v/>
      </c>
      <c r="Y410" s="191" t="str">
        <f t="shared" si="144"/>
        <v/>
      </c>
      <c r="Z410" s="197" t="str">
        <f t="shared" si="131"/>
        <v/>
      </c>
      <c r="AA410" s="197" t="str">
        <f t="shared" si="132"/>
        <v/>
      </c>
      <c r="AB410" s="218"/>
      <c r="AC410" s="205"/>
    </row>
    <row r="411" spans="1:29">
      <c r="A411" s="219" t="str">
        <f t="shared" si="133"/>
        <v/>
      </c>
      <c r="B411" s="219"/>
      <c r="C411" s="184"/>
      <c r="D411" s="185"/>
      <c r="E411" s="185" t="str">
        <f>IF(OR(C411="",C411=Data!$B$3),"",IF(C411=Data!$B$2,"L","S"))</f>
        <v/>
      </c>
      <c r="F411" s="185" t="str">
        <f t="shared" si="134"/>
        <v/>
      </c>
      <c r="G411" s="186" t="str">
        <f t="shared" si="125"/>
        <v/>
      </c>
      <c r="H411" s="187"/>
      <c r="I411" s="188" t="str">
        <f t="shared" si="135"/>
        <v/>
      </c>
      <c r="J411" s="188" t="str">
        <f t="shared" si="136"/>
        <v/>
      </c>
      <c r="K411" s="189" t="str">
        <f t="shared" si="137"/>
        <v/>
      </c>
      <c r="L411" s="189" t="str">
        <f t="shared" si="138"/>
        <v/>
      </c>
      <c r="M411" s="190"/>
      <c r="N411" s="190"/>
      <c r="O411" s="188" t="str">
        <f t="shared" si="139"/>
        <v/>
      </c>
      <c r="P411" s="191" t="str">
        <f t="shared" si="126"/>
        <v/>
      </c>
      <c r="Q411" s="192" t="str">
        <f t="shared" si="140"/>
        <v/>
      </c>
      <c r="R411" s="191" t="str">
        <f t="shared" si="127"/>
        <v/>
      </c>
      <c r="S411" s="193" t="str">
        <f t="shared" si="141"/>
        <v/>
      </c>
      <c r="T411" s="194" t="str">
        <f t="shared" si="128"/>
        <v/>
      </c>
      <c r="U411" s="192" t="str">
        <f t="shared" si="142"/>
        <v/>
      </c>
      <c r="V411" s="195" t="str">
        <f t="shared" si="129"/>
        <v/>
      </c>
      <c r="W411" s="195" t="str">
        <f t="shared" si="130"/>
        <v/>
      </c>
      <c r="X411" s="196" t="str">
        <f t="shared" si="143"/>
        <v/>
      </c>
      <c r="Y411" s="191" t="str">
        <f t="shared" si="144"/>
        <v/>
      </c>
      <c r="Z411" s="197" t="str">
        <f t="shared" si="131"/>
        <v/>
      </c>
      <c r="AA411" s="197" t="str">
        <f t="shared" si="132"/>
        <v/>
      </c>
      <c r="AB411" s="218"/>
      <c r="AC411" s="205"/>
    </row>
    <row r="412" spans="1:29">
      <c r="A412" s="219" t="str">
        <f t="shared" si="133"/>
        <v/>
      </c>
      <c r="B412" s="219"/>
      <c r="C412" s="184"/>
      <c r="D412" s="185"/>
      <c r="E412" s="185" t="str">
        <f>IF(OR(C412="",C412=Data!$B$3),"",IF(C412=Data!$B$2,"L","S"))</f>
        <v/>
      </c>
      <c r="F412" s="185" t="str">
        <f t="shared" si="134"/>
        <v/>
      </c>
      <c r="G412" s="186" t="str">
        <f t="shared" si="125"/>
        <v/>
      </c>
      <c r="H412" s="187"/>
      <c r="I412" s="188" t="str">
        <f t="shared" si="135"/>
        <v/>
      </c>
      <c r="J412" s="188" t="str">
        <f t="shared" si="136"/>
        <v/>
      </c>
      <c r="K412" s="189" t="str">
        <f t="shared" si="137"/>
        <v/>
      </c>
      <c r="L412" s="189" t="str">
        <f t="shared" si="138"/>
        <v/>
      </c>
      <c r="M412" s="190"/>
      <c r="N412" s="190"/>
      <c r="O412" s="188" t="str">
        <f t="shared" si="139"/>
        <v/>
      </c>
      <c r="P412" s="191" t="str">
        <f t="shared" si="126"/>
        <v/>
      </c>
      <c r="Q412" s="192" t="str">
        <f t="shared" si="140"/>
        <v/>
      </c>
      <c r="R412" s="191" t="str">
        <f t="shared" si="127"/>
        <v/>
      </c>
      <c r="S412" s="193" t="str">
        <f t="shared" si="141"/>
        <v/>
      </c>
      <c r="T412" s="194" t="str">
        <f t="shared" si="128"/>
        <v/>
      </c>
      <c r="U412" s="192" t="str">
        <f t="shared" si="142"/>
        <v/>
      </c>
      <c r="V412" s="195" t="str">
        <f t="shared" si="129"/>
        <v/>
      </c>
      <c r="W412" s="195" t="str">
        <f t="shared" si="130"/>
        <v/>
      </c>
      <c r="X412" s="196" t="str">
        <f t="shared" si="143"/>
        <v/>
      </c>
      <c r="Y412" s="191" t="str">
        <f t="shared" si="144"/>
        <v/>
      </c>
      <c r="Z412" s="197" t="str">
        <f t="shared" si="131"/>
        <v/>
      </c>
      <c r="AA412" s="197" t="str">
        <f t="shared" si="132"/>
        <v/>
      </c>
      <c r="AB412" s="218"/>
      <c r="AC412" s="205"/>
    </row>
    <row r="413" spans="1:29">
      <c r="A413" s="219" t="str">
        <f t="shared" si="133"/>
        <v/>
      </c>
      <c r="B413" s="219"/>
      <c r="C413" s="184"/>
      <c r="D413" s="185"/>
      <c r="E413" s="185" t="str">
        <f>IF(OR(C413="",C413=Data!$B$3),"",IF(C413=Data!$B$2,"L","S"))</f>
        <v/>
      </c>
      <c r="F413" s="185" t="str">
        <f t="shared" si="134"/>
        <v/>
      </c>
      <c r="G413" s="186" t="str">
        <f t="shared" si="125"/>
        <v/>
      </c>
      <c r="H413" s="187"/>
      <c r="I413" s="188" t="str">
        <f t="shared" si="135"/>
        <v/>
      </c>
      <c r="J413" s="188" t="str">
        <f t="shared" si="136"/>
        <v/>
      </c>
      <c r="K413" s="189" t="str">
        <f t="shared" si="137"/>
        <v/>
      </c>
      <c r="L413" s="189" t="str">
        <f t="shared" si="138"/>
        <v/>
      </c>
      <c r="M413" s="190"/>
      <c r="N413" s="190"/>
      <c r="O413" s="188" t="str">
        <f t="shared" si="139"/>
        <v/>
      </c>
      <c r="P413" s="191" t="str">
        <f t="shared" si="126"/>
        <v/>
      </c>
      <c r="Q413" s="192" t="str">
        <f t="shared" si="140"/>
        <v/>
      </c>
      <c r="R413" s="191" t="str">
        <f t="shared" si="127"/>
        <v/>
      </c>
      <c r="S413" s="193" t="str">
        <f t="shared" si="141"/>
        <v/>
      </c>
      <c r="T413" s="194" t="str">
        <f t="shared" si="128"/>
        <v/>
      </c>
      <c r="U413" s="192" t="str">
        <f t="shared" si="142"/>
        <v/>
      </c>
      <c r="V413" s="195" t="str">
        <f t="shared" si="129"/>
        <v/>
      </c>
      <c r="W413" s="195" t="str">
        <f t="shared" si="130"/>
        <v/>
      </c>
      <c r="X413" s="196" t="str">
        <f t="shared" si="143"/>
        <v/>
      </c>
      <c r="Y413" s="191" t="str">
        <f t="shared" si="144"/>
        <v/>
      </c>
      <c r="Z413" s="197" t="str">
        <f t="shared" si="131"/>
        <v/>
      </c>
      <c r="AA413" s="197" t="str">
        <f t="shared" si="132"/>
        <v/>
      </c>
      <c r="AB413" s="218"/>
      <c r="AC413" s="205"/>
    </row>
    <row r="414" spans="1:29">
      <c r="A414" s="219" t="str">
        <f t="shared" si="133"/>
        <v/>
      </c>
      <c r="B414" s="219"/>
      <c r="C414" s="184"/>
      <c r="D414" s="185"/>
      <c r="E414" s="185" t="str">
        <f>IF(OR(C414="",C414=Data!$B$3),"",IF(C414=Data!$B$2,"L","S"))</f>
        <v/>
      </c>
      <c r="F414" s="185" t="str">
        <f t="shared" si="134"/>
        <v/>
      </c>
      <c r="G414" s="186" t="str">
        <f t="shared" si="125"/>
        <v/>
      </c>
      <c r="H414" s="187"/>
      <c r="I414" s="188" t="str">
        <f t="shared" si="135"/>
        <v/>
      </c>
      <c r="J414" s="188" t="str">
        <f t="shared" si="136"/>
        <v/>
      </c>
      <c r="K414" s="189" t="str">
        <f t="shared" si="137"/>
        <v/>
      </c>
      <c r="L414" s="189" t="str">
        <f t="shared" si="138"/>
        <v/>
      </c>
      <c r="M414" s="190"/>
      <c r="N414" s="190"/>
      <c r="O414" s="188" t="str">
        <f t="shared" si="139"/>
        <v/>
      </c>
      <c r="P414" s="191" t="str">
        <f t="shared" si="126"/>
        <v/>
      </c>
      <c r="Q414" s="192" t="str">
        <f t="shared" si="140"/>
        <v/>
      </c>
      <c r="R414" s="191" t="str">
        <f t="shared" si="127"/>
        <v/>
      </c>
      <c r="S414" s="193" t="str">
        <f t="shared" si="141"/>
        <v/>
      </c>
      <c r="T414" s="194" t="str">
        <f t="shared" si="128"/>
        <v/>
      </c>
      <c r="U414" s="192" t="str">
        <f t="shared" si="142"/>
        <v/>
      </c>
      <c r="V414" s="195" t="str">
        <f t="shared" si="129"/>
        <v/>
      </c>
      <c r="W414" s="195" t="str">
        <f t="shared" si="130"/>
        <v/>
      </c>
      <c r="X414" s="196" t="str">
        <f t="shared" si="143"/>
        <v/>
      </c>
      <c r="Y414" s="191" t="str">
        <f t="shared" si="144"/>
        <v/>
      </c>
      <c r="Z414" s="197" t="str">
        <f t="shared" si="131"/>
        <v/>
      </c>
      <c r="AA414" s="197" t="str">
        <f t="shared" si="132"/>
        <v/>
      </c>
      <c r="AB414" s="218"/>
      <c r="AC414" s="205"/>
    </row>
    <row r="415" spans="1:29">
      <c r="A415" s="219" t="str">
        <f t="shared" si="133"/>
        <v/>
      </c>
      <c r="B415" s="219"/>
      <c r="C415" s="184"/>
      <c r="D415" s="185"/>
      <c r="E415" s="185" t="str">
        <f>IF(OR(C415="",C415=Data!$B$3),"",IF(C415=Data!$B$2,"L","S"))</f>
        <v/>
      </c>
      <c r="F415" s="185" t="str">
        <f t="shared" si="134"/>
        <v/>
      </c>
      <c r="G415" s="186" t="str">
        <f t="shared" si="125"/>
        <v/>
      </c>
      <c r="H415" s="187"/>
      <c r="I415" s="188" t="str">
        <f t="shared" si="135"/>
        <v/>
      </c>
      <c r="J415" s="188" t="str">
        <f t="shared" si="136"/>
        <v/>
      </c>
      <c r="K415" s="189" t="str">
        <f t="shared" si="137"/>
        <v/>
      </c>
      <c r="L415" s="189" t="str">
        <f t="shared" si="138"/>
        <v/>
      </c>
      <c r="M415" s="190"/>
      <c r="N415" s="190"/>
      <c r="O415" s="188" t="str">
        <f t="shared" si="139"/>
        <v/>
      </c>
      <c r="P415" s="191" t="str">
        <f t="shared" si="126"/>
        <v/>
      </c>
      <c r="Q415" s="192" t="str">
        <f t="shared" si="140"/>
        <v/>
      </c>
      <c r="R415" s="191" t="str">
        <f t="shared" si="127"/>
        <v/>
      </c>
      <c r="S415" s="193" t="str">
        <f t="shared" si="141"/>
        <v/>
      </c>
      <c r="T415" s="194" t="str">
        <f t="shared" si="128"/>
        <v/>
      </c>
      <c r="U415" s="192" t="str">
        <f t="shared" si="142"/>
        <v/>
      </c>
      <c r="V415" s="195" t="str">
        <f t="shared" si="129"/>
        <v/>
      </c>
      <c r="W415" s="195" t="str">
        <f t="shared" si="130"/>
        <v/>
      </c>
      <c r="X415" s="196" t="str">
        <f t="shared" si="143"/>
        <v/>
      </c>
      <c r="Y415" s="191" t="str">
        <f t="shared" si="144"/>
        <v/>
      </c>
      <c r="Z415" s="197" t="str">
        <f t="shared" si="131"/>
        <v/>
      </c>
      <c r="AA415" s="197" t="str">
        <f t="shared" si="132"/>
        <v/>
      </c>
      <c r="AB415" s="218"/>
      <c r="AC415" s="205"/>
    </row>
    <row r="416" spans="1:29">
      <c r="A416" s="219" t="str">
        <f t="shared" si="133"/>
        <v/>
      </c>
      <c r="B416" s="219"/>
      <c r="C416" s="184"/>
      <c r="D416" s="185"/>
      <c r="E416" s="185" t="str">
        <f>IF(OR(C416="",C416=Data!$B$3),"",IF(C416=Data!$B$2,"L","S"))</f>
        <v/>
      </c>
      <c r="F416" s="185" t="str">
        <f t="shared" si="134"/>
        <v/>
      </c>
      <c r="G416" s="186" t="str">
        <f t="shared" si="125"/>
        <v/>
      </c>
      <c r="H416" s="187"/>
      <c r="I416" s="188" t="str">
        <f t="shared" si="135"/>
        <v/>
      </c>
      <c r="J416" s="188" t="str">
        <f t="shared" si="136"/>
        <v/>
      </c>
      <c r="K416" s="189" t="str">
        <f t="shared" si="137"/>
        <v/>
      </c>
      <c r="L416" s="189" t="str">
        <f t="shared" si="138"/>
        <v/>
      </c>
      <c r="M416" s="190"/>
      <c r="N416" s="190"/>
      <c r="O416" s="188" t="str">
        <f t="shared" si="139"/>
        <v/>
      </c>
      <c r="P416" s="191" t="str">
        <f t="shared" si="126"/>
        <v/>
      </c>
      <c r="Q416" s="192" t="str">
        <f t="shared" si="140"/>
        <v/>
      </c>
      <c r="R416" s="191" t="str">
        <f t="shared" si="127"/>
        <v/>
      </c>
      <c r="S416" s="193" t="str">
        <f t="shared" si="141"/>
        <v/>
      </c>
      <c r="T416" s="194" t="str">
        <f t="shared" si="128"/>
        <v/>
      </c>
      <c r="U416" s="192" t="str">
        <f t="shared" si="142"/>
        <v/>
      </c>
      <c r="V416" s="195" t="str">
        <f t="shared" si="129"/>
        <v/>
      </c>
      <c r="W416" s="195" t="str">
        <f t="shared" si="130"/>
        <v/>
      </c>
      <c r="X416" s="196" t="str">
        <f t="shared" si="143"/>
        <v/>
      </c>
      <c r="Y416" s="191" t="str">
        <f t="shared" si="144"/>
        <v/>
      </c>
      <c r="Z416" s="197" t="str">
        <f t="shared" si="131"/>
        <v/>
      </c>
      <c r="AA416" s="197" t="str">
        <f t="shared" si="132"/>
        <v/>
      </c>
      <c r="AB416" s="218"/>
      <c r="AC416" s="205"/>
    </row>
    <row r="417" spans="1:29">
      <c r="A417" s="219" t="str">
        <f t="shared" si="133"/>
        <v/>
      </c>
      <c r="B417" s="219"/>
      <c r="C417" s="184"/>
      <c r="D417" s="185"/>
      <c r="E417" s="185" t="str">
        <f>IF(OR(C417="",C417=Data!$B$3),"",IF(C417=Data!$B$2,"L","S"))</f>
        <v/>
      </c>
      <c r="F417" s="185" t="str">
        <f t="shared" si="134"/>
        <v/>
      </c>
      <c r="G417" s="186" t="str">
        <f t="shared" si="125"/>
        <v/>
      </c>
      <c r="H417" s="187"/>
      <c r="I417" s="188" t="str">
        <f t="shared" si="135"/>
        <v/>
      </c>
      <c r="J417" s="188" t="str">
        <f t="shared" si="136"/>
        <v/>
      </c>
      <c r="K417" s="189" t="str">
        <f t="shared" si="137"/>
        <v/>
      </c>
      <c r="L417" s="189" t="str">
        <f t="shared" si="138"/>
        <v/>
      </c>
      <c r="M417" s="190"/>
      <c r="N417" s="190"/>
      <c r="O417" s="188" t="str">
        <f t="shared" si="139"/>
        <v/>
      </c>
      <c r="P417" s="191" t="str">
        <f t="shared" si="126"/>
        <v/>
      </c>
      <c r="Q417" s="192" t="str">
        <f t="shared" si="140"/>
        <v/>
      </c>
      <c r="R417" s="191" t="str">
        <f t="shared" si="127"/>
        <v/>
      </c>
      <c r="S417" s="193" t="str">
        <f t="shared" si="141"/>
        <v/>
      </c>
      <c r="T417" s="194" t="str">
        <f t="shared" si="128"/>
        <v/>
      </c>
      <c r="U417" s="192" t="str">
        <f t="shared" si="142"/>
        <v/>
      </c>
      <c r="V417" s="195" t="str">
        <f t="shared" si="129"/>
        <v/>
      </c>
      <c r="W417" s="195" t="str">
        <f t="shared" si="130"/>
        <v/>
      </c>
      <c r="X417" s="196" t="str">
        <f t="shared" si="143"/>
        <v/>
      </c>
      <c r="Y417" s="191" t="str">
        <f t="shared" si="144"/>
        <v/>
      </c>
      <c r="Z417" s="197" t="str">
        <f t="shared" si="131"/>
        <v/>
      </c>
      <c r="AA417" s="197" t="str">
        <f t="shared" si="132"/>
        <v/>
      </c>
      <c r="AB417" s="218"/>
      <c r="AC417" s="205"/>
    </row>
    <row r="418" spans="1:29">
      <c r="A418" s="219" t="str">
        <f t="shared" si="133"/>
        <v/>
      </c>
      <c r="B418" s="219"/>
      <c r="C418" s="184"/>
      <c r="D418" s="185"/>
      <c r="E418" s="185" t="str">
        <f>IF(OR(C418="",C418=Data!$B$3),"",IF(C418=Data!$B$2,"L","S"))</f>
        <v/>
      </c>
      <c r="F418" s="185" t="str">
        <f t="shared" si="134"/>
        <v/>
      </c>
      <c r="G418" s="186" t="str">
        <f t="shared" si="125"/>
        <v/>
      </c>
      <c r="H418" s="187"/>
      <c r="I418" s="188" t="str">
        <f t="shared" si="135"/>
        <v/>
      </c>
      <c r="J418" s="188" t="str">
        <f t="shared" si="136"/>
        <v/>
      </c>
      <c r="K418" s="189" t="str">
        <f t="shared" si="137"/>
        <v/>
      </c>
      <c r="L418" s="189" t="str">
        <f t="shared" si="138"/>
        <v/>
      </c>
      <c r="M418" s="190"/>
      <c r="N418" s="190"/>
      <c r="O418" s="188" t="str">
        <f t="shared" si="139"/>
        <v/>
      </c>
      <c r="P418" s="191" t="str">
        <f t="shared" si="126"/>
        <v/>
      </c>
      <c r="Q418" s="192" t="str">
        <f t="shared" si="140"/>
        <v/>
      </c>
      <c r="R418" s="191" t="str">
        <f t="shared" si="127"/>
        <v/>
      </c>
      <c r="S418" s="193" t="str">
        <f t="shared" si="141"/>
        <v/>
      </c>
      <c r="T418" s="194" t="str">
        <f t="shared" si="128"/>
        <v/>
      </c>
      <c r="U418" s="192" t="str">
        <f t="shared" si="142"/>
        <v/>
      </c>
      <c r="V418" s="195" t="str">
        <f t="shared" si="129"/>
        <v/>
      </c>
      <c r="W418" s="195" t="str">
        <f t="shared" si="130"/>
        <v/>
      </c>
      <c r="X418" s="196" t="str">
        <f t="shared" si="143"/>
        <v/>
      </c>
      <c r="Y418" s="191" t="str">
        <f t="shared" si="144"/>
        <v/>
      </c>
      <c r="Z418" s="197" t="str">
        <f t="shared" si="131"/>
        <v/>
      </c>
      <c r="AA418" s="197" t="str">
        <f t="shared" si="132"/>
        <v/>
      </c>
      <c r="AB418" s="218"/>
      <c r="AC418" s="205"/>
    </row>
    <row r="419" spans="1:29">
      <c r="A419" s="219" t="str">
        <f t="shared" si="133"/>
        <v/>
      </c>
      <c r="B419" s="219"/>
      <c r="C419" s="184"/>
      <c r="D419" s="185"/>
      <c r="E419" s="185" t="str">
        <f>IF(OR(C419="",C419=Data!$B$3),"",IF(C419=Data!$B$2,"L","S"))</f>
        <v/>
      </c>
      <c r="F419" s="185" t="str">
        <f t="shared" si="134"/>
        <v/>
      </c>
      <c r="G419" s="186" t="str">
        <f t="shared" si="125"/>
        <v/>
      </c>
      <c r="H419" s="187"/>
      <c r="I419" s="188" t="str">
        <f t="shared" si="135"/>
        <v/>
      </c>
      <c r="J419" s="188" t="str">
        <f t="shared" si="136"/>
        <v/>
      </c>
      <c r="K419" s="189" t="str">
        <f t="shared" si="137"/>
        <v/>
      </c>
      <c r="L419" s="189" t="str">
        <f t="shared" si="138"/>
        <v/>
      </c>
      <c r="M419" s="190"/>
      <c r="N419" s="190"/>
      <c r="O419" s="188" t="str">
        <f t="shared" si="139"/>
        <v/>
      </c>
      <c r="P419" s="191" t="str">
        <f t="shared" si="126"/>
        <v/>
      </c>
      <c r="Q419" s="192" t="str">
        <f t="shared" si="140"/>
        <v/>
      </c>
      <c r="R419" s="191" t="str">
        <f t="shared" si="127"/>
        <v/>
      </c>
      <c r="S419" s="193" t="str">
        <f t="shared" si="141"/>
        <v/>
      </c>
      <c r="T419" s="194" t="str">
        <f t="shared" si="128"/>
        <v/>
      </c>
      <c r="U419" s="192" t="str">
        <f t="shared" si="142"/>
        <v/>
      </c>
      <c r="V419" s="195" t="str">
        <f t="shared" si="129"/>
        <v/>
      </c>
      <c r="W419" s="195" t="str">
        <f t="shared" si="130"/>
        <v/>
      </c>
      <c r="X419" s="196" t="str">
        <f t="shared" si="143"/>
        <v/>
      </c>
      <c r="Y419" s="191" t="str">
        <f t="shared" si="144"/>
        <v/>
      </c>
      <c r="Z419" s="197" t="str">
        <f t="shared" si="131"/>
        <v/>
      </c>
      <c r="AA419" s="197" t="str">
        <f t="shared" si="132"/>
        <v/>
      </c>
      <c r="AB419" s="218"/>
      <c r="AC419" s="205"/>
    </row>
    <row r="420" spans="1:29">
      <c r="A420" s="219" t="str">
        <f t="shared" si="133"/>
        <v/>
      </c>
      <c r="B420" s="219"/>
      <c r="C420" s="184"/>
      <c r="D420" s="185"/>
      <c r="E420" s="185" t="str">
        <f>IF(OR(C420="",C420=Data!$B$3),"",IF(C420=Data!$B$2,"L","S"))</f>
        <v/>
      </c>
      <c r="F420" s="185" t="str">
        <f t="shared" si="134"/>
        <v/>
      </c>
      <c r="G420" s="186" t="str">
        <f t="shared" si="125"/>
        <v/>
      </c>
      <c r="H420" s="187"/>
      <c r="I420" s="188" t="str">
        <f t="shared" si="135"/>
        <v/>
      </c>
      <c r="J420" s="188" t="str">
        <f t="shared" si="136"/>
        <v/>
      </c>
      <c r="K420" s="189" t="str">
        <f t="shared" si="137"/>
        <v/>
      </c>
      <c r="L420" s="189" t="str">
        <f t="shared" si="138"/>
        <v/>
      </c>
      <c r="M420" s="190"/>
      <c r="N420" s="190"/>
      <c r="O420" s="188" t="str">
        <f t="shared" si="139"/>
        <v/>
      </c>
      <c r="P420" s="191" t="str">
        <f t="shared" si="126"/>
        <v/>
      </c>
      <c r="Q420" s="192" t="str">
        <f t="shared" si="140"/>
        <v/>
      </c>
      <c r="R420" s="191" t="str">
        <f t="shared" si="127"/>
        <v/>
      </c>
      <c r="S420" s="193" t="str">
        <f t="shared" si="141"/>
        <v/>
      </c>
      <c r="T420" s="194" t="str">
        <f t="shared" si="128"/>
        <v/>
      </c>
      <c r="U420" s="192" t="str">
        <f t="shared" si="142"/>
        <v/>
      </c>
      <c r="V420" s="195" t="str">
        <f t="shared" si="129"/>
        <v/>
      </c>
      <c r="W420" s="195" t="str">
        <f t="shared" si="130"/>
        <v/>
      </c>
      <c r="X420" s="196" t="str">
        <f t="shared" si="143"/>
        <v/>
      </c>
      <c r="Y420" s="191" t="str">
        <f t="shared" si="144"/>
        <v/>
      </c>
      <c r="Z420" s="197" t="str">
        <f t="shared" si="131"/>
        <v/>
      </c>
      <c r="AA420" s="197" t="str">
        <f t="shared" si="132"/>
        <v/>
      </c>
      <c r="AB420" s="218"/>
      <c r="AC420" s="205"/>
    </row>
    <row r="421" spans="1:29">
      <c r="A421" s="219" t="str">
        <f t="shared" si="133"/>
        <v/>
      </c>
      <c r="B421" s="219"/>
      <c r="C421" s="184"/>
      <c r="D421" s="185"/>
      <c r="E421" s="185" t="str">
        <f>IF(OR(C421="",C421=Data!$B$3),"",IF(C421=Data!$B$2,"L","S"))</f>
        <v/>
      </c>
      <c r="F421" s="185" t="str">
        <f t="shared" si="134"/>
        <v/>
      </c>
      <c r="G421" s="186" t="str">
        <f t="shared" si="125"/>
        <v/>
      </c>
      <c r="H421" s="187"/>
      <c r="I421" s="188" t="str">
        <f t="shared" si="135"/>
        <v/>
      </c>
      <c r="J421" s="188" t="str">
        <f t="shared" si="136"/>
        <v/>
      </c>
      <c r="K421" s="189" t="str">
        <f t="shared" si="137"/>
        <v/>
      </c>
      <c r="L421" s="189" t="str">
        <f t="shared" si="138"/>
        <v/>
      </c>
      <c r="M421" s="190"/>
      <c r="N421" s="190"/>
      <c r="O421" s="188" t="str">
        <f t="shared" si="139"/>
        <v/>
      </c>
      <c r="P421" s="191" t="str">
        <f t="shared" si="126"/>
        <v/>
      </c>
      <c r="Q421" s="192" t="str">
        <f t="shared" si="140"/>
        <v/>
      </c>
      <c r="R421" s="191" t="str">
        <f t="shared" si="127"/>
        <v/>
      </c>
      <c r="S421" s="193" t="str">
        <f t="shared" si="141"/>
        <v/>
      </c>
      <c r="T421" s="194" t="str">
        <f t="shared" si="128"/>
        <v/>
      </c>
      <c r="U421" s="192" t="str">
        <f t="shared" si="142"/>
        <v/>
      </c>
      <c r="V421" s="195" t="str">
        <f t="shared" si="129"/>
        <v/>
      </c>
      <c r="W421" s="195" t="str">
        <f t="shared" si="130"/>
        <v/>
      </c>
      <c r="X421" s="196" t="str">
        <f t="shared" si="143"/>
        <v/>
      </c>
      <c r="Y421" s="191" t="str">
        <f t="shared" si="144"/>
        <v/>
      </c>
      <c r="Z421" s="197" t="str">
        <f t="shared" si="131"/>
        <v/>
      </c>
      <c r="AA421" s="197" t="str">
        <f t="shared" si="132"/>
        <v/>
      </c>
      <c r="AB421" s="218"/>
      <c r="AC421" s="205"/>
    </row>
    <row r="422" spans="1:29">
      <c r="A422" s="219" t="str">
        <f t="shared" si="133"/>
        <v/>
      </c>
      <c r="B422" s="219"/>
      <c r="C422" s="184"/>
      <c r="D422" s="185"/>
      <c r="E422" s="185" t="str">
        <f>IF(OR(C422="",C422=Data!$B$3),"",IF(C422=Data!$B$2,"L","S"))</f>
        <v/>
      </c>
      <c r="F422" s="185" t="str">
        <f t="shared" si="134"/>
        <v/>
      </c>
      <c r="G422" s="186" t="str">
        <f t="shared" si="125"/>
        <v/>
      </c>
      <c r="H422" s="187"/>
      <c r="I422" s="188" t="str">
        <f t="shared" si="135"/>
        <v/>
      </c>
      <c r="J422" s="188" t="str">
        <f t="shared" si="136"/>
        <v/>
      </c>
      <c r="K422" s="189" t="str">
        <f t="shared" si="137"/>
        <v/>
      </c>
      <c r="L422" s="189" t="str">
        <f t="shared" si="138"/>
        <v/>
      </c>
      <c r="M422" s="190"/>
      <c r="N422" s="190"/>
      <c r="O422" s="188" t="str">
        <f t="shared" si="139"/>
        <v/>
      </c>
      <c r="P422" s="191" t="str">
        <f t="shared" si="126"/>
        <v/>
      </c>
      <c r="Q422" s="192" t="str">
        <f t="shared" si="140"/>
        <v/>
      </c>
      <c r="R422" s="191" t="str">
        <f t="shared" si="127"/>
        <v/>
      </c>
      <c r="S422" s="193" t="str">
        <f t="shared" si="141"/>
        <v/>
      </c>
      <c r="T422" s="194" t="str">
        <f t="shared" si="128"/>
        <v/>
      </c>
      <c r="U422" s="192" t="str">
        <f t="shared" si="142"/>
        <v/>
      </c>
      <c r="V422" s="195" t="str">
        <f t="shared" si="129"/>
        <v/>
      </c>
      <c r="W422" s="195" t="str">
        <f t="shared" si="130"/>
        <v/>
      </c>
      <c r="X422" s="196" t="str">
        <f t="shared" si="143"/>
        <v/>
      </c>
      <c r="Y422" s="191" t="str">
        <f t="shared" si="144"/>
        <v/>
      </c>
      <c r="Z422" s="197" t="str">
        <f t="shared" si="131"/>
        <v/>
      </c>
      <c r="AA422" s="197" t="str">
        <f t="shared" si="132"/>
        <v/>
      </c>
      <c r="AB422" s="218"/>
      <c r="AC422" s="205"/>
    </row>
    <row r="423" spans="1:29">
      <c r="A423" s="219" t="str">
        <f t="shared" si="133"/>
        <v/>
      </c>
      <c r="B423" s="219"/>
      <c r="C423" s="184"/>
      <c r="D423" s="185"/>
      <c r="E423" s="185" t="str">
        <f>IF(OR(C423="",C423=Data!$B$3),"",IF(C423=Data!$B$2,"L","S"))</f>
        <v/>
      </c>
      <c r="F423" s="185" t="str">
        <f t="shared" si="134"/>
        <v/>
      </c>
      <c r="G423" s="186" t="str">
        <f t="shared" si="125"/>
        <v/>
      </c>
      <c r="H423" s="187"/>
      <c r="I423" s="188" t="str">
        <f t="shared" si="135"/>
        <v/>
      </c>
      <c r="J423" s="188" t="str">
        <f t="shared" si="136"/>
        <v/>
      </c>
      <c r="K423" s="189" t="str">
        <f t="shared" si="137"/>
        <v/>
      </c>
      <c r="L423" s="189" t="str">
        <f t="shared" si="138"/>
        <v/>
      </c>
      <c r="M423" s="190"/>
      <c r="N423" s="190"/>
      <c r="O423" s="188" t="str">
        <f t="shared" si="139"/>
        <v/>
      </c>
      <c r="P423" s="191" t="str">
        <f t="shared" si="126"/>
        <v/>
      </c>
      <c r="Q423" s="192" t="str">
        <f t="shared" si="140"/>
        <v/>
      </c>
      <c r="R423" s="191" t="str">
        <f t="shared" si="127"/>
        <v/>
      </c>
      <c r="S423" s="193" t="str">
        <f t="shared" si="141"/>
        <v/>
      </c>
      <c r="T423" s="194" t="str">
        <f t="shared" si="128"/>
        <v/>
      </c>
      <c r="U423" s="192" t="str">
        <f t="shared" si="142"/>
        <v/>
      </c>
      <c r="V423" s="195" t="str">
        <f t="shared" si="129"/>
        <v/>
      </c>
      <c r="W423" s="195" t="str">
        <f t="shared" si="130"/>
        <v/>
      </c>
      <c r="X423" s="196" t="str">
        <f t="shared" si="143"/>
        <v/>
      </c>
      <c r="Y423" s="191" t="str">
        <f t="shared" si="144"/>
        <v/>
      </c>
      <c r="Z423" s="197" t="str">
        <f t="shared" si="131"/>
        <v/>
      </c>
      <c r="AA423" s="197" t="str">
        <f t="shared" si="132"/>
        <v/>
      </c>
      <c r="AB423" s="218"/>
      <c r="AC423" s="205"/>
    </row>
    <row r="424" spans="1:29">
      <c r="A424" s="219" t="str">
        <f t="shared" si="133"/>
        <v/>
      </c>
      <c r="B424" s="219"/>
      <c r="C424" s="184"/>
      <c r="D424" s="185"/>
      <c r="E424" s="185" t="str">
        <f>IF(OR(C424="",C424=Data!$B$3),"",IF(C424=Data!$B$2,"L","S"))</f>
        <v/>
      </c>
      <c r="F424" s="185" t="str">
        <f t="shared" si="134"/>
        <v/>
      </c>
      <c r="G424" s="186" t="str">
        <f t="shared" si="125"/>
        <v/>
      </c>
      <c r="H424" s="187"/>
      <c r="I424" s="188" t="str">
        <f t="shared" si="135"/>
        <v/>
      </c>
      <c r="J424" s="188" t="str">
        <f t="shared" si="136"/>
        <v/>
      </c>
      <c r="K424" s="189" t="str">
        <f t="shared" si="137"/>
        <v/>
      </c>
      <c r="L424" s="189" t="str">
        <f t="shared" si="138"/>
        <v/>
      </c>
      <c r="M424" s="190"/>
      <c r="N424" s="190"/>
      <c r="O424" s="188" t="str">
        <f t="shared" si="139"/>
        <v/>
      </c>
      <c r="P424" s="191" t="str">
        <f t="shared" si="126"/>
        <v/>
      </c>
      <c r="Q424" s="192" t="str">
        <f t="shared" si="140"/>
        <v/>
      </c>
      <c r="R424" s="191" t="str">
        <f t="shared" si="127"/>
        <v/>
      </c>
      <c r="S424" s="193" t="str">
        <f t="shared" si="141"/>
        <v/>
      </c>
      <c r="T424" s="194" t="str">
        <f t="shared" si="128"/>
        <v/>
      </c>
      <c r="U424" s="192" t="str">
        <f t="shared" si="142"/>
        <v/>
      </c>
      <c r="V424" s="195" t="str">
        <f t="shared" si="129"/>
        <v/>
      </c>
      <c r="W424" s="195" t="str">
        <f t="shared" si="130"/>
        <v/>
      </c>
      <c r="X424" s="196" t="str">
        <f t="shared" si="143"/>
        <v/>
      </c>
      <c r="Y424" s="191" t="str">
        <f t="shared" si="144"/>
        <v/>
      </c>
      <c r="Z424" s="197" t="str">
        <f t="shared" si="131"/>
        <v/>
      </c>
      <c r="AA424" s="197" t="str">
        <f t="shared" si="132"/>
        <v/>
      </c>
      <c r="AB424" s="218"/>
      <c r="AC424" s="205"/>
    </row>
    <row r="425" spans="1:29">
      <c r="A425" s="219" t="str">
        <f t="shared" si="133"/>
        <v/>
      </c>
      <c r="B425" s="219"/>
      <c r="C425" s="184"/>
      <c r="D425" s="185"/>
      <c r="E425" s="185" t="str">
        <f>IF(OR(C425="",C425=Data!$B$3),"",IF(C425=Data!$B$2,"L","S"))</f>
        <v/>
      </c>
      <c r="F425" s="185" t="str">
        <f t="shared" si="134"/>
        <v/>
      </c>
      <c r="G425" s="186" t="str">
        <f t="shared" si="125"/>
        <v/>
      </c>
      <c r="H425" s="187"/>
      <c r="I425" s="188" t="str">
        <f t="shared" si="135"/>
        <v/>
      </c>
      <c r="J425" s="188" t="str">
        <f t="shared" si="136"/>
        <v/>
      </c>
      <c r="K425" s="189" t="str">
        <f t="shared" si="137"/>
        <v/>
      </c>
      <c r="L425" s="189" t="str">
        <f t="shared" si="138"/>
        <v/>
      </c>
      <c r="M425" s="190"/>
      <c r="N425" s="190"/>
      <c r="O425" s="188" t="str">
        <f t="shared" si="139"/>
        <v/>
      </c>
      <c r="P425" s="191" t="str">
        <f t="shared" si="126"/>
        <v/>
      </c>
      <c r="Q425" s="192" t="str">
        <f t="shared" si="140"/>
        <v/>
      </c>
      <c r="R425" s="191" t="str">
        <f t="shared" si="127"/>
        <v/>
      </c>
      <c r="S425" s="193" t="str">
        <f t="shared" si="141"/>
        <v/>
      </c>
      <c r="T425" s="194" t="str">
        <f t="shared" si="128"/>
        <v/>
      </c>
      <c r="U425" s="192" t="str">
        <f t="shared" si="142"/>
        <v/>
      </c>
      <c r="V425" s="195" t="str">
        <f t="shared" si="129"/>
        <v/>
      </c>
      <c r="W425" s="195" t="str">
        <f t="shared" si="130"/>
        <v/>
      </c>
      <c r="X425" s="196" t="str">
        <f t="shared" si="143"/>
        <v/>
      </c>
      <c r="Y425" s="191" t="str">
        <f t="shared" si="144"/>
        <v/>
      </c>
      <c r="Z425" s="197" t="str">
        <f t="shared" si="131"/>
        <v/>
      </c>
      <c r="AA425" s="197" t="str">
        <f t="shared" si="132"/>
        <v/>
      </c>
      <c r="AB425" s="218"/>
      <c r="AC425" s="205"/>
    </row>
    <row r="426" spans="1:29">
      <c r="A426" s="219" t="str">
        <f t="shared" si="133"/>
        <v/>
      </c>
      <c r="B426" s="219"/>
      <c r="C426" s="184"/>
      <c r="D426" s="185"/>
      <c r="E426" s="185" t="str">
        <f>IF(OR(C426="",C426=Data!$B$3),"",IF(C426=Data!$B$2,"L","S"))</f>
        <v/>
      </c>
      <c r="F426" s="185" t="str">
        <f t="shared" si="134"/>
        <v/>
      </c>
      <c r="G426" s="186" t="str">
        <f t="shared" si="125"/>
        <v/>
      </c>
      <c r="H426" s="187"/>
      <c r="I426" s="188" t="str">
        <f t="shared" si="135"/>
        <v/>
      </c>
      <c r="J426" s="188" t="str">
        <f t="shared" si="136"/>
        <v/>
      </c>
      <c r="K426" s="189" t="str">
        <f t="shared" si="137"/>
        <v/>
      </c>
      <c r="L426" s="189" t="str">
        <f t="shared" si="138"/>
        <v/>
      </c>
      <c r="M426" s="190"/>
      <c r="N426" s="190"/>
      <c r="O426" s="188" t="str">
        <f t="shared" si="139"/>
        <v/>
      </c>
      <c r="P426" s="191" t="str">
        <f t="shared" si="126"/>
        <v/>
      </c>
      <c r="Q426" s="192" t="str">
        <f t="shared" si="140"/>
        <v/>
      </c>
      <c r="R426" s="191" t="str">
        <f t="shared" si="127"/>
        <v/>
      </c>
      <c r="S426" s="193" t="str">
        <f t="shared" si="141"/>
        <v/>
      </c>
      <c r="T426" s="194" t="str">
        <f t="shared" si="128"/>
        <v/>
      </c>
      <c r="U426" s="192" t="str">
        <f t="shared" si="142"/>
        <v/>
      </c>
      <c r="V426" s="195" t="str">
        <f t="shared" si="129"/>
        <v/>
      </c>
      <c r="W426" s="195" t="str">
        <f t="shared" si="130"/>
        <v/>
      </c>
      <c r="X426" s="196" t="str">
        <f t="shared" si="143"/>
        <v/>
      </c>
      <c r="Y426" s="191" t="str">
        <f t="shared" si="144"/>
        <v/>
      </c>
      <c r="Z426" s="197" t="str">
        <f t="shared" si="131"/>
        <v/>
      </c>
      <c r="AA426" s="197" t="str">
        <f t="shared" si="132"/>
        <v/>
      </c>
      <c r="AB426" s="218"/>
      <c r="AC426" s="205"/>
    </row>
    <row r="427" spans="1:29">
      <c r="A427" s="219" t="str">
        <f t="shared" si="133"/>
        <v/>
      </c>
      <c r="B427" s="219"/>
      <c r="C427" s="184"/>
      <c r="D427" s="185"/>
      <c r="E427" s="185" t="str">
        <f>IF(OR(C427="",C427=Data!$B$3),"",IF(C427=Data!$B$2,"L","S"))</f>
        <v/>
      </c>
      <c r="F427" s="185" t="str">
        <f t="shared" si="134"/>
        <v/>
      </c>
      <c r="G427" s="186" t="str">
        <f t="shared" si="125"/>
        <v/>
      </c>
      <c r="H427" s="187"/>
      <c r="I427" s="188" t="str">
        <f t="shared" si="135"/>
        <v/>
      </c>
      <c r="J427" s="188" t="str">
        <f t="shared" si="136"/>
        <v/>
      </c>
      <c r="K427" s="189" t="str">
        <f t="shared" si="137"/>
        <v/>
      </c>
      <c r="L427" s="189" t="str">
        <f t="shared" si="138"/>
        <v/>
      </c>
      <c r="M427" s="190"/>
      <c r="N427" s="190"/>
      <c r="O427" s="188" t="str">
        <f t="shared" si="139"/>
        <v/>
      </c>
      <c r="P427" s="191" t="str">
        <f t="shared" si="126"/>
        <v/>
      </c>
      <c r="Q427" s="192" t="str">
        <f t="shared" si="140"/>
        <v/>
      </c>
      <c r="R427" s="191" t="str">
        <f t="shared" si="127"/>
        <v/>
      </c>
      <c r="S427" s="193" t="str">
        <f t="shared" si="141"/>
        <v/>
      </c>
      <c r="T427" s="194" t="str">
        <f t="shared" si="128"/>
        <v/>
      </c>
      <c r="U427" s="192" t="str">
        <f t="shared" si="142"/>
        <v/>
      </c>
      <c r="V427" s="195" t="str">
        <f t="shared" si="129"/>
        <v/>
      </c>
      <c r="W427" s="195" t="str">
        <f t="shared" si="130"/>
        <v/>
      </c>
      <c r="X427" s="196" t="str">
        <f t="shared" si="143"/>
        <v/>
      </c>
      <c r="Y427" s="191" t="str">
        <f t="shared" si="144"/>
        <v/>
      </c>
      <c r="Z427" s="197" t="str">
        <f t="shared" si="131"/>
        <v/>
      </c>
      <c r="AA427" s="197" t="str">
        <f t="shared" si="132"/>
        <v/>
      </c>
      <c r="AB427" s="218"/>
      <c r="AC427" s="205"/>
    </row>
    <row r="428" spans="1:29">
      <c r="A428" s="219" t="str">
        <f t="shared" si="133"/>
        <v/>
      </c>
      <c r="B428" s="219"/>
      <c r="C428" s="184"/>
      <c r="D428" s="185"/>
      <c r="E428" s="185" t="str">
        <f>IF(OR(C428="",C428=Data!$B$3),"",IF(C428=Data!$B$2,"L","S"))</f>
        <v/>
      </c>
      <c r="F428" s="185" t="str">
        <f t="shared" si="134"/>
        <v/>
      </c>
      <c r="G428" s="186" t="str">
        <f t="shared" si="125"/>
        <v/>
      </c>
      <c r="H428" s="187"/>
      <c r="I428" s="188" t="str">
        <f t="shared" si="135"/>
        <v/>
      </c>
      <c r="J428" s="188" t="str">
        <f t="shared" si="136"/>
        <v/>
      </c>
      <c r="K428" s="189" t="str">
        <f t="shared" si="137"/>
        <v/>
      </c>
      <c r="L428" s="189" t="str">
        <f t="shared" si="138"/>
        <v/>
      </c>
      <c r="M428" s="190"/>
      <c r="N428" s="190"/>
      <c r="O428" s="188" t="str">
        <f t="shared" si="139"/>
        <v/>
      </c>
      <c r="P428" s="191" t="str">
        <f t="shared" si="126"/>
        <v/>
      </c>
      <c r="Q428" s="192" t="str">
        <f t="shared" si="140"/>
        <v/>
      </c>
      <c r="R428" s="191" t="str">
        <f t="shared" si="127"/>
        <v/>
      </c>
      <c r="S428" s="193" t="str">
        <f t="shared" si="141"/>
        <v/>
      </c>
      <c r="T428" s="194" t="str">
        <f t="shared" si="128"/>
        <v/>
      </c>
      <c r="U428" s="192" t="str">
        <f t="shared" si="142"/>
        <v/>
      </c>
      <c r="V428" s="195" t="str">
        <f t="shared" si="129"/>
        <v/>
      </c>
      <c r="W428" s="195" t="str">
        <f t="shared" si="130"/>
        <v/>
      </c>
      <c r="X428" s="196" t="str">
        <f t="shared" si="143"/>
        <v/>
      </c>
      <c r="Y428" s="191" t="str">
        <f t="shared" si="144"/>
        <v/>
      </c>
      <c r="Z428" s="197" t="str">
        <f t="shared" si="131"/>
        <v/>
      </c>
      <c r="AA428" s="197" t="str">
        <f t="shared" si="132"/>
        <v/>
      </c>
      <c r="AB428" s="218"/>
      <c r="AC428" s="205"/>
    </row>
    <row r="429" spans="1:29">
      <c r="A429" s="219" t="str">
        <f t="shared" si="133"/>
        <v/>
      </c>
      <c r="B429" s="219"/>
      <c r="C429" s="184"/>
      <c r="D429" s="185"/>
      <c r="E429" s="185" t="str">
        <f>IF(OR(C429="",C429=Data!$B$3),"",IF(C429=Data!$B$2,"L","S"))</f>
        <v/>
      </c>
      <c r="F429" s="185" t="str">
        <f t="shared" si="134"/>
        <v/>
      </c>
      <c r="G429" s="186" t="str">
        <f t="shared" si="125"/>
        <v/>
      </c>
      <c r="H429" s="187"/>
      <c r="I429" s="188" t="str">
        <f t="shared" si="135"/>
        <v/>
      </c>
      <c r="J429" s="188" t="str">
        <f t="shared" si="136"/>
        <v/>
      </c>
      <c r="K429" s="189" t="str">
        <f t="shared" si="137"/>
        <v/>
      </c>
      <c r="L429" s="189" t="str">
        <f t="shared" si="138"/>
        <v/>
      </c>
      <c r="M429" s="190"/>
      <c r="N429" s="190"/>
      <c r="O429" s="188" t="str">
        <f t="shared" si="139"/>
        <v/>
      </c>
      <c r="P429" s="191" t="str">
        <f t="shared" si="126"/>
        <v/>
      </c>
      <c r="Q429" s="192" t="str">
        <f t="shared" si="140"/>
        <v/>
      </c>
      <c r="R429" s="191" t="str">
        <f t="shared" si="127"/>
        <v/>
      </c>
      <c r="S429" s="193" t="str">
        <f t="shared" si="141"/>
        <v/>
      </c>
      <c r="T429" s="194" t="str">
        <f t="shared" si="128"/>
        <v/>
      </c>
      <c r="U429" s="192" t="str">
        <f t="shared" si="142"/>
        <v/>
      </c>
      <c r="V429" s="195" t="str">
        <f t="shared" si="129"/>
        <v/>
      </c>
      <c r="W429" s="195" t="str">
        <f t="shared" si="130"/>
        <v/>
      </c>
      <c r="X429" s="196" t="str">
        <f t="shared" si="143"/>
        <v/>
      </c>
      <c r="Y429" s="191" t="str">
        <f t="shared" si="144"/>
        <v/>
      </c>
      <c r="Z429" s="197" t="str">
        <f t="shared" si="131"/>
        <v/>
      </c>
      <c r="AA429" s="197" t="str">
        <f t="shared" si="132"/>
        <v/>
      </c>
      <c r="AB429" s="218"/>
      <c r="AC429" s="205"/>
    </row>
    <row r="430" spans="1:29">
      <c r="A430" s="219" t="str">
        <f t="shared" si="133"/>
        <v/>
      </c>
      <c r="B430" s="219"/>
      <c r="C430" s="184"/>
      <c r="D430" s="185"/>
      <c r="E430" s="185" t="str">
        <f>IF(OR(C430="",C430=Data!$B$3),"",IF(C430=Data!$B$2,"L","S"))</f>
        <v/>
      </c>
      <c r="F430" s="185" t="str">
        <f t="shared" si="134"/>
        <v/>
      </c>
      <c r="G430" s="186" t="str">
        <f t="shared" si="125"/>
        <v/>
      </c>
      <c r="H430" s="187"/>
      <c r="I430" s="188" t="str">
        <f t="shared" si="135"/>
        <v/>
      </c>
      <c r="J430" s="188" t="str">
        <f t="shared" si="136"/>
        <v/>
      </c>
      <c r="K430" s="189" t="str">
        <f t="shared" si="137"/>
        <v/>
      </c>
      <c r="L430" s="189" t="str">
        <f t="shared" si="138"/>
        <v/>
      </c>
      <c r="M430" s="190"/>
      <c r="N430" s="190"/>
      <c r="O430" s="188" t="str">
        <f t="shared" si="139"/>
        <v/>
      </c>
      <c r="P430" s="191" t="str">
        <f t="shared" si="126"/>
        <v/>
      </c>
      <c r="Q430" s="192" t="str">
        <f t="shared" si="140"/>
        <v/>
      </c>
      <c r="R430" s="191" t="str">
        <f t="shared" si="127"/>
        <v/>
      </c>
      <c r="S430" s="193" t="str">
        <f t="shared" si="141"/>
        <v/>
      </c>
      <c r="T430" s="194" t="str">
        <f t="shared" si="128"/>
        <v/>
      </c>
      <c r="U430" s="192" t="str">
        <f t="shared" si="142"/>
        <v/>
      </c>
      <c r="V430" s="195" t="str">
        <f t="shared" si="129"/>
        <v/>
      </c>
      <c r="W430" s="195" t="str">
        <f t="shared" si="130"/>
        <v/>
      </c>
      <c r="X430" s="196" t="str">
        <f t="shared" si="143"/>
        <v/>
      </c>
      <c r="Y430" s="191" t="str">
        <f t="shared" si="144"/>
        <v/>
      </c>
      <c r="Z430" s="197" t="str">
        <f t="shared" si="131"/>
        <v/>
      </c>
      <c r="AA430" s="197" t="str">
        <f t="shared" si="132"/>
        <v/>
      </c>
      <c r="AB430" s="218"/>
      <c r="AC430" s="205"/>
    </row>
    <row r="431" spans="1:29">
      <c r="A431" s="219" t="str">
        <f t="shared" si="133"/>
        <v/>
      </c>
      <c r="B431" s="219"/>
      <c r="C431" s="184"/>
      <c r="D431" s="185"/>
      <c r="E431" s="185" t="str">
        <f>IF(OR(C431="",C431=Data!$B$3),"",IF(C431=Data!$B$2,"L","S"))</f>
        <v/>
      </c>
      <c r="F431" s="185" t="str">
        <f t="shared" si="134"/>
        <v/>
      </c>
      <c r="G431" s="186" t="str">
        <f t="shared" si="125"/>
        <v/>
      </c>
      <c r="H431" s="187"/>
      <c r="I431" s="188" t="str">
        <f t="shared" si="135"/>
        <v/>
      </c>
      <c r="J431" s="188" t="str">
        <f t="shared" si="136"/>
        <v/>
      </c>
      <c r="K431" s="189" t="str">
        <f t="shared" si="137"/>
        <v/>
      </c>
      <c r="L431" s="189" t="str">
        <f t="shared" si="138"/>
        <v/>
      </c>
      <c r="M431" s="190"/>
      <c r="N431" s="190"/>
      <c r="O431" s="188" t="str">
        <f t="shared" si="139"/>
        <v/>
      </c>
      <c r="P431" s="191" t="str">
        <f t="shared" si="126"/>
        <v/>
      </c>
      <c r="Q431" s="192" t="str">
        <f t="shared" si="140"/>
        <v/>
      </c>
      <c r="R431" s="191" t="str">
        <f t="shared" si="127"/>
        <v/>
      </c>
      <c r="S431" s="193" t="str">
        <f t="shared" si="141"/>
        <v/>
      </c>
      <c r="T431" s="194" t="str">
        <f t="shared" si="128"/>
        <v/>
      </c>
      <c r="U431" s="192" t="str">
        <f t="shared" si="142"/>
        <v/>
      </c>
      <c r="V431" s="195" t="str">
        <f t="shared" si="129"/>
        <v/>
      </c>
      <c r="W431" s="195" t="str">
        <f t="shared" si="130"/>
        <v/>
      </c>
      <c r="X431" s="196" t="str">
        <f t="shared" si="143"/>
        <v/>
      </c>
      <c r="Y431" s="191" t="str">
        <f t="shared" si="144"/>
        <v/>
      </c>
      <c r="Z431" s="197" t="str">
        <f t="shared" si="131"/>
        <v/>
      </c>
      <c r="AA431" s="197" t="str">
        <f t="shared" si="132"/>
        <v/>
      </c>
      <c r="AB431" s="218"/>
      <c r="AC431" s="205"/>
    </row>
    <row r="432" spans="1:29">
      <c r="A432" s="219" t="str">
        <f t="shared" si="133"/>
        <v/>
      </c>
      <c r="B432" s="219"/>
      <c r="C432" s="184"/>
      <c r="D432" s="185"/>
      <c r="E432" s="185" t="str">
        <f>IF(OR(C432="",C432=Data!$B$3),"",IF(C432=Data!$B$2,"L","S"))</f>
        <v/>
      </c>
      <c r="F432" s="185" t="str">
        <f t="shared" si="134"/>
        <v/>
      </c>
      <c r="G432" s="186" t="str">
        <f t="shared" si="125"/>
        <v/>
      </c>
      <c r="H432" s="187"/>
      <c r="I432" s="188" t="str">
        <f t="shared" si="135"/>
        <v/>
      </c>
      <c r="J432" s="188" t="str">
        <f t="shared" si="136"/>
        <v/>
      </c>
      <c r="K432" s="189" t="str">
        <f t="shared" si="137"/>
        <v/>
      </c>
      <c r="L432" s="189" t="str">
        <f t="shared" si="138"/>
        <v/>
      </c>
      <c r="M432" s="190"/>
      <c r="N432" s="190"/>
      <c r="O432" s="188" t="str">
        <f t="shared" si="139"/>
        <v/>
      </c>
      <c r="P432" s="191" t="str">
        <f t="shared" si="126"/>
        <v/>
      </c>
      <c r="Q432" s="192" t="str">
        <f t="shared" si="140"/>
        <v/>
      </c>
      <c r="R432" s="191" t="str">
        <f t="shared" si="127"/>
        <v/>
      </c>
      <c r="S432" s="193" t="str">
        <f t="shared" si="141"/>
        <v/>
      </c>
      <c r="T432" s="194" t="str">
        <f t="shared" si="128"/>
        <v/>
      </c>
      <c r="U432" s="192" t="str">
        <f t="shared" si="142"/>
        <v/>
      </c>
      <c r="V432" s="195" t="str">
        <f t="shared" si="129"/>
        <v/>
      </c>
      <c r="W432" s="195" t="str">
        <f t="shared" si="130"/>
        <v/>
      </c>
      <c r="X432" s="196" t="str">
        <f t="shared" si="143"/>
        <v/>
      </c>
      <c r="Y432" s="191" t="str">
        <f t="shared" si="144"/>
        <v/>
      </c>
      <c r="Z432" s="197" t="str">
        <f t="shared" si="131"/>
        <v/>
      </c>
      <c r="AA432" s="197" t="str">
        <f t="shared" si="132"/>
        <v/>
      </c>
      <c r="AB432" s="218"/>
      <c r="AC432" s="205"/>
    </row>
    <row r="433" spans="1:29">
      <c r="A433" s="219" t="str">
        <f t="shared" si="133"/>
        <v/>
      </c>
      <c r="B433" s="219"/>
      <c r="C433" s="184"/>
      <c r="D433" s="185"/>
      <c r="E433" s="185" t="str">
        <f>IF(OR(C433="",C433=Data!$B$3),"",IF(C433=Data!$B$2,"L","S"))</f>
        <v/>
      </c>
      <c r="F433" s="185" t="str">
        <f t="shared" si="134"/>
        <v/>
      </c>
      <c r="G433" s="186" t="str">
        <f t="shared" si="125"/>
        <v/>
      </c>
      <c r="H433" s="187"/>
      <c r="I433" s="188" t="str">
        <f t="shared" si="135"/>
        <v/>
      </c>
      <c r="J433" s="188" t="str">
        <f t="shared" si="136"/>
        <v/>
      </c>
      <c r="K433" s="189" t="str">
        <f t="shared" si="137"/>
        <v/>
      </c>
      <c r="L433" s="189" t="str">
        <f t="shared" si="138"/>
        <v/>
      </c>
      <c r="M433" s="190"/>
      <c r="N433" s="190"/>
      <c r="O433" s="188" t="str">
        <f t="shared" si="139"/>
        <v/>
      </c>
      <c r="P433" s="191" t="str">
        <f t="shared" si="126"/>
        <v/>
      </c>
      <c r="Q433" s="192" t="str">
        <f t="shared" si="140"/>
        <v/>
      </c>
      <c r="R433" s="191" t="str">
        <f t="shared" si="127"/>
        <v/>
      </c>
      <c r="S433" s="193" t="str">
        <f t="shared" si="141"/>
        <v/>
      </c>
      <c r="T433" s="194" t="str">
        <f t="shared" si="128"/>
        <v/>
      </c>
      <c r="U433" s="192" t="str">
        <f t="shared" si="142"/>
        <v/>
      </c>
      <c r="V433" s="195" t="str">
        <f t="shared" si="129"/>
        <v/>
      </c>
      <c r="W433" s="195" t="str">
        <f t="shared" si="130"/>
        <v/>
      </c>
      <c r="X433" s="196" t="str">
        <f t="shared" si="143"/>
        <v/>
      </c>
      <c r="Y433" s="191" t="str">
        <f t="shared" si="144"/>
        <v/>
      </c>
      <c r="Z433" s="197" t="str">
        <f t="shared" si="131"/>
        <v/>
      </c>
      <c r="AA433" s="197" t="str">
        <f t="shared" si="132"/>
        <v/>
      </c>
      <c r="AB433" s="218"/>
      <c r="AC433" s="205"/>
    </row>
    <row r="434" spans="1:29">
      <c r="A434" s="219" t="str">
        <f t="shared" si="133"/>
        <v/>
      </c>
      <c r="B434" s="219"/>
      <c r="C434" s="184"/>
      <c r="D434" s="185"/>
      <c r="E434" s="185" t="str">
        <f>IF(OR(C434="",C434=Data!$B$3),"",IF(C434=Data!$B$2,"L","S"))</f>
        <v/>
      </c>
      <c r="F434" s="185" t="str">
        <f t="shared" si="134"/>
        <v/>
      </c>
      <c r="G434" s="186" t="str">
        <f t="shared" si="125"/>
        <v/>
      </c>
      <c r="H434" s="187"/>
      <c r="I434" s="188" t="str">
        <f t="shared" si="135"/>
        <v/>
      </c>
      <c r="J434" s="188" t="str">
        <f t="shared" si="136"/>
        <v/>
      </c>
      <c r="K434" s="189" t="str">
        <f t="shared" si="137"/>
        <v/>
      </c>
      <c r="L434" s="189" t="str">
        <f t="shared" si="138"/>
        <v/>
      </c>
      <c r="M434" s="190"/>
      <c r="N434" s="190"/>
      <c r="O434" s="188" t="str">
        <f t="shared" si="139"/>
        <v/>
      </c>
      <c r="P434" s="191" t="str">
        <f t="shared" si="126"/>
        <v/>
      </c>
      <c r="Q434" s="192" t="str">
        <f t="shared" si="140"/>
        <v/>
      </c>
      <c r="R434" s="191" t="str">
        <f t="shared" si="127"/>
        <v/>
      </c>
      <c r="S434" s="193" t="str">
        <f t="shared" si="141"/>
        <v/>
      </c>
      <c r="T434" s="194" t="str">
        <f t="shared" si="128"/>
        <v/>
      </c>
      <c r="U434" s="192" t="str">
        <f t="shared" si="142"/>
        <v/>
      </c>
      <c r="V434" s="195" t="str">
        <f t="shared" si="129"/>
        <v/>
      </c>
      <c r="W434" s="195" t="str">
        <f t="shared" si="130"/>
        <v/>
      </c>
      <c r="X434" s="196" t="str">
        <f t="shared" si="143"/>
        <v/>
      </c>
      <c r="Y434" s="191" t="str">
        <f t="shared" si="144"/>
        <v/>
      </c>
      <c r="Z434" s="197" t="str">
        <f t="shared" si="131"/>
        <v/>
      </c>
      <c r="AA434" s="197" t="str">
        <f t="shared" si="132"/>
        <v/>
      </c>
      <c r="AB434" s="218"/>
      <c r="AC434" s="205"/>
    </row>
    <row r="435" spans="1:29">
      <c r="A435" s="219" t="str">
        <f t="shared" si="133"/>
        <v/>
      </c>
      <c r="B435" s="219"/>
      <c r="C435" s="184"/>
      <c r="D435" s="185"/>
      <c r="E435" s="185" t="str">
        <f>IF(OR(C435="",C435=Data!$B$3),"",IF(C435=Data!$B$2,"L","S"))</f>
        <v/>
      </c>
      <c r="F435" s="185" t="str">
        <f t="shared" si="134"/>
        <v/>
      </c>
      <c r="G435" s="186" t="str">
        <f t="shared" si="125"/>
        <v/>
      </c>
      <c r="H435" s="187"/>
      <c r="I435" s="188" t="str">
        <f t="shared" si="135"/>
        <v/>
      </c>
      <c r="J435" s="188" t="str">
        <f t="shared" si="136"/>
        <v/>
      </c>
      <c r="K435" s="189" t="str">
        <f t="shared" si="137"/>
        <v/>
      </c>
      <c r="L435" s="189" t="str">
        <f t="shared" si="138"/>
        <v/>
      </c>
      <c r="M435" s="190"/>
      <c r="N435" s="190"/>
      <c r="O435" s="188" t="str">
        <f t="shared" si="139"/>
        <v/>
      </c>
      <c r="P435" s="191" t="str">
        <f t="shared" si="126"/>
        <v/>
      </c>
      <c r="Q435" s="192" t="str">
        <f t="shared" si="140"/>
        <v/>
      </c>
      <c r="R435" s="191" t="str">
        <f t="shared" si="127"/>
        <v/>
      </c>
      <c r="S435" s="193" t="str">
        <f t="shared" si="141"/>
        <v/>
      </c>
      <c r="T435" s="194" t="str">
        <f t="shared" si="128"/>
        <v/>
      </c>
      <c r="U435" s="192" t="str">
        <f t="shared" si="142"/>
        <v/>
      </c>
      <c r="V435" s="195" t="str">
        <f t="shared" si="129"/>
        <v/>
      </c>
      <c r="W435" s="195" t="str">
        <f t="shared" si="130"/>
        <v/>
      </c>
      <c r="X435" s="196" t="str">
        <f t="shared" si="143"/>
        <v/>
      </c>
      <c r="Y435" s="191" t="str">
        <f t="shared" si="144"/>
        <v/>
      </c>
      <c r="Z435" s="197" t="str">
        <f t="shared" si="131"/>
        <v/>
      </c>
      <c r="AA435" s="197" t="str">
        <f t="shared" si="132"/>
        <v/>
      </c>
      <c r="AB435" s="218"/>
      <c r="AC435" s="205"/>
    </row>
    <row r="436" spans="1:29">
      <c r="A436" s="219" t="str">
        <f t="shared" si="133"/>
        <v/>
      </c>
      <c r="B436" s="219"/>
      <c r="C436" s="184"/>
      <c r="D436" s="185"/>
      <c r="E436" s="185" t="str">
        <f>IF(OR(C436="",C436=Data!$B$3),"",IF(C436=Data!$B$2,"L","S"))</f>
        <v/>
      </c>
      <c r="F436" s="185" t="str">
        <f t="shared" si="134"/>
        <v/>
      </c>
      <c r="G436" s="186" t="str">
        <f t="shared" si="125"/>
        <v/>
      </c>
      <c r="H436" s="187"/>
      <c r="I436" s="188" t="str">
        <f t="shared" si="135"/>
        <v/>
      </c>
      <c r="J436" s="188" t="str">
        <f t="shared" si="136"/>
        <v/>
      </c>
      <c r="K436" s="189" t="str">
        <f t="shared" si="137"/>
        <v/>
      </c>
      <c r="L436" s="189" t="str">
        <f t="shared" si="138"/>
        <v/>
      </c>
      <c r="M436" s="190"/>
      <c r="N436" s="190"/>
      <c r="O436" s="188" t="str">
        <f t="shared" si="139"/>
        <v/>
      </c>
      <c r="P436" s="191" t="str">
        <f t="shared" si="126"/>
        <v/>
      </c>
      <c r="Q436" s="192" t="str">
        <f t="shared" si="140"/>
        <v/>
      </c>
      <c r="R436" s="191" t="str">
        <f t="shared" si="127"/>
        <v/>
      </c>
      <c r="S436" s="193" t="str">
        <f t="shared" si="141"/>
        <v/>
      </c>
      <c r="T436" s="194" t="str">
        <f t="shared" si="128"/>
        <v/>
      </c>
      <c r="U436" s="192" t="str">
        <f t="shared" si="142"/>
        <v/>
      </c>
      <c r="V436" s="195" t="str">
        <f t="shared" si="129"/>
        <v/>
      </c>
      <c r="W436" s="195" t="str">
        <f t="shared" si="130"/>
        <v/>
      </c>
      <c r="X436" s="196" t="str">
        <f t="shared" si="143"/>
        <v/>
      </c>
      <c r="Y436" s="191" t="str">
        <f t="shared" si="144"/>
        <v/>
      </c>
      <c r="Z436" s="197" t="str">
        <f t="shared" si="131"/>
        <v/>
      </c>
      <c r="AA436" s="197" t="str">
        <f t="shared" si="132"/>
        <v/>
      </c>
      <c r="AB436" s="218"/>
      <c r="AC436" s="205"/>
    </row>
    <row r="437" spans="1:29">
      <c r="A437" s="219" t="str">
        <f t="shared" si="133"/>
        <v/>
      </c>
      <c r="B437" s="219"/>
      <c r="C437" s="184"/>
      <c r="D437" s="185"/>
      <c r="E437" s="185" t="str">
        <f>IF(OR(C437="",C437=Data!$B$3),"",IF(C437=Data!$B$2,"L","S"))</f>
        <v/>
      </c>
      <c r="F437" s="185" t="str">
        <f t="shared" si="134"/>
        <v/>
      </c>
      <c r="G437" s="186" t="str">
        <f t="shared" si="125"/>
        <v/>
      </c>
      <c r="H437" s="187"/>
      <c r="I437" s="188" t="str">
        <f t="shared" si="135"/>
        <v/>
      </c>
      <c r="J437" s="188" t="str">
        <f t="shared" si="136"/>
        <v/>
      </c>
      <c r="K437" s="189" t="str">
        <f t="shared" si="137"/>
        <v/>
      </c>
      <c r="L437" s="189" t="str">
        <f t="shared" si="138"/>
        <v/>
      </c>
      <c r="M437" s="190"/>
      <c r="N437" s="190"/>
      <c r="O437" s="188" t="str">
        <f t="shared" si="139"/>
        <v/>
      </c>
      <c r="P437" s="191" t="str">
        <f t="shared" si="126"/>
        <v/>
      </c>
      <c r="Q437" s="192" t="str">
        <f t="shared" si="140"/>
        <v/>
      </c>
      <c r="R437" s="191" t="str">
        <f t="shared" si="127"/>
        <v/>
      </c>
      <c r="S437" s="193" t="str">
        <f t="shared" si="141"/>
        <v/>
      </c>
      <c r="T437" s="194" t="str">
        <f t="shared" si="128"/>
        <v/>
      </c>
      <c r="U437" s="192" t="str">
        <f t="shared" si="142"/>
        <v/>
      </c>
      <c r="V437" s="195" t="str">
        <f t="shared" si="129"/>
        <v/>
      </c>
      <c r="W437" s="195" t="str">
        <f t="shared" si="130"/>
        <v/>
      </c>
      <c r="X437" s="196" t="str">
        <f t="shared" si="143"/>
        <v/>
      </c>
      <c r="Y437" s="191" t="str">
        <f t="shared" si="144"/>
        <v/>
      </c>
      <c r="Z437" s="197" t="str">
        <f t="shared" si="131"/>
        <v/>
      </c>
      <c r="AA437" s="197" t="str">
        <f t="shared" si="132"/>
        <v/>
      </c>
      <c r="AB437" s="218"/>
      <c r="AC437" s="205"/>
    </row>
    <row r="438" spans="1:29">
      <c r="A438" s="219" t="str">
        <f t="shared" si="133"/>
        <v/>
      </c>
      <c r="B438" s="219"/>
      <c r="C438" s="184"/>
      <c r="D438" s="185"/>
      <c r="E438" s="185" t="str">
        <f>IF(OR(C438="",C438=Data!$B$3),"",IF(C438=Data!$B$2,"L","S"))</f>
        <v/>
      </c>
      <c r="F438" s="185" t="str">
        <f t="shared" si="134"/>
        <v/>
      </c>
      <c r="G438" s="186" t="str">
        <f t="shared" si="125"/>
        <v/>
      </c>
      <c r="H438" s="187"/>
      <c r="I438" s="188" t="str">
        <f t="shared" si="135"/>
        <v/>
      </c>
      <c r="J438" s="188" t="str">
        <f t="shared" si="136"/>
        <v/>
      </c>
      <c r="K438" s="189" t="str">
        <f t="shared" si="137"/>
        <v/>
      </c>
      <c r="L438" s="189" t="str">
        <f t="shared" si="138"/>
        <v/>
      </c>
      <c r="M438" s="190"/>
      <c r="N438" s="190"/>
      <c r="O438" s="188" t="str">
        <f t="shared" si="139"/>
        <v/>
      </c>
      <c r="P438" s="191" t="str">
        <f t="shared" si="126"/>
        <v/>
      </c>
      <c r="Q438" s="192" t="str">
        <f t="shared" si="140"/>
        <v/>
      </c>
      <c r="R438" s="191" t="str">
        <f t="shared" si="127"/>
        <v/>
      </c>
      <c r="S438" s="193" t="str">
        <f t="shared" si="141"/>
        <v/>
      </c>
      <c r="T438" s="194" t="str">
        <f t="shared" si="128"/>
        <v/>
      </c>
      <c r="U438" s="192" t="str">
        <f t="shared" si="142"/>
        <v/>
      </c>
      <c r="V438" s="195" t="str">
        <f t="shared" si="129"/>
        <v/>
      </c>
      <c r="W438" s="195" t="str">
        <f t="shared" si="130"/>
        <v/>
      </c>
      <c r="X438" s="196" t="str">
        <f t="shared" si="143"/>
        <v/>
      </c>
      <c r="Y438" s="191" t="str">
        <f t="shared" si="144"/>
        <v/>
      </c>
      <c r="Z438" s="197" t="str">
        <f t="shared" si="131"/>
        <v/>
      </c>
      <c r="AA438" s="197" t="str">
        <f t="shared" si="132"/>
        <v/>
      </c>
      <c r="AB438" s="218"/>
      <c r="AC438" s="205"/>
    </row>
    <row r="439" spans="1:29">
      <c r="A439" s="219" t="str">
        <f t="shared" si="133"/>
        <v/>
      </c>
      <c r="B439" s="219"/>
      <c r="C439" s="184"/>
      <c r="D439" s="185"/>
      <c r="E439" s="185" t="str">
        <f>IF(OR(C439="",C439=Data!$B$3),"",IF(C439=Data!$B$2,"L","S"))</f>
        <v/>
      </c>
      <c r="F439" s="185" t="str">
        <f t="shared" si="134"/>
        <v/>
      </c>
      <c r="G439" s="186" t="str">
        <f t="shared" si="125"/>
        <v/>
      </c>
      <c r="H439" s="187"/>
      <c r="I439" s="188" t="str">
        <f t="shared" si="135"/>
        <v/>
      </c>
      <c r="J439" s="188" t="str">
        <f t="shared" si="136"/>
        <v/>
      </c>
      <c r="K439" s="189" t="str">
        <f t="shared" si="137"/>
        <v/>
      </c>
      <c r="L439" s="189" t="str">
        <f t="shared" si="138"/>
        <v/>
      </c>
      <c r="M439" s="190"/>
      <c r="N439" s="190"/>
      <c r="O439" s="188" t="str">
        <f t="shared" si="139"/>
        <v/>
      </c>
      <c r="P439" s="191" t="str">
        <f t="shared" si="126"/>
        <v/>
      </c>
      <c r="Q439" s="192" t="str">
        <f t="shared" si="140"/>
        <v/>
      </c>
      <c r="R439" s="191" t="str">
        <f t="shared" si="127"/>
        <v/>
      </c>
      <c r="S439" s="193" t="str">
        <f t="shared" si="141"/>
        <v/>
      </c>
      <c r="T439" s="194" t="str">
        <f t="shared" si="128"/>
        <v/>
      </c>
      <c r="U439" s="192" t="str">
        <f t="shared" si="142"/>
        <v/>
      </c>
      <c r="V439" s="195" t="str">
        <f t="shared" si="129"/>
        <v/>
      </c>
      <c r="W439" s="195" t="str">
        <f t="shared" si="130"/>
        <v/>
      </c>
      <c r="X439" s="196" t="str">
        <f t="shared" si="143"/>
        <v/>
      </c>
      <c r="Y439" s="191" t="str">
        <f t="shared" si="144"/>
        <v/>
      </c>
      <c r="Z439" s="197" t="str">
        <f t="shared" si="131"/>
        <v/>
      </c>
      <c r="AA439" s="197" t="str">
        <f t="shared" si="132"/>
        <v/>
      </c>
      <c r="AB439" s="218"/>
      <c r="AC439" s="205"/>
    </row>
    <row r="440" spans="1:29">
      <c r="A440" s="219" t="str">
        <f t="shared" si="133"/>
        <v/>
      </c>
      <c r="B440" s="219"/>
      <c r="C440" s="184"/>
      <c r="D440" s="185"/>
      <c r="E440" s="185" t="str">
        <f>IF(OR(C440="",C440=Data!$B$3),"",IF(C440=Data!$B$2,"L","S"))</f>
        <v/>
      </c>
      <c r="F440" s="185" t="str">
        <f t="shared" si="134"/>
        <v/>
      </c>
      <c r="G440" s="186" t="str">
        <f t="shared" si="125"/>
        <v/>
      </c>
      <c r="H440" s="187"/>
      <c r="I440" s="188" t="str">
        <f t="shared" si="135"/>
        <v/>
      </c>
      <c r="J440" s="188" t="str">
        <f t="shared" si="136"/>
        <v/>
      </c>
      <c r="K440" s="189" t="str">
        <f t="shared" si="137"/>
        <v/>
      </c>
      <c r="L440" s="189" t="str">
        <f t="shared" si="138"/>
        <v/>
      </c>
      <c r="M440" s="190"/>
      <c r="N440" s="190"/>
      <c r="O440" s="188" t="str">
        <f t="shared" si="139"/>
        <v/>
      </c>
      <c r="P440" s="191" t="str">
        <f t="shared" si="126"/>
        <v/>
      </c>
      <c r="Q440" s="192" t="str">
        <f t="shared" si="140"/>
        <v/>
      </c>
      <c r="R440" s="191" t="str">
        <f t="shared" si="127"/>
        <v/>
      </c>
      <c r="S440" s="193" t="str">
        <f t="shared" si="141"/>
        <v/>
      </c>
      <c r="T440" s="194" t="str">
        <f t="shared" si="128"/>
        <v/>
      </c>
      <c r="U440" s="192" t="str">
        <f t="shared" si="142"/>
        <v/>
      </c>
      <c r="V440" s="195" t="str">
        <f t="shared" si="129"/>
        <v/>
      </c>
      <c r="W440" s="195" t="str">
        <f t="shared" si="130"/>
        <v/>
      </c>
      <c r="X440" s="196" t="str">
        <f t="shared" si="143"/>
        <v/>
      </c>
      <c r="Y440" s="191" t="str">
        <f t="shared" si="144"/>
        <v/>
      </c>
      <c r="Z440" s="197" t="str">
        <f t="shared" si="131"/>
        <v/>
      </c>
      <c r="AA440" s="197" t="str">
        <f t="shared" si="132"/>
        <v/>
      </c>
      <c r="AB440" s="218"/>
      <c r="AC440" s="205"/>
    </row>
    <row r="441" spans="1:29">
      <c r="A441" s="219" t="str">
        <f t="shared" si="133"/>
        <v/>
      </c>
      <c r="B441" s="219"/>
      <c r="C441" s="184"/>
      <c r="D441" s="185"/>
      <c r="E441" s="185" t="str">
        <f>IF(OR(C441="",C441=Data!$B$3),"",IF(C441=Data!$B$2,"L","S"))</f>
        <v/>
      </c>
      <c r="F441" s="185" t="str">
        <f t="shared" si="134"/>
        <v/>
      </c>
      <c r="G441" s="186" t="str">
        <f t="shared" si="125"/>
        <v/>
      </c>
      <c r="H441" s="187"/>
      <c r="I441" s="188" t="str">
        <f t="shared" si="135"/>
        <v/>
      </c>
      <c r="J441" s="188" t="str">
        <f t="shared" si="136"/>
        <v/>
      </c>
      <c r="K441" s="189" t="str">
        <f t="shared" si="137"/>
        <v/>
      </c>
      <c r="L441" s="189" t="str">
        <f t="shared" si="138"/>
        <v/>
      </c>
      <c r="M441" s="190"/>
      <c r="N441" s="190"/>
      <c r="O441" s="188" t="str">
        <f t="shared" si="139"/>
        <v/>
      </c>
      <c r="P441" s="191" t="str">
        <f t="shared" si="126"/>
        <v/>
      </c>
      <c r="Q441" s="192" t="str">
        <f t="shared" si="140"/>
        <v/>
      </c>
      <c r="R441" s="191" t="str">
        <f t="shared" si="127"/>
        <v/>
      </c>
      <c r="S441" s="193" t="str">
        <f t="shared" si="141"/>
        <v/>
      </c>
      <c r="T441" s="194" t="str">
        <f t="shared" si="128"/>
        <v/>
      </c>
      <c r="U441" s="192" t="str">
        <f t="shared" si="142"/>
        <v/>
      </c>
      <c r="V441" s="195" t="str">
        <f t="shared" si="129"/>
        <v/>
      </c>
      <c r="W441" s="195" t="str">
        <f t="shared" si="130"/>
        <v/>
      </c>
      <c r="X441" s="196" t="str">
        <f t="shared" si="143"/>
        <v/>
      </c>
      <c r="Y441" s="191" t="str">
        <f t="shared" si="144"/>
        <v/>
      </c>
      <c r="Z441" s="197" t="str">
        <f t="shared" si="131"/>
        <v/>
      </c>
      <c r="AA441" s="197" t="str">
        <f t="shared" si="132"/>
        <v/>
      </c>
      <c r="AB441" s="218"/>
      <c r="AC441" s="205"/>
    </row>
    <row r="442" spans="1:29">
      <c r="A442" s="219" t="str">
        <f t="shared" si="133"/>
        <v/>
      </c>
      <c r="B442" s="219"/>
      <c r="C442" s="184"/>
      <c r="D442" s="185"/>
      <c r="E442" s="185" t="str">
        <f>IF(OR(C442="",C442=Data!$B$3),"",IF(C442=Data!$B$2,"L","S"))</f>
        <v/>
      </c>
      <c r="F442" s="185" t="str">
        <f t="shared" si="134"/>
        <v/>
      </c>
      <c r="G442" s="186" t="str">
        <f t="shared" si="125"/>
        <v/>
      </c>
      <c r="H442" s="187"/>
      <c r="I442" s="188" t="str">
        <f t="shared" si="135"/>
        <v/>
      </c>
      <c r="J442" s="188" t="str">
        <f t="shared" si="136"/>
        <v/>
      </c>
      <c r="K442" s="189" t="str">
        <f t="shared" si="137"/>
        <v/>
      </c>
      <c r="L442" s="189" t="str">
        <f t="shared" si="138"/>
        <v/>
      </c>
      <c r="M442" s="190"/>
      <c r="N442" s="190"/>
      <c r="O442" s="188" t="str">
        <f t="shared" si="139"/>
        <v/>
      </c>
      <c r="P442" s="191" t="str">
        <f t="shared" si="126"/>
        <v/>
      </c>
      <c r="Q442" s="192" t="str">
        <f t="shared" si="140"/>
        <v/>
      </c>
      <c r="R442" s="191" t="str">
        <f t="shared" si="127"/>
        <v/>
      </c>
      <c r="S442" s="193" t="str">
        <f t="shared" si="141"/>
        <v/>
      </c>
      <c r="T442" s="194" t="str">
        <f t="shared" si="128"/>
        <v/>
      </c>
      <c r="U442" s="192" t="str">
        <f t="shared" si="142"/>
        <v/>
      </c>
      <c r="V442" s="195" t="str">
        <f t="shared" si="129"/>
        <v/>
      </c>
      <c r="W442" s="195" t="str">
        <f t="shared" si="130"/>
        <v/>
      </c>
      <c r="X442" s="196" t="str">
        <f t="shared" si="143"/>
        <v/>
      </c>
      <c r="Y442" s="191" t="str">
        <f t="shared" si="144"/>
        <v/>
      </c>
      <c r="Z442" s="197" t="str">
        <f t="shared" si="131"/>
        <v/>
      </c>
      <c r="AA442" s="197" t="str">
        <f t="shared" si="132"/>
        <v/>
      </c>
      <c r="AB442" s="218"/>
      <c r="AC442" s="205"/>
    </row>
    <row r="443" spans="1:29">
      <c r="A443" s="219" t="str">
        <f t="shared" si="133"/>
        <v/>
      </c>
      <c r="B443" s="219"/>
      <c r="C443" s="184"/>
      <c r="D443" s="185"/>
      <c r="E443" s="185" t="str">
        <f>IF(OR(C443="",C443=Data!$B$3),"",IF(C443=Data!$B$2,"L","S"))</f>
        <v/>
      </c>
      <c r="F443" s="185" t="str">
        <f t="shared" si="134"/>
        <v/>
      </c>
      <c r="G443" s="186" t="str">
        <f t="shared" si="125"/>
        <v/>
      </c>
      <c r="H443" s="187"/>
      <c r="I443" s="188" t="str">
        <f t="shared" si="135"/>
        <v/>
      </c>
      <c r="J443" s="188" t="str">
        <f t="shared" si="136"/>
        <v/>
      </c>
      <c r="K443" s="189" t="str">
        <f t="shared" si="137"/>
        <v/>
      </c>
      <c r="L443" s="189" t="str">
        <f t="shared" si="138"/>
        <v/>
      </c>
      <c r="M443" s="190"/>
      <c r="N443" s="190"/>
      <c r="O443" s="188" t="str">
        <f t="shared" si="139"/>
        <v/>
      </c>
      <c r="P443" s="191" t="str">
        <f t="shared" si="126"/>
        <v/>
      </c>
      <c r="Q443" s="192" t="str">
        <f t="shared" si="140"/>
        <v/>
      </c>
      <c r="R443" s="191" t="str">
        <f t="shared" si="127"/>
        <v/>
      </c>
      <c r="S443" s="193" t="str">
        <f t="shared" si="141"/>
        <v/>
      </c>
      <c r="T443" s="194" t="str">
        <f t="shared" si="128"/>
        <v/>
      </c>
      <c r="U443" s="192" t="str">
        <f t="shared" si="142"/>
        <v/>
      </c>
      <c r="V443" s="195" t="str">
        <f t="shared" si="129"/>
        <v/>
      </c>
      <c r="W443" s="195" t="str">
        <f t="shared" si="130"/>
        <v/>
      </c>
      <c r="X443" s="196" t="str">
        <f t="shared" si="143"/>
        <v/>
      </c>
      <c r="Y443" s="191" t="str">
        <f t="shared" si="144"/>
        <v/>
      </c>
      <c r="Z443" s="197" t="str">
        <f t="shared" si="131"/>
        <v/>
      </c>
      <c r="AA443" s="197" t="str">
        <f t="shared" si="132"/>
        <v/>
      </c>
      <c r="AB443" s="218"/>
      <c r="AC443" s="205"/>
    </row>
    <row r="444" spans="1:29">
      <c r="A444" s="219" t="str">
        <f t="shared" si="133"/>
        <v/>
      </c>
      <c r="B444" s="219"/>
      <c r="C444" s="184"/>
      <c r="D444" s="185"/>
      <c r="E444" s="185" t="str">
        <f>IF(OR(C444="",C444=Data!$B$3),"",IF(C444=Data!$B$2,"L","S"))</f>
        <v/>
      </c>
      <c r="F444" s="185" t="str">
        <f t="shared" si="134"/>
        <v/>
      </c>
      <c r="G444" s="186" t="str">
        <f t="shared" si="125"/>
        <v/>
      </c>
      <c r="H444" s="187"/>
      <c r="I444" s="188" t="str">
        <f t="shared" si="135"/>
        <v/>
      </c>
      <c r="J444" s="188" t="str">
        <f t="shared" si="136"/>
        <v/>
      </c>
      <c r="K444" s="189" t="str">
        <f t="shared" si="137"/>
        <v/>
      </c>
      <c r="L444" s="189" t="str">
        <f t="shared" si="138"/>
        <v/>
      </c>
      <c r="M444" s="190"/>
      <c r="N444" s="190"/>
      <c r="O444" s="188" t="str">
        <f t="shared" si="139"/>
        <v/>
      </c>
      <c r="P444" s="191" t="str">
        <f t="shared" si="126"/>
        <v/>
      </c>
      <c r="Q444" s="192" t="str">
        <f t="shared" si="140"/>
        <v/>
      </c>
      <c r="R444" s="191" t="str">
        <f t="shared" si="127"/>
        <v/>
      </c>
      <c r="S444" s="193" t="str">
        <f t="shared" si="141"/>
        <v/>
      </c>
      <c r="T444" s="194" t="str">
        <f t="shared" si="128"/>
        <v/>
      </c>
      <c r="U444" s="192" t="str">
        <f t="shared" si="142"/>
        <v/>
      </c>
      <c r="V444" s="195" t="str">
        <f t="shared" si="129"/>
        <v/>
      </c>
      <c r="W444" s="195" t="str">
        <f t="shared" si="130"/>
        <v/>
      </c>
      <c r="X444" s="196" t="str">
        <f t="shared" si="143"/>
        <v/>
      </c>
      <c r="Y444" s="191" t="str">
        <f t="shared" si="144"/>
        <v/>
      </c>
      <c r="Z444" s="197" t="str">
        <f t="shared" si="131"/>
        <v/>
      </c>
      <c r="AA444" s="197" t="str">
        <f t="shared" si="132"/>
        <v/>
      </c>
      <c r="AB444" s="218"/>
      <c r="AC444" s="205"/>
    </row>
    <row r="445" spans="1:29">
      <c r="A445" s="219" t="str">
        <f t="shared" si="133"/>
        <v/>
      </c>
      <c r="B445" s="219"/>
      <c r="C445" s="184"/>
      <c r="D445" s="185"/>
      <c r="E445" s="185" t="str">
        <f>IF(OR(C445="",C445=Data!$B$3),"",IF(C445=Data!$B$2,"L","S"))</f>
        <v/>
      </c>
      <c r="F445" s="185" t="str">
        <f t="shared" si="134"/>
        <v/>
      </c>
      <c r="G445" s="186" t="str">
        <f t="shared" si="125"/>
        <v/>
      </c>
      <c r="H445" s="187"/>
      <c r="I445" s="188" t="str">
        <f t="shared" si="135"/>
        <v/>
      </c>
      <c r="J445" s="188" t="str">
        <f t="shared" si="136"/>
        <v/>
      </c>
      <c r="K445" s="189" t="str">
        <f t="shared" si="137"/>
        <v/>
      </c>
      <c r="L445" s="189" t="str">
        <f t="shared" si="138"/>
        <v/>
      </c>
      <c r="M445" s="190"/>
      <c r="N445" s="190"/>
      <c r="O445" s="188" t="str">
        <f t="shared" si="139"/>
        <v/>
      </c>
      <c r="P445" s="191" t="str">
        <f t="shared" si="126"/>
        <v/>
      </c>
      <c r="Q445" s="192" t="str">
        <f t="shared" si="140"/>
        <v/>
      </c>
      <c r="R445" s="191" t="str">
        <f t="shared" si="127"/>
        <v/>
      </c>
      <c r="S445" s="193" t="str">
        <f t="shared" si="141"/>
        <v/>
      </c>
      <c r="T445" s="194" t="str">
        <f t="shared" si="128"/>
        <v/>
      </c>
      <c r="U445" s="192" t="str">
        <f t="shared" si="142"/>
        <v/>
      </c>
      <c r="V445" s="195" t="str">
        <f t="shared" si="129"/>
        <v/>
      </c>
      <c r="W445" s="195" t="str">
        <f t="shared" si="130"/>
        <v/>
      </c>
      <c r="X445" s="196" t="str">
        <f t="shared" si="143"/>
        <v/>
      </c>
      <c r="Y445" s="191" t="str">
        <f t="shared" si="144"/>
        <v/>
      </c>
      <c r="Z445" s="197" t="str">
        <f t="shared" si="131"/>
        <v/>
      </c>
      <c r="AA445" s="197" t="str">
        <f t="shared" si="132"/>
        <v/>
      </c>
      <c r="AB445" s="218"/>
      <c r="AC445" s="205"/>
    </row>
    <row r="446" spans="1:29">
      <c r="A446" s="219" t="str">
        <f t="shared" si="133"/>
        <v/>
      </c>
      <c r="B446" s="219"/>
      <c r="C446" s="184"/>
      <c r="D446" s="185"/>
      <c r="E446" s="185" t="str">
        <f>IF(OR(C446="",C446=Data!$B$3),"",IF(C446=Data!$B$2,"L","S"))</f>
        <v/>
      </c>
      <c r="F446" s="185" t="str">
        <f t="shared" si="134"/>
        <v/>
      </c>
      <c r="G446" s="186" t="str">
        <f t="shared" si="125"/>
        <v/>
      </c>
      <c r="H446" s="187"/>
      <c r="I446" s="188" t="str">
        <f t="shared" si="135"/>
        <v/>
      </c>
      <c r="J446" s="188" t="str">
        <f t="shared" si="136"/>
        <v/>
      </c>
      <c r="K446" s="189" t="str">
        <f t="shared" si="137"/>
        <v/>
      </c>
      <c r="L446" s="189" t="str">
        <f t="shared" si="138"/>
        <v/>
      </c>
      <c r="M446" s="190"/>
      <c r="N446" s="190"/>
      <c r="O446" s="188" t="str">
        <f t="shared" si="139"/>
        <v/>
      </c>
      <c r="P446" s="191" t="str">
        <f t="shared" si="126"/>
        <v/>
      </c>
      <c r="Q446" s="192" t="str">
        <f t="shared" si="140"/>
        <v/>
      </c>
      <c r="R446" s="191" t="str">
        <f t="shared" si="127"/>
        <v/>
      </c>
      <c r="S446" s="193" t="str">
        <f t="shared" si="141"/>
        <v/>
      </c>
      <c r="T446" s="194" t="str">
        <f t="shared" si="128"/>
        <v/>
      </c>
      <c r="U446" s="192" t="str">
        <f t="shared" si="142"/>
        <v/>
      </c>
      <c r="V446" s="195" t="str">
        <f t="shared" si="129"/>
        <v/>
      </c>
      <c r="W446" s="195" t="str">
        <f t="shared" si="130"/>
        <v/>
      </c>
      <c r="X446" s="196" t="str">
        <f t="shared" si="143"/>
        <v/>
      </c>
      <c r="Y446" s="191" t="str">
        <f t="shared" si="144"/>
        <v/>
      </c>
      <c r="Z446" s="197" t="str">
        <f t="shared" si="131"/>
        <v/>
      </c>
      <c r="AA446" s="197" t="str">
        <f t="shared" si="132"/>
        <v/>
      </c>
      <c r="AB446" s="218"/>
      <c r="AC446" s="205"/>
    </row>
    <row r="447" spans="1:29">
      <c r="A447" s="219" t="str">
        <f t="shared" si="133"/>
        <v/>
      </c>
      <c r="B447" s="219"/>
      <c r="C447" s="184"/>
      <c r="D447" s="185"/>
      <c r="E447" s="185" t="str">
        <f>IF(OR(C447="",C447=Data!$B$3),"",IF(C447=Data!$B$2,"L","S"))</f>
        <v/>
      </c>
      <c r="F447" s="185" t="str">
        <f t="shared" si="134"/>
        <v/>
      </c>
      <c r="G447" s="186" t="str">
        <f t="shared" si="125"/>
        <v/>
      </c>
      <c r="H447" s="187"/>
      <c r="I447" s="188" t="str">
        <f t="shared" si="135"/>
        <v/>
      </c>
      <c r="J447" s="188" t="str">
        <f t="shared" si="136"/>
        <v/>
      </c>
      <c r="K447" s="189" t="str">
        <f t="shared" si="137"/>
        <v/>
      </c>
      <c r="L447" s="189" t="str">
        <f t="shared" si="138"/>
        <v/>
      </c>
      <c r="M447" s="190"/>
      <c r="N447" s="190"/>
      <c r="O447" s="188" t="str">
        <f t="shared" si="139"/>
        <v/>
      </c>
      <c r="P447" s="191" t="str">
        <f t="shared" si="126"/>
        <v/>
      </c>
      <c r="Q447" s="192" t="str">
        <f t="shared" si="140"/>
        <v/>
      </c>
      <c r="R447" s="191" t="str">
        <f t="shared" si="127"/>
        <v/>
      </c>
      <c r="S447" s="193" t="str">
        <f t="shared" si="141"/>
        <v/>
      </c>
      <c r="T447" s="194" t="str">
        <f t="shared" si="128"/>
        <v/>
      </c>
      <c r="U447" s="192" t="str">
        <f t="shared" si="142"/>
        <v/>
      </c>
      <c r="V447" s="195" t="str">
        <f t="shared" si="129"/>
        <v/>
      </c>
      <c r="W447" s="195" t="str">
        <f t="shared" si="130"/>
        <v/>
      </c>
      <c r="X447" s="196" t="str">
        <f t="shared" si="143"/>
        <v/>
      </c>
      <c r="Y447" s="191" t="str">
        <f t="shared" si="144"/>
        <v/>
      </c>
      <c r="Z447" s="197" t="str">
        <f t="shared" si="131"/>
        <v/>
      </c>
      <c r="AA447" s="197" t="str">
        <f t="shared" si="132"/>
        <v/>
      </c>
      <c r="AB447" s="218"/>
      <c r="AC447" s="205"/>
    </row>
    <row r="448" spans="1:29">
      <c r="A448" s="219" t="str">
        <f t="shared" si="133"/>
        <v/>
      </c>
      <c r="B448" s="219"/>
      <c r="C448" s="184"/>
      <c r="D448" s="185"/>
      <c r="E448" s="185" t="str">
        <f>IF(OR(C448="",C448=Data!$B$3),"",IF(C448=Data!$B$2,"L","S"))</f>
        <v/>
      </c>
      <c r="F448" s="185" t="str">
        <f t="shared" si="134"/>
        <v/>
      </c>
      <c r="G448" s="186" t="str">
        <f t="shared" si="125"/>
        <v/>
      </c>
      <c r="H448" s="187"/>
      <c r="I448" s="188" t="str">
        <f t="shared" si="135"/>
        <v/>
      </c>
      <c r="J448" s="188" t="str">
        <f t="shared" si="136"/>
        <v/>
      </c>
      <c r="K448" s="189" t="str">
        <f t="shared" si="137"/>
        <v/>
      </c>
      <c r="L448" s="189" t="str">
        <f t="shared" si="138"/>
        <v/>
      </c>
      <c r="M448" s="190"/>
      <c r="N448" s="190"/>
      <c r="O448" s="188" t="str">
        <f t="shared" si="139"/>
        <v/>
      </c>
      <c r="P448" s="191" t="str">
        <f t="shared" si="126"/>
        <v/>
      </c>
      <c r="Q448" s="192" t="str">
        <f t="shared" si="140"/>
        <v/>
      </c>
      <c r="R448" s="191" t="str">
        <f t="shared" si="127"/>
        <v/>
      </c>
      <c r="S448" s="193" t="str">
        <f t="shared" si="141"/>
        <v/>
      </c>
      <c r="T448" s="194" t="str">
        <f t="shared" si="128"/>
        <v/>
      </c>
      <c r="U448" s="192" t="str">
        <f t="shared" si="142"/>
        <v/>
      </c>
      <c r="V448" s="195" t="str">
        <f t="shared" si="129"/>
        <v/>
      </c>
      <c r="W448" s="195" t="str">
        <f t="shared" si="130"/>
        <v/>
      </c>
      <c r="X448" s="196" t="str">
        <f t="shared" si="143"/>
        <v/>
      </c>
      <c r="Y448" s="191" t="str">
        <f t="shared" si="144"/>
        <v/>
      </c>
      <c r="Z448" s="197" t="str">
        <f t="shared" si="131"/>
        <v/>
      </c>
      <c r="AA448" s="197" t="str">
        <f t="shared" si="132"/>
        <v/>
      </c>
      <c r="AB448" s="218"/>
      <c r="AC448" s="205"/>
    </row>
    <row r="449" spans="1:29">
      <c r="A449" s="219" t="str">
        <f t="shared" si="133"/>
        <v/>
      </c>
      <c r="B449" s="219"/>
      <c r="C449" s="184"/>
      <c r="D449" s="185"/>
      <c r="E449" s="185" t="str">
        <f>IF(OR(C449="",C449=Data!$B$3),"",IF(C449=Data!$B$2,"L","S"))</f>
        <v/>
      </c>
      <c r="F449" s="185" t="str">
        <f t="shared" si="134"/>
        <v/>
      </c>
      <c r="G449" s="186" t="str">
        <f t="shared" si="125"/>
        <v/>
      </c>
      <c r="H449" s="187"/>
      <c r="I449" s="188" t="str">
        <f t="shared" si="135"/>
        <v/>
      </c>
      <c r="J449" s="188" t="str">
        <f t="shared" si="136"/>
        <v/>
      </c>
      <c r="K449" s="189" t="str">
        <f t="shared" si="137"/>
        <v/>
      </c>
      <c r="L449" s="189" t="str">
        <f t="shared" si="138"/>
        <v/>
      </c>
      <c r="M449" s="190"/>
      <c r="N449" s="190"/>
      <c r="O449" s="188" t="str">
        <f t="shared" si="139"/>
        <v/>
      </c>
      <c r="P449" s="191" t="str">
        <f t="shared" si="126"/>
        <v/>
      </c>
      <c r="Q449" s="192" t="str">
        <f t="shared" si="140"/>
        <v/>
      </c>
      <c r="R449" s="191" t="str">
        <f t="shared" si="127"/>
        <v/>
      </c>
      <c r="S449" s="193" t="str">
        <f t="shared" si="141"/>
        <v/>
      </c>
      <c r="T449" s="194" t="str">
        <f t="shared" si="128"/>
        <v/>
      </c>
      <c r="U449" s="192" t="str">
        <f t="shared" si="142"/>
        <v/>
      </c>
      <c r="V449" s="195" t="str">
        <f t="shared" si="129"/>
        <v/>
      </c>
      <c r="W449" s="195" t="str">
        <f t="shared" si="130"/>
        <v/>
      </c>
      <c r="X449" s="196" t="str">
        <f t="shared" si="143"/>
        <v/>
      </c>
      <c r="Y449" s="191" t="str">
        <f t="shared" si="144"/>
        <v/>
      </c>
      <c r="Z449" s="197" t="str">
        <f t="shared" si="131"/>
        <v/>
      </c>
      <c r="AA449" s="197" t="str">
        <f t="shared" si="132"/>
        <v/>
      </c>
      <c r="AB449" s="218"/>
      <c r="AC449" s="205"/>
    </row>
    <row r="450" spans="1:29">
      <c r="A450" s="219" t="str">
        <f t="shared" si="133"/>
        <v/>
      </c>
      <c r="B450" s="219"/>
      <c r="C450" s="184"/>
      <c r="D450" s="185"/>
      <c r="E450" s="185" t="str">
        <f>IF(OR(C450="",C450=Data!$B$3),"",IF(C450=Data!$B$2,"L","S"))</f>
        <v/>
      </c>
      <c r="F450" s="185" t="str">
        <f t="shared" si="134"/>
        <v/>
      </c>
      <c r="G450" s="186" t="str">
        <f t="shared" si="125"/>
        <v/>
      </c>
      <c r="H450" s="187"/>
      <c r="I450" s="188" t="str">
        <f t="shared" si="135"/>
        <v/>
      </c>
      <c r="J450" s="188" t="str">
        <f t="shared" si="136"/>
        <v/>
      </c>
      <c r="K450" s="189" t="str">
        <f t="shared" si="137"/>
        <v/>
      </c>
      <c r="L450" s="189" t="str">
        <f t="shared" si="138"/>
        <v/>
      </c>
      <c r="M450" s="190"/>
      <c r="N450" s="190"/>
      <c r="O450" s="188" t="str">
        <f t="shared" si="139"/>
        <v/>
      </c>
      <c r="P450" s="191" t="str">
        <f t="shared" si="126"/>
        <v/>
      </c>
      <c r="Q450" s="192" t="str">
        <f t="shared" si="140"/>
        <v/>
      </c>
      <c r="R450" s="191" t="str">
        <f t="shared" si="127"/>
        <v/>
      </c>
      <c r="S450" s="193" t="str">
        <f t="shared" si="141"/>
        <v/>
      </c>
      <c r="T450" s="194" t="str">
        <f t="shared" si="128"/>
        <v/>
      </c>
      <c r="U450" s="192" t="str">
        <f t="shared" si="142"/>
        <v/>
      </c>
      <c r="V450" s="195" t="str">
        <f t="shared" si="129"/>
        <v/>
      </c>
      <c r="W450" s="195" t="str">
        <f t="shared" si="130"/>
        <v/>
      </c>
      <c r="X450" s="196" t="str">
        <f t="shared" si="143"/>
        <v/>
      </c>
      <c r="Y450" s="191" t="str">
        <f t="shared" si="144"/>
        <v/>
      </c>
      <c r="Z450" s="197" t="str">
        <f t="shared" si="131"/>
        <v/>
      </c>
      <c r="AA450" s="197" t="str">
        <f t="shared" si="132"/>
        <v/>
      </c>
      <c r="AB450" s="218"/>
      <c r="AC450" s="205"/>
    </row>
    <row r="451" spans="1:29">
      <c r="A451" s="219" t="str">
        <f t="shared" si="133"/>
        <v/>
      </c>
      <c r="B451" s="219"/>
      <c r="C451" s="184"/>
      <c r="D451" s="185"/>
      <c r="E451" s="185" t="str">
        <f>IF(OR(C451="",C451=Data!$B$3),"",IF(C451=Data!$B$2,"L","S"))</f>
        <v/>
      </c>
      <c r="F451" s="185" t="str">
        <f t="shared" si="134"/>
        <v/>
      </c>
      <c r="G451" s="186" t="str">
        <f t="shared" si="125"/>
        <v/>
      </c>
      <c r="H451" s="187"/>
      <c r="I451" s="188" t="str">
        <f t="shared" si="135"/>
        <v/>
      </c>
      <c r="J451" s="188" t="str">
        <f t="shared" si="136"/>
        <v/>
      </c>
      <c r="K451" s="189" t="str">
        <f t="shared" si="137"/>
        <v/>
      </c>
      <c r="L451" s="189" t="str">
        <f t="shared" si="138"/>
        <v/>
      </c>
      <c r="M451" s="190"/>
      <c r="N451" s="190"/>
      <c r="O451" s="188" t="str">
        <f t="shared" si="139"/>
        <v/>
      </c>
      <c r="P451" s="191" t="str">
        <f t="shared" si="126"/>
        <v/>
      </c>
      <c r="Q451" s="192" t="str">
        <f t="shared" si="140"/>
        <v/>
      </c>
      <c r="R451" s="191" t="str">
        <f t="shared" si="127"/>
        <v/>
      </c>
      <c r="S451" s="193" t="str">
        <f t="shared" si="141"/>
        <v/>
      </c>
      <c r="T451" s="194" t="str">
        <f t="shared" si="128"/>
        <v/>
      </c>
      <c r="U451" s="192" t="str">
        <f t="shared" si="142"/>
        <v/>
      </c>
      <c r="V451" s="195" t="str">
        <f t="shared" si="129"/>
        <v/>
      </c>
      <c r="W451" s="195" t="str">
        <f t="shared" si="130"/>
        <v/>
      </c>
      <c r="X451" s="196" t="str">
        <f t="shared" si="143"/>
        <v/>
      </c>
      <c r="Y451" s="191" t="str">
        <f t="shared" si="144"/>
        <v/>
      </c>
      <c r="Z451" s="197" t="str">
        <f t="shared" si="131"/>
        <v/>
      </c>
      <c r="AA451" s="197" t="str">
        <f t="shared" si="132"/>
        <v/>
      </c>
      <c r="AB451" s="218"/>
      <c r="AC451" s="205"/>
    </row>
    <row r="452" spans="1:29">
      <c r="A452" s="219" t="str">
        <f t="shared" si="133"/>
        <v/>
      </c>
      <c r="B452" s="219"/>
      <c r="C452" s="184"/>
      <c r="D452" s="185"/>
      <c r="E452" s="185" t="str">
        <f>IF(OR(C452="",C452=Data!$B$3),"",IF(C452=Data!$B$2,"L","S"))</f>
        <v/>
      </c>
      <c r="F452" s="185" t="str">
        <f t="shared" si="134"/>
        <v/>
      </c>
      <c r="G452" s="186" t="str">
        <f t="shared" si="125"/>
        <v/>
      </c>
      <c r="H452" s="187"/>
      <c r="I452" s="188" t="str">
        <f t="shared" si="135"/>
        <v/>
      </c>
      <c r="J452" s="188" t="str">
        <f t="shared" si="136"/>
        <v/>
      </c>
      <c r="K452" s="189" t="str">
        <f t="shared" si="137"/>
        <v/>
      </c>
      <c r="L452" s="189" t="str">
        <f t="shared" si="138"/>
        <v/>
      </c>
      <c r="M452" s="190"/>
      <c r="N452" s="190"/>
      <c r="O452" s="188" t="str">
        <f t="shared" si="139"/>
        <v/>
      </c>
      <c r="P452" s="191" t="str">
        <f t="shared" si="126"/>
        <v/>
      </c>
      <c r="Q452" s="192" t="str">
        <f t="shared" si="140"/>
        <v/>
      </c>
      <c r="R452" s="191" t="str">
        <f t="shared" si="127"/>
        <v/>
      </c>
      <c r="S452" s="193" t="str">
        <f t="shared" si="141"/>
        <v/>
      </c>
      <c r="T452" s="194" t="str">
        <f t="shared" si="128"/>
        <v/>
      </c>
      <c r="U452" s="192" t="str">
        <f t="shared" si="142"/>
        <v/>
      </c>
      <c r="V452" s="195" t="str">
        <f t="shared" si="129"/>
        <v/>
      </c>
      <c r="W452" s="195" t="str">
        <f t="shared" si="130"/>
        <v/>
      </c>
      <c r="X452" s="196" t="str">
        <f t="shared" si="143"/>
        <v/>
      </c>
      <c r="Y452" s="191" t="str">
        <f t="shared" si="144"/>
        <v/>
      </c>
      <c r="Z452" s="197" t="str">
        <f t="shared" si="131"/>
        <v/>
      </c>
      <c r="AA452" s="197" t="str">
        <f t="shared" si="132"/>
        <v/>
      </c>
      <c r="AB452" s="218"/>
      <c r="AC452" s="205"/>
    </row>
    <row r="453" spans="1:29">
      <c r="A453" s="219" t="str">
        <f t="shared" si="133"/>
        <v/>
      </c>
      <c r="B453" s="219"/>
      <c r="C453" s="184"/>
      <c r="D453" s="185"/>
      <c r="E453" s="185" t="str">
        <f>IF(OR(C453="",C453=Data!$B$3),"",IF(C453=Data!$B$2,"L","S"))</f>
        <v/>
      </c>
      <c r="F453" s="185" t="str">
        <f t="shared" si="134"/>
        <v/>
      </c>
      <c r="G453" s="186" t="str">
        <f t="shared" si="125"/>
        <v/>
      </c>
      <c r="H453" s="187"/>
      <c r="I453" s="188" t="str">
        <f t="shared" si="135"/>
        <v/>
      </c>
      <c r="J453" s="188" t="str">
        <f t="shared" si="136"/>
        <v/>
      </c>
      <c r="K453" s="189" t="str">
        <f t="shared" si="137"/>
        <v/>
      </c>
      <c r="L453" s="189" t="str">
        <f t="shared" si="138"/>
        <v/>
      </c>
      <c r="M453" s="190"/>
      <c r="N453" s="190"/>
      <c r="O453" s="188" t="str">
        <f t="shared" si="139"/>
        <v/>
      </c>
      <c r="P453" s="191" t="str">
        <f t="shared" si="126"/>
        <v/>
      </c>
      <c r="Q453" s="192" t="str">
        <f t="shared" si="140"/>
        <v/>
      </c>
      <c r="R453" s="191" t="str">
        <f t="shared" si="127"/>
        <v/>
      </c>
      <c r="S453" s="193" t="str">
        <f t="shared" si="141"/>
        <v/>
      </c>
      <c r="T453" s="194" t="str">
        <f t="shared" si="128"/>
        <v/>
      </c>
      <c r="U453" s="192" t="str">
        <f t="shared" si="142"/>
        <v/>
      </c>
      <c r="V453" s="195" t="str">
        <f t="shared" si="129"/>
        <v/>
      </c>
      <c r="W453" s="195" t="str">
        <f t="shared" si="130"/>
        <v/>
      </c>
      <c r="X453" s="196" t="str">
        <f t="shared" si="143"/>
        <v/>
      </c>
      <c r="Y453" s="191" t="str">
        <f t="shared" si="144"/>
        <v/>
      </c>
      <c r="Z453" s="197" t="str">
        <f t="shared" si="131"/>
        <v/>
      </c>
      <c r="AA453" s="197" t="str">
        <f t="shared" si="132"/>
        <v/>
      </c>
      <c r="AB453" s="218"/>
      <c r="AC453" s="205"/>
    </row>
    <row r="454" spans="1:29">
      <c r="A454" s="219" t="str">
        <f t="shared" si="133"/>
        <v/>
      </c>
      <c r="B454" s="219"/>
      <c r="C454" s="184"/>
      <c r="D454" s="185"/>
      <c r="E454" s="185" t="str">
        <f>IF(OR(C454="",C454=Data!$B$3),"",IF(C454=Data!$B$2,"L","S"))</f>
        <v/>
      </c>
      <c r="F454" s="185" t="str">
        <f t="shared" si="134"/>
        <v/>
      </c>
      <c r="G454" s="186" t="str">
        <f t="shared" si="125"/>
        <v/>
      </c>
      <c r="H454" s="187"/>
      <c r="I454" s="188" t="str">
        <f t="shared" si="135"/>
        <v/>
      </c>
      <c r="J454" s="188" t="str">
        <f t="shared" si="136"/>
        <v/>
      </c>
      <c r="K454" s="189" t="str">
        <f t="shared" si="137"/>
        <v/>
      </c>
      <c r="L454" s="189" t="str">
        <f t="shared" si="138"/>
        <v/>
      </c>
      <c r="M454" s="190"/>
      <c r="N454" s="190"/>
      <c r="O454" s="188" t="str">
        <f t="shared" si="139"/>
        <v/>
      </c>
      <c r="P454" s="191" t="str">
        <f t="shared" si="126"/>
        <v/>
      </c>
      <c r="Q454" s="192" t="str">
        <f t="shared" si="140"/>
        <v/>
      </c>
      <c r="R454" s="191" t="str">
        <f t="shared" si="127"/>
        <v/>
      </c>
      <c r="S454" s="193" t="str">
        <f t="shared" si="141"/>
        <v/>
      </c>
      <c r="T454" s="194" t="str">
        <f t="shared" si="128"/>
        <v/>
      </c>
      <c r="U454" s="192" t="str">
        <f t="shared" si="142"/>
        <v/>
      </c>
      <c r="V454" s="195" t="str">
        <f t="shared" si="129"/>
        <v/>
      </c>
      <c r="W454" s="195" t="str">
        <f t="shared" si="130"/>
        <v/>
      </c>
      <c r="X454" s="196" t="str">
        <f t="shared" si="143"/>
        <v/>
      </c>
      <c r="Y454" s="191" t="str">
        <f t="shared" si="144"/>
        <v/>
      </c>
      <c r="Z454" s="197" t="str">
        <f t="shared" si="131"/>
        <v/>
      </c>
      <c r="AA454" s="197" t="str">
        <f t="shared" si="132"/>
        <v/>
      </c>
      <c r="AB454" s="218"/>
      <c r="AC454" s="205"/>
    </row>
    <row r="455" spans="1:29">
      <c r="A455" s="219" t="str">
        <f t="shared" si="133"/>
        <v/>
      </c>
      <c r="B455" s="219"/>
      <c r="C455" s="184"/>
      <c r="D455" s="185"/>
      <c r="E455" s="185" t="str">
        <f>IF(OR(C455="",C455=Data!$B$3),"",IF(C455=Data!$B$2,"L","S"))</f>
        <v/>
      </c>
      <c r="F455" s="185" t="str">
        <f t="shared" si="134"/>
        <v/>
      </c>
      <c r="G455" s="186" t="str">
        <f t="shared" si="125"/>
        <v/>
      </c>
      <c r="H455" s="187"/>
      <c r="I455" s="188" t="str">
        <f t="shared" si="135"/>
        <v/>
      </c>
      <c r="J455" s="188" t="str">
        <f t="shared" si="136"/>
        <v/>
      </c>
      <c r="K455" s="189" t="str">
        <f t="shared" si="137"/>
        <v/>
      </c>
      <c r="L455" s="189" t="str">
        <f t="shared" si="138"/>
        <v/>
      </c>
      <c r="M455" s="190"/>
      <c r="N455" s="190"/>
      <c r="O455" s="188" t="str">
        <f t="shared" si="139"/>
        <v/>
      </c>
      <c r="P455" s="191" t="str">
        <f t="shared" si="126"/>
        <v/>
      </c>
      <c r="Q455" s="192" t="str">
        <f t="shared" si="140"/>
        <v/>
      </c>
      <c r="R455" s="191" t="str">
        <f t="shared" si="127"/>
        <v/>
      </c>
      <c r="S455" s="193" t="str">
        <f t="shared" si="141"/>
        <v/>
      </c>
      <c r="T455" s="194" t="str">
        <f t="shared" si="128"/>
        <v/>
      </c>
      <c r="U455" s="192" t="str">
        <f t="shared" si="142"/>
        <v/>
      </c>
      <c r="V455" s="195" t="str">
        <f t="shared" si="129"/>
        <v/>
      </c>
      <c r="W455" s="195" t="str">
        <f t="shared" si="130"/>
        <v/>
      </c>
      <c r="X455" s="196" t="str">
        <f t="shared" si="143"/>
        <v/>
      </c>
      <c r="Y455" s="191" t="str">
        <f t="shared" si="144"/>
        <v/>
      </c>
      <c r="Z455" s="197" t="str">
        <f t="shared" si="131"/>
        <v/>
      </c>
      <c r="AA455" s="197" t="str">
        <f t="shared" si="132"/>
        <v/>
      </c>
      <c r="AB455" s="218"/>
      <c r="AC455" s="205"/>
    </row>
    <row r="456" spans="1:29">
      <c r="A456" s="219" t="str">
        <f t="shared" si="133"/>
        <v/>
      </c>
      <c r="B456" s="219"/>
      <c r="C456" s="184"/>
      <c r="D456" s="185"/>
      <c r="E456" s="185" t="str">
        <f>IF(OR(C456="",C456=Data!$B$3),"",IF(C456=Data!$B$2,"L","S"))</f>
        <v/>
      </c>
      <c r="F456" s="185" t="str">
        <f t="shared" si="134"/>
        <v/>
      </c>
      <c r="G456" s="186" t="str">
        <f t="shared" si="125"/>
        <v/>
      </c>
      <c r="H456" s="187"/>
      <c r="I456" s="188" t="str">
        <f t="shared" si="135"/>
        <v/>
      </c>
      <c r="J456" s="188" t="str">
        <f t="shared" si="136"/>
        <v/>
      </c>
      <c r="K456" s="189" t="str">
        <f t="shared" si="137"/>
        <v/>
      </c>
      <c r="L456" s="189" t="str">
        <f t="shared" si="138"/>
        <v/>
      </c>
      <c r="M456" s="190"/>
      <c r="N456" s="190"/>
      <c r="O456" s="188" t="str">
        <f t="shared" si="139"/>
        <v/>
      </c>
      <c r="P456" s="191" t="str">
        <f t="shared" si="126"/>
        <v/>
      </c>
      <c r="Q456" s="192" t="str">
        <f t="shared" si="140"/>
        <v/>
      </c>
      <c r="R456" s="191" t="str">
        <f t="shared" si="127"/>
        <v/>
      </c>
      <c r="S456" s="193" t="str">
        <f t="shared" si="141"/>
        <v/>
      </c>
      <c r="T456" s="194" t="str">
        <f t="shared" si="128"/>
        <v/>
      </c>
      <c r="U456" s="192" t="str">
        <f t="shared" si="142"/>
        <v/>
      </c>
      <c r="V456" s="195" t="str">
        <f t="shared" si="129"/>
        <v/>
      </c>
      <c r="W456" s="195" t="str">
        <f t="shared" si="130"/>
        <v/>
      </c>
      <c r="X456" s="196" t="str">
        <f t="shared" si="143"/>
        <v/>
      </c>
      <c r="Y456" s="191" t="str">
        <f t="shared" si="144"/>
        <v/>
      </c>
      <c r="Z456" s="197" t="str">
        <f t="shared" si="131"/>
        <v/>
      </c>
      <c r="AA456" s="197" t="str">
        <f t="shared" si="132"/>
        <v/>
      </c>
      <c r="AB456" s="218"/>
      <c r="AC456" s="205"/>
    </row>
    <row r="457" spans="1:29">
      <c r="A457" s="219" t="str">
        <f t="shared" si="133"/>
        <v/>
      </c>
      <c r="B457" s="219"/>
      <c r="C457" s="184"/>
      <c r="D457" s="185"/>
      <c r="E457" s="185" t="str">
        <f>IF(OR(C457="",C457=Data!$B$3),"",IF(C457=Data!$B$2,"L","S"))</f>
        <v/>
      </c>
      <c r="F457" s="185" t="str">
        <f t="shared" si="134"/>
        <v/>
      </c>
      <c r="G457" s="186" t="str">
        <f t="shared" si="125"/>
        <v/>
      </c>
      <c r="H457" s="187"/>
      <c r="I457" s="188" t="str">
        <f t="shared" si="135"/>
        <v/>
      </c>
      <c r="J457" s="188" t="str">
        <f t="shared" si="136"/>
        <v/>
      </c>
      <c r="K457" s="189" t="str">
        <f t="shared" si="137"/>
        <v/>
      </c>
      <c r="L457" s="189" t="str">
        <f t="shared" si="138"/>
        <v/>
      </c>
      <c r="M457" s="190"/>
      <c r="N457" s="190"/>
      <c r="O457" s="188" t="str">
        <f t="shared" si="139"/>
        <v/>
      </c>
      <c r="P457" s="191" t="str">
        <f t="shared" si="126"/>
        <v/>
      </c>
      <c r="Q457" s="192" t="str">
        <f t="shared" si="140"/>
        <v/>
      </c>
      <c r="R457" s="191" t="str">
        <f t="shared" si="127"/>
        <v/>
      </c>
      <c r="S457" s="193" t="str">
        <f t="shared" si="141"/>
        <v/>
      </c>
      <c r="T457" s="194" t="str">
        <f t="shared" si="128"/>
        <v/>
      </c>
      <c r="U457" s="192" t="str">
        <f t="shared" si="142"/>
        <v/>
      </c>
      <c r="V457" s="195" t="str">
        <f t="shared" si="129"/>
        <v/>
      </c>
      <c r="W457" s="195" t="str">
        <f t="shared" si="130"/>
        <v/>
      </c>
      <c r="X457" s="196" t="str">
        <f t="shared" si="143"/>
        <v/>
      </c>
      <c r="Y457" s="191" t="str">
        <f t="shared" si="144"/>
        <v/>
      </c>
      <c r="Z457" s="197" t="str">
        <f t="shared" si="131"/>
        <v/>
      </c>
      <c r="AA457" s="197" t="str">
        <f t="shared" si="132"/>
        <v/>
      </c>
      <c r="AB457" s="218"/>
      <c r="AC457" s="205"/>
    </row>
    <row r="458" spans="1:29">
      <c r="A458" s="219" t="str">
        <f t="shared" si="133"/>
        <v/>
      </c>
      <c r="B458" s="219"/>
      <c r="C458" s="184"/>
      <c r="D458" s="185"/>
      <c r="E458" s="185" t="str">
        <f>IF(OR(C458="",C458=Data!$B$3),"",IF(C458=Data!$B$2,"L","S"))</f>
        <v/>
      </c>
      <c r="F458" s="185" t="str">
        <f t="shared" si="134"/>
        <v/>
      </c>
      <c r="G458" s="186" t="str">
        <f t="shared" si="125"/>
        <v/>
      </c>
      <c r="H458" s="187"/>
      <c r="I458" s="188" t="str">
        <f t="shared" si="135"/>
        <v/>
      </c>
      <c r="J458" s="188" t="str">
        <f t="shared" si="136"/>
        <v/>
      </c>
      <c r="K458" s="189" t="str">
        <f t="shared" si="137"/>
        <v/>
      </c>
      <c r="L458" s="189" t="str">
        <f t="shared" si="138"/>
        <v/>
      </c>
      <c r="M458" s="190"/>
      <c r="N458" s="190"/>
      <c r="O458" s="188" t="str">
        <f t="shared" si="139"/>
        <v/>
      </c>
      <c r="P458" s="191" t="str">
        <f t="shared" si="126"/>
        <v/>
      </c>
      <c r="Q458" s="192" t="str">
        <f t="shared" si="140"/>
        <v/>
      </c>
      <c r="R458" s="191" t="str">
        <f t="shared" si="127"/>
        <v/>
      </c>
      <c r="S458" s="193" t="str">
        <f t="shared" si="141"/>
        <v/>
      </c>
      <c r="T458" s="194" t="str">
        <f t="shared" si="128"/>
        <v/>
      </c>
      <c r="U458" s="192" t="str">
        <f t="shared" si="142"/>
        <v/>
      </c>
      <c r="V458" s="195" t="str">
        <f t="shared" si="129"/>
        <v/>
      </c>
      <c r="W458" s="195" t="str">
        <f t="shared" si="130"/>
        <v/>
      </c>
      <c r="X458" s="196" t="str">
        <f t="shared" si="143"/>
        <v/>
      </c>
      <c r="Y458" s="191" t="str">
        <f t="shared" si="144"/>
        <v/>
      </c>
      <c r="Z458" s="197" t="str">
        <f t="shared" si="131"/>
        <v/>
      </c>
      <c r="AA458" s="197" t="str">
        <f t="shared" si="132"/>
        <v/>
      </c>
      <c r="AB458" s="218"/>
      <c r="AC458" s="205"/>
    </row>
    <row r="459" spans="1:29">
      <c r="A459" s="219" t="str">
        <f t="shared" si="133"/>
        <v/>
      </c>
      <c r="B459" s="219"/>
      <c r="C459" s="184"/>
      <c r="D459" s="185"/>
      <c r="E459" s="185" t="str">
        <f>IF(OR(C459="",C459=Data!$B$3),"",IF(C459=Data!$B$2,"L","S"))</f>
        <v/>
      </c>
      <c r="F459" s="185" t="str">
        <f t="shared" si="134"/>
        <v/>
      </c>
      <c r="G459" s="186" t="str">
        <f t="shared" si="125"/>
        <v/>
      </c>
      <c r="H459" s="187"/>
      <c r="I459" s="188" t="str">
        <f t="shared" si="135"/>
        <v/>
      </c>
      <c r="J459" s="188" t="str">
        <f t="shared" si="136"/>
        <v/>
      </c>
      <c r="K459" s="189" t="str">
        <f t="shared" si="137"/>
        <v/>
      </c>
      <c r="L459" s="189" t="str">
        <f t="shared" si="138"/>
        <v/>
      </c>
      <c r="M459" s="190"/>
      <c r="N459" s="190"/>
      <c r="O459" s="188" t="str">
        <f t="shared" si="139"/>
        <v/>
      </c>
      <c r="P459" s="191" t="str">
        <f t="shared" si="126"/>
        <v/>
      </c>
      <c r="Q459" s="192" t="str">
        <f t="shared" si="140"/>
        <v/>
      </c>
      <c r="R459" s="191" t="str">
        <f t="shared" si="127"/>
        <v/>
      </c>
      <c r="S459" s="193" t="str">
        <f t="shared" si="141"/>
        <v/>
      </c>
      <c r="T459" s="194" t="str">
        <f t="shared" si="128"/>
        <v/>
      </c>
      <c r="U459" s="192" t="str">
        <f t="shared" si="142"/>
        <v/>
      </c>
      <c r="V459" s="195" t="str">
        <f t="shared" si="129"/>
        <v/>
      </c>
      <c r="W459" s="195" t="str">
        <f t="shared" si="130"/>
        <v/>
      </c>
      <c r="X459" s="196" t="str">
        <f t="shared" si="143"/>
        <v/>
      </c>
      <c r="Y459" s="191" t="str">
        <f t="shared" si="144"/>
        <v/>
      </c>
      <c r="Z459" s="197" t="str">
        <f t="shared" si="131"/>
        <v/>
      </c>
      <c r="AA459" s="197" t="str">
        <f t="shared" si="132"/>
        <v/>
      </c>
      <c r="AB459" s="218"/>
      <c r="AC459" s="205"/>
    </row>
    <row r="460" spans="1:29">
      <c r="A460" s="219" t="str">
        <f t="shared" si="133"/>
        <v/>
      </c>
      <c r="B460" s="219"/>
      <c r="C460" s="184"/>
      <c r="D460" s="185"/>
      <c r="E460" s="185" t="str">
        <f>IF(OR(C460="",C460=Data!$B$3),"",IF(C460=Data!$B$2,"L","S"))</f>
        <v/>
      </c>
      <c r="F460" s="185" t="str">
        <f t="shared" si="134"/>
        <v/>
      </c>
      <c r="G460" s="186" t="str">
        <f t="shared" ref="G460:G523" si="145">IF(A460="","",$D$3)</f>
        <v/>
      </c>
      <c r="H460" s="187"/>
      <c r="I460" s="188" t="str">
        <f t="shared" si="135"/>
        <v/>
      </c>
      <c r="J460" s="188" t="str">
        <f t="shared" si="136"/>
        <v/>
      </c>
      <c r="K460" s="189" t="str">
        <f t="shared" si="137"/>
        <v/>
      </c>
      <c r="L460" s="189" t="str">
        <f t="shared" si="138"/>
        <v/>
      </c>
      <c r="M460" s="190"/>
      <c r="N460" s="190"/>
      <c r="O460" s="188" t="str">
        <f t="shared" si="139"/>
        <v/>
      </c>
      <c r="P460" s="191" t="str">
        <f t="shared" ref="P460:P523" si="146">IF(O460="","",IF(L460*F460*G460=0,0,L460*F460*G460))</f>
        <v/>
      </c>
      <c r="Q460" s="192" t="str">
        <f t="shared" si="140"/>
        <v/>
      </c>
      <c r="R460" s="191" t="str">
        <f t="shared" ref="R460:R523" si="147">IF(O460&lt;&gt;"",IF(K460*F460*G460=0,"",K460*F460*G460),"")</f>
        <v/>
      </c>
      <c r="S460" s="193" t="str">
        <f t="shared" si="141"/>
        <v/>
      </c>
      <c r="T460" s="194" t="str">
        <f t="shared" ref="T460:T523" si="148">IF(X460="","",X460*F460*G460)</f>
        <v/>
      </c>
      <c r="U460" s="192" t="str">
        <f t="shared" si="142"/>
        <v/>
      </c>
      <c r="V460" s="195" t="str">
        <f t="shared" ref="V460:V523" si="149">IF(O460="","",IF(AND(O460&gt;I460,E460="L"),1, IF(AND(I460&gt;O460,E460="S"),1,0)))</f>
        <v/>
      </c>
      <c r="W460" s="195" t="str">
        <f t="shared" ref="W460:W523" si="150">IF(O460="","",IF(AND(O460&lt;I460,E460="L"),1, IF(AND(I460&lt;O460,E460="S"),1,0)))</f>
        <v/>
      </c>
      <c r="X460" s="196" t="str">
        <f t="shared" si="143"/>
        <v/>
      </c>
      <c r="Y460" s="191" t="str">
        <f t="shared" si="144"/>
        <v/>
      </c>
      <c r="Z460" s="197" t="str">
        <f t="shared" ref="Z460:Z523" si="151">IF(M460="","",MONTH(M460))</f>
        <v/>
      </c>
      <c r="AA460" s="197" t="str">
        <f t="shared" ref="AA460:AA523" si="152">IF(M460="","",YEAR(M460))</f>
        <v/>
      </c>
      <c r="AB460" s="218"/>
      <c r="AC460" s="205"/>
    </row>
    <row r="461" spans="1:29">
      <c r="A461" s="219" t="str">
        <f t="shared" ref="A461:A524" si="153">IF(C461="","",1)</f>
        <v/>
      </c>
      <c r="B461" s="219"/>
      <c r="C461" s="184"/>
      <c r="D461" s="185"/>
      <c r="E461" s="185" t="str">
        <f>IF(OR(C461="",C461=Data!$B$3),"",IF(C461=Data!$B$2,"L","S"))</f>
        <v/>
      </c>
      <c r="F461" s="185" t="str">
        <f t="shared" ref="F461:F524" si="154">IF(A461&lt;&gt;"",$D$2,"")</f>
        <v/>
      </c>
      <c r="G461" s="186" t="str">
        <f t="shared" si="145"/>
        <v/>
      </c>
      <c r="H461" s="187"/>
      <c r="I461" s="188" t="str">
        <f t="shared" ref="I461:I524" si="155">IF(H461="","",IF(E461="L",H461+$D$4*0.0001,H461-$D$4*0.0001))</f>
        <v/>
      </c>
      <c r="J461" s="188" t="str">
        <f t="shared" ref="J461:J524" si="156">IF(AND(H461&lt;&gt;"",I461&lt;&gt;""),IF(E461="L",I461+(I461-H461)*3,I461-(H461-I461)*3),"")</f>
        <v/>
      </c>
      <c r="K461" s="189" t="str">
        <f t="shared" ref="K461:K524" si="157">IF(AND(E461&lt;&gt;"",AND(I461&lt;&gt;"",J461&lt;&gt;"")),IF(E461="L",(J461-I461)*IF(I461&gt;10,IF(SEARCH("JPY",D461),10,100),10000),(I461-J461)*IF(I461&gt;10,IF(SEARCH("JPY",D461),10,100),10000)),"")</f>
        <v/>
      </c>
      <c r="L461" s="189" t="str">
        <f t="shared" ref="L461:L524" si="158">IF(AND(E461&lt;&gt;"",AND(H461&lt;&gt;"",I461&lt;&gt;"")),IF(E461="L",(I461-H461)*IF(I461&gt;10,IF(SEARCH("JPY",D461),10,100),10000),(H461-I461)*IF(I461&gt;10,IF(SEARCH("JPY",D461),10,100),10000)),"")</f>
        <v/>
      </c>
      <c r="M461" s="190"/>
      <c r="N461" s="190"/>
      <c r="O461" s="188" t="str">
        <f t="shared" ref="O461:O524" si="159">J461</f>
        <v/>
      </c>
      <c r="P461" s="191" t="str">
        <f t="shared" si="146"/>
        <v/>
      </c>
      <c r="Q461" s="192" t="str">
        <f t="shared" ref="Q461:Q524" si="160">IF(P461="","",IF(P461=0,0,P461/$I$4))</f>
        <v/>
      </c>
      <c r="R461" s="191" t="str">
        <f t="shared" si="147"/>
        <v/>
      </c>
      <c r="S461" s="193" t="str">
        <f t="shared" ref="S461:S524" si="161">IF(P461="","",IF(P461=0,0,R461/P461))</f>
        <v/>
      </c>
      <c r="T461" s="194" t="str">
        <f t="shared" si="148"/>
        <v/>
      </c>
      <c r="U461" s="192" t="str">
        <f t="shared" ref="U461:U524" si="162">IF(T461="","",IF($I$4="","",T461/$I$4))</f>
        <v/>
      </c>
      <c r="V461" s="195" t="str">
        <f t="shared" si="149"/>
        <v/>
      </c>
      <c r="W461" s="195" t="str">
        <f t="shared" si="150"/>
        <v/>
      </c>
      <c r="X461" s="196" t="str">
        <f t="shared" ref="X461:X524" si="163">IF((O461=""),"",IF(E461="L",1,-1)*(O461-I461)*IF(O461&gt;10,IF(SEARCH("JPY",D461),10,100),10000))</f>
        <v/>
      </c>
      <c r="Y461" s="191" t="str">
        <f t="shared" si="144"/>
        <v/>
      </c>
      <c r="Z461" s="197" t="str">
        <f t="shared" si="151"/>
        <v/>
      </c>
      <c r="AA461" s="197" t="str">
        <f t="shared" si="152"/>
        <v/>
      </c>
      <c r="AB461" s="218"/>
      <c r="AC461" s="205"/>
    </row>
    <row r="462" spans="1:29">
      <c r="A462" s="219" t="str">
        <f t="shared" si="153"/>
        <v/>
      </c>
      <c r="B462" s="219"/>
      <c r="C462" s="184"/>
      <c r="D462" s="185"/>
      <c r="E462" s="185" t="str">
        <f>IF(OR(C462="",C462=Data!$B$3),"",IF(C462=Data!$B$2,"L","S"))</f>
        <v/>
      </c>
      <c r="F462" s="185" t="str">
        <f t="shared" si="154"/>
        <v/>
      </c>
      <c r="G462" s="186" t="str">
        <f t="shared" si="145"/>
        <v/>
      </c>
      <c r="H462" s="187"/>
      <c r="I462" s="188" t="str">
        <f t="shared" si="155"/>
        <v/>
      </c>
      <c r="J462" s="188" t="str">
        <f t="shared" si="156"/>
        <v/>
      </c>
      <c r="K462" s="189" t="str">
        <f t="shared" si="157"/>
        <v/>
      </c>
      <c r="L462" s="189" t="str">
        <f t="shared" si="158"/>
        <v/>
      </c>
      <c r="M462" s="190"/>
      <c r="N462" s="190"/>
      <c r="O462" s="188" t="str">
        <f t="shared" si="159"/>
        <v/>
      </c>
      <c r="P462" s="191" t="str">
        <f t="shared" si="146"/>
        <v/>
      </c>
      <c r="Q462" s="192" t="str">
        <f t="shared" si="160"/>
        <v/>
      </c>
      <c r="R462" s="191" t="str">
        <f t="shared" si="147"/>
        <v/>
      </c>
      <c r="S462" s="193" t="str">
        <f t="shared" si="161"/>
        <v/>
      </c>
      <c r="T462" s="194" t="str">
        <f t="shared" si="148"/>
        <v/>
      </c>
      <c r="U462" s="192" t="str">
        <f t="shared" si="162"/>
        <v/>
      </c>
      <c r="V462" s="195" t="str">
        <f t="shared" si="149"/>
        <v/>
      </c>
      <c r="W462" s="195" t="str">
        <f t="shared" si="150"/>
        <v/>
      </c>
      <c r="X462" s="196" t="str">
        <f t="shared" si="163"/>
        <v/>
      </c>
      <c r="Y462" s="191" t="str">
        <f t="shared" si="144"/>
        <v/>
      </c>
      <c r="Z462" s="197" t="str">
        <f t="shared" si="151"/>
        <v/>
      </c>
      <c r="AA462" s="197" t="str">
        <f t="shared" si="152"/>
        <v/>
      </c>
      <c r="AB462" s="218"/>
      <c r="AC462" s="205"/>
    </row>
    <row r="463" spans="1:29">
      <c r="A463" s="219" t="str">
        <f t="shared" si="153"/>
        <v/>
      </c>
      <c r="B463" s="219"/>
      <c r="C463" s="184"/>
      <c r="D463" s="185"/>
      <c r="E463" s="185" t="str">
        <f>IF(OR(C463="",C463=Data!$B$3),"",IF(C463=Data!$B$2,"L","S"))</f>
        <v/>
      </c>
      <c r="F463" s="185" t="str">
        <f t="shared" si="154"/>
        <v/>
      </c>
      <c r="G463" s="186" t="str">
        <f t="shared" si="145"/>
        <v/>
      </c>
      <c r="H463" s="187"/>
      <c r="I463" s="188" t="str">
        <f t="shared" si="155"/>
        <v/>
      </c>
      <c r="J463" s="188" t="str">
        <f t="shared" si="156"/>
        <v/>
      </c>
      <c r="K463" s="189" t="str">
        <f t="shared" si="157"/>
        <v/>
      </c>
      <c r="L463" s="189" t="str">
        <f t="shared" si="158"/>
        <v/>
      </c>
      <c r="M463" s="190"/>
      <c r="N463" s="190"/>
      <c r="O463" s="188" t="str">
        <f t="shared" si="159"/>
        <v/>
      </c>
      <c r="P463" s="191" t="str">
        <f t="shared" si="146"/>
        <v/>
      </c>
      <c r="Q463" s="192" t="str">
        <f t="shared" si="160"/>
        <v/>
      </c>
      <c r="R463" s="191" t="str">
        <f t="shared" si="147"/>
        <v/>
      </c>
      <c r="S463" s="193" t="str">
        <f t="shared" si="161"/>
        <v/>
      </c>
      <c r="T463" s="194" t="str">
        <f t="shared" si="148"/>
        <v/>
      </c>
      <c r="U463" s="192" t="str">
        <f t="shared" si="162"/>
        <v/>
      </c>
      <c r="V463" s="195" t="str">
        <f t="shared" si="149"/>
        <v/>
      </c>
      <c r="W463" s="195" t="str">
        <f t="shared" si="150"/>
        <v/>
      </c>
      <c r="X463" s="196" t="str">
        <f t="shared" si="163"/>
        <v/>
      </c>
      <c r="Y463" s="191" t="str">
        <f t="shared" si="144"/>
        <v/>
      </c>
      <c r="Z463" s="197" t="str">
        <f t="shared" si="151"/>
        <v/>
      </c>
      <c r="AA463" s="197" t="str">
        <f t="shared" si="152"/>
        <v/>
      </c>
      <c r="AB463" s="218"/>
      <c r="AC463" s="205"/>
    </row>
    <row r="464" spans="1:29">
      <c r="A464" s="219" t="str">
        <f t="shared" si="153"/>
        <v/>
      </c>
      <c r="B464" s="219"/>
      <c r="C464" s="184"/>
      <c r="D464" s="185"/>
      <c r="E464" s="185" t="str">
        <f>IF(OR(C464="",C464=Data!$B$3),"",IF(C464=Data!$B$2,"L","S"))</f>
        <v/>
      </c>
      <c r="F464" s="185" t="str">
        <f t="shared" si="154"/>
        <v/>
      </c>
      <c r="G464" s="186" t="str">
        <f t="shared" si="145"/>
        <v/>
      </c>
      <c r="H464" s="187"/>
      <c r="I464" s="188" t="str">
        <f t="shared" si="155"/>
        <v/>
      </c>
      <c r="J464" s="188" t="str">
        <f t="shared" si="156"/>
        <v/>
      </c>
      <c r="K464" s="189" t="str">
        <f t="shared" si="157"/>
        <v/>
      </c>
      <c r="L464" s="189" t="str">
        <f t="shared" si="158"/>
        <v/>
      </c>
      <c r="M464" s="190"/>
      <c r="N464" s="190"/>
      <c r="O464" s="188" t="str">
        <f t="shared" si="159"/>
        <v/>
      </c>
      <c r="P464" s="191" t="str">
        <f t="shared" si="146"/>
        <v/>
      </c>
      <c r="Q464" s="192" t="str">
        <f t="shared" si="160"/>
        <v/>
      </c>
      <c r="R464" s="191" t="str">
        <f t="shared" si="147"/>
        <v/>
      </c>
      <c r="S464" s="193" t="str">
        <f t="shared" si="161"/>
        <v/>
      </c>
      <c r="T464" s="194" t="str">
        <f t="shared" si="148"/>
        <v/>
      </c>
      <c r="U464" s="192" t="str">
        <f t="shared" si="162"/>
        <v/>
      </c>
      <c r="V464" s="195" t="str">
        <f t="shared" si="149"/>
        <v/>
      </c>
      <c r="W464" s="195" t="str">
        <f t="shared" si="150"/>
        <v/>
      </c>
      <c r="X464" s="196" t="str">
        <f t="shared" si="163"/>
        <v/>
      </c>
      <c r="Y464" s="191" t="str">
        <f t="shared" si="144"/>
        <v/>
      </c>
      <c r="Z464" s="197" t="str">
        <f t="shared" si="151"/>
        <v/>
      </c>
      <c r="AA464" s="197" t="str">
        <f t="shared" si="152"/>
        <v/>
      </c>
      <c r="AB464" s="218"/>
      <c r="AC464" s="205"/>
    </row>
    <row r="465" spans="1:29">
      <c r="A465" s="219" t="str">
        <f t="shared" si="153"/>
        <v/>
      </c>
      <c r="B465" s="219"/>
      <c r="C465" s="184"/>
      <c r="D465" s="185"/>
      <c r="E465" s="185" t="str">
        <f>IF(OR(C465="",C465=Data!$B$3),"",IF(C465=Data!$B$2,"L","S"))</f>
        <v/>
      </c>
      <c r="F465" s="185" t="str">
        <f t="shared" si="154"/>
        <v/>
      </c>
      <c r="G465" s="186" t="str">
        <f t="shared" si="145"/>
        <v/>
      </c>
      <c r="H465" s="187"/>
      <c r="I465" s="188" t="str">
        <f t="shared" si="155"/>
        <v/>
      </c>
      <c r="J465" s="188" t="str">
        <f t="shared" si="156"/>
        <v/>
      </c>
      <c r="K465" s="189" t="str">
        <f t="shared" si="157"/>
        <v/>
      </c>
      <c r="L465" s="189" t="str">
        <f t="shared" si="158"/>
        <v/>
      </c>
      <c r="M465" s="190"/>
      <c r="N465" s="190"/>
      <c r="O465" s="188" t="str">
        <f t="shared" si="159"/>
        <v/>
      </c>
      <c r="P465" s="191" t="str">
        <f t="shared" si="146"/>
        <v/>
      </c>
      <c r="Q465" s="192" t="str">
        <f t="shared" si="160"/>
        <v/>
      </c>
      <c r="R465" s="191" t="str">
        <f t="shared" si="147"/>
        <v/>
      </c>
      <c r="S465" s="193" t="str">
        <f t="shared" si="161"/>
        <v/>
      </c>
      <c r="T465" s="194" t="str">
        <f t="shared" si="148"/>
        <v/>
      </c>
      <c r="U465" s="192" t="str">
        <f t="shared" si="162"/>
        <v/>
      </c>
      <c r="V465" s="195" t="str">
        <f t="shared" si="149"/>
        <v/>
      </c>
      <c r="W465" s="195" t="str">
        <f t="shared" si="150"/>
        <v/>
      </c>
      <c r="X465" s="196" t="str">
        <f t="shared" si="163"/>
        <v/>
      </c>
      <c r="Y465" s="191" t="str">
        <f t="shared" si="144"/>
        <v/>
      </c>
      <c r="Z465" s="197" t="str">
        <f t="shared" si="151"/>
        <v/>
      </c>
      <c r="AA465" s="197" t="str">
        <f t="shared" si="152"/>
        <v/>
      </c>
      <c r="AB465" s="218"/>
      <c r="AC465" s="205"/>
    </row>
    <row r="466" spans="1:29">
      <c r="A466" s="219" t="str">
        <f t="shared" si="153"/>
        <v/>
      </c>
      <c r="B466" s="219"/>
      <c r="C466" s="184"/>
      <c r="D466" s="185"/>
      <c r="E466" s="185" t="str">
        <f>IF(OR(C466="",C466=Data!$B$3),"",IF(C466=Data!$B$2,"L","S"))</f>
        <v/>
      </c>
      <c r="F466" s="185" t="str">
        <f t="shared" si="154"/>
        <v/>
      </c>
      <c r="G466" s="186" t="str">
        <f t="shared" si="145"/>
        <v/>
      </c>
      <c r="H466" s="187"/>
      <c r="I466" s="188" t="str">
        <f t="shared" si="155"/>
        <v/>
      </c>
      <c r="J466" s="188" t="str">
        <f t="shared" si="156"/>
        <v/>
      </c>
      <c r="K466" s="189" t="str">
        <f t="shared" si="157"/>
        <v/>
      </c>
      <c r="L466" s="189" t="str">
        <f t="shared" si="158"/>
        <v/>
      </c>
      <c r="M466" s="190"/>
      <c r="N466" s="190"/>
      <c r="O466" s="188" t="str">
        <f t="shared" si="159"/>
        <v/>
      </c>
      <c r="P466" s="191" t="str">
        <f t="shared" si="146"/>
        <v/>
      </c>
      <c r="Q466" s="192" t="str">
        <f t="shared" si="160"/>
        <v/>
      </c>
      <c r="R466" s="191" t="str">
        <f t="shared" si="147"/>
        <v/>
      </c>
      <c r="S466" s="193" t="str">
        <f t="shared" si="161"/>
        <v/>
      </c>
      <c r="T466" s="194" t="str">
        <f t="shared" si="148"/>
        <v/>
      </c>
      <c r="U466" s="192" t="str">
        <f t="shared" si="162"/>
        <v/>
      </c>
      <c r="V466" s="195" t="str">
        <f t="shared" si="149"/>
        <v/>
      </c>
      <c r="W466" s="195" t="str">
        <f t="shared" si="150"/>
        <v/>
      </c>
      <c r="X466" s="196" t="str">
        <f t="shared" si="163"/>
        <v/>
      </c>
      <c r="Y466" s="191" t="str">
        <f t="shared" si="144"/>
        <v/>
      </c>
      <c r="Z466" s="197" t="str">
        <f t="shared" si="151"/>
        <v/>
      </c>
      <c r="AA466" s="197" t="str">
        <f t="shared" si="152"/>
        <v/>
      </c>
      <c r="AB466" s="218"/>
      <c r="AC466" s="205"/>
    </row>
    <row r="467" spans="1:29">
      <c r="A467" s="219" t="str">
        <f t="shared" si="153"/>
        <v/>
      </c>
      <c r="B467" s="219"/>
      <c r="C467" s="184"/>
      <c r="D467" s="185"/>
      <c r="E467" s="185" t="str">
        <f>IF(OR(C467="",C467=Data!$B$3),"",IF(C467=Data!$B$2,"L","S"))</f>
        <v/>
      </c>
      <c r="F467" s="185" t="str">
        <f t="shared" si="154"/>
        <v/>
      </c>
      <c r="G467" s="186" t="str">
        <f t="shared" si="145"/>
        <v/>
      </c>
      <c r="H467" s="187"/>
      <c r="I467" s="188" t="str">
        <f t="shared" si="155"/>
        <v/>
      </c>
      <c r="J467" s="188" t="str">
        <f t="shared" si="156"/>
        <v/>
      </c>
      <c r="K467" s="189" t="str">
        <f t="shared" si="157"/>
        <v/>
      </c>
      <c r="L467" s="189" t="str">
        <f t="shared" si="158"/>
        <v/>
      </c>
      <c r="M467" s="190"/>
      <c r="N467" s="190"/>
      <c r="O467" s="188" t="str">
        <f t="shared" si="159"/>
        <v/>
      </c>
      <c r="P467" s="191" t="str">
        <f t="shared" si="146"/>
        <v/>
      </c>
      <c r="Q467" s="192" t="str">
        <f t="shared" si="160"/>
        <v/>
      </c>
      <c r="R467" s="191" t="str">
        <f t="shared" si="147"/>
        <v/>
      </c>
      <c r="S467" s="193" t="str">
        <f t="shared" si="161"/>
        <v/>
      </c>
      <c r="T467" s="194" t="str">
        <f t="shared" si="148"/>
        <v/>
      </c>
      <c r="U467" s="192" t="str">
        <f t="shared" si="162"/>
        <v/>
      </c>
      <c r="V467" s="195" t="str">
        <f t="shared" si="149"/>
        <v/>
      </c>
      <c r="W467" s="195" t="str">
        <f t="shared" si="150"/>
        <v/>
      </c>
      <c r="X467" s="196" t="str">
        <f t="shared" si="163"/>
        <v/>
      </c>
      <c r="Y467" s="191" t="str">
        <f t="shared" si="144"/>
        <v/>
      </c>
      <c r="Z467" s="197" t="str">
        <f t="shared" si="151"/>
        <v/>
      </c>
      <c r="AA467" s="197" t="str">
        <f t="shared" si="152"/>
        <v/>
      </c>
      <c r="AB467" s="218"/>
      <c r="AC467" s="205"/>
    </row>
    <row r="468" spans="1:29">
      <c r="A468" s="219" t="str">
        <f t="shared" si="153"/>
        <v/>
      </c>
      <c r="B468" s="219"/>
      <c r="C468" s="184"/>
      <c r="D468" s="185"/>
      <c r="E468" s="185" t="str">
        <f>IF(OR(C468="",C468=Data!$B$3),"",IF(C468=Data!$B$2,"L","S"))</f>
        <v/>
      </c>
      <c r="F468" s="185" t="str">
        <f t="shared" si="154"/>
        <v/>
      </c>
      <c r="G468" s="186" t="str">
        <f t="shared" si="145"/>
        <v/>
      </c>
      <c r="H468" s="187"/>
      <c r="I468" s="188" t="str">
        <f t="shared" si="155"/>
        <v/>
      </c>
      <c r="J468" s="188" t="str">
        <f t="shared" si="156"/>
        <v/>
      </c>
      <c r="K468" s="189" t="str">
        <f t="shared" si="157"/>
        <v/>
      </c>
      <c r="L468" s="189" t="str">
        <f t="shared" si="158"/>
        <v/>
      </c>
      <c r="M468" s="190"/>
      <c r="N468" s="190"/>
      <c r="O468" s="188" t="str">
        <f t="shared" si="159"/>
        <v/>
      </c>
      <c r="P468" s="191" t="str">
        <f t="shared" si="146"/>
        <v/>
      </c>
      <c r="Q468" s="192" t="str">
        <f t="shared" si="160"/>
        <v/>
      </c>
      <c r="R468" s="191" t="str">
        <f t="shared" si="147"/>
        <v/>
      </c>
      <c r="S468" s="193" t="str">
        <f t="shared" si="161"/>
        <v/>
      </c>
      <c r="T468" s="194" t="str">
        <f t="shared" si="148"/>
        <v/>
      </c>
      <c r="U468" s="192" t="str">
        <f t="shared" si="162"/>
        <v/>
      </c>
      <c r="V468" s="195" t="str">
        <f t="shared" si="149"/>
        <v/>
      </c>
      <c r="W468" s="195" t="str">
        <f t="shared" si="150"/>
        <v/>
      </c>
      <c r="X468" s="196" t="str">
        <f t="shared" si="163"/>
        <v/>
      </c>
      <c r="Y468" s="191" t="str">
        <f t="shared" ref="Y468:Y531" si="164">IF(Y467="","",IF(T468="","",Y467+T468))</f>
        <v/>
      </c>
      <c r="Z468" s="197" t="str">
        <f t="shared" si="151"/>
        <v/>
      </c>
      <c r="AA468" s="197" t="str">
        <f t="shared" si="152"/>
        <v/>
      </c>
      <c r="AB468" s="218"/>
      <c r="AC468" s="205"/>
    </row>
    <row r="469" spans="1:29">
      <c r="A469" s="219" t="str">
        <f t="shared" si="153"/>
        <v/>
      </c>
      <c r="B469" s="219"/>
      <c r="C469" s="184"/>
      <c r="D469" s="185"/>
      <c r="E469" s="185" t="str">
        <f>IF(OR(C469="",C469=Data!$B$3),"",IF(C469=Data!$B$2,"L","S"))</f>
        <v/>
      </c>
      <c r="F469" s="185" t="str">
        <f t="shared" si="154"/>
        <v/>
      </c>
      <c r="G469" s="186" t="str">
        <f t="shared" si="145"/>
        <v/>
      </c>
      <c r="H469" s="187"/>
      <c r="I469" s="188" t="str">
        <f t="shared" si="155"/>
        <v/>
      </c>
      <c r="J469" s="188" t="str">
        <f t="shared" si="156"/>
        <v/>
      </c>
      <c r="K469" s="189" t="str">
        <f t="shared" si="157"/>
        <v/>
      </c>
      <c r="L469" s="189" t="str">
        <f t="shared" si="158"/>
        <v/>
      </c>
      <c r="M469" s="190"/>
      <c r="N469" s="190"/>
      <c r="O469" s="188" t="str">
        <f t="shared" si="159"/>
        <v/>
      </c>
      <c r="P469" s="191" t="str">
        <f t="shared" si="146"/>
        <v/>
      </c>
      <c r="Q469" s="192" t="str">
        <f t="shared" si="160"/>
        <v/>
      </c>
      <c r="R469" s="191" t="str">
        <f t="shared" si="147"/>
        <v/>
      </c>
      <c r="S469" s="193" t="str">
        <f t="shared" si="161"/>
        <v/>
      </c>
      <c r="T469" s="194" t="str">
        <f t="shared" si="148"/>
        <v/>
      </c>
      <c r="U469" s="192" t="str">
        <f t="shared" si="162"/>
        <v/>
      </c>
      <c r="V469" s="195" t="str">
        <f t="shared" si="149"/>
        <v/>
      </c>
      <c r="W469" s="195" t="str">
        <f t="shared" si="150"/>
        <v/>
      </c>
      <c r="X469" s="196" t="str">
        <f t="shared" si="163"/>
        <v/>
      </c>
      <c r="Y469" s="191" t="str">
        <f t="shared" si="164"/>
        <v/>
      </c>
      <c r="Z469" s="197" t="str">
        <f t="shared" si="151"/>
        <v/>
      </c>
      <c r="AA469" s="197" t="str">
        <f t="shared" si="152"/>
        <v/>
      </c>
      <c r="AB469" s="218"/>
      <c r="AC469" s="205"/>
    </row>
    <row r="470" spans="1:29">
      <c r="A470" s="219" t="str">
        <f t="shared" si="153"/>
        <v/>
      </c>
      <c r="B470" s="219"/>
      <c r="C470" s="184"/>
      <c r="D470" s="185"/>
      <c r="E470" s="185" t="str">
        <f>IF(OR(C470="",C470=Data!$B$3),"",IF(C470=Data!$B$2,"L","S"))</f>
        <v/>
      </c>
      <c r="F470" s="185" t="str">
        <f t="shared" si="154"/>
        <v/>
      </c>
      <c r="G470" s="186" t="str">
        <f t="shared" si="145"/>
        <v/>
      </c>
      <c r="H470" s="187"/>
      <c r="I470" s="188" t="str">
        <f t="shared" si="155"/>
        <v/>
      </c>
      <c r="J470" s="188" t="str">
        <f t="shared" si="156"/>
        <v/>
      </c>
      <c r="K470" s="189" t="str">
        <f t="shared" si="157"/>
        <v/>
      </c>
      <c r="L470" s="189" t="str">
        <f t="shared" si="158"/>
        <v/>
      </c>
      <c r="M470" s="190"/>
      <c r="N470" s="190"/>
      <c r="O470" s="188" t="str">
        <f t="shared" si="159"/>
        <v/>
      </c>
      <c r="P470" s="191" t="str">
        <f t="shared" si="146"/>
        <v/>
      </c>
      <c r="Q470" s="192" t="str">
        <f t="shared" si="160"/>
        <v/>
      </c>
      <c r="R470" s="191" t="str">
        <f t="shared" si="147"/>
        <v/>
      </c>
      <c r="S470" s="193" t="str">
        <f t="shared" si="161"/>
        <v/>
      </c>
      <c r="T470" s="194" t="str">
        <f t="shared" si="148"/>
        <v/>
      </c>
      <c r="U470" s="192" t="str">
        <f t="shared" si="162"/>
        <v/>
      </c>
      <c r="V470" s="195" t="str">
        <f t="shared" si="149"/>
        <v/>
      </c>
      <c r="W470" s="195" t="str">
        <f t="shared" si="150"/>
        <v/>
      </c>
      <c r="X470" s="196" t="str">
        <f t="shared" si="163"/>
        <v/>
      </c>
      <c r="Y470" s="191" t="str">
        <f t="shared" si="164"/>
        <v/>
      </c>
      <c r="Z470" s="197" t="str">
        <f t="shared" si="151"/>
        <v/>
      </c>
      <c r="AA470" s="197" t="str">
        <f t="shared" si="152"/>
        <v/>
      </c>
      <c r="AB470" s="218"/>
      <c r="AC470" s="205"/>
    </row>
    <row r="471" spans="1:29">
      <c r="A471" s="219" t="str">
        <f t="shared" si="153"/>
        <v/>
      </c>
      <c r="B471" s="219"/>
      <c r="C471" s="184"/>
      <c r="D471" s="185"/>
      <c r="E471" s="185" t="str">
        <f>IF(OR(C471="",C471=Data!$B$3),"",IF(C471=Data!$B$2,"L","S"))</f>
        <v/>
      </c>
      <c r="F471" s="185" t="str">
        <f t="shared" si="154"/>
        <v/>
      </c>
      <c r="G471" s="186" t="str">
        <f t="shared" si="145"/>
        <v/>
      </c>
      <c r="H471" s="187"/>
      <c r="I471" s="188" t="str">
        <f t="shared" si="155"/>
        <v/>
      </c>
      <c r="J471" s="188" t="str">
        <f t="shared" si="156"/>
        <v/>
      </c>
      <c r="K471" s="189" t="str">
        <f t="shared" si="157"/>
        <v/>
      </c>
      <c r="L471" s="189" t="str">
        <f t="shared" si="158"/>
        <v/>
      </c>
      <c r="M471" s="190"/>
      <c r="N471" s="190"/>
      <c r="O471" s="188" t="str">
        <f t="shared" si="159"/>
        <v/>
      </c>
      <c r="P471" s="191" t="str">
        <f t="shared" si="146"/>
        <v/>
      </c>
      <c r="Q471" s="192" t="str">
        <f t="shared" si="160"/>
        <v/>
      </c>
      <c r="R471" s="191" t="str">
        <f t="shared" si="147"/>
        <v/>
      </c>
      <c r="S471" s="193" t="str">
        <f t="shared" si="161"/>
        <v/>
      </c>
      <c r="T471" s="194" t="str">
        <f t="shared" si="148"/>
        <v/>
      </c>
      <c r="U471" s="192" t="str">
        <f t="shared" si="162"/>
        <v/>
      </c>
      <c r="V471" s="195" t="str">
        <f t="shared" si="149"/>
        <v/>
      </c>
      <c r="W471" s="195" t="str">
        <f t="shared" si="150"/>
        <v/>
      </c>
      <c r="X471" s="196" t="str">
        <f t="shared" si="163"/>
        <v/>
      </c>
      <c r="Y471" s="191" t="str">
        <f t="shared" si="164"/>
        <v/>
      </c>
      <c r="Z471" s="197" t="str">
        <f t="shared" si="151"/>
        <v/>
      </c>
      <c r="AA471" s="197" t="str">
        <f t="shared" si="152"/>
        <v/>
      </c>
      <c r="AB471" s="218"/>
      <c r="AC471" s="205"/>
    </row>
    <row r="472" spans="1:29">
      <c r="A472" s="219" t="str">
        <f t="shared" si="153"/>
        <v/>
      </c>
      <c r="B472" s="219"/>
      <c r="C472" s="184"/>
      <c r="D472" s="185"/>
      <c r="E472" s="185" t="str">
        <f>IF(OR(C472="",C472=Data!$B$3),"",IF(C472=Data!$B$2,"L","S"))</f>
        <v/>
      </c>
      <c r="F472" s="185" t="str">
        <f t="shared" si="154"/>
        <v/>
      </c>
      <c r="G472" s="186" t="str">
        <f t="shared" si="145"/>
        <v/>
      </c>
      <c r="H472" s="187"/>
      <c r="I472" s="188" t="str">
        <f t="shared" si="155"/>
        <v/>
      </c>
      <c r="J472" s="188" t="str">
        <f t="shared" si="156"/>
        <v/>
      </c>
      <c r="K472" s="189" t="str">
        <f t="shared" si="157"/>
        <v/>
      </c>
      <c r="L472" s="189" t="str">
        <f t="shared" si="158"/>
        <v/>
      </c>
      <c r="M472" s="190"/>
      <c r="N472" s="190"/>
      <c r="O472" s="188" t="str">
        <f t="shared" si="159"/>
        <v/>
      </c>
      <c r="P472" s="191" t="str">
        <f t="shared" si="146"/>
        <v/>
      </c>
      <c r="Q472" s="192" t="str">
        <f t="shared" si="160"/>
        <v/>
      </c>
      <c r="R472" s="191" t="str">
        <f t="shared" si="147"/>
        <v/>
      </c>
      <c r="S472" s="193" t="str">
        <f t="shared" si="161"/>
        <v/>
      </c>
      <c r="T472" s="194" t="str">
        <f t="shared" si="148"/>
        <v/>
      </c>
      <c r="U472" s="192" t="str">
        <f t="shared" si="162"/>
        <v/>
      </c>
      <c r="V472" s="195" t="str">
        <f t="shared" si="149"/>
        <v/>
      </c>
      <c r="W472" s="195" t="str">
        <f t="shared" si="150"/>
        <v/>
      </c>
      <c r="X472" s="196" t="str">
        <f t="shared" si="163"/>
        <v/>
      </c>
      <c r="Y472" s="191" t="str">
        <f t="shared" si="164"/>
        <v/>
      </c>
      <c r="Z472" s="197" t="str">
        <f t="shared" si="151"/>
        <v/>
      </c>
      <c r="AA472" s="197" t="str">
        <f t="shared" si="152"/>
        <v/>
      </c>
      <c r="AB472" s="218"/>
      <c r="AC472" s="205"/>
    </row>
    <row r="473" spans="1:29">
      <c r="A473" s="219" t="str">
        <f t="shared" si="153"/>
        <v/>
      </c>
      <c r="B473" s="219"/>
      <c r="C473" s="184"/>
      <c r="D473" s="185"/>
      <c r="E473" s="185" t="str">
        <f>IF(OR(C473="",C473=Data!$B$3),"",IF(C473=Data!$B$2,"L","S"))</f>
        <v/>
      </c>
      <c r="F473" s="185" t="str">
        <f t="shared" si="154"/>
        <v/>
      </c>
      <c r="G473" s="186" t="str">
        <f t="shared" si="145"/>
        <v/>
      </c>
      <c r="H473" s="187"/>
      <c r="I473" s="188" t="str">
        <f t="shared" si="155"/>
        <v/>
      </c>
      <c r="J473" s="188" t="str">
        <f t="shared" si="156"/>
        <v/>
      </c>
      <c r="K473" s="189" t="str">
        <f t="shared" si="157"/>
        <v/>
      </c>
      <c r="L473" s="189" t="str">
        <f t="shared" si="158"/>
        <v/>
      </c>
      <c r="M473" s="190"/>
      <c r="N473" s="190"/>
      <c r="O473" s="188" t="str">
        <f t="shared" si="159"/>
        <v/>
      </c>
      <c r="P473" s="191" t="str">
        <f t="shared" si="146"/>
        <v/>
      </c>
      <c r="Q473" s="192" t="str">
        <f t="shared" si="160"/>
        <v/>
      </c>
      <c r="R473" s="191" t="str">
        <f t="shared" si="147"/>
        <v/>
      </c>
      <c r="S473" s="193" t="str">
        <f t="shared" si="161"/>
        <v/>
      </c>
      <c r="T473" s="194" t="str">
        <f t="shared" si="148"/>
        <v/>
      </c>
      <c r="U473" s="192" t="str">
        <f t="shared" si="162"/>
        <v/>
      </c>
      <c r="V473" s="195" t="str">
        <f t="shared" si="149"/>
        <v/>
      </c>
      <c r="W473" s="195" t="str">
        <f t="shared" si="150"/>
        <v/>
      </c>
      <c r="X473" s="196" t="str">
        <f t="shared" si="163"/>
        <v/>
      </c>
      <c r="Y473" s="191" t="str">
        <f t="shared" si="164"/>
        <v/>
      </c>
      <c r="Z473" s="197" t="str">
        <f t="shared" si="151"/>
        <v/>
      </c>
      <c r="AA473" s="197" t="str">
        <f t="shared" si="152"/>
        <v/>
      </c>
      <c r="AB473" s="218"/>
      <c r="AC473" s="205"/>
    </row>
    <row r="474" spans="1:29">
      <c r="A474" s="219" t="str">
        <f t="shared" si="153"/>
        <v/>
      </c>
      <c r="B474" s="219"/>
      <c r="C474" s="184"/>
      <c r="D474" s="185"/>
      <c r="E474" s="185" t="str">
        <f>IF(OR(C474="",C474=Data!$B$3),"",IF(C474=Data!$B$2,"L","S"))</f>
        <v/>
      </c>
      <c r="F474" s="185" t="str">
        <f t="shared" si="154"/>
        <v/>
      </c>
      <c r="G474" s="186" t="str">
        <f t="shared" si="145"/>
        <v/>
      </c>
      <c r="H474" s="187"/>
      <c r="I474" s="188" t="str">
        <f t="shared" si="155"/>
        <v/>
      </c>
      <c r="J474" s="188" t="str">
        <f t="shared" si="156"/>
        <v/>
      </c>
      <c r="K474" s="189" t="str">
        <f t="shared" si="157"/>
        <v/>
      </c>
      <c r="L474" s="189" t="str">
        <f t="shared" si="158"/>
        <v/>
      </c>
      <c r="M474" s="190"/>
      <c r="N474" s="190"/>
      <c r="O474" s="188" t="str">
        <f t="shared" si="159"/>
        <v/>
      </c>
      <c r="P474" s="191" t="str">
        <f t="shared" si="146"/>
        <v/>
      </c>
      <c r="Q474" s="192" t="str">
        <f t="shared" si="160"/>
        <v/>
      </c>
      <c r="R474" s="191" t="str">
        <f t="shared" si="147"/>
        <v/>
      </c>
      <c r="S474" s="193" t="str">
        <f t="shared" si="161"/>
        <v/>
      </c>
      <c r="T474" s="194" t="str">
        <f t="shared" si="148"/>
        <v/>
      </c>
      <c r="U474" s="192" t="str">
        <f t="shared" si="162"/>
        <v/>
      </c>
      <c r="V474" s="195" t="str">
        <f t="shared" si="149"/>
        <v/>
      </c>
      <c r="W474" s="195" t="str">
        <f t="shared" si="150"/>
        <v/>
      </c>
      <c r="X474" s="196" t="str">
        <f t="shared" si="163"/>
        <v/>
      </c>
      <c r="Y474" s="191" t="str">
        <f t="shared" si="164"/>
        <v/>
      </c>
      <c r="Z474" s="197" t="str">
        <f t="shared" si="151"/>
        <v/>
      </c>
      <c r="AA474" s="197" t="str">
        <f t="shared" si="152"/>
        <v/>
      </c>
      <c r="AB474" s="218"/>
      <c r="AC474" s="205"/>
    </row>
    <row r="475" spans="1:29">
      <c r="A475" s="219" t="str">
        <f t="shared" si="153"/>
        <v/>
      </c>
      <c r="B475" s="219"/>
      <c r="C475" s="184"/>
      <c r="D475" s="185"/>
      <c r="E475" s="185" t="str">
        <f>IF(OR(C475="",C475=Data!$B$3),"",IF(C475=Data!$B$2,"L","S"))</f>
        <v/>
      </c>
      <c r="F475" s="185" t="str">
        <f t="shared" si="154"/>
        <v/>
      </c>
      <c r="G475" s="186" t="str">
        <f t="shared" si="145"/>
        <v/>
      </c>
      <c r="H475" s="187"/>
      <c r="I475" s="188" t="str">
        <f t="shared" si="155"/>
        <v/>
      </c>
      <c r="J475" s="188" t="str">
        <f t="shared" si="156"/>
        <v/>
      </c>
      <c r="K475" s="189" t="str">
        <f t="shared" si="157"/>
        <v/>
      </c>
      <c r="L475" s="189" t="str">
        <f t="shared" si="158"/>
        <v/>
      </c>
      <c r="M475" s="190"/>
      <c r="N475" s="190"/>
      <c r="O475" s="188" t="str">
        <f t="shared" si="159"/>
        <v/>
      </c>
      <c r="P475" s="191" t="str">
        <f t="shared" si="146"/>
        <v/>
      </c>
      <c r="Q475" s="192" t="str">
        <f t="shared" si="160"/>
        <v/>
      </c>
      <c r="R475" s="191" t="str">
        <f t="shared" si="147"/>
        <v/>
      </c>
      <c r="S475" s="193" t="str">
        <f t="shared" si="161"/>
        <v/>
      </c>
      <c r="T475" s="194" t="str">
        <f t="shared" si="148"/>
        <v/>
      </c>
      <c r="U475" s="192" t="str">
        <f t="shared" si="162"/>
        <v/>
      </c>
      <c r="V475" s="195" t="str">
        <f t="shared" si="149"/>
        <v/>
      </c>
      <c r="W475" s="195" t="str">
        <f t="shared" si="150"/>
        <v/>
      </c>
      <c r="X475" s="196" t="str">
        <f t="shared" si="163"/>
        <v/>
      </c>
      <c r="Y475" s="191" t="str">
        <f t="shared" si="164"/>
        <v/>
      </c>
      <c r="Z475" s="197" t="str">
        <f t="shared" si="151"/>
        <v/>
      </c>
      <c r="AA475" s="197" t="str">
        <f t="shared" si="152"/>
        <v/>
      </c>
      <c r="AB475" s="218"/>
      <c r="AC475" s="205"/>
    </row>
    <row r="476" spans="1:29">
      <c r="A476" s="219" t="str">
        <f t="shared" si="153"/>
        <v/>
      </c>
      <c r="B476" s="219"/>
      <c r="C476" s="184"/>
      <c r="D476" s="185"/>
      <c r="E476" s="185" t="str">
        <f>IF(OR(C476="",C476=Data!$B$3),"",IF(C476=Data!$B$2,"L","S"))</f>
        <v/>
      </c>
      <c r="F476" s="185" t="str">
        <f t="shared" si="154"/>
        <v/>
      </c>
      <c r="G476" s="186" t="str">
        <f t="shared" si="145"/>
        <v/>
      </c>
      <c r="H476" s="187"/>
      <c r="I476" s="188" t="str">
        <f t="shared" si="155"/>
        <v/>
      </c>
      <c r="J476" s="188" t="str">
        <f t="shared" si="156"/>
        <v/>
      </c>
      <c r="K476" s="189" t="str">
        <f t="shared" si="157"/>
        <v/>
      </c>
      <c r="L476" s="189" t="str">
        <f t="shared" si="158"/>
        <v/>
      </c>
      <c r="M476" s="190"/>
      <c r="N476" s="190"/>
      <c r="O476" s="188" t="str">
        <f t="shared" si="159"/>
        <v/>
      </c>
      <c r="P476" s="191" t="str">
        <f t="shared" si="146"/>
        <v/>
      </c>
      <c r="Q476" s="192" t="str">
        <f t="shared" si="160"/>
        <v/>
      </c>
      <c r="R476" s="191" t="str">
        <f t="shared" si="147"/>
        <v/>
      </c>
      <c r="S476" s="193" t="str">
        <f t="shared" si="161"/>
        <v/>
      </c>
      <c r="T476" s="194" t="str">
        <f t="shared" si="148"/>
        <v/>
      </c>
      <c r="U476" s="192" t="str">
        <f t="shared" si="162"/>
        <v/>
      </c>
      <c r="V476" s="195" t="str">
        <f t="shared" si="149"/>
        <v/>
      </c>
      <c r="W476" s="195" t="str">
        <f t="shared" si="150"/>
        <v/>
      </c>
      <c r="X476" s="196" t="str">
        <f t="shared" si="163"/>
        <v/>
      </c>
      <c r="Y476" s="191" t="str">
        <f t="shared" si="164"/>
        <v/>
      </c>
      <c r="Z476" s="197" t="str">
        <f t="shared" si="151"/>
        <v/>
      </c>
      <c r="AA476" s="197" t="str">
        <f t="shared" si="152"/>
        <v/>
      </c>
      <c r="AB476" s="218"/>
      <c r="AC476" s="205"/>
    </row>
    <row r="477" spans="1:29">
      <c r="A477" s="219" t="str">
        <f t="shared" si="153"/>
        <v/>
      </c>
      <c r="B477" s="219"/>
      <c r="C477" s="184"/>
      <c r="D477" s="185"/>
      <c r="E477" s="185" t="str">
        <f>IF(OR(C477="",C477=Data!$B$3),"",IF(C477=Data!$B$2,"L","S"))</f>
        <v/>
      </c>
      <c r="F477" s="185" t="str">
        <f t="shared" si="154"/>
        <v/>
      </c>
      <c r="G477" s="186" t="str">
        <f t="shared" si="145"/>
        <v/>
      </c>
      <c r="H477" s="187"/>
      <c r="I477" s="188" t="str">
        <f t="shared" si="155"/>
        <v/>
      </c>
      <c r="J477" s="188" t="str">
        <f t="shared" si="156"/>
        <v/>
      </c>
      <c r="K477" s="189" t="str">
        <f t="shared" si="157"/>
        <v/>
      </c>
      <c r="L477" s="189" t="str">
        <f t="shared" si="158"/>
        <v/>
      </c>
      <c r="M477" s="190"/>
      <c r="N477" s="190"/>
      <c r="O477" s="188" t="str">
        <f t="shared" si="159"/>
        <v/>
      </c>
      <c r="P477" s="191" t="str">
        <f t="shared" si="146"/>
        <v/>
      </c>
      <c r="Q477" s="192" t="str">
        <f t="shared" si="160"/>
        <v/>
      </c>
      <c r="R477" s="191" t="str">
        <f t="shared" si="147"/>
        <v/>
      </c>
      <c r="S477" s="193" t="str">
        <f t="shared" si="161"/>
        <v/>
      </c>
      <c r="T477" s="194" t="str">
        <f t="shared" si="148"/>
        <v/>
      </c>
      <c r="U477" s="192" t="str">
        <f t="shared" si="162"/>
        <v/>
      </c>
      <c r="V477" s="195" t="str">
        <f t="shared" si="149"/>
        <v/>
      </c>
      <c r="W477" s="195" t="str">
        <f t="shared" si="150"/>
        <v/>
      </c>
      <c r="X477" s="196" t="str">
        <f t="shared" si="163"/>
        <v/>
      </c>
      <c r="Y477" s="191" t="str">
        <f t="shared" si="164"/>
        <v/>
      </c>
      <c r="Z477" s="197" t="str">
        <f t="shared" si="151"/>
        <v/>
      </c>
      <c r="AA477" s="197" t="str">
        <f t="shared" si="152"/>
        <v/>
      </c>
      <c r="AB477" s="218"/>
      <c r="AC477" s="205"/>
    </row>
    <row r="478" spans="1:29">
      <c r="A478" s="219" t="str">
        <f t="shared" si="153"/>
        <v/>
      </c>
      <c r="B478" s="219"/>
      <c r="C478" s="184"/>
      <c r="D478" s="185"/>
      <c r="E478" s="185" t="str">
        <f>IF(OR(C478="",C478=Data!$B$3),"",IF(C478=Data!$B$2,"L","S"))</f>
        <v/>
      </c>
      <c r="F478" s="185" t="str">
        <f t="shared" si="154"/>
        <v/>
      </c>
      <c r="G478" s="186" t="str">
        <f t="shared" si="145"/>
        <v/>
      </c>
      <c r="H478" s="187"/>
      <c r="I478" s="188" t="str">
        <f t="shared" si="155"/>
        <v/>
      </c>
      <c r="J478" s="188" t="str">
        <f t="shared" si="156"/>
        <v/>
      </c>
      <c r="K478" s="189" t="str">
        <f t="shared" si="157"/>
        <v/>
      </c>
      <c r="L478" s="189" t="str">
        <f t="shared" si="158"/>
        <v/>
      </c>
      <c r="M478" s="190"/>
      <c r="N478" s="190"/>
      <c r="O478" s="188" t="str">
        <f t="shared" si="159"/>
        <v/>
      </c>
      <c r="P478" s="191" t="str">
        <f t="shared" si="146"/>
        <v/>
      </c>
      <c r="Q478" s="192" t="str">
        <f t="shared" si="160"/>
        <v/>
      </c>
      <c r="R478" s="191" t="str">
        <f t="shared" si="147"/>
        <v/>
      </c>
      <c r="S478" s="193" t="str">
        <f t="shared" si="161"/>
        <v/>
      </c>
      <c r="T478" s="194" t="str">
        <f t="shared" si="148"/>
        <v/>
      </c>
      <c r="U478" s="192" t="str">
        <f t="shared" si="162"/>
        <v/>
      </c>
      <c r="V478" s="195" t="str">
        <f t="shared" si="149"/>
        <v/>
      </c>
      <c r="W478" s="195" t="str">
        <f t="shared" si="150"/>
        <v/>
      </c>
      <c r="X478" s="196" t="str">
        <f t="shared" si="163"/>
        <v/>
      </c>
      <c r="Y478" s="191" t="str">
        <f t="shared" si="164"/>
        <v/>
      </c>
      <c r="Z478" s="197" t="str">
        <f t="shared" si="151"/>
        <v/>
      </c>
      <c r="AA478" s="197" t="str">
        <f t="shared" si="152"/>
        <v/>
      </c>
      <c r="AB478" s="218"/>
      <c r="AC478" s="205"/>
    </row>
    <row r="479" spans="1:29">
      <c r="A479" s="219" t="str">
        <f t="shared" si="153"/>
        <v/>
      </c>
      <c r="B479" s="219"/>
      <c r="C479" s="184"/>
      <c r="D479" s="185"/>
      <c r="E479" s="185" t="str">
        <f>IF(OR(C479="",C479=Data!$B$3),"",IF(C479=Data!$B$2,"L","S"))</f>
        <v/>
      </c>
      <c r="F479" s="185" t="str">
        <f t="shared" si="154"/>
        <v/>
      </c>
      <c r="G479" s="186" t="str">
        <f t="shared" si="145"/>
        <v/>
      </c>
      <c r="H479" s="187"/>
      <c r="I479" s="188" t="str">
        <f t="shared" si="155"/>
        <v/>
      </c>
      <c r="J479" s="188" t="str">
        <f t="shared" si="156"/>
        <v/>
      </c>
      <c r="K479" s="189" t="str">
        <f t="shared" si="157"/>
        <v/>
      </c>
      <c r="L479" s="189" t="str">
        <f t="shared" si="158"/>
        <v/>
      </c>
      <c r="M479" s="190"/>
      <c r="N479" s="190"/>
      <c r="O479" s="188" t="str">
        <f t="shared" si="159"/>
        <v/>
      </c>
      <c r="P479" s="191" t="str">
        <f t="shared" si="146"/>
        <v/>
      </c>
      <c r="Q479" s="192" t="str">
        <f t="shared" si="160"/>
        <v/>
      </c>
      <c r="R479" s="191" t="str">
        <f t="shared" si="147"/>
        <v/>
      </c>
      <c r="S479" s="193" t="str">
        <f t="shared" si="161"/>
        <v/>
      </c>
      <c r="T479" s="194" t="str">
        <f t="shared" si="148"/>
        <v/>
      </c>
      <c r="U479" s="192" t="str">
        <f t="shared" si="162"/>
        <v/>
      </c>
      <c r="V479" s="195" t="str">
        <f t="shared" si="149"/>
        <v/>
      </c>
      <c r="W479" s="195" t="str">
        <f t="shared" si="150"/>
        <v/>
      </c>
      <c r="X479" s="196" t="str">
        <f t="shared" si="163"/>
        <v/>
      </c>
      <c r="Y479" s="191" t="str">
        <f t="shared" si="164"/>
        <v/>
      </c>
      <c r="Z479" s="197" t="str">
        <f t="shared" si="151"/>
        <v/>
      </c>
      <c r="AA479" s="197" t="str">
        <f t="shared" si="152"/>
        <v/>
      </c>
      <c r="AB479" s="218"/>
      <c r="AC479" s="205"/>
    </row>
    <row r="480" spans="1:29">
      <c r="A480" s="219" t="str">
        <f t="shared" si="153"/>
        <v/>
      </c>
      <c r="B480" s="219"/>
      <c r="C480" s="184"/>
      <c r="D480" s="185"/>
      <c r="E480" s="185" t="str">
        <f>IF(OR(C480="",C480=Data!$B$3),"",IF(C480=Data!$B$2,"L","S"))</f>
        <v/>
      </c>
      <c r="F480" s="185" t="str">
        <f t="shared" si="154"/>
        <v/>
      </c>
      <c r="G480" s="186" t="str">
        <f t="shared" si="145"/>
        <v/>
      </c>
      <c r="H480" s="187"/>
      <c r="I480" s="188" t="str">
        <f t="shared" si="155"/>
        <v/>
      </c>
      <c r="J480" s="188" t="str">
        <f t="shared" si="156"/>
        <v/>
      </c>
      <c r="K480" s="189" t="str">
        <f t="shared" si="157"/>
        <v/>
      </c>
      <c r="L480" s="189" t="str">
        <f t="shared" si="158"/>
        <v/>
      </c>
      <c r="M480" s="190"/>
      <c r="N480" s="190"/>
      <c r="O480" s="188" t="str">
        <f t="shared" si="159"/>
        <v/>
      </c>
      <c r="P480" s="191" t="str">
        <f t="shared" si="146"/>
        <v/>
      </c>
      <c r="Q480" s="192" t="str">
        <f t="shared" si="160"/>
        <v/>
      </c>
      <c r="R480" s="191" t="str">
        <f t="shared" si="147"/>
        <v/>
      </c>
      <c r="S480" s="193" t="str">
        <f t="shared" si="161"/>
        <v/>
      </c>
      <c r="T480" s="194" t="str">
        <f t="shared" si="148"/>
        <v/>
      </c>
      <c r="U480" s="192" t="str">
        <f t="shared" si="162"/>
        <v/>
      </c>
      <c r="V480" s="195" t="str">
        <f t="shared" si="149"/>
        <v/>
      </c>
      <c r="W480" s="195" t="str">
        <f t="shared" si="150"/>
        <v/>
      </c>
      <c r="X480" s="196" t="str">
        <f t="shared" si="163"/>
        <v/>
      </c>
      <c r="Y480" s="191" t="str">
        <f t="shared" si="164"/>
        <v/>
      </c>
      <c r="Z480" s="197" t="str">
        <f t="shared" si="151"/>
        <v/>
      </c>
      <c r="AA480" s="197" t="str">
        <f t="shared" si="152"/>
        <v/>
      </c>
      <c r="AB480" s="218"/>
      <c r="AC480" s="205"/>
    </row>
    <row r="481" spans="1:29">
      <c r="A481" s="219" t="str">
        <f t="shared" si="153"/>
        <v/>
      </c>
      <c r="B481" s="219"/>
      <c r="C481" s="184"/>
      <c r="D481" s="185"/>
      <c r="E481" s="185" t="str">
        <f>IF(OR(C481="",C481=Data!$B$3),"",IF(C481=Data!$B$2,"L","S"))</f>
        <v/>
      </c>
      <c r="F481" s="185" t="str">
        <f t="shared" si="154"/>
        <v/>
      </c>
      <c r="G481" s="186" t="str">
        <f t="shared" si="145"/>
        <v/>
      </c>
      <c r="H481" s="187"/>
      <c r="I481" s="188" t="str">
        <f t="shared" si="155"/>
        <v/>
      </c>
      <c r="J481" s="188" t="str">
        <f t="shared" si="156"/>
        <v/>
      </c>
      <c r="K481" s="189" t="str">
        <f t="shared" si="157"/>
        <v/>
      </c>
      <c r="L481" s="189" t="str">
        <f t="shared" si="158"/>
        <v/>
      </c>
      <c r="M481" s="190"/>
      <c r="N481" s="190"/>
      <c r="O481" s="188" t="str">
        <f t="shared" si="159"/>
        <v/>
      </c>
      <c r="P481" s="191" t="str">
        <f t="shared" si="146"/>
        <v/>
      </c>
      <c r="Q481" s="192" t="str">
        <f t="shared" si="160"/>
        <v/>
      </c>
      <c r="R481" s="191" t="str">
        <f t="shared" si="147"/>
        <v/>
      </c>
      <c r="S481" s="193" t="str">
        <f t="shared" si="161"/>
        <v/>
      </c>
      <c r="T481" s="194" t="str">
        <f t="shared" si="148"/>
        <v/>
      </c>
      <c r="U481" s="192" t="str">
        <f t="shared" si="162"/>
        <v/>
      </c>
      <c r="V481" s="195" t="str">
        <f t="shared" si="149"/>
        <v/>
      </c>
      <c r="W481" s="195" t="str">
        <f t="shared" si="150"/>
        <v/>
      </c>
      <c r="X481" s="196" t="str">
        <f t="shared" si="163"/>
        <v/>
      </c>
      <c r="Y481" s="191" t="str">
        <f t="shared" si="164"/>
        <v/>
      </c>
      <c r="Z481" s="197" t="str">
        <f t="shared" si="151"/>
        <v/>
      </c>
      <c r="AA481" s="197" t="str">
        <f t="shared" si="152"/>
        <v/>
      </c>
      <c r="AB481" s="218"/>
      <c r="AC481" s="205"/>
    </row>
    <row r="482" spans="1:29">
      <c r="A482" s="219" t="str">
        <f t="shared" si="153"/>
        <v/>
      </c>
      <c r="B482" s="219"/>
      <c r="C482" s="184"/>
      <c r="D482" s="185"/>
      <c r="E482" s="185" t="str">
        <f>IF(OR(C482="",C482=Data!$B$3),"",IF(C482=Data!$B$2,"L","S"))</f>
        <v/>
      </c>
      <c r="F482" s="185" t="str">
        <f t="shared" si="154"/>
        <v/>
      </c>
      <c r="G482" s="186" t="str">
        <f t="shared" si="145"/>
        <v/>
      </c>
      <c r="H482" s="187"/>
      <c r="I482" s="188" t="str">
        <f t="shared" si="155"/>
        <v/>
      </c>
      <c r="J482" s="188" t="str">
        <f t="shared" si="156"/>
        <v/>
      </c>
      <c r="K482" s="189" t="str">
        <f t="shared" si="157"/>
        <v/>
      </c>
      <c r="L482" s="189" t="str">
        <f t="shared" si="158"/>
        <v/>
      </c>
      <c r="M482" s="190"/>
      <c r="N482" s="190"/>
      <c r="O482" s="188" t="str">
        <f t="shared" si="159"/>
        <v/>
      </c>
      <c r="P482" s="191" t="str">
        <f t="shared" si="146"/>
        <v/>
      </c>
      <c r="Q482" s="192" t="str">
        <f t="shared" si="160"/>
        <v/>
      </c>
      <c r="R482" s="191" t="str">
        <f t="shared" si="147"/>
        <v/>
      </c>
      <c r="S482" s="193" t="str">
        <f t="shared" si="161"/>
        <v/>
      </c>
      <c r="T482" s="194" t="str">
        <f t="shared" si="148"/>
        <v/>
      </c>
      <c r="U482" s="192" t="str">
        <f t="shared" si="162"/>
        <v/>
      </c>
      <c r="V482" s="195" t="str">
        <f t="shared" si="149"/>
        <v/>
      </c>
      <c r="W482" s="195" t="str">
        <f t="shared" si="150"/>
        <v/>
      </c>
      <c r="X482" s="196" t="str">
        <f t="shared" si="163"/>
        <v/>
      </c>
      <c r="Y482" s="191" t="str">
        <f t="shared" si="164"/>
        <v/>
      </c>
      <c r="Z482" s="197" t="str">
        <f t="shared" si="151"/>
        <v/>
      </c>
      <c r="AA482" s="197" t="str">
        <f t="shared" si="152"/>
        <v/>
      </c>
      <c r="AB482" s="218"/>
      <c r="AC482" s="205"/>
    </row>
    <row r="483" spans="1:29">
      <c r="A483" s="219" t="str">
        <f t="shared" si="153"/>
        <v/>
      </c>
      <c r="B483" s="219"/>
      <c r="C483" s="184"/>
      <c r="D483" s="185"/>
      <c r="E483" s="185" t="str">
        <f>IF(OR(C483="",C483=Data!$B$3),"",IF(C483=Data!$B$2,"L","S"))</f>
        <v/>
      </c>
      <c r="F483" s="185" t="str">
        <f t="shared" si="154"/>
        <v/>
      </c>
      <c r="G483" s="186" t="str">
        <f t="shared" si="145"/>
        <v/>
      </c>
      <c r="H483" s="187"/>
      <c r="I483" s="188" t="str">
        <f t="shared" si="155"/>
        <v/>
      </c>
      <c r="J483" s="188" t="str">
        <f t="shared" si="156"/>
        <v/>
      </c>
      <c r="K483" s="189" t="str">
        <f t="shared" si="157"/>
        <v/>
      </c>
      <c r="L483" s="189" t="str">
        <f t="shared" si="158"/>
        <v/>
      </c>
      <c r="M483" s="190"/>
      <c r="N483" s="190"/>
      <c r="O483" s="188" t="str">
        <f t="shared" si="159"/>
        <v/>
      </c>
      <c r="P483" s="191" t="str">
        <f t="shared" si="146"/>
        <v/>
      </c>
      <c r="Q483" s="192" t="str">
        <f t="shared" si="160"/>
        <v/>
      </c>
      <c r="R483" s="191" t="str">
        <f t="shared" si="147"/>
        <v/>
      </c>
      <c r="S483" s="193" t="str">
        <f t="shared" si="161"/>
        <v/>
      </c>
      <c r="T483" s="194" t="str">
        <f t="shared" si="148"/>
        <v/>
      </c>
      <c r="U483" s="192" t="str">
        <f t="shared" si="162"/>
        <v/>
      </c>
      <c r="V483" s="195" t="str">
        <f t="shared" si="149"/>
        <v/>
      </c>
      <c r="W483" s="195" t="str">
        <f t="shared" si="150"/>
        <v/>
      </c>
      <c r="X483" s="196" t="str">
        <f t="shared" si="163"/>
        <v/>
      </c>
      <c r="Y483" s="191" t="str">
        <f t="shared" si="164"/>
        <v/>
      </c>
      <c r="Z483" s="197" t="str">
        <f t="shared" si="151"/>
        <v/>
      </c>
      <c r="AA483" s="197" t="str">
        <f t="shared" si="152"/>
        <v/>
      </c>
      <c r="AB483" s="218"/>
      <c r="AC483" s="205"/>
    </row>
    <row r="484" spans="1:29">
      <c r="A484" s="219" t="str">
        <f t="shared" si="153"/>
        <v/>
      </c>
      <c r="B484" s="219"/>
      <c r="C484" s="184"/>
      <c r="D484" s="185"/>
      <c r="E484" s="185" t="str">
        <f>IF(OR(C484="",C484=Data!$B$3),"",IF(C484=Data!$B$2,"L","S"))</f>
        <v/>
      </c>
      <c r="F484" s="185" t="str">
        <f t="shared" si="154"/>
        <v/>
      </c>
      <c r="G484" s="186" t="str">
        <f t="shared" si="145"/>
        <v/>
      </c>
      <c r="H484" s="187"/>
      <c r="I484" s="188" t="str">
        <f t="shared" si="155"/>
        <v/>
      </c>
      <c r="J484" s="188" t="str">
        <f t="shared" si="156"/>
        <v/>
      </c>
      <c r="K484" s="189" t="str">
        <f t="shared" si="157"/>
        <v/>
      </c>
      <c r="L484" s="189" t="str">
        <f t="shared" si="158"/>
        <v/>
      </c>
      <c r="M484" s="190"/>
      <c r="N484" s="190"/>
      <c r="O484" s="188" t="str">
        <f t="shared" si="159"/>
        <v/>
      </c>
      <c r="P484" s="191" t="str">
        <f t="shared" si="146"/>
        <v/>
      </c>
      <c r="Q484" s="192" t="str">
        <f t="shared" si="160"/>
        <v/>
      </c>
      <c r="R484" s="191" t="str">
        <f t="shared" si="147"/>
        <v/>
      </c>
      <c r="S484" s="193" t="str">
        <f t="shared" si="161"/>
        <v/>
      </c>
      <c r="T484" s="194" t="str">
        <f t="shared" si="148"/>
        <v/>
      </c>
      <c r="U484" s="192" t="str">
        <f t="shared" si="162"/>
        <v/>
      </c>
      <c r="V484" s="195" t="str">
        <f t="shared" si="149"/>
        <v/>
      </c>
      <c r="W484" s="195" t="str">
        <f t="shared" si="150"/>
        <v/>
      </c>
      <c r="X484" s="196" t="str">
        <f t="shared" si="163"/>
        <v/>
      </c>
      <c r="Y484" s="191" t="str">
        <f t="shared" si="164"/>
        <v/>
      </c>
      <c r="Z484" s="197" t="str">
        <f t="shared" si="151"/>
        <v/>
      </c>
      <c r="AA484" s="197" t="str">
        <f t="shared" si="152"/>
        <v/>
      </c>
      <c r="AB484" s="218"/>
      <c r="AC484" s="205"/>
    </row>
    <row r="485" spans="1:29">
      <c r="A485" s="219" t="str">
        <f t="shared" si="153"/>
        <v/>
      </c>
      <c r="B485" s="219"/>
      <c r="C485" s="184"/>
      <c r="D485" s="185"/>
      <c r="E485" s="185" t="str">
        <f>IF(OR(C485="",C485=Data!$B$3),"",IF(C485=Data!$B$2,"L","S"))</f>
        <v/>
      </c>
      <c r="F485" s="185" t="str">
        <f t="shared" si="154"/>
        <v/>
      </c>
      <c r="G485" s="186" t="str">
        <f t="shared" si="145"/>
        <v/>
      </c>
      <c r="H485" s="187"/>
      <c r="I485" s="188" t="str">
        <f t="shared" si="155"/>
        <v/>
      </c>
      <c r="J485" s="188" t="str">
        <f t="shared" si="156"/>
        <v/>
      </c>
      <c r="K485" s="189" t="str">
        <f t="shared" si="157"/>
        <v/>
      </c>
      <c r="L485" s="189" t="str">
        <f t="shared" si="158"/>
        <v/>
      </c>
      <c r="M485" s="190"/>
      <c r="N485" s="190"/>
      <c r="O485" s="188" t="str">
        <f t="shared" si="159"/>
        <v/>
      </c>
      <c r="P485" s="191" t="str">
        <f t="shared" si="146"/>
        <v/>
      </c>
      <c r="Q485" s="192" t="str">
        <f t="shared" si="160"/>
        <v/>
      </c>
      <c r="R485" s="191" t="str">
        <f t="shared" si="147"/>
        <v/>
      </c>
      <c r="S485" s="193" t="str">
        <f t="shared" si="161"/>
        <v/>
      </c>
      <c r="T485" s="194" t="str">
        <f t="shared" si="148"/>
        <v/>
      </c>
      <c r="U485" s="192" t="str">
        <f t="shared" si="162"/>
        <v/>
      </c>
      <c r="V485" s="195" t="str">
        <f t="shared" si="149"/>
        <v/>
      </c>
      <c r="W485" s="195" t="str">
        <f t="shared" si="150"/>
        <v/>
      </c>
      <c r="X485" s="196" t="str">
        <f t="shared" si="163"/>
        <v/>
      </c>
      <c r="Y485" s="191" t="str">
        <f t="shared" si="164"/>
        <v/>
      </c>
      <c r="Z485" s="197" t="str">
        <f t="shared" si="151"/>
        <v/>
      </c>
      <c r="AA485" s="197" t="str">
        <f t="shared" si="152"/>
        <v/>
      </c>
      <c r="AB485" s="218"/>
      <c r="AC485" s="205"/>
    </row>
    <row r="486" spans="1:29">
      <c r="A486" s="219" t="str">
        <f t="shared" si="153"/>
        <v/>
      </c>
      <c r="B486" s="219"/>
      <c r="C486" s="184"/>
      <c r="D486" s="185"/>
      <c r="E486" s="185" t="str">
        <f>IF(OR(C486="",C486=Data!$B$3),"",IF(C486=Data!$B$2,"L","S"))</f>
        <v/>
      </c>
      <c r="F486" s="185" t="str">
        <f t="shared" si="154"/>
        <v/>
      </c>
      <c r="G486" s="186" t="str">
        <f t="shared" si="145"/>
        <v/>
      </c>
      <c r="H486" s="187"/>
      <c r="I486" s="188" t="str">
        <f t="shared" si="155"/>
        <v/>
      </c>
      <c r="J486" s="188" t="str">
        <f t="shared" si="156"/>
        <v/>
      </c>
      <c r="K486" s="189" t="str">
        <f t="shared" si="157"/>
        <v/>
      </c>
      <c r="L486" s="189" t="str">
        <f t="shared" si="158"/>
        <v/>
      </c>
      <c r="M486" s="190"/>
      <c r="N486" s="190"/>
      <c r="O486" s="188" t="str">
        <f t="shared" si="159"/>
        <v/>
      </c>
      <c r="P486" s="191" t="str">
        <f t="shared" si="146"/>
        <v/>
      </c>
      <c r="Q486" s="192" t="str">
        <f t="shared" si="160"/>
        <v/>
      </c>
      <c r="R486" s="191" t="str">
        <f t="shared" si="147"/>
        <v/>
      </c>
      <c r="S486" s="193" t="str">
        <f t="shared" si="161"/>
        <v/>
      </c>
      <c r="T486" s="194" t="str">
        <f t="shared" si="148"/>
        <v/>
      </c>
      <c r="U486" s="192" t="str">
        <f t="shared" si="162"/>
        <v/>
      </c>
      <c r="V486" s="195" t="str">
        <f t="shared" si="149"/>
        <v/>
      </c>
      <c r="W486" s="195" t="str">
        <f t="shared" si="150"/>
        <v/>
      </c>
      <c r="X486" s="196" t="str">
        <f t="shared" si="163"/>
        <v/>
      </c>
      <c r="Y486" s="191" t="str">
        <f t="shared" si="164"/>
        <v/>
      </c>
      <c r="Z486" s="197" t="str">
        <f t="shared" si="151"/>
        <v/>
      </c>
      <c r="AA486" s="197" t="str">
        <f t="shared" si="152"/>
        <v/>
      </c>
      <c r="AB486" s="218"/>
      <c r="AC486" s="205"/>
    </row>
    <row r="487" spans="1:29">
      <c r="A487" s="219" t="str">
        <f t="shared" si="153"/>
        <v/>
      </c>
      <c r="B487" s="219"/>
      <c r="C487" s="184"/>
      <c r="D487" s="185"/>
      <c r="E487" s="185" t="str">
        <f>IF(OR(C487="",C487=Data!$B$3),"",IF(C487=Data!$B$2,"L","S"))</f>
        <v/>
      </c>
      <c r="F487" s="185" t="str">
        <f t="shared" si="154"/>
        <v/>
      </c>
      <c r="G487" s="186" t="str">
        <f t="shared" si="145"/>
        <v/>
      </c>
      <c r="H487" s="187"/>
      <c r="I487" s="188" t="str">
        <f t="shared" si="155"/>
        <v/>
      </c>
      <c r="J487" s="188" t="str">
        <f t="shared" si="156"/>
        <v/>
      </c>
      <c r="K487" s="189" t="str">
        <f t="shared" si="157"/>
        <v/>
      </c>
      <c r="L487" s="189" t="str">
        <f t="shared" si="158"/>
        <v/>
      </c>
      <c r="M487" s="190"/>
      <c r="N487" s="190"/>
      <c r="O487" s="188" t="str">
        <f t="shared" si="159"/>
        <v/>
      </c>
      <c r="P487" s="191" t="str">
        <f t="shared" si="146"/>
        <v/>
      </c>
      <c r="Q487" s="192" t="str">
        <f t="shared" si="160"/>
        <v/>
      </c>
      <c r="R487" s="191" t="str">
        <f t="shared" si="147"/>
        <v/>
      </c>
      <c r="S487" s="193" t="str">
        <f t="shared" si="161"/>
        <v/>
      </c>
      <c r="T487" s="194" t="str">
        <f t="shared" si="148"/>
        <v/>
      </c>
      <c r="U487" s="192" t="str">
        <f t="shared" si="162"/>
        <v/>
      </c>
      <c r="V487" s="195" t="str">
        <f t="shared" si="149"/>
        <v/>
      </c>
      <c r="W487" s="195" t="str">
        <f t="shared" si="150"/>
        <v/>
      </c>
      <c r="X487" s="196" t="str">
        <f t="shared" si="163"/>
        <v/>
      </c>
      <c r="Y487" s="191" t="str">
        <f t="shared" si="164"/>
        <v/>
      </c>
      <c r="Z487" s="197" t="str">
        <f t="shared" si="151"/>
        <v/>
      </c>
      <c r="AA487" s="197" t="str">
        <f t="shared" si="152"/>
        <v/>
      </c>
      <c r="AB487" s="218"/>
      <c r="AC487" s="205"/>
    </row>
    <row r="488" spans="1:29">
      <c r="A488" s="219" t="str">
        <f t="shared" si="153"/>
        <v/>
      </c>
      <c r="B488" s="219"/>
      <c r="C488" s="184"/>
      <c r="D488" s="185"/>
      <c r="E488" s="185" t="str">
        <f>IF(OR(C488="",C488=Data!$B$3),"",IF(C488=Data!$B$2,"L","S"))</f>
        <v/>
      </c>
      <c r="F488" s="185" t="str">
        <f t="shared" si="154"/>
        <v/>
      </c>
      <c r="G488" s="186" t="str">
        <f t="shared" si="145"/>
        <v/>
      </c>
      <c r="H488" s="187"/>
      <c r="I488" s="188" t="str">
        <f t="shared" si="155"/>
        <v/>
      </c>
      <c r="J488" s="188" t="str">
        <f t="shared" si="156"/>
        <v/>
      </c>
      <c r="K488" s="189" t="str">
        <f t="shared" si="157"/>
        <v/>
      </c>
      <c r="L488" s="189" t="str">
        <f t="shared" si="158"/>
        <v/>
      </c>
      <c r="M488" s="190"/>
      <c r="N488" s="190"/>
      <c r="O488" s="188" t="str">
        <f t="shared" si="159"/>
        <v/>
      </c>
      <c r="P488" s="191" t="str">
        <f t="shared" si="146"/>
        <v/>
      </c>
      <c r="Q488" s="192" t="str">
        <f t="shared" si="160"/>
        <v/>
      </c>
      <c r="R488" s="191" t="str">
        <f t="shared" si="147"/>
        <v/>
      </c>
      <c r="S488" s="193" t="str">
        <f t="shared" si="161"/>
        <v/>
      </c>
      <c r="T488" s="194" t="str">
        <f t="shared" si="148"/>
        <v/>
      </c>
      <c r="U488" s="192" t="str">
        <f t="shared" si="162"/>
        <v/>
      </c>
      <c r="V488" s="195" t="str">
        <f t="shared" si="149"/>
        <v/>
      </c>
      <c r="W488" s="195" t="str">
        <f t="shared" si="150"/>
        <v/>
      </c>
      <c r="X488" s="196" t="str">
        <f t="shared" si="163"/>
        <v/>
      </c>
      <c r="Y488" s="191" t="str">
        <f t="shared" si="164"/>
        <v/>
      </c>
      <c r="Z488" s="197" t="str">
        <f t="shared" si="151"/>
        <v/>
      </c>
      <c r="AA488" s="197" t="str">
        <f t="shared" si="152"/>
        <v/>
      </c>
      <c r="AB488" s="218"/>
      <c r="AC488" s="205"/>
    </row>
    <row r="489" spans="1:29">
      <c r="A489" s="219" t="str">
        <f t="shared" si="153"/>
        <v/>
      </c>
      <c r="B489" s="219"/>
      <c r="C489" s="184"/>
      <c r="D489" s="185"/>
      <c r="E489" s="185" t="str">
        <f>IF(OR(C489="",C489=Data!$B$3),"",IF(C489=Data!$B$2,"L","S"))</f>
        <v/>
      </c>
      <c r="F489" s="185" t="str">
        <f t="shared" si="154"/>
        <v/>
      </c>
      <c r="G489" s="186" t="str">
        <f t="shared" si="145"/>
        <v/>
      </c>
      <c r="H489" s="187"/>
      <c r="I489" s="188" t="str">
        <f t="shared" si="155"/>
        <v/>
      </c>
      <c r="J489" s="188" t="str">
        <f t="shared" si="156"/>
        <v/>
      </c>
      <c r="K489" s="189" t="str">
        <f t="shared" si="157"/>
        <v/>
      </c>
      <c r="L489" s="189" t="str">
        <f t="shared" si="158"/>
        <v/>
      </c>
      <c r="M489" s="190"/>
      <c r="N489" s="190"/>
      <c r="O489" s="188" t="str">
        <f t="shared" si="159"/>
        <v/>
      </c>
      <c r="P489" s="191" t="str">
        <f t="shared" si="146"/>
        <v/>
      </c>
      <c r="Q489" s="192" t="str">
        <f t="shared" si="160"/>
        <v/>
      </c>
      <c r="R489" s="191" t="str">
        <f t="shared" si="147"/>
        <v/>
      </c>
      <c r="S489" s="193" t="str">
        <f t="shared" si="161"/>
        <v/>
      </c>
      <c r="T489" s="194" t="str">
        <f t="shared" si="148"/>
        <v/>
      </c>
      <c r="U489" s="192" t="str">
        <f t="shared" si="162"/>
        <v/>
      </c>
      <c r="V489" s="195" t="str">
        <f t="shared" si="149"/>
        <v/>
      </c>
      <c r="W489" s="195" t="str">
        <f t="shared" si="150"/>
        <v/>
      </c>
      <c r="X489" s="196" t="str">
        <f t="shared" si="163"/>
        <v/>
      </c>
      <c r="Y489" s="191" t="str">
        <f t="shared" si="164"/>
        <v/>
      </c>
      <c r="Z489" s="197" t="str">
        <f t="shared" si="151"/>
        <v/>
      </c>
      <c r="AA489" s="197" t="str">
        <f t="shared" si="152"/>
        <v/>
      </c>
      <c r="AB489" s="218"/>
      <c r="AC489" s="205"/>
    </row>
    <row r="490" spans="1:29">
      <c r="A490" s="219" t="str">
        <f t="shared" si="153"/>
        <v/>
      </c>
      <c r="B490" s="219"/>
      <c r="C490" s="184"/>
      <c r="D490" s="185"/>
      <c r="E490" s="185" t="str">
        <f>IF(OR(C490="",C490=Data!$B$3),"",IF(C490=Data!$B$2,"L","S"))</f>
        <v/>
      </c>
      <c r="F490" s="185" t="str">
        <f t="shared" si="154"/>
        <v/>
      </c>
      <c r="G490" s="186" t="str">
        <f t="shared" si="145"/>
        <v/>
      </c>
      <c r="H490" s="187"/>
      <c r="I490" s="188" t="str">
        <f t="shared" si="155"/>
        <v/>
      </c>
      <c r="J490" s="188" t="str">
        <f t="shared" si="156"/>
        <v/>
      </c>
      <c r="K490" s="189" t="str">
        <f t="shared" si="157"/>
        <v/>
      </c>
      <c r="L490" s="189" t="str">
        <f t="shared" si="158"/>
        <v/>
      </c>
      <c r="M490" s="190"/>
      <c r="N490" s="190"/>
      <c r="O490" s="188" t="str">
        <f t="shared" si="159"/>
        <v/>
      </c>
      <c r="P490" s="191" t="str">
        <f t="shared" si="146"/>
        <v/>
      </c>
      <c r="Q490" s="192" t="str">
        <f t="shared" si="160"/>
        <v/>
      </c>
      <c r="R490" s="191" t="str">
        <f t="shared" si="147"/>
        <v/>
      </c>
      <c r="S490" s="193" t="str">
        <f t="shared" si="161"/>
        <v/>
      </c>
      <c r="T490" s="194" t="str">
        <f t="shared" si="148"/>
        <v/>
      </c>
      <c r="U490" s="192" t="str">
        <f t="shared" si="162"/>
        <v/>
      </c>
      <c r="V490" s="195" t="str">
        <f t="shared" si="149"/>
        <v/>
      </c>
      <c r="W490" s="195" t="str">
        <f t="shared" si="150"/>
        <v/>
      </c>
      <c r="X490" s="196" t="str">
        <f t="shared" si="163"/>
        <v/>
      </c>
      <c r="Y490" s="191" t="str">
        <f t="shared" si="164"/>
        <v/>
      </c>
      <c r="Z490" s="197" t="str">
        <f t="shared" si="151"/>
        <v/>
      </c>
      <c r="AA490" s="197" t="str">
        <f t="shared" si="152"/>
        <v/>
      </c>
      <c r="AB490" s="218"/>
      <c r="AC490" s="205"/>
    </row>
    <row r="491" spans="1:29">
      <c r="A491" s="219" t="str">
        <f t="shared" si="153"/>
        <v/>
      </c>
      <c r="B491" s="219"/>
      <c r="C491" s="184"/>
      <c r="D491" s="185"/>
      <c r="E491" s="185" t="str">
        <f>IF(OR(C491="",C491=Data!$B$3),"",IF(C491=Data!$B$2,"L","S"))</f>
        <v/>
      </c>
      <c r="F491" s="185" t="str">
        <f t="shared" si="154"/>
        <v/>
      </c>
      <c r="G491" s="186" t="str">
        <f t="shared" si="145"/>
        <v/>
      </c>
      <c r="H491" s="187"/>
      <c r="I491" s="188" t="str">
        <f t="shared" si="155"/>
        <v/>
      </c>
      <c r="J491" s="188" t="str">
        <f t="shared" si="156"/>
        <v/>
      </c>
      <c r="K491" s="189" t="str">
        <f t="shared" si="157"/>
        <v/>
      </c>
      <c r="L491" s="189" t="str">
        <f t="shared" si="158"/>
        <v/>
      </c>
      <c r="M491" s="190"/>
      <c r="N491" s="190"/>
      <c r="O491" s="188" t="str">
        <f t="shared" si="159"/>
        <v/>
      </c>
      <c r="P491" s="191" t="str">
        <f t="shared" si="146"/>
        <v/>
      </c>
      <c r="Q491" s="192" t="str">
        <f t="shared" si="160"/>
        <v/>
      </c>
      <c r="R491" s="191" t="str">
        <f t="shared" si="147"/>
        <v/>
      </c>
      <c r="S491" s="193" t="str">
        <f t="shared" si="161"/>
        <v/>
      </c>
      <c r="T491" s="194" t="str">
        <f t="shared" si="148"/>
        <v/>
      </c>
      <c r="U491" s="192" t="str">
        <f t="shared" si="162"/>
        <v/>
      </c>
      <c r="V491" s="195" t="str">
        <f t="shared" si="149"/>
        <v/>
      </c>
      <c r="W491" s="195" t="str">
        <f t="shared" si="150"/>
        <v/>
      </c>
      <c r="X491" s="196" t="str">
        <f t="shared" si="163"/>
        <v/>
      </c>
      <c r="Y491" s="191" t="str">
        <f t="shared" si="164"/>
        <v/>
      </c>
      <c r="Z491" s="197" t="str">
        <f t="shared" si="151"/>
        <v/>
      </c>
      <c r="AA491" s="197" t="str">
        <f t="shared" si="152"/>
        <v/>
      </c>
      <c r="AB491" s="218"/>
      <c r="AC491" s="205"/>
    </row>
    <row r="492" spans="1:29">
      <c r="A492" s="219" t="str">
        <f t="shared" si="153"/>
        <v/>
      </c>
      <c r="B492" s="219"/>
      <c r="C492" s="184"/>
      <c r="D492" s="185"/>
      <c r="E492" s="185" t="str">
        <f>IF(OR(C492="",C492=Data!$B$3),"",IF(C492=Data!$B$2,"L","S"))</f>
        <v/>
      </c>
      <c r="F492" s="185" t="str">
        <f t="shared" si="154"/>
        <v/>
      </c>
      <c r="G492" s="186" t="str">
        <f t="shared" si="145"/>
        <v/>
      </c>
      <c r="H492" s="187"/>
      <c r="I492" s="188" t="str">
        <f t="shared" si="155"/>
        <v/>
      </c>
      <c r="J492" s="188" t="str">
        <f t="shared" si="156"/>
        <v/>
      </c>
      <c r="K492" s="189" t="str">
        <f t="shared" si="157"/>
        <v/>
      </c>
      <c r="L492" s="189" t="str">
        <f t="shared" si="158"/>
        <v/>
      </c>
      <c r="M492" s="190"/>
      <c r="N492" s="190"/>
      <c r="O492" s="188" t="str">
        <f t="shared" si="159"/>
        <v/>
      </c>
      <c r="P492" s="191" t="str">
        <f t="shared" si="146"/>
        <v/>
      </c>
      <c r="Q492" s="192" t="str">
        <f t="shared" si="160"/>
        <v/>
      </c>
      <c r="R492" s="191" t="str">
        <f t="shared" si="147"/>
        <v/>
      </c>
      <c r="S492" s="193" t="str">
        <f t="shared" si="161"/>
        <v/>
      </c>
      <c r="T492" s="194" t="str">
        <f t="shared" si="148"/>
        <v/>
      </c>
      <c r="U492" s="192" t="str">
        <f t="shared" si="162"/>
        <v/>
      </c>
      <c r="V492" s="195" t="str">
        <f t="shared" si="149"/>
        <v/>
      </c>
      <c r="W492" s="195" t="str">
        <f t="shared" si="150"/>
        <v/>
      </c>
      <c r="X492" s="196" t="str">
        <f t="shared" si="163"/>
        <v/>
      </c>
      <c r="Y492" s="191" t="str">
        <f t="shared" si="164"/>
        <v/>
      </c>
      <c r="Z492" s="197" t="str">
        <f t="shared" si="151"/>
        <v/>
      </c>
      <c r="AA492" s="197" t="str">
        <f t="shared" si="152"/>
        <v/>
      </c>
      <c r="AB492" s="218"/>
      <c r="AC492" s="205"/>
    </row>
    <row r="493" spans="1:29">
      <c r="A493" s="219" t="str">
        <f t="shared" si="153"/>
        <v/>
      </c>
      <c r="B493" s="219"/>
      <c r="C493" s="184"/>
      <c r="D493" s="185"/>
      <c r="E493" s="185" t="str">
        <f>IF(OR(C493="",C493=Data!$B$3),"",IF(C493=Data!$B$2,"L","S"))</f>
        <v/>
      </c>
      <c r="F493" s="185" t="str">
        <f t="shared" si="154"/>
        <v/>
      </c>
      <c r="G493" s="186" t="str">
        <f t="shared" si="145"/>
        <v/>
      </c>
      <c r="H493" s="187"/>
      <c r="I493" s="188" t="str">
        <f t="shared" si="155"/>
        <v/>
      </c>
      <c r="J493" s="188" t="str">
        <f t="shared" si="156"/>
        <v/>
      </c>
      <c r="K493" s="189" t="str">
        <f t="shared" si="157"/>
        <v/>
      </c>
      <c r="L493" s="189" t="str">
        <f t="shared" si="158"/>
        <v/>
      </c>
      <c r="M493" s="190"/>
      <c r="N493" s="190"/>
      <c r="O493" s="188" t="str">
        <f t="shared" si="159"/>
        <v/>
      </c>
      <c r="P493" s="191" t="str">
        <f t="shared" si="146"/>
        <v/>
      </c>
      <c r="Q493" s="192" t="str">
        <f t="shared" si="160"/>
        <v/>
      </c>
      <c r="R493" s="191" t="str">
        <f t="shared" si="147"/>
        <v/>
      </c>
      <c r="S493" s="193" t="str">
        <f t="shared" si="161"/>
        <v/>
      </c>
      <c r="T493" s="194" t="str">
        <f t="shared" si="148"/>
        <v/>
      </c>
      <c r="U493" s="192" t="str">
        <f t="shared" si="162"/>
        <v/>
      </c>
      <c r="V493" s="195" t="str">
        <f t="shared" si="149"/>
        <v/>
      </c>
      <c r="W493" s="195" t="str">
        <f t="shared" si="150"/>
        <v/>
      </c>
      <c r="X493" s="196" t="str">
        <f t="shared" si="163"/>
        <v/>
      </c>
      <c r="Y493" s="191" t="str">
        <f t="shared" si="164"/>
        <v/>
      </c>
      <c r="Z493" s="197" t="str">
        <f t="shared" si="151"/>
        <v/>
      </c>
      <c r="AA493" s="197" t="str">
        <f t="shared" si="152"/>
        <v/>
      </c>
      <c r="AB493" s="218"/>
      <c r="AC493" s="205"/>
    </row>
    <row r="494" spans="1:29">
      <c r="A494" s="219" t="str">
        <f t="shared" si="153"/>
        <v/>
      </c>
      <c r="B494" s="219"/>
      <c r="C494" s="184"/>
      <c r="D494" s="185"/>
      <c r="E494" s="185" t="str">
        <f>IF(OR(C494="",C494=Data!$B$3),"",IF(C494=Data!$B$2,"L","S"))</f>
        <v/>
      </c>
      <c r="F494" s="185" t="str">
        <f t="shared" si="154"/>
        <v/>
      </c>
      <c r="G494" s="186" t="str">
        <f t="shared" si="145"/>
        <v/>
      </c>
      <c r="H494" s="187"/>
      <c r="I494" s="188" t="str">
        <f t="shared" si="155"/>
        <v/>
      </c>
      <c r="J494" s="188" t="str">
        <f t="shared" si="156"/>
        <v/>
      </c>
      <c r="K494" s="189" t="str">
        <f t="shared" si="157"/>
        <v/>
      </c>
      <c r="L494" s="189" t="str">
        <f t="shared" si="158"/>
        <v/>
      </c>
      <c r="M494" s="190"/>
      <c r="N494" s="190"/>
      <c r="O494" s="188" t="str">
        <f t="shared" si="159"/>
        <v/>
      </c>
      <c r="P494" s="191" t="str">
        <f t="shared" si="146"/>
        <v/>
      </c>
      <c r="Q494" s="192" t="str">
        <f t="shared" si="160"/>
        <v/>
      </c>
      <c r="R494" s="191" t="str">
        <f t="shared" si="147"/>
        <v/>
      </c>
      <c r="S494" s="193" t="str">
        <f t="shared" si="161"/>
        <v/>
      </c>
      <c r="T494" s="194" t="str">
        <f t="shared" si="148"/>
        <v/>
      </c>
      <c r="U494" s="192" t="str">
        <f t="shared" si="162"/>
        <v/>
      </c>
      <c r="V494" s="195" t="str">
        <f t="shared" si="149"/>
        <v/>
      </c>
      <c r="W494" s="195" t="str">
        <f t="shared" si="150"/>
        <v/>
      </c>
      <c r="X494" s="196" t="str">
        <f t="shared" si="163"/>
        <v/>
      </c>
      <c r="Y494" s="191" t="str">
        <f t="shared" si="164"/>
        <v/>
      </c>
      <c r="Z494" s="197" t="str">
        <f t="shared" si="151"/>
        <v/>
      </c>
      <c r="AA494" s="197" t="str">
        <f t="shared" si="152"/>
        <v/>
      </c>
      <c r="AB494" s="218"/>
      <c r="AC494" s="205"/>
    </row>
    <row r="495" spans="1:29">
      <c r="A495" s="219" t="str">
        <f t="shared" si="153"/>
        <v/>
      </c>
      <c r="B495" s="219"/>
      <c r="C495" s="184"/>
      <c r="D495" s="185"/>
      <c r="E495" s="185" t="str">
        <f>IF(OR(C495="",C495=Data!$B$3),"",IF(C495=Data!$B$2,"L","S"))</f>
        <v/>
      </c>
      <c r="F495" s="185" t="str">
        <f t="shared" si="154"/>
        <v/>
      </c>
      <c r="G495" s="186" t="str">
        <f t="shared" si="145"/>
        <v/>
      </c>
      <c r="H495" s="187"/>
      <c r="I495" s="188" t="str">
        <f t="shared" si="155"/>
        <v/>
      </c>
      <c r="J495" s="188" t="str">
        <f t="shared" si="156"/>
        <v/>
      </c>
      <c r="K495" s="189" t="str">
        <f t="shared" si="157"/>
        <v/>
      </c>
      <c r="L495" s="189" t="str">
        <f t="shared" si="158"/>
        <v/>
      </c>
      <c r="M495" s="190"/>
      <c r="N495" s="190"/>
      <c r="O495" s="188" t="str">
        <f t="shared" si="159"/>
        <v/>
      </c>
      <c r="P495" s="191" t="str">
        <f t="shared" si="146"/>
        <v/>
      </c>
      <c r="Q495" s="192" t="str">
        <f t="shared" si="160"/>
        <v/>
      </c>
      <c r="R495" s="191" t="str">
        <f t="shared" si="147"/>
        <v/>
      </c>
      <c r="S495" s="193" t="str">
        <f t="shared" si="161"/>
        <v/>
      </c>
      <c r="T495" s="194" t="str">
        <f t="shared" si="148"/>
        <v/>
      </c>
      <c r="U495" s="192" t="str">
        <f t="shared" si="162"/>
        <v/>
      </c>
      <c r="V495" s="195" t="str">
        <f t="shared" si="149"/>
        <v/>
      </c>
      <c r="W495" s="195" t="str">
        <f t="shared" si="150"/>
        <v/>
      </c>
      <c r="X495" s="196" t="str">
        <f t="shared" si="163"/>
        <v/>
      </c>
      <c r="Y495" s="191" t="str">
        <f t="shared" si="164"/>
        <v/>
      </c>
      <c r="Z495" s="197" t="str">
        <f t="shared" si="151"/>
        <v/>
      </c>
      <c r="AA495" s="197" t="str">
        <f t="shared" si="152"/>
        <v/>
      </c>
      <c r="AB495" s="218"/>
      <c r="AC495" s="205"/>
    </row>
    <row r="496" spans="1:29">
      <c r="A496" s="219" t="str">
        <f t="shared" si="153"/>
        <v/>
      </c>
      <c r="B496" s="219"/>
      <c r="C496" s="184"/>
      <c r="D496" s="185"/>
      <c r="E496" s="185" t="str">
        <f>IF(OR(C496="",C496=Data!$B$3),"",IF(C496=Data!$B$2,"L","S"))</f>
        <v/>
      </c>
      <c r="F496" s="185" t="str">
        <f t="shared" si="154"/>
        <v/>
      </c>
      <c r="G496" s="186" t="str">
        <f t="shared" si="145"/>
        <v/>
      </c>
      <c r="H496" s="187"/>
      <c r="I496" s="188" t="str">
        <f t="shared" si="155"/>
        <v/>
      </c>
      <c r="J496" s="188" t="str">
        <f t="shared" si="156"/>
        <v/>
      </c>
      <c r="K496" s="189" t="str">
        <f t="shared" si="157"/>
        <v/>
      </c>
      <c r="L496" s="189" t="str">
        <f t="shared" si="158"/>
        <v/>
      </c>
      <c r="M496" s="190"/>
      <c r="N496" s="190"/>
      <c r="O496" s="188" t="str">
        <f t="shared" si="159"/>
        <v/>
      </c>
      <c r="P496" s="191" t="str">
        <f t="shared" si="146"/>
        <v/>
      </c>
      <c r="Q496" s="192" t="str">
        <f t="shared" si="160"/>
        <v/>
      </c>
      <c r="R496" s="191" t="str">
        <f t="shared" si="147"/>
        <v/>
      </c>
      <c r="S496" s="193" t="str">
        <f t="shared" si="161"/>
        <v/>
      </c>
      <c r="T496" s="194" t="str">
        <f t="shared" si="148"/>
        <v/>
      </c>
      <c r="U496" s="192" t="str">
        <f t="shared" si="162"/>
        <v/>
      </c>
      <c r="V496" s="195" t="str">
        <f t="shared" si="149"/>
        <v/>
      </c>
      <c r="W496" s="195" t="str">
        <f t="shared" si="150"/>
        <v/>
      </c>
      <c r="X496" s="196" t="str">
        <f t="shared" si="163"/>
        <v/>
      </c>
      <c r="Y496" s="191" t="str">
        <f t="shared" si="164"/>
        <v/>
      </c>
      <c r="Z496" s="197" t="str">
        <f t="shared" si="151"/>
        <v/>
      </c>
      <c r="AA496" s="197" t="str">
        <f t="shared" si="152"/>
        <v/>
      </c>
      <c r="AB496" s="218"/>
      <c r="AC496" s="205"/>
    </row>
    <row r="497" spans="1:29">
      <c r="A497" s="219" t="str">
        <f t="shared" si="153"/>
        <v/>
      </c>
      <c r="B497" s="219"/>
      <c r="C497" s="184"/>
      <c r="D497" s="185"/>
      <c r="E497" s="185" t="str">
        <f>IF(OR(C497="",C497=Data!$B$3),"",IF(C497=Data!$B$2,"L","S"))</f>
        <v/>
      </c>
      <c r="F497" s="185" t="str">
        <f t="shared" si="154"/>
        <v/>
      </c>
      <c r="G497" s="186" t="str">
        <f t="shared" si="145"/>
        <v/>
      </c>
      <c r="H497" s="187"/>
      <c r="I497" s="188" t="str">
        <f t="shared" si="155"/>
        <v/>
      </c>
      <c r="J497" s="188" t="str">
        <f t="shared" si="156"/>
        <v/>
      </c>
      <c r="K497" s="189" t="str">
        <f t="shared" si="157"/>
        <v/>
      </c>
      <c r="L497" s="189" t="str">
        <f t="shared" si="158"/>
        <v/>
      </c>
      <c r="M497" s="190"/>
      <c r="N497" s="190"/>
      <c r="O497" s="188" t="str">
        <f t="shared" si="159"/>
        <v/>
      </c>
      <c r="P497" s="191" t="str">
        <f t="shared" si="146"/>
        <v/>
      </c>
      <c r="Q497" s="192" t="str">
        <f t="shared" si="160"/>
        <v/>
      </c>
      <c r="R497" s="191" t="str">
        <f t="shared" si="147"/>
        <v/>
      </c>
      <c r="S497" s="193" t="str">
        <f t="shared" si="161"/>
        <v/>
      </c>
      <c r="T497" s="194" t="str">
        <f t="shared" si="148"/>
        <v/>
      </c>
      <c r="U497" s="192" t="str">
        <f t="shared" si="162"/>
        <v/>
      </c>
      <c r="V497" s="195" t="str">
        <f t="shared" si="149"/>
        <v/>
      </c>
      <c r="W497" s="195" t="str">
        <f t="shared" si="150"/>
        <v/>
      </c>
      <c r="X497" s="196" t="str">
        <f t="shared" si="163"/>
        <v/>
      </c>
      <c r="Y497" s="191" t="str">
        <f t="shared" si="164"/>
        <v/>
      </c>
      <c r="Z497" s="197" t="str">
        <f t="shared" si="151"/>
        <v/>
      </c>
      <c r="AA497" s="197" t="str">
        <f t="shared" si="152"/>
        <v/>
      </c>
      <c r="AB497" s="218"/>
      <c r="AC497" s="205"/>
    </row>
    <row r="498" spans="1:29">
      <c r="A498" s="219" t="str">
        <f t="shared" si="153"/>
        <v/>
      </c>
      <c r="B498" s="219"/>
      <c r="C498" s="184"/>
      <c r="D498" s="185"/>
      <c r="E498" s="185" t="str">
        <f>IF(OR(C498="",C498=Data!$B$3),"",IF(C498=Data!$B$2,"L","S"))</f>
        <v/>
      </c>
      <c r="F498" s="185" t="str">
        <f t="shared" si="154"/>
        <v/>
      </c>
      <c r="G498" s="186" t="str">
        <f t="shared" si="145"/>
        <v/>
      </c>
      <c r="H498" s="187"/>
      <c r="I498" s="188" t="str">
        <f t="shared" si="155"/>
        <v/>
      </c>
      <c r="J498" s="188" t="str">
        <f t="shared" si="156"/>
        <v/>
      </c>
      <c r="K498" s="189" t="str">
        <f t="shared" si="157"/>
        <v/>
      </c>
      <c r="L498" s="189" t="str">
        <f t="shared" si="158"/>
        <v/>
      </c>
      <c r="M498" s="190"/>
      <c r="N498" s="190"/>
      <c r="O498" s="188" t="str">
        <f t="shared" si="159"/>
        <v/>
      </c>
      <c r="P498" s="191" t="str">
        <f t="shared" si="146"/>
        <v/>
      </c>
      <c r="Q498" s="192" t="str">
        <f t="shared" si="160"/>
        <v/>
      </c>
      <c r="R498" s="191" t="str">
        <f t="shared" si="147"/>
        <v/>
      </c>
      <c r="S498" s="193" t="str">
        <f t="shared" si="161"/>
        <v/>
      </c>
      <c r="T498" s="194" t="str">
        <f t="shared" si="148"/>
        <v/>
      </c>
      <c r="U498" s="192" t="str">
        <f t="shared" si="162"/>
        <v/>
      </c>
      <c r="V498" s="195" t="str">
        <f t="shared" si="149"/>
        <v/>
      </c>
      <c r="W498" s="195" t="str">
        <f t="shared" si="150"/>
        <v/>
      </c>
      <c r="X498" s="196" t="str">
        <f t="shared" si="163"/>
        <v/>
      </c>
      <c r="Y498" s="191" t="str">
        <f t="shared" si="164"/>
        <v/>
      </c>
      <c r="Z498" s="197" t="str">
        <f t="shared" si="151"/>
        <v/>
      </c>
      <c r="AA498" s="197" t="str">
        <f t="shared" si="152"/>
        <v/>
      </c>
      <c r="AB498" s="218"/>
      <c r="AC498" s="205"/>
    </row>
    <row r="499" spans="1:29">
      <c r="A499" s="219" t="str">
        <f t="shared" si="153"/>
        <v/>
      </c>
      <c r="B499" s="219"/>
      <c r="C499" s="184"/>
      <c r="D499" s="185"/>
      <c r="E499" s="185" t="str">
        <f>IF(OR(C499="",C499=Data!$B$3),"",IF(C499=Data!$B$2,"L","S"))</f>
        <v/>
      </c>
      <c r="F499" s="185" t="str">
        <f t="shared" si="154"/>
        <v/>
      </c>
      <c r="G499" s="186" t="str">
        <f t="shared" si="145"/>
        <v/>
      </c>
      <c r="H499" s="187"/>
      <c r="I499" s="188" t="str">
        <f t="shared" si="155"/>
        <v/>
      </c>
      <c r="J499" s="188" t="str">
        <f t="shared" si="156"/>
        <v/>
      </c>
      <c r="K499" s="189" t="str">
        <f t="shared" si="157"/>
        <v/>
      </c>
      <c r="L499" s="189" t="str">
        <f t="shared" si="158"/>
        <v/>
      </c>
      <c r="M499" s="190"/>
      <c r="N499" s="190"/>
      <c r="O499" s="188" t="str">
        <f t="shared" si="159"/>
        <v/>
      </c>
      <c r="P499" s="191" t="str">
        <f t="shared" si="146"/>
        <v/>
      </c>
      <c r="Q499" s="192" t="str">
        <f t="shared" si="160"/>
        <v/>
      </c>
      <c r="R499" s="191" t="str">
        <f t="shared" si="147"/>
        <v/>
      </c>
      <c r="S499" s="193" t="str">
        <f t="shared" si="161"/>
        <v/>
      </c>
      <c r="T499" s="194" t="str">
        <f t="shared" si="148"/>
        <v/>
      </c>
      <c r="U499" s="192" t="str">
        <f t="shared" si="162"/>
        <v/>
      </c>
      <c r="V499" s="195" t="str">
        <f t="shared" si="149"/>
        <v/>
      </c>
      <c r="W499" s="195" t="str">
        <f t="shared" si="150"/>
        <v/>
      </c>
      <c r="X499" s="196" t="str">
        <f t="shared" si="163"/>
        <v/>
      </c>
      <c r="Y499" s="191" t="str">
        <f t="shared" si="164"/>
        <v/>
      </c>
      <c r="Z499" s="197" t="str">
        <f t="shared" si="151"/>
        <v/>
      </c>
      <c r="AA499" s="197" t="str">
        <f t="shared" si="152"/>
        <v/>
      </c>
      <c r="AB499" s="218"/>
      <c r="AC499" s="205"/>
    </row>
    <row r="500" spans="1:29">
      <c r="A500" s="219" t="str">
        <f t="shared" si="153"/>
        <v/>
      </c>
      <c r="B500" s="219"/>
      <c r="C500" s="184"/>
      <c r="D500" s="185"/>
      <c r="E500" s="185" t="str">
        <f>IF(OR(C500="",C500=Data!$B$3),"",IF(C500=Data!$B$2,"L","S"))</f>
        <v/>
      </c>
      <c r="F500" s="185" t="str">
        <f t="shared" si="154"/>
        <v/>
      </c>
      <c r="G500" s="186" t="str">
        <f t="shared" si="145"/>
        <v/>
      </c>
      <c r="H500" s="187"/>
      <c r="I500" s="188" t="str">
        <f t="shared" si="155"/>
        <v/>
      </c>
      <c r="J500" s="188" t="str">
        <f t="shared" si="156"/>
        <v/>
      </c>
      <c r="K500" s="189" t="str">
        <f t="shared" si="157"/>
        <v/>
      </c>
      <c r="L500" s="189" t="str">
        <f t="shared" si="158"/>
        <v/>
      </c>
      <c r="M500" s="190"/>
      <c r="N500" s="190"/>
      <c r="O500" s="188" t="str">
        <f t="shared" si="159"/>
        <v/>
      </c>
      <c r="P500" s="191" t="str">
        <f t="shared" si="146"/>
        <v/>
      </c>
      <c r="Q500" s="192" t="str">
        <f t="shared" si="160"/>
        <v/>
      </c>
      <c r="R500" s="191" t="str">
        <f t="shared" si="147"/>
        <v/>
      </c>
      <c r="S500" s="193" t="str">
        <f t="shared" si="161"/>
        <v/>
      </c>
      <c r="T500" s="194" t="str">
        <f t="shared" si="148"/>
        <v/>
      </c>
      <c r="U500" s="192" t="str">
        <f t="shared" si="162"/>
        <v/>
      </c>
      <c r="V500" s="195" t="str">
        <f t="shared" si="149"/>
        <v/>
      </c>
      <c r="W500" s="195" t="str">
        <f t="shared" si="150"/>
        <v/>
      </c>
      <c r="X500" s="196" t="str">
        <f t="shared" si="163"/>
        <v/>
      </c>
      <c r="Y500" s="191" t="str">
        <f t="shared" si="164"/>
        <v/>
      </c>
      <c r="Z500" s="197" t="str">
        <f t="shared" si="151"/>
        <v/>
      </c>
      <c r="AA500" s="197" t="str">
        <f t="shared" si="152"/>
        <v/>
      </c>
      <c r="AB500" s="218"/>
      <c r="AC500" s="205"/>
    </row>
    <row r="501" spans="1:29">
      <c r="A501" s="219" t="str">
        <f t="shared" si="153"/>
        <v/>
      </c>
      <c r="B501" s="219"/>
      <c r="C501" s="184"/>
      <c r="D501" s="185"/>
      <c r="E501" s="185" t="str">
        <f>IF(OR(C501="",C501=Data!$B$3),"",IF(C501=Data!$B$2,"L","S"))</f>
        <v/>
      </c>
      <c r="F501" s="185" t="str">
        <f t="shared" si="154"/>
        <v/>
      </c>
      <c r="G501" s="186" t="str">
        <f t="shared" si="145"/>
        <v/>
      </c>
      <c r="H501" s="187"/>
      <c r="I501" s="188" t="str">
        <f t="shared" si="155"/>
        <v/>
      </c>
      <c r="J501" s="188" t="str">
        <f t="shared" si="156"/>
        <v/>
      </c>
      <c r="K501" s="189" t="str">
        <f t="shared" si="157"/>
        <v/>
      </c>
      <c r="L501" s="189" t="str">
        <f t="shared" si="158"/>
        <v/>
      </c>
      <c r="M501" s="190"/>
      <c r="N501" s="190"/>
      <c r="O501" s="188" t="str">
        <f t="shared" si="159"/>
        <v/>
      </c>
      <c r="P501" s="191" t="str">
        <f t="shared" si="146"/>
        <v/>
      </c>
      <c r="Q501" s="192" t="str">
        <f t="shared" si="160"/>
        <v/>
      </c>
      <c r="R501" s="191" t="str">
        <f t="shared" si="147"/>
        <v/>
      </c>
      <c r="S501" s="193" t="str">
        <f t="shared" si="161"/>
        <v/>
      </c>
      <c r="T501" s="194" t="str">
        <f t="shared" si="148"/>
        <v/>
      </c>
      <c r="U501" s="192" t="str">
        <f t="shared" si="162"/>
        <v/>
      </c>
      <c r="V501" s="195" t="str">
        <f t="shared" si="149"/>
        <v/>
      </c>
      <c r="W501" s="195" t="str">
        <f t="shared" si="150"/>
        <v/>
      </c>
      <c r="X501" s="196" t="str">
        <f t="shared" si="163"/>
        <v/>
      </c>
      <c r="Y501" s="191" t="str">
        <f t="shared" si="164"/>
        <v/>
      </c>
      <c r="Z501" s="197" t="str">
        <f t="shared" si="151"/>
        <v/>
      </c>
      <c r="AA501" s="197" t="str">
        <f t="shared" si="152"/>
        <v/>
      </c>
      <c r="AB501" s="218"/>
      <c r="AC501" s="205"/>
    </row>
    <row r="502" spans="1:29">
      <c r="A502" s="219" t="str">
        <f t="shared" si="153"/>
        <v/>
      </c>
      <c r="B502" s="219"/>
      <c r="C502" s="184"/>
      <c r="D502" s="185"/>
      <c r="E502" s="185" t="str">
        <f>IF(OR(C502="",C502=Data!$B$3),"",IF(C502=Data!$B$2,"L","S"))</f>
        <v/>
      </c>
      <c r="F502" s="185" t="str">
        <f t="shared" si="154"/>
        <v/>
      </c>
      <c r="G502" s="186" t="str">
        <f t="shared" si="145"/>
        <v/>
      </c>
      <c r="H502" s="187"/>
      <c r="I502" s="188" t="str">
        <f t="shared" si="155"/>
        <v/>
      </c>
      <c r="J502" s="188" t="str">
        <f t="shared" si="156"/>
        <v/>
      </c>
      <c r="K502" s="189" t="str">
        <f t="shared" si="157"/>
        <v/>
      </c>
      <c r="L502" s="189" t="str">
        <f t="shared" si="158"/>
        <v/>
      </c>
      <c r="M502" s="190"/>
      <c r="N502" s="190"/>
      <c r="O502" s="188" t="str">
        <f t="shared" si="159"/>
        <v/>
      </c>
      <c r="P502" s="191" t="str">
        <f t="shared" si="146"/>
        <v/>
      </c>
      <c r="Q502" s="192" t="str">
        <f t="shared" si="160"/>
        <v/>
      </c>
      <c r="R502" s="191" t="str">
        <f t="shared" si="147"/>
        <v/>
      </c>
      <c r="S502" s="193" t="str">
        <f t="shared" si="161"/>
        <v/>
      </c>
      <c r="T502" s="194" t="str">
        <f t="shared" si="148"/>
        <v/>
      </c>
      <c r="U502" s="192" t="str">
        <f t="shared" si="162"/>
        <v/>
      </c>
      <c r="V502" s="195" t="str">
        <f t="shared" si="149"/>
        <v/>
      </c>
      <c r="W502" s="195" t="str">
        <f t="shared" si="150"/>
        <v/>
      </c>
      <c r="X502" s="196" t="str">
        <f t="shared" si="163"/>
        <v/>
      </c>
      <c r="Y502" s="191" t="str">
        <f t="shared" si="164"/>
        <v/>
      </c>
      <c r="Z502" s="197" t="str">
        <f t="shared" si="151"/>
        <v/>
      </c>
      <c r="AA502" s="197" t="str">
        <f t="shared" si="152"/>
        <v/>
      </c>
      <c r="AB502" s="218"/>
      <c r="AC502" s="205"/>
    </row>
    <row r="503" spans="1:29">
      <c r="A503" s="219" t="str">
        <f t="shared" si="153"/>
        <v/>
      </c>
      <c r="B503" s="219"/>
      <c r="C503" s="184"/>
      <c r="D503" s="185"/>
      <c r="E503" s="185" t="str">
        <f>IF(OR(C503="",C503=Data!$B$3),"",IF(C503=Data!$B$2,"L","S"))</f>
        <v/>
      </c>
      <c r="F503" s="185" t="str">
        <f t="shared" si="154"/>
        <v/>
      </c>
      <c r="G503" s="186" t="str">
        <f t="shared" si="145"/>
        <v/>
      </c>
      <c r="H503" s="187"/>
      <c r="I503" s="188" t="str">
        <f t="shared" si="155"/>
        <v/>
      </c>
      <c r="J503" s="188" t="str">
        <f t="shared" si="156"/>
        <v/>
      </c>
      <c r="K503" s="189" t="str">
        <f t="shared" si="157"/>
        <v/>
      </c>
      <c r="L503" s="189" t="str">
        <f t="shared" si="158"/>
        <v/>
      </c>
      <c r="M503" s="190"/>
      <c r="N503" s="190"/>
      <c r="O503" s="188" t="str">
        <f t="shared" si="159"/>
        <v/>
      </c>
      <c r="P503" s="191" t="str">
        <f t="shared" si="146"/>
        <v/>
      </c>
      <c r="Q503" s="192" t="str">
        <f t="shared" si="160"/>
        <v/>
      </c>
      <c r="R503" s="191" t="str">
        <f t="shared" si="147"/>
        <v/>
      </c>
      <c r="S503" s="193" t="str">
        <f t="shared" si="161"/>
        <v/>
      </c>
      <c r="T503" s="194" t="str">
        <f t="shared" si="148"/>
        <v/>
      </c>
      <c r="U503" s="192" t="str">
        <f t="shared" si="162"/>
        <v/>
      </c>
      <c r="V503" s="195" t="str">
        <f t="shared" si="149"/>
        <v/>
      </c>
      <c r="W503" s="195" t="str">
        <f t="shared" si="150"/>
        <v/>
      </c>
      <c r="X503" s="196" t="str">
        <f t="shared" si="163"/>
        <v/>
      </c>
      <c r="Y503" s="191" t="str">
        <f t="shared" si="164"/>
        <v/>
      </c>
      <c r="Z503" s="197" t="str">
        <f t="shared" si="151"/>
        <v/>
      </c>
      <c r="AA503" s="197" t="str">
        <f t="shared" si="152"/>
        <v/>
      </c>
      <c r="AB503" s="218"/>
      <c r="AC503" s="205"/>
    </row>
    <row r="504" spans="1:29">
      <c r="A504" s="219" t="str">
        <f t="shared" si="153"/>
        <v/>
      </c>
      <c r="B504" s="219"/>
      <c r="C504" s="184"/>
      <c r="D504" s="185"/>
      <c r="E504" s="185" t="str">
        <f>IF(OR(C504="",C504=Data!$B$3),"",IF(C504=Data!$B$2,"L","S"))</f>
        <v/>
      </c>
      <c r="F504" s="185" t="str">
        <f t="shared" si="154"/>
        <v/>
      </c>
      <c r="G504" s="186" t="str">
        <f t="shared" si="145"/>
        <v/>
      </c>
      <c r="H504" s="187"/>
      <c r="I504" s="188" t="str">
        <f t="shared" si="155"/>
        <v/>
      </c>
      <c r="J504" s="188" t="str">
        <f t="shared" si="156"/>
        <v/>
      </c>
      <c r="K504" s="189" t="str">
        <f t="shared" si="157"/>
        <v/>
      </c>
      <c r="L504" s="189" t="str">
        <f t="shared" si="158"/>
        <v/>
      </c>
      <c r="M504" s="190"/>
      <c r="N504" s="190"/>
      <c r="O504" s="188" t="str">
        <f t="shared" si="159"/>
        <v/>
      </c>
      <c r="P504" s="191" t="str">
        <f t="shared" si="146"/>
        <v/>
      </c>
      <c r="Q504" s="192" t="str">
        <f t="shared" si="160"/>
        <v/>
      </c>
      <c r="R504" s="191" t="str">
        <f t="shared" si="147"/>
        <v/>
      </c>
      <c r="S504" s="193" t="str">
        <f t="shared" si="161"/>
        <v/>
      </c>
      <c r="T504" s="194" t="str">
        <f t="shared" si="148"/>
        <v/>
      </c>
      <c r="U504" s="192" t="str">
        <f t="shared" si="162"/>
        <v/>
      </c>
      <c r="V504" s="195" t="str">
        <f t="shared" si="149"/>
        <v/>
      </c>
      <c r="W504" s="195" t="str">
        <f t="shared" si="150"/>
        <v/>
      </c>
      <c r="X504" s="196" t="str">
        <f t="shared" si="163"/>
        <v/>
      </c>
      <c r="Y504" s="191" t="str">
        <f t="shared" si="164"/>
        <v/>
      </c>
      <c r="Z504" s="197" t="str">
        <f t="shared" si="151"/>
        <v/>
      </c>
      <c r="AA504" s="197" t="str">
        <f t="shared" si="152"/>
        <v/>
      </c>
      <c r="AB504" s="218"/>
      <c r="AC504" s="205"/>
    </row>
    <row r="505" spans="1:29">
      <c r="A505" s="219" t="str">
        <f t="shared" si="153"/>
        <v/>
      </c>
      <c r="B505" s="219"/>
      <c r="C505" s="184"/>
      <c r="D505" s="185"/>
      <c r="E505" s="185" t="str">
        <f>IF(OR(C505="",C505=Data!$B$3),"",IF(C505=Data!$B$2,"L","S"))</f>
        <v/>
      </c>
      <c r="F505" s="185" t="str">
        <f t="shared" si="154"/>
        <v/>
      </c>
      <c r="G505" s="186" t="str">
        <f t="shared" si="145"/>
        <v/>
      </c>
      <c r="H505" s="187"/>
      <c r="I505" s="188" t="str">
        <f t="shared" si="155"/>
        <v/>
      </c>
      <c r="J505" s="188" t="str">
        <f t="shared" si="156"/>
        <v/>
      </c>
      <c r="K505" s="189" t="str">
        <f t="shared" si="157"/>
        <v/>
      </c>
      <c r="L505" s="189" t="str">
        <f t="shared" si="158"/>
        <v/>
      </c>
      <c r="M505" s="190"/>
      <c r="N505" s="190"/>
      <c r="O505" s="188" t="str">
        <f t="shared" si="159"/>
        <v/>
      </c>
      <c r="P505" s="191" t="str">
        <f t="shared" si="146"/>
        <v/>
      </c>
      <c r="Q505" s="192" t="str">
        <f t="shared" si="160"/>
        <v/>
      </c>
      <c r="R505" s="191" t="str">
        <f t="shared" si="147"/>
        <v/>
      </c>
      <c r="S505" s="193" t="str">
        <f t="shared" si="161"/>
        <v/>
      </c>
      <c r="T505" s="194" t="str">
        <f t="shared" si="148"/>
        <v/>
      </c>
      <c r="U505" s="192" t="str">
        <f t="shared" si="162"/>
        <v/>
      </c>
      <c r="V505" s="195" t="str">
        <f t="shared" si="149"/>
        <v/>
      </c>
      <c r="W505" s="195" t="str">
        <f t="shared" si="150"/>
        <v/>
      </c>
      <c r="X505" s="196" t="str">
        <f t="shared" si="163"/>
        <v/>
      </c>
      <c r="Y505" s="191" t="str">
        <f t="shared" si="164"/>
        <v/>
      </c>
      <c r="Z505" s="197" t="str">
        <f t="shared" si="151"/>
        <v/>
      </c>
      <c r="AA505" s="197" t="str">
        <f t="shared" si="152"/>
        <v/>
      </c>
      <c r="AB505" s="218"/>
      <c r="AC505" s="205"/>
    </row>
    <row r="506" spans="1:29">
      <c r="A506" s="219" t="str">
        <f t="shared" si="153"/>
        <v/>
      </c>
      <c r="B506" s="219"/>
      <c r="C506" s="184"/>
      <c r="D506" s="185"/>
      <c r="E506" s="185" t="str">
        <f>IF(OR(C506="",C506=Data!$B$3),"",IF(C506=Data!$B$2,"L","S"))</f>
        <v/>
      </c>
      <c r="F506" s="185" t="str">
        <f t="shared" si="154"/>
        <v/>
      </c>
      <c r="G506" s="186" t="str">
        <f t="shared" si="145"/>
        <v/>
      </c>
      <c r="H506" s="187"/>
      <c r="I506" s="188" t="str">
        <f t="shared" si="155"/>
        <v/>
      </c>
      <c r="J506" s="188" t="str">
        <f t="shared" si="156"/>
        <v/>
      </c>
      <c r="K506" s="189" t="str">
        <f t="shared" si="157"/>
        <v/>
      </c>
      <c r="L506" s="189" t="str">
        <f t="shared" si="158"/>
        <v/>
      </c>
      <c r="M506" s="190"/>
      <c r="N506" s="190"/>
      <c r="O506" s="188" t="str">
        <f t="shared" si="159"/>
        <v/>
      </c>
      <c r="P506" s="191" t="str">
        <f t="shared" si="146"/>
        <v/>
      </c>
      <c r="Q506" s="192" t="str">
        <f t="shared" si="160"/>
        <v/>
      </c>
      <c r="R506" s="191" t="str">
        <f t="shared" si="147"/>
        <v/>
      </c>
      <c r="S506" s="193" t="str">
        <f t="shared" si="161"/>
        <v/>
      </c>
      <c r="T506" s="194" t="str">
        <f t="shared" si="148"/>
        <v/>
      </c>
      <c r="U506" s="192" t="str">
        <f t="shared" si="162"/>
        <v/>
      </c>
      <c r="V506" s="195" t="str">
        <f t="shared" si="149"/>
        <v/>
      </c>
      <c r="W506" s="195" t="str">
        <f t="shared" si="150"/>
        <v/>
      </c>
      <c r="X506" s="196" t="str">
        <f t="shared" si="163"/>
        <v/>
      </c>
      <c r="Y506" s="191" t="str">
        <f t="shared" si="164"/>
        <v/>
      </c>
      <c r="Z506" s="197" t="str">
        <f t="shared" si="151"/>
        <v/>
      </c>
      <c r="AA506" s="197" t="str">
        <f t="shared" si="152"/>
        <v/>
      </c>
      <c r="AB506" s="218"/>
      <c r="AC506" s="205"/>
    </row>
    <row r="507" spans="1:29">
      <c r="A507" s="219" t="str">
        <f t="shared" si="153"/>
        <v/>
      </c>
      <c r="B507" s="219"/>
      <c r="C507" s="184"/>
      <c r="D507" s="185"/>
      <c r="E507" s="185" t="str">
        <f>IF(OR(C507="",C507=Data!$B$3),"",IF(C507=Data!$B$2,"L","S"))</f>
        <v/>
      </c>
      <c r="F507" s="185" t="str">
        <f t="shared" si="154"/>
        <v/>
      </c>
      <c r="G507" s="186" t="str">
        <f t="shared" si="145"/>
        <v/>
      </c>
      <c r="H507" s="187"/>
      <c r="I507" s="188" t="str">
        <f t="shared" si="155"/>
        <v/>
      </c>
      <c r="J507" s="188" t="str">
        <f t="shared" si="156"/>
        <v/>
      </c>
      <c r="K507" s="189" t="str">
        <f t="shared" si="157"/>
        <v/>
      </c>
      <c r="L507" s="189" t="str">
        <f t="shared" si="158"/>
        <v/>
      </c>
      <c r="M507" s="190"/>
      <c r="N507" s="190"/>
      <c r="O507" s="188" t="str">
        <f t="shared" si="159"/>
        <v/>
      </c>
      <c r="P507" s="191" t="str">
        <f t="shared" si="146"/>
        <v/>
      </c>
      <c r="Q507" s="192" t="str">
        <f t="shared" si="160"/>
        <v/>
      </c>
      <c r="R507" s="191" t="str">
        <f t="shared" si="147"/>
        <v/>
      </c>
      <c r="S507" s="193" t="str">
        <f t="shared" si="161"/>
        <v/>
      </c>
      <c r="T507" s="194" t="str">
        <f t="shared" si="148"/>
        <v/>
      </c>
      <c r="U507" s="192" t="str">
        <f t="shared" si="162"/>
        <v/>
      </c>
      <c r="V507" s="195" t="str">
        <f t="shared" si="149"/>
        <v/>
      </c>
      <c r="W507" s="195" t="str">
        <f t="shared" si="150"/>
        <v/>
      </c>
      <c r="X507" s="196" t="str">
        <f t="shared" si="163"/>
        <v/>
      </c>
      <c r="Y507" s="191" t="str">
        <f t="shared" si="164"/>
        <v/>
      </c>
      <c r="Z507" s="197" t="str">
        <f t="shared" si="151"/>
        <v/>
      </c>
      <c r="AA507" s="197" t="str">
        <f t="shared" si="152"/>
        <v/>
      </c>
      <c r="AB507" s="218"/>
      <c r="AC507" s="205"/>
    </row>
    <row r="508" spans="1:29">
      <c r="A508" s="219" t="str">
        <f t="shared" si="153"/>
        <v/>
      </c>
      <c r="B508" s="219"/>
      <c r="C508" s="184"/>
      <c r="D508" s="185"/>
      <c r="E508" s="185" t="str">
        <f>IF(OR(C508="",C508=Data!$B$3),"",IF(C508=Data!$B$2,"L","S"))</f>
        <v/>
      </c>
      <c r="F508" s="185" t="str">
        <f t="shared" si="154"/>
        <v/>
      </c>
      <c r="G508" s="186" t="str">
        <f t="shared" si="145"/>
        <v/>
      </c>
      <c r="H508" s="187"/>
      <c r="I508" s="188" t="str">
        <f t="shared" si="155"/>
        <v/>
      </c>
      <c r="J508" s="188" t="str">
        <f t="shared" si="156"/>
        <v/>
      </c>
      <c r="K508" s="189" t="str">
        <f t="shared" si="157"/>
        <v/>
      </c>
      <c r="L508" s="189" t="str">
        <f t="shared" si="158"/>
        <v/>
      </c>
      <c r="M508" s="190"/>
      <c r="N508" s="190"/>
      <c r="O508" s="188" t="str">
        <f t="shared" si="159"/>
        <v/>
      </c>
      <c r="P508" s="191" t="str">
        <f t="shared" si="146"/>
        <v/>
      </c>
      <c r="Q508" s="192" t="str">
        <f t="shared" si="160"/>
        <v/>
      </c>
      <c r="R508" s="191" t="str">
        <f t="shared" si="147"/>
        <v/>
      </c>
      <c r="S508" s="193" t="str">
        <f t="shared" si="161"/>
        <v/>
      </c>
      <c r="T508" s="194" t="str">
        <f t="shared" si="148"/>
        <v/>
      </c>
      <c r="U508" s="192" t="str">
        <f t="shared" si="162"/>
        <v/>
      </c>
      <c r="V508" s="195" t="str">
        <f t="shared" si="149"/>
        <v/>
      </c>
      <c r="W508" s="195" t="str">
        <f t="shared" si="150"/>
        <v/>
      </c>
      <c r="X508" s="196" t="str">
        <f t="shared" si="163"/>
        <v/>
      </c>
      <c r="Y508" s="191" t="str">
        <f t="shared" si="164"/>
        <v/>
      </c>
      <c r="Z508" s="197" t="str">
        <f t="shared" si="151"/>
        <v/>
      </c>
      <c r="AA508" s="197" t="str">
        <f t="shared" si="152"/>
        <v/>
      </c>
      <c r="AB508" s="218"/>
      <c r="AC508" s="205"/>
    </row>
    <row r="509" spans="1:29">
      <c r="A509" s="219" t="str">
        <f t="shared" si="153"/>
        <v/>
      </c>
      <c r="B509" s="219"/>
      <c r="C509" s="184"/>
      <c r="D509" s="185"/>
      <c r="E509" s="185" t="str">
        <f>IF(OR(C509="",C509=Data!$B$3),"",IF(C509=Data!$B$2,"L","S"))</f>
        <v/>
      </c>
      <c r="F509" s="185" t="str">
        <f t="shared" si="154"/>
        <v/>
      </c>
      <c r="G509" s="186" t="str">
        <f t="shared" si="145"/>
        <v/>
      </c>
      <c r="H509" s="187"/>
      <c r="I509" s="188" t="str">
        <f t="shared" si="155"/>
        <v/>
      </c>
      <c r="J509" s="188" t="str">
        <f t="shared" si="156"/>
        <v/>
      </c>
      <c r="K509" s="189" t="str">
        <f t="shared" si="157"/>
        <v/>
      </c>
      <c r="L509" s="189" t="str">
        <f t="shared" si="158"/>
        <v/>
      </c>
      <c r="M509" s="190"/>
      <c r="N509" s="190"/>
      <c r="O509" s="188" t="str">
        <f t="shared" si="159"/>
        <v/>
      </c>
      <c r="P509" s="191" t="str">
        <f t="shared" si="146"/>
        <v/>
      </c>
      <c r="Q509" s="192" t="str">
        <f t="shared" si="160"/>
        <v/>
      </c>
      <c r="R509" s="191" t="str">
        <f t="shared" si="147"/>
        <v/>
      </c>
      <c r="S509" s="193" t="str">
        <f t="shared" si="161"/>
        <v/>
      </c>
      <c r="T509" s="194" t="str">
        <f t="shared" si="148"/>
        <v/>
      </c>
      <c r="U509" s="192" t="str">
        <f t="shared" si="162"/>
        <v/>
      </c>
      <c r="V509" s="195" t="str">
        <f t="shared" si="149"/>
        <v/>
      </c>
      <c r="W509" s="195" t="str">
        <f t="shared" si="150"/>
        <v/>
      </c>
      <c r="X509" s="196" t="str">
        <f t="shared" si="163"/>
        <v/>
      </c>
      <c r="Y509" s="191" t="str">
        <f t="shared" si="164"/>
        <v/>
      </c>
      <c r="Z509" s="197" t="str">
        <f t="shared" si="151"/>
        <v/>
      </c>
      <c r="AA509" s="197" t="str">
        <f t="shared" si="152"/>
        <v/>
      </c>
      <c r="AB509" s="218"/>
      <c r="AC509" s="205"/>
    </row>
    <row r="510" spans="1:29">
      <c r="A510" s="219" t="str">
        <f t="shared" si="153"/>
        <v/>
      </c>
      <c r="B510" s="219"/>
      <c r="C510" s="184"/>
      <c r="D510" s="185"/>
      <c r="E510" s="185" t="str">
        <f>IF(OR(C510="",C510=Data!$B$3),"",IF(C510=Data!$B$2,"L","S"))</f>
        <v/>
      </c>
      <c r="F510" s="185" t="str">
        <f t="shared" si="154"/>
        <v/>
      </c>
      <c r="G510" s="186" t="str">
        <f t="shared" si="145"/>
        <v/>
      </c>
      <c r="H510" s="187"/>
      <c r="I510" s="188" t="str">
        <f t="shared" si="155"/>
        <v/>
      </c>
      <c r="J510" s="188" t="str">
        <f t="shared" si="156"/>
        <v/>
      </c>
      <c r="K510" s="189" t="str">
        <f t="shared" si="157"/>
        <v/>
      </c>
      <c r="L510" s="189" t="str">
        <f t="shared" si="158"/>
        <v/>
      </c>
      <c r="M510" s="190"/>
      <c r="N510" s="190"/>
      <c r="O510" s="188" t="str">
        <f t="shared" si="159"/>
        <v/>
      </c>
      <c r="P510" s="191" t="str">
        <f t="shared" si="146"/>
        <v/>
      </c>
      <c r="Q510" s="192" t="str">
        <f t="shared" si="160"/>
        <v/>
      </c>
      <c r="R510" s="191" t="str">
        <f t="shared" si="147"/>
        <v/>
      </c>
      <c r="S510" s="193" t="str">
        <f t="shared" si="161"/>
        <v/>
      </c>
      <c r="T510" s="194" t="str">
        <f t="shared" si="148"/>
        <v/>
      </c>
      <c r="U510" s="192" t="str">
        <f t="shared" si="162"/>
        <v/>
      </c>
      <c r="V510" s="195" t="str">
        <f t="shared" si="149"/>
        <v/>
      </c>
      <c r="W510" s="195" t="str">
        <f t="shared" si="150"/>
        <v/>
      </c>
      <c r="X510" s="196" t="str">
        <f t="shared" si="163"/>
        <v/>
      </c>
      <c r="Y510" s="191" t="str">
        <f t="shared" si="164"/>
        <v/>
      </c>
      <c r="Z510" s="197" t="str">
        <f t="shared" si="151"/>
        <v/>
      </c>
      <c r="AA510" s="197" t="str">
        <f t="shared" si="152"/>
        <v/>
      </c>
      <c r="AB510" s="218"/>
      <c r="AC510" s="205"/>
    </row>
    <row r="511" spans="1:29">
      <c r="A511" s="219" t="str">
        <f t="shared" si="153"/>
        <v/>
      </c>
      <c r="B511" s="219"/>
      <c r="C511" s="184"/>
      <c r="D511" s="185"/>
      <c r="E511" s="185" t="str">
        <f>IF(OR(C511="",C511=Data!$B$3),"",IF(C511=Data!$B$2,"L","S"))</f>
        <v/>
      </c>
      <c r="F511" s="185" t="str">
        <f t="shared" si="154"/>
        <v/>
      </c>
      <c r="G511" s="186" t="str">
        <f t="shared" si="145"/>
        <v/>
      </c>
      <c r="H511" s="187"/>
      <c r="I511" s="188" t="str">
        <f t="shared" si="155"/>
        <v/>
      </c>
      <c r="J511" s="188" t="str">
        <f t="shared" si="156"/>
        <v/>
      </c>
      <c r="K511" s="189" t="str">
        <f t="shared" si="157"/>
        <v/>
      </c>
      <c r="L511" s="189" t="str">
        <f t="shared" si="158"/>
        <v/>
      </c>
      <c r="M511" s="190"/>
      <c r="N511" s="190"/>
      <c r="O511" s="188" t="str">
        <f t="shared" si="159"/>
        <v/>
      </c>
      <c r="P511" s="191" t="str">
        <f t="shared" si="146"/>
        <v/>
      </c>
      <c r="Q511" s="192" t="str">
        <f t="shared" si="160"/>
        <v/>
      </c>
      <c r="R511" s="191" t="str">
        <f t="shared" si="147"/>
        <v/>
      </c>
      <c r="S511" s="193" t="str">
        <f t="shared" si="161"/>
        <v/>
      </c>
      <c r="T511" s="194" t="str">
        <f t="shared" si="148"/>
        <v/>
      </c>
      <c r="U511" s="192" t="str">
        <f t="shared" si="162"/>
        <v/>
      </c>
      <c r="V511" s="195" t="str">
        <f t="shared" si="149"/>
        <v/>
      </c>
      <c r="W511" s="195" t="str">
        <f t="shared" si="150"/>
        <v/>
      </c>
      <c r="X511" s="196" t="str">
        <f t="shared" si="163"/>
        <v/>
      </c>
      <c r="Y511" s="191" t="str">
        <f t="shared" si="164"/>
        <v/>
      </c>
      <c r="Z511" s="197" t="str">
        <f t="shared" si="151"/>
        <v/>
      </c>
      <c r="AA511" s="197" t="str">
        <f t="shared" si="152"/>
        <v/>
      </c>
      <c r="AB511" s="218"/>
      <c r="AC511" s="205"/>
    </row>
    <row r="512" spans="1:29">
      <c r="A512" s="219" t="str">
        <f t="shared" si="153"/>
        <v/>
      </c>
      <c r="B512" s="219"/>
      <c r="C512" s="184"/>
      <c r="D512" s="185"/>
      <c r="E512" s="185" t="str">
        <f>IF(OR(C512="",C512=Data!$B$3),"",IF(C512=Data!$B$2,"L","S"))</f>
        <v/>
      </c>
      <c r="F512" s="185" t="str">
        <f t="shared" si="154"/>
        <v/>
      </c>
      <c r="G512" s="186" t="str">
        <f t="shared" si="145"/>
        <v/>
      </c>
      <c r="H512" s="187"/>
      <c r="I512" s="188" t="str">
        <f t="shared" si="155"/>
        <v/>
      </c>
      <c r="J512" s="188" t="str">
        <f t="shared" si="156"/>
        <v/>
      </c>
      <c r="K512" s="189" t="str">
        <f t="shared" si="157"/>
        <v/>
      </c>
      <c r="L512" s="189" t="str">
        <f t="shared" si="158"/>
        <v/>
      </c>
      <c r="M512" s="190"/>
      <c r="N512" s="190"/>
      <c r="O512" s="188" t="str">
        <f t="shared" si="159"/>
        <v/>
      </c>
      <c r="P512" s="191" t="str">
        <f t="shared" si="146"/>
        <v/>
      </c>
      <c r="Q512" s="192" t="str">
        <f t="shared" si="160"/>
        <v/>
      </c>
      <c r="R512" s="191" t="str">
        <f t="shared" si="147"/>
        <v/>
      </c>
      <c r="S512" s="193" t="str">
        <f t="shared" si="161"/>
        <v/>
      </c>
      <c r="T512" s="194" t="str">
        <f t="shared" si="148"/>
        <v/>
      </c>
      <c r="U512" s="192" t="str">
        <f t="shared" si="162"/>
        <v/>
      </c>
      <c r="V512" s="195" t="str">
        <f t="shared" si="149"/>
        <v/>
      </c>
      <c r="W512" s="195" t="str">
        <f t="shared" si="150"/>
        <v/>
      </c>
      <c r="X512" s="196" t="str">
        <f t="shared" si="163"/>
        <v/>
      </c>
      <c r="Y512" s="191" t="str">
        <f t="shared" si="164"/>
        <v/>
      </c>
      <c r="Z512" s="197" t="str">
        <f t="shared" si="151"/>
        <v/>
      </c>
      <c r="AA512" s="197" t="str">
        <f t="shared" si="152"/>
        <v/>
      </c>
      <c r="AB512" s="218"/>
      <c r="AC512" s="205"/>
    </row>
    <row r="513" spans="1:29">
      <c r="A513" s="219" t="str">
        <f t="shared" si="153"/>
        <v/>
      </c>
      <c r="B513" s="219"/>
      <c r="C513" s="184"/>
      <c r="D513" s="185"/>
      <c r="E513" s="185" t="str">
        <f>IF(OR(C513="",C513=Data!$B$3),"",IF(C513=Data!$B$2,"L","S"))</f>
        <v/>
      </c>
      <c r="F513" s="185" t="str">
        <f t="shared" si="154"/>
        <v/>
      </c>
      <c r="G513" s="186" t="str">
        <f t="shared" si="145"/>
        <v/>
      </c>
      <c r="H513" s="187"/>
      <c r="I513" s="188" t="str">
        <f t="shared" si="155"/>
        <v/>
      </c>
      <c r="J513" s="188" t="str">
        <f t="shared" si="156"/>
        <v/>
      </c>
      <c r="K513" s="189" t="str">
        <f t="shared" si="157"/>
        <v/>
      </c>
      <c r="L513" s="189" t="str">
        <f t="shared" si="158"/>
        <v/>
      </c>
      <c r="M513" s="190"/>
      <c r="N513" s="190"/>
      <c r="O513" s="188" t="str">
        <f t="shared" si="159"/>
        <v/>
      </c>
      <c r="P513" s="191" t="str">
        <f t="shared" si="146"/>
        <v/>
      </c>
      <c r="Q513" s="192" t="str">
        <f t="shared" si="160"/>
        <v/>
      </c>
      <c r="R513" s="191" t="str">
        <f t="shared" si="147"/>
        <v/>
      </c>
      <c r="S513" s="193" t="str">
        <f t="shared" si="161"/>
        <v/>
      </c>
      <c r="T513" s="194" t="str">
        <f t="shared" si="148"/>
        <v/>
      </c>
      <c r="U513" s="192" t="str">
        <f t="shared" si="162"/>
        <v/>
      </c>
      <c r="V513" s="195" t="str">
        <f t="shared" si="149"/>
        <v/>
      </c>
      <c r="W513" s="195" t="str">
        <f t="shared" si="150"/>
        <v/>
      </c>
      <c r="X513" s="196" t="str">
        <f t="shared" si="163"/>
        <v/>
      </c>
      <c r="Y513" s="191" t="str">
        <f t="shared" si="164"/>
        <v/>
      </c>
      <c r="Z513" s="197" t="str">
        <f t="shared" si="151"/>
        <v/>
      </c>
      <c r="AA513" s="197" t="str">
        <f t="shared" si="152"/>
        <v/>
      </c>
      <c r="AB513" s="218"/>
      <c r="AC513" s="205"/>
    </row>
    <row r="514" spans="1:29">
      <c r="A514" s="219" t="str">
        <f t="shared" si="153"/>
        <v/>
      </c>
      <c r="B514" s="219"/>
      <c r="C514" s="184"/>
      <c r="D514" s="185"/>
      <c r="E514" s="185" t="str">
        <f>IF(OR(C514="",C514=Data!$B$3),"",IF(C514=Data!$B$2,"L","S"))</f>
        <v/>
      </c>
      <c r="F514" s="185" t="str">
        <f t="shared" si="154"/>
        <v/>
      </c>
      <c r="G514" s="186" t="str">
        <f t="shared" si="145"/>
        <v/>
      </c>
      <c r="H514" s="187"/>
      <c r="I514" s="188" t="str">
        <f t="shared" si="155"/>
        <v/>
      </c>
      <c r="J514" s="188" t="str">
        <f t="shared" si="156"/>
        <v/>
      </c>
      <c r="K514" s="189" t="str">
        <f t="shared" si="157"/>
        <v/>
      </c>
      <c r="L514" s="189" t="str">
        <f t="shared" si="158"/>
        <v/>
      </c>
      <c r="M514" s="190"/>
      <c r="N514" s="190"/>
      <c r="O514" s="188" t="str">
        <f t="shared" si="159"/>
        <v/>
      </c>
      <c r="P514" s="191" t="str">
        <f t="shared" si="146"/>
        <v/>
      </c>
      <c r="Q514" s="192" t="str">
        <f t="shared" si="160"/>
        <v/>
      </c>
      <c r="R514" s="191" t="str">
        <f t="shared" si="147"/>
        <v/>
      </c>
      <c r="S514" s="193" t="str">
        <f t="shared" si="161"/>
        <v/>
      </c>
      <c r="T514" s="194" t="str">
        <f t="shared" si="148"/>
        <v/>
      </c>
      <c r="U514" s="192" t="str">
        <f t="shared" si="162"/>
        <v/>
      </c>
      <c r="V514" s="195" t="str">
        <f t="shared" si="149"/>
        <v/>
      </c>
      <c r="W514" s="195" t="str">
        <f t="shared" si="150"/>
        <v/>
      </c>
      <c r="X514" s="196" t="str">
        <f t="shared" si="163"/>
        <v/>
      </c>
      <c r="Y514" s="191" t="str">
        <f t="shared" si="164"/>
        <v/>
      </c>
      <c r="Z514" s="197" t="str">
        <f t="shared" si="151"/>
        <v/>
      </c>
      <c r="AA514" s="197" t="str">
        <f t="shared" si="152"/>
        <v/>
      </c>
      <c r="AB514" s="218"/>
      <c r="AC514" s="205"/>
    </row>
    <row r="515" spans="1:29">
      <c r="A515" s="219" t="str">
        <f t="shared" si="153"/>
        <v/>
      </c>
      <c r="B515" s="219"/>
      <c r="C515" s="184"/>
      <c r="D515" s="185"/>
      <c r="E515" s="185" t="str">
        <f>IF(OR(C515="",C515=Data!$B$3),"",IF(C515=Data!$B$2,"L","S"))</f>
        <v/>
      </c>
      <c r="F515" s="185" t="str">
        <f t="shared" si="154"/>
        <v/>
      </c>
      <c r="G515" s="186" t="str">
        <f t="shared" si="145"/>
        <v/>
      </c>
      <c r="H515" s="187"/>
      <c r="I515" s="188" t="str">
        <f t="shared" si="155"/>
        <v/>
      </c>
      <c r="J515" s="188" t="str">
        <f t="shared" si="156"/>
        <v/>
      </c>
      <c r="K515" s="189" t="str">
        <f t="shared" si="157"/>
        <v/>
      </c>
      <c r="L515" s="189" t="str">
        <f t="shared" si="158"/>
        <v/>
      </c>
      <c r="M515" s="190"/>
      <c r="N515" s="190"/>
      <c r="O515" s="188" t="str">
        <f t="shared" si="159"/>
        <v/>
      </c>
      <c r="P515" s="191" t="str">
        <f t="shared" si="146"/>
        <v/>
      </c>
      <c r="Q515" s="192" t="str">
        <f t="shared" si="160"/>
        <v/>
      </c>
      <c r="R515" s="191" t="str">
        <f t="shared" si="147"/>
        <v/>
      </c>
      <c r="S515" s="193" t="str">
        <f t="shared" si="161"/>
        <v/>
      </c>
      <c r="T515" s="194" t="str">
        <f t="shared" si="148"/>
        <v/>
      </c>
      <c r="U515" s="192" t="str">
        <f t="shared" si="162"/>
        <v/>
      </c>
      <c r="V515" s="195" t="str">
        <f t="shared" si="149"/>
        <v/>
      </c>
      <c r="W515" s="195" t="str">
        <f t="shared" si="150"/>
        <v/>
      </c>
      <c r="X515" s="196" t="str">
        <f t="shared" si="163"/>
        <v/>
      </c>
      <c r="Y515" s="191" t="str">
        <f t="shared" si="164"/>
        <v/>
      </c>
      <c r="Z515" s="197" t="str">
        <f t="shared" si="151"/>
        <v/>
      </c>
      <c r="AA515" s="197" t="str">
        <f t="shared" si="152"/>
        <v/>
      </c>
      <c r="AB515" s="218"/>
      <c r="AC515" s="205"/>
    </row>
    <row r="516" spans="1:29">
      <c r="A516" s="219" t="str">
        <f t="shared" si="153"/>
        <v/>
      </c>
      <c r="B516" s="219"/>
      <c r="C516" s="184"/>
      <c r="D516" s="185"/>
      <c r="E516" s="185" t="str">
        <f>IF(OR(C516="",C516=Data!$B$3),"",IF(C516=Data!$B$2,"L","S"))</f>
        <v/>
      </c>
      <c r="F516" s="185" t="str">
        <f t="shared" si="154"/>
        <v/>
      </c>
      <c r="G516" s="186" t="str">
        <f t="shared" si="145"/>
        <v/>
      </c>
      <c r="H516" s="187"/>
      <c r="I516" s="188" t="str">
        <f t="shared" si="155"/>
        <v/>
      </c>
      <c r="J516" s="188" t="str">
        <f t="shared" si="156"/>
        <v/>
      </c>
      <c r="K516" s="189" t="str">
        <f t="shared" si="157"/>
        <v/>
      </c>
      <c r="L516" s="189" t="str">
        <f t="shared" si="158"/>
        <v/>
      </c>
      <c r="M516" s="190"/>
      <c r="N516" s="190"/>
      <c r="O516" s="188" t="str">
        <f t="shared" si="159"/>
        <v/>
      </c>
      <c r="P516" s="191" t="str">
        <f t="shared" si="146"/>
        <v/>
      </c>
      <c r="Q516" s="192" t="str">
        <f t="shared" si="160"/>
        <v/>
      </c>
      <c r="R516" s="191" t="str">
        <f t="shared" si="147"/>
        <v/>
      </c>
      <c r="S516" s="193" t="str">
        <f t="shared" si="161"/>
        <v/>
      </c>
      <c r="T516" s="194" t="str">
        <f t="shared" si="148"/>
        <v/>
      </c>
      <c r="U516" s="192" t="str">
        <f t="shared" si="162"/>
        <v/>
      </c>
      <c r="V516" s="195" t="str">
        <f t="shared" si="149"/>
        <v/>
      </c>
      <c r="W516" s="195" t="str">
        <f t="shared" si="150"/>
        <v/>
      </c>
      <c r="X516" s="196" t="str">
        <f t="shared" si="163"/>
        <v/>
      </c>
      <c r="Y516" s="191" t="str">
        <f t="shared" si="164"/>
        <v/>
      </c>
      <c r="Z516" s="197" t="str">
        <f t="shared" si="151"/>
        <v/>
      </c>
      <c r="AA516" s="197" t="str">
        <f t="shared" si="152"/>
        <v/>
      </c>
      <c r="AB516" s="218"/>
      <c r="AC516" s="205"/>
    </row>
    <row r="517" spans="1:29">
      <c r="A517" s="219" t="str">
        <f t="shared" si="153"/>
        <v/>
      </c>
      <c r="B517" s="219"/>
      <c r="C517" s="184"/>
      <c r="D517" s="185"/>
      <c r="E517" s="185" t="str">
        <f>IF(OR(C517="",C517=Data!$B$3),"",IF(C517=Data!$B$2,"L","S"))</f>
        <v/>
      </c>
      <c r="F517" s="185" t="str">
        <f t="shared" si="154"/>
        <v/>
      </c>
      <c r="G517" s="186" t="str">
        <f t="shared" si="145"/>
        <v/>
      </c>
      <c r="H517" s="187"/>
      <c r="I517" s="188" t="str">
        <f t="shared" si="155"/>
        <v/>
      </c>
      <c r="J517" s="188" t="str">
        <f t="shared" si="156"/>
        <v/>
      </c>
      <c r="K517" s="189" t="str">
        <f t="shared" si="157"/>
        <v/>
      </c>
      <c r="L517" s="189" t="str">
        <f t="shared" si="158"/>
        <v/>
      </c>
      <c r="M517" s="190"/>
      <c r="N517" s="190"/>
      <c r="O517" s="188" t="str">
        <f t="shared" si="159"/>
        <v/>
      </c>
      <c r="P517" s="191" t="str">
        <f t="shared" si="146"/>
        <v/>
      </c>
      <c r="Q517" s="192" t="str">
        <f t="shared" si="160"/>
        <v/>
      </c>
      <c r="R517" s="191" t="str">
        <f t="shared" si="147"/>
        <v/>
      </c>
      <c r="S517" s="193" t="str">
        <f t="shared" si="161"/>
        <v/>
      </c>
      <c r="T517" s="194" t="str">
        <f t="shared" si="148"/>
        <v/>
      </c>
      <c r="U517" s="192" t="str">
        <f t="shared" si="162"/>
        <v/>
      </c>
      <c r="V517" s="195" t="str">
        <f t="shared" si="149"/>
        <v/>
      </c>
      <c r="W517" s="195" t="str">
        <f t="shared" si="150"/>
        <v/>
      </c>
      <c r="X517" s="196" t="str">
        <f t="shared" si="163"/>
        <v/>
      </c>
      <c r="Y517" s="191" t="str">
        <f t="shared" si="164"/>
        <v/>
      </c>
      <c r="Z517" s="197" t="str">
        <f t="shared" si="151"/>
        <v/>
      </c>
      <c r="AA517" s="197" t="str">
        <f t="shared" si="152"/>
        <v/>
      </c>
      <c r="AB517" s="218"/>
      <c r="AC517" s="205"/>
    </row>
    <row r="518" spans="1:29">
      <c r="A518" s="219" t="str">
        <f t="shared" si="153"/>
        <v/>
      </c>
      <c r="B518" s="219"/>
      <c r="C518" s="184"/>
      <c r="D518" s="185"/>
      <c r="E518" s="185" t="str">
        <f>IF(OR(C518="",C518=Data!$B$3),"",IF(C518=Data!$B$2,"L","S"))</f>
        <v/>
      </c>
      <c r="F518" s="185" t="str">
        <f t="shared" si="154"/>
        <v/>
      </c>
      <c r="G518" s="186" t="str">
        <f t="shared" si="145"/>
        <v/>
      </c>
      <c r="H518" s="187"/>
      <c r="I518" s="188" t="str">
        <f t="shared" si="155"/>
        <v/>
      </c>
      <c r="J518" s="188" t="str">
        <f t="shared" si="156"/>
        <v/>
      </c>
      <c r="K518" s="189" t="str">
        <f t="shared" si="157"/>
        <v/>
      </c>
      <c r="L518" s="189" t="str">
        <f t="shared" si="158"/>
        <v/>
      </c>
      <c r="M518" s="190"/>
      <c r="N518" s="190"/>
      <c r="O518" s="188" t="str">
        <f t="shared" si="159"/>
        <v/>
      </c>
      <c r="P518" s="191" t="str">
        <f t="shared" si="146"/>
        <v/>
      </c>
      <c r="Q518" s="192" t="str">
        <f t="shared" si="160"/>
        <v/>
      </c>
      <c r="R518" s="191" t="str">
        <f t="shared" si="147"/>
        <v/>
      </c>
      <c r="S518" s="193" t="str">
        <f t="shared" si="161"/>
        <v/>
      </c>
      <c r="T518" s="194" t="str">
        <f t="shared" si="148"/>
        <v/>
      </c>
      <c r="U518" s="192" t="str">
        <f t="shared" si="162"/>
        <v/>
      </c>
      <c r="V518" s="195" t="str">
        <f t="shared" si="149"/>
        <v/>
      </c>
      <c r="W518" s="195" t="str">
        <f t="shared" si="150"/>
        <v/>
      </c>
      <c r="X518" s="196" t="str">
        <f t="shared" si="163"/>
        <v/>
      </c>
      <c r="Y518" s="191" t="str">
        <f t="shared" si="164"/>
        <v/>
      </c>
      <c r="Z518" s="197" t="str">
        <f t="shared" si="151"/>
        <v/>
      </c>
      <c r="AA518" s="197" t="str">
        <f t="shared" si="152"/>
        <v/>
      </c>
      <c r="AB518" s="218"/>
      <c r="AC518" s="205"/>
    </row>
    <row r="519" spans="1:29">
      <c r="A519" s="219" t="str">
        <f t="shared" si="153"/>
        <v/>
      </c>
      <c r="B519" s="219"/>
      <c r="C519" s="184"/>
      <c r="D519" s="185"/>
      <c r="E519" s="185" t="str">
        <f>IF(OR(C519="",C519=Data!$B$3),"",IF(C519=Data!$B$2,"L","S"))</f>
        <v/>
      </c>
      <c r="F519" s="185" t="str">
        <f t="shared" si="154"/>
        <v/>
      </c>
      <c r="G519" s="186" t="str">
        <f t="shared" si="145"/>
        <v/>
      </c>
      <c r="H519" s="187"/>
      <c r="I519" s="188" t="str">
        <f t="shared" si="155"/>
        <v/>
      </c>
      <c r="J519" s="188" t="str">
        <f t="shared" si="156"/>
        <v/>
      </c>
      <c r="K519" s="189" t="str">
        <f t="shared" si="157"/>
        <v/>
      </c>
      <c r="L519" s="189" t="str">
        <f t="shared" si="158"/>
        <v/>
      </c>
      <c r="M519" s="190"/>
      <c r="N519" s="190"/>
      <c r="O519" s="188" t="str">
        <f t="shared" si="159"/>
        <v/>
      </c>
      <c r="P519" s="191" t="str">
        <f t="shared" si="146"/>
        <v/>
      </c>
      <c r="Q519" s="192" t="str">
        <f t="shared" si="160"/>
        <v/>
      </c>
      <c r="R519" s="191" t="str">
        <f t="shared" si="147"/>
        <v/>
      </c>
      <c r="S519" s="193" t="str">
        <f t="shared" si="161"/>
        <v/>
      </c>
      <c r="T519" s="194" t="str">
        <f t="shared" si="148"/>
        <v/>
      </c>
      <c r="U519" s="192" t="str">
        <f t="shared" si="162"/>
        <v/>
      </c>
      <c r="V519" s="195" t="str">
        <f t="shared" si="149"/>
        <v/>
      </c>
      <c r="W519" s="195" t="str">
        <f t="shared" si="150"/>
        <v/>
      </c>
      <c r="X519" s="196" t="str">
        <f t="shared" si="163"/>
        <v/>
      </c>
      <c r="Y519" s="191" t="str">
        <f t="shared" si="164"/>
        <v/>
      </c>
      <c r="Z519" s="197" t="str">
        <f t="shared" si="151"/>
        <v/>
      </c>
      <c r="AA519" s="197" t="str">
        <f t="shared" si="152"/>
        <v/>
      </c>
      <c r="AB519" s="218"/>
      <c r="AC519" s="205"/>
    </row>
    <row r="520" spans="1:29">
      <c r="A520" s="219" t="str">
        <f t="shared" si="153"/>
        <v/>
      </c>
      <c r="B520" s="219"/>
      <c r="C520" s="184"/>
      <c r="D520" s="185"/>
      <c r="E520" s="185" t="str">
        <f>IF(OR(C520="",C520=Data!$B$3),"",IF(C520=Data!$B$2,"L","S"))</f>
        <v/>
      </c>
      <c r="F520" s="185" t="str">
        <f t="shared" si="154"/>
        <v/>
      </c>
      <c r="G520" s="186" t="str">
        <f t="shared" si="145"/>
        <v/>
      </c>
      <c r="H520" s="187"/>
      <c r="I520" s="188" t="str">
        <f t="shared" si="155"/>
        <v/>
      </c>
      <c r="J520" s="188" t="str">
        <f t="shared" si="156"/>
        <v/>
      </c>
      <c r="K520" s="189" t="str">
        <f t="shared" si="157"/>
        <v/>
      </c>
      <c r="L520" s="189" t="str">
        <f t="shared" si="158"/>
        <v/>
      </c>
      <c r="M520" s="190"/>
      <c r="N520" s="190"/>
      <c r="O520" s="188" t="str">
        <f t="shared" si="159"/>
        <v/>
      </c>
      <c r="P520" s="191" t="str">
        <f t="shared" si="146"/>
        <v/>
      </c>
      <c r="Q520" s="192" t="str">
        <f t="shared" si="160"/>
        <v/>
      </c>
      <c r="R520" s="191" t="str">
        <f t="shared" si="147"/>
        <v/>
      </c>
      <c r="S520" s="193" t="str">
        <f t="shared" si="161"/>
        <v/>
      </c>
      <c r="T520" s="194" t="str">
        <f t="shared" si="148"/>
        <v/>
      </c>
      <c r="U520" s="192" t="str">
        <f t="shared" si="162"/>
        <v/>
      </c>
      <c r="V520" s="195" t="str">
        <f t="shared" si="149"/>
        <v/>
      </c>
      <c r="W520" s="195" t="str">
        <f t="shared" si="150"/>
        <v/>
      </c>
      <c r="X520" s="196" t="str">
        <f t="shared" si="163"/>
        <v/>
      </c>
      <c r="Y520" s="191" t="str">
        <f t="shared" si="164"/>
        <v/>
      </c>
      <c r="Z520" s="197" t="str">
        <f t="shared" si="151"/>
        <v/>
      </c>
      <c r="AA520" s="197" t="str">
        <f t="shared" si="152"/>
        <v/>
      </c>
      <c r="AB520" s="218"/>
      <c r="AC520" s="205"/>
    </row>
    <row r="521" spans="1:29">
      <c r="A521" s="219" t="str">
        <f t="shared" si="153"/>
        <v/>
      </c>
      <c r="B521" s="219"/>
      <c r="C521" s="184"/>
      <c r="D521" s="185"/>
      <c r="E521" s="185" t="str">
        <f>IF(OR(C521="",C521=Data!$B$3),"",IF(C521=Data!$B$2,"L","S"))</f>
        <v/>
      </c>
      <c r="F521" s="185" t="str">
        <f t="shared" si="154"/>
        <v/>
      </c>
      <c r="G521" s="186" t="str">
        <f t="shared" si="145"/>
        <v/>
      </c>
      <c r="H521" s="187"/>
      <c r="I521" s="188" t="str">
        <f t="shared" si="155"/>
        <v/>
      </c>
      <c r="J521" s="188" t="str">
        <f t="shared" si="156"/>
        <v/>
      </c>
      <c r="K521" s="189" t="str">
        <f t="shared" si="157"/>
        <v/>
      </c>
      <c r="L521" s="189" t="str">
        <f t="shared" si="158"/>
        <v/>
      </c>
      <c r="M521" s="190"/>
      <c r="N521" s="190"/>
      <c r="O521" s="188" t="str">
        <f t="shared" si="159"/>
        <v/>
      </c>
      <c r="P521" s="191" t="str">
        <f t="shared" si="146"/>
        <v/>
      </c>
      <c r="Q521" s="192" t="str">
        <f t="shared" si="160"/>
        <v/>
      </c>
      <c r="R521" s="191" t="str">
        <f t="shared" si="147"/>
        <v/>
      </c>
      <c r="S521" s="193" t="str">
        <f t="shared" si="161"/>
        <v/>
      </c>
      <c r="T521" s="194" t="str">
        <f t="shared" si="148"/>
        <v/>
      </c>
      <c r="U521" s="192" t="str">
        <f t="shared" si="162"/>
        <v/>
      </c>
      <c r="V521" s="195" t="str">
        <f t="shared" si="149"/>
        <v/>
      </c>
      <c r="W521" s="195" t="str">
        <f t="shared" si="150"/>
        <v/>
      </c>
      <c r="X521" s="196" t="str">
        <f t="shared" si="163"/>
        <v/>
      </c>
      <c r="Y521" s="191" t="str">
        <f t="shared" si="164"/>
        <v/>
      </c>
      <c r="Z521" s="197" t="str">
        <f t="shared" si="151"/>
        <v/>
      </c>
      <c r="AA521" s="197" t="str">
        <f t="shared" si="152"/>
        <v/>
      </c>
      <c r="AB521" s="218"/>
      <c r="AC521" s="205"/>
    </row>
    <row r="522" spans="1:29">
      <c r="A522" s="219" t="str">
        <f t="shared" si="153"/>
        <v/>
      </c>
      <c r="B522" s="219"/>
      <c r="C522" s="184"/>
      <c r="D522" s="185"/>
      <c r="E522" s="185" t="str">
        <f>IF(OR(C522="",C522=Data!$B$3),"",IF(C522=Data!$B$2,"L","S"))</f>
        <v/>
      </c>
      <c r="F522" s="185" t="str">
        <f t="shared" si="154"/>
        <v/>
      </c>
      <c r="G522" s="186" t="str">
        <f t="shared" si="145"/>
        <v/>
      </c>
      <c r="H522" s="187"/>
      <c r="I522" s="188" t="str">
        <f t="shared" si="155"/>
        <v/>
      </c>
      <c r="J522" s="188" t="str">
        <f t="shared" si="156"/>
        <v/>
      </c>
      <c r="K522" s="189" t="str">
        <f t="shared" si="157"/>
        <v/>
      </c>
      <c r="L522" s="189" t="str">
        <f t="shared" si="158"/>
        <v/>
      </c>
      <c r="M522" s="190"/>
      <c r="N522" s="190"/>
      <c r="O522" s="188" t="str">
        <f t="shared" si="159"/>
        <v/>
      </c>
      <c r="P522" s="191" t="str">
        <f t="shared" si="146"/>
        <v/>
      </c>
      <c r="Q522" s="192" t="str">
        <f t="shared" si="160"/>
        <v/>
      </c>
      <c r="R522" s="191" t="str">
        <f t="shared" si="147"/>
        <v/>
      </c>
      <c r="S522" s="193" t="str">
        <f t="shared" si="161"/>
        <v/>
      </c>
      <c r="T522" s="194" t="str">
        <f t="shared" si="148"/>
        <v/>
      </c>
      <c r="U522" s="192" t="str">
        <f t="shared" si="162"/>
        <v/>
      </c>
      <c r="V522" s="195" t="str">
        <f t="shared" si="149"/>
        <v/>
      </c>
      <c r="W522" s="195" t="str">
        <f t="shared" si="150"/>
        <v/>
      </c>
      <c r="X522" s="196" t="str">
        <f t="shared" si="163"/>
        <v/>
      </c>
      <c r="Y522" s="191" t="str">
        <f t="shared" si="164"/>
        <v/>
      </c>
      <c r="Z522" s="197" t="str">
        <f t="shared" si="151"/>
        <v/>
      </c>
      <c r="AA522" s="197" t="str">
        <f t="shared" si="152"/>
        <v/>
      </c>
      <c r="AB522" s="218"/>
      <c r="AC522" s="205"/>
    </row>
    <row r="523" spans="1:29">
      <c r="A523" s="219" t="str">
        <f t="shared" si="153"/>
        <v/>
      </c>
      <c r="B523" s="219"/>
      <c r="C523" s="184"/>
      <c r="D523" s="185"/>
      <c r="E523" s="185" t="str">
        <f>IF(OR(C523="",C523=Data!$B$3),"",IF(C523=Data!$B$2,"L","S"))</f>
        <v/>
      </c>
      <c r="F523" s="185" t="str">
        <f t="shared" si="154"/>
        <v/>
      </c>
      <c r="G523" s="186" t="str">
        <f t="shared" si="145"/>
        <v/>
      </c>
      <c r="H523" s="187"/>
      <c r="I523" s="188" t="str">
        <f t="shared" si="155"/>
        <v/>
      </c>
      <c r="J523" s="188" t="str">
        <f t="shared" si="156"/>
        <v/>
      </c>
      <c r="K523" s="189" t="str">
        <f t="shared" si="157"/>
        <v/>
      </c>
      <c r="L523" s="189" t="str">
        <f t="shared" si="158"/>
        <v/>
      </c>
      <c r="M523" s="190"/>
      <c r="N523" s="190"/>
      <c r="O523" s="188" t="str">
        <f t="shared" si="159"/>
        <v/>
      </c>
      <c r="P523" s="191" t="str">
        <f t="shared" si="146"/>
        <v/>
      </c>
      <c r="Q523" s="192" t="str">
        <f t="shared" si="160"/>
        <v/>
      </c>
      <c r="R523" s="191" t="str">
        <f t="shared" si="147"/>
        <v/>
      </c>
      <c r="S523" s="193" t="str">
        <f t="shared" si="161"/>
        <v/>
      </c>
      <c r="T523" s="194" t="str">
        <f t="shared" si="148"/>
        <v/>
      </c>
      <c r="U523" s="192" t="str">
        <f t="shared" si="162"/>
        <v/>
      </c>
      <c r="V523" s="195" t="str">
        <f t="shared" si="149"/>
        <v/>
      </c>
      <c r="W523" s="195" t="str">
        <f t="shared" si="150"/>
        <v/>
      </c>
      <c r="X523" s="196" t="str">
        <f t="shared" si="163"/>
        <v/>
      </c>
      <c r="Y523" s="191" t="str">
        <f t="shared" si="164"/>
        <v/>
      </c>
      <c r="Z523" s="197" t="str">
        <f t="shared" si="151"/>
        <v/>
      </c>
      <c r="AA523" s="197" t="str">
        <f t="shared" si="152"/>
        <v/>
      </c>
      <c r="AB523" s="218"/>
      <c r="AC523" s="205"/>
    </row>
    <row r="524" spans="1:29">
      <c r="A524" s="219" t="str">
        <f t="shared" si="153"/>
        <v/>
      </c>
      <c r="B524" s="219"/>
      <c r="C524" s="184"/>
      <c r="D524" s="185"/>
      <c r="E524" s="185" t="str">
        <f>IF(OR(C524="",C524=Data!$B$3),"",IF(C524=Data!$B$2,"L","S"))</f>
        <v/>
      </c>
      <c r="F524" s="185" t="str">
        <f t="shared" si="154"/>
        <v/>
      </c>
      <c r="G524" s="186" t="str">
        <f t="shared" ref="G524:G587" si="165">IF(A524="","",$D$3)</f>
        <v/>
      </c>
      <c r="H524" s="187"/>
      <c r="I524" s="188" t="str">
        <f t="shared" si="155"/>
        <v/>
      </c>
      <c r="J524" s="188" t="str">
        <f t="shared" si="156"/>
        <v/>
      </c>
      <c r="K524" s="189" t="str">
        <f t="shared" si="157"/>
        <v/>
      </c>
      <c r="L524" s="189" t="str">
        <f t="shared" si="158"/>
        <v/>
      </c>
      <c r="M524" s="190"/>
      <c r="N524" s="190"/>
      <c r="O524" s="188" t="str">
        <f t="shared" si="159"/>
        <v/>
      </c>
      <c r="P524" s="191" t="str">
        <f t="shared" ref="P524:P587" si="166">IF(O524="","",IF(L524*F524*G524=0,0,L524*F524*G524))</f>
        <v/>
      </c>
      <c r="Q524" s="192" t="str">
        <f t="shared" si="160"/>
        <v/>
      </c>
      <c r="R524" s="191" t="str">
        <f t="shared" ref="R524:R587" si="167">IF(O524&lt;&gt;"",IF(K524*F524*G524=0,"",K524*F524*G524),"")</f>
        <v/>
      </c>
      <c r="S524" s="193" t="str">
        <f t="shared" si="161"/>
        <v/>
      </c>
      <c r="T524" s="194" t="str">
        <f t="shared" ref="T524:T587" si="168">IF(X524="","",X524*F524*G524)</f>
        <v/>
      </c>
      <c r="U524" s="192" t="str">
        <f t="shared" si="162"/>
        <v/>
      </c>
      <c r="V524" s="195" t="str">
        <f t="shared" ref="V524:V587" si="169">IF(O524="","",IF(AND(O524&gt;I524,E524="L"),1, IF(AND(I524&gt;O524,E524="S"),1,0)))</f>
        <v/>
      </c>
      <c r="W524" s="195" t="str">
        <f t="shared" ref="W524:W587" si="170">IF(O524="","",IF(AND(O524&lt;I524,E524="L"),1, IF(AND(I524&lt;O524,E524="S"),1,0)))</f>
        <v/>
      </c>
      <c r="X524" s="196" t="str">
        <f t="shared" si="163"/>
        <v/>
      </c>
      <c r="Y524" s="191" t="str">
        <f t="shared" si="164"/>
        <v/>
      </c>
      <c r="Z524" s="197" t="str">
        <f t="shared" ref="Z524:Z587" si="171">IF(M524="","",MONTH(M524))</f>
        <v/>
      </c>
      <c r="AA524" s="197" t="str">
        <f t="shared" ref="AA524:AA587" si="172">IF(M524="","",YEAR(M524))</f>
        <v/>
      </c>
      <c r="AB524" s="218"/>
      <c r="AC524" s="205"/>
    </row>
    <row r="525" spans="1:29">
      <c r="A525" s="219" t="str">
        <f t="shared" ref="A525:A588" si="173">IF(C525="","",1)</f>
        <v/>
      </c>
      <c r="B525" s="219"/>
      <c r="C525" s="184"/>
      <c r="D525" s="185"/>
      <c r="E525" s="185" t="str">
        <f>IF(OR(C525="",C525=Data!$B$3),"",IF(C525=Data!$B$2,"L","S"))</f>
        <v/>
      </c>
      <c r="F525" s="185" t="str">
        <f t="shared" ref="F525:F588" si="174">IF(A525&lt;&gt;"",$D$2,"")</f>
        <v/>
      </c>
      <c r="G525" s="186" t="str">
        <f t="shared" si="165"/>
        <v/>
      </c>
      <c r="H525" s="187"/>
      <c r="I525" s="188" t="str">
        <f t="shared" ref="I525:I588" si="175">IF(H525="","",IF(E525="L",H525+$D$4*0.0001,H525-$D$4*0.0001))</f>
        <v/>
      </c>
      <c r="J525" s="188" t="str">
        <f t="shared" ref="J525:J588" si="176">IF(AND(H525&lt;&gt;"",I525&lt;&gt;""),IF(E525="L",I525+(I525-H525)*3,I525-(H525-I525)*3),"")</f>
        <v/>
      </c>
      <c r="K525" s="189" t="str">
        <f t="shared" ref="K525:K588" si="177">IF(AND(E525&lt;&gt;"",AND(I525&lt;&gt;"",J525&lt;&gt;"")),IF(E525="L",(J525-I525)*IF(I525&gt;10,IF(SEARCH("JPY",D525),10,100),10000),(I525-J525)*IF(I525&gt;10,IF(SEARCH("JPY",D525),10,100),10000)),"")</f>
        <v/>
      </c>
      <c r="L525" s="189" t="str">
        <f t="shared" ref="L525:L588" si="178">IF(AND(E525&lt;&gt;"",AND(H525&lt;&gt;"",I525&lt;&gt;"")),IF(E525="L",(I525-H525)*IF(I525&gt;10,IF(SEARCH("JPY",D525),10,100),10000),(H525-I525)*IF(I525&gt;10,IF(SEARCH("JPY",D525),10,100),10000)),"")</f>
        <v/>
      </c>
      <c r="M525" s="190"/>
      <c r="N525" s="190"/>
      <c r="O525" s="188" t="str">
        <f t="shared" ref="O525:O588" si="179">J525</f>
        <v/>
      </c>
      <c r="P525" s="191" t="str">
        <f t="shared" si="166"/>
        <v/>
      </c>
      <c r="Q525" s="192" t="str">
        <f t="shared" ref="Q525:Q588" si="180">IF(P525="","",IF(P525=0,0,P525/$I$4))</f>
        <v/>
      </c>
      <c r="R525" s="191" t="str">
        <f t="shared" si="167"/>
        <v/>
      </c>
      <c r="S525" s="193" t="str">
        <f t="shared" ref="S525:S588" si="181">IF(P525="","",IF(P525=0,0,R525/P525))</f>
        <v/>
      </c>
      <c r="T525" s="194" t="str">
        <f t="shared" si="168"/>
        <v/>
      </c>
      <c r="U525" s="192" t="str">
        <f t="shared" ref="U525:U588" si="182">IF(T525="","",IF($I$4="","",T525/$I$4))</f>
        <v/>
      </c>
      <c r="V525" s="195" t="str">
        <f t="shared" si="169"/>
        <v/>
      </c>
      <c r="W525" s="195" t="str">
        <f t="shared" si="170"/>
        <v/>
      </c>
      <c r="X525" s="196" t="str">
        <f t="shared" ref="X525:X588" si="183">IF((O525=""),"",IF(E525="L",1,-1)*(O525-I525)*IF(O525&gt;10,IF(SEARCH("JPY",D525),10,100),10000))</f>
        <v/>
      </c>
      <c r="Y525" s="191" t="str">
        <f t="shared" si="164"/>
        <v/>
      </c>
      <c r="Z525" s="197" t="str">
        <f t="shared" si="171"/>
        <v/>
      </c>
      <c r="AA525" s="197" t="str">
        <f t="shared" si="172"/>
        <v/>
      </c>
      <c r="AB525" s="218"/>
      <c r="AC525" s="205"/>
    </row>
    <row r="526" spans="1:29">
      <c r="A526" s="219" t="str">
        <f t="shared" si="173"/>
        <v/>
      </c>
      <c r="B526" s="219"/>
      <c r="C526" s="184"/>
      <c r="D526" s="185"/>
      <c r="E526" s="185" t="str">
        <f>IF(OR(C526="",C526=Data!$B$3),"",IF(C526=Data!$B$2,"L","S"))</f>
        <v/>
      </c>
      <c r="F526" s="185" t="str">
        <f t="shared" si="174"/>
        <v/>
      </c>
      <c r="G526" s="186" t="str">
        <f t="shared" si="165"/>
        <v/>
      </c>
      <c r="H526" s="187"/>
      <c r="I526" s="188" t="str">
        <f t="shared" si="175"/>
        <v/>
      </c>
      <c r="J526" s="188" t="str">
        <f t="shared" si="176"/>
        <v/>
      </c>
      <c r="K526" s="189" t="str">
        <f t="shared" si="177"/>
        <v/>
      </c>
      <c r="L526" s="189" t="str">
        <f t="shared" si="178"/>
        <v/>
      </c>
      <c r="M526" s="190"/>
      <c r="N526" s="190"/>
      <c r="O526" s="188" t="str">
        <f t="shared" si="179"/>
        <v/>
      </c>
      <c r="P526" s="191" t="str">
        <f t="shared" si="166"/>
        <v/>
      </c>
      <c r="Q526" s="192" t="str">
        <f t="shared" si="180"/>
        <v/>
      </c>
      <c r="R526" s="191" t="str">
        <f t="shared" si="167"/>
        <v/>
      </c>
      <c r="S526" s="193" t="str">
        <f t="shared" si="181"/>
        <v/>
      </c>
      <c r="T526" s="194" t="str">
        <f t="shared" si="168"/>
        <v/>
      </c>
      <c r="U526" s="192" t="str">
        <f t="shared" si="182"/>
        <v/>
      </c>
      <c r="V526" s="195" t="str">
        <f t="shared" si="169"/>
        <v/>
      </c>
      <c r="W526" s="195" t="str">
        <f t="shared" si="170"/>
        <v/>
      </c>
      <c r="X526" s="196" t="str">
        <f t="shared" si="183"/>
        <v/>
      </c>
      <c r="Y526" s="191" t="str">
        <f t="shared" si="164"/>
        <v/>
      </c>
      <c r="Z526" s="197" t="str">
        <f t="shared" si="171"/>
        <v/>
      </c>
      <c r="AA526" s="197" t="str">
        <f t="shared" si="172"/>
        <v/>
      </c>
      <c r="AB526" s="218"/>
      <c r="AC526" s="205"/>
    </row>
    <row r="527" spans="1:29">
      <c r="A527" s="219" t="str">
        <f t="shared" si="173"/>
        <v/>
      </c>
      <c r="B527" s="219"/>
      <c r="C527" s="184"/>
      <c r="D527" s="185"/>
      <c r="E527" s="185" t="str">
        <f>IF(OR(C527="",C527=Data!$B$3),"",IF(C527=Data!$B$2,"L","S"))</f>
        <v/>
      </c>
      <c r="F527" s="185" t="str">
        <f t="shared" si="174"/>
        <v/>
      </c>
      <c r="G527" s="186" t="str">
        <f t="shared" si="165"/>
        <v/>
      </c>
      <c r="H527" s="187"/>
      <c r="I527" s="188" t="str">
        <f t="shared" si="175"/>
        <v/>
      </c>
      <c r="J527" s="188" t="str">
        <f t="shared" si="176"/>
        <v/>
      </c>
      <c r="K527" s="189" t="str">
        <f t="shared" si="177"/>
        <v/>
      </c>
      <c r="L527" s="189" t="str">
        <f t="shared" si="178"/>
        <v/>
      </c>
      <c r="M527" s="190"/>
      <c r="N527" s="190"/>
      <c r="O527" s="188" t="str">
        <f t="shared" si="179"/>
        <v/>
      </c>
      <c r="P527" s="191" t="str">
        <f t="shared" si="166"/>
        <v/>
      </c>
      <c r="Q527" s="192" t="str">
        <f t="shared" si="180"/>
        <v/>
      </c>
      <c r="R527" s="191" t="str">
        <f t="shared" si="167"/>
        <v/>
      </c>
      <c r="S527" s="193" t="str">
        <f t="shared" si="181"/>
        <v/>
      </c>
      <c r="T527" s="194" t="str">
        <f t="shared" si="168"/>
        <v/>
      </c>
      <c r="U527" s="192" t="str">
        <f t="shared" si="182"/>
        <v/>
      </c>
      <c r="V527" s="195" t="str">
        <f t="shared" si="169"/>
        <v/>
      </c>
      <c r="W527" s="195" t="str">
        <f t="shared" si="170"/>
        <v/>
      </c>
      <c r="X527" s="196" t="str">
        <f t="shared" si="183"/>
        <v/>
      </c>
      <c r="Y527" s="191" t="str">
        <f t="shared" si="164"/>
        <v/>
      </c>
      <c r="Z527" s="197" t="str">
        <f t="shared" si="171"/>
        <v/>
      </c>
      <c r="AA527" s="197" t="str">
        <f t="shared" si="172"/>
        <v/>
      </c>
      <c r="AB527" s="218"/>
      <c r="AC527" s="205"/>
    </row>
    <row r="528" spans="1:29">
      <c r="A528" s="219" t="str">
        <f t="shared" si="173"/>
        <v/>
      </c>
      <c r="B528" s="219"/>
      <c r="C528" s="184"/>
      <c r="D528" s="185"/>
      <c r="E528" s="185" t="str">
        <f>IF(OR(C528="",C528=Data!$B$3),"",IF(C528=Data!$B$2,"L","S"))</f>
        <v/>
      </c>
      <c r="F528" s="185" t="str">
        <f t="shared" si="174"/>
        <v/>
      </c>
      <c r="G528" s="186" t="str">
        <f t="shared" si="165"/>
        <v/>
      </c>
      <c r="H528" s="187"/>
      <c r="I528" s="188" t="str">
        <f t="shared" si="175"/>
        <v/>
      </c>
      <c r="J528" s="188" t="str">
        <f t="shared" si="176"/>
        <v/>
      </c>
      <c r="K528" s="189" t="str">
        <f t="shared" si="177"/>
        <v/>
      </c>
      <c r="L528" s="189" t="str">
        <f t="shared" si="178"/>
        <v/>
      </c>
      <c r="M528" s="190"/>
      <c r="N528" s="190"/>
      <c r="O528" s="188" t="str">
        <f t="shared" si="179"/>
        <v/>
      </c>
      <c r="P528" s="191" t="str">
        <f t="shared" si="166"/>
        <v/>
      </c>
      <c r="Q528" s="192" t="str">
        <f t="shared" si="180"/>
        <v/>
      </c>
      <c r="R528" s="191" t="str">
        <f t="shared" si="167"/>
        <v/>
      </c>
      <c r="S528" s="193" t="str">
        <f t="shared" si="181"/>
        <v/>
      </c>
      <c r="T528" s="194" t="str">
        <f t="shared" si="168"/>
        <v/>
      </c>
      <c r="U528" s="192" t="str">
        <f t="shared" si="182"/>
        <v/>
      </c>
      <c r="V528" s="195" t="str">
        <f t="shared" si="169"/>
        <v/>
      </c>
      <c r="W528" s="195" t="str">
        <f t="shared" si="170"/>
        <v/>
      </c>
      <c r="X528" s="196" t="str">
        <f t="shared" si="183"/>
        <v/>
      </c>
      <c r="Y528" s="191" t="str">
        <f t="shared" si="164"/>
        <v/>
      </c>
      <c r="Z528" s="197" t="str">
        <f t="shared" si="171"/>
        <v/>
      </c>
      <c r="AA528" s="197" t="str">
        <f t="shared" si="172"/>
        <v/>
      </c>
      <c r="AB528" s="218"/>
      <c r="AC528" s="205"/>
    </row>
    <row r="529" spans="1:29">
      <c r="A529" s="219" t="str">
        <f t="shared" si="173"/>
        <v/>
      </c>
      <c r="B529" s="219"/>
      <c r="C529" s="184"/>
      <c r="D529" s="185"/>
      <c r="E529" s="185" t="str">
        <f>IF(OR(C529="",C529=Data!$B$3),"",IF(C529=Data!$B$2,"L","S"))</f>
        <v/>
      </c>
      <c r="F529" s="185" t="str">
        <f t="shared" si="174"/>
        <v/>
      </c>
      <c r="G529" s="186" t="str">
        <f t="shared" si="165"/>
        <v/>
      </c>
      <c r="H529" s="187"/>
      <c r="I529" s="188" t="str">
        <f t="shared" si="175"/>
        <v/>
      </c>
      <c r="J529" s="188" t="str">
        <f t="shared" si="176"/>
        <v/>
      </c>
      <c r="K529" s="189" t="str">
        <f t="shared" si="177"/>
        <v/>
      </c>
      <c r="L529" s="189" t="str">
        <f t="shared" si="178"/>
        <v/>
      </c>
      <c r="M529" s="190"/>
      <c r="N529" s="190"/>
      <c r="O529" s="188" t="str">
        <f t="shared" si="179"/>
        <v/>
      </c>
      <c r="P529" s="191" t="str">
        <f t="shared" si="166"/>
        <v/>
      </c>
      <c r="Q529" s="192" t="str">
        <f t="shared" si="180"/>
        <v/>
      </c>
      <c r="R529" s="191" t="str">
        <f t="shared" si="167"/>
        <v/>
      </c>
      <c r="S529" s="193" t="str">
        <f t="shared" si="181"/>
        <v/>
      </c>
      <c r="T529" s="194" t="str">
        <f t="shared" si="168"/>
        <v/>
      </c>
      <c r="U529" s="192" t="str">
        <f t="shared" si="182"/>
        <v/>
      </c>
      <c r="V529" s="195" t="str">
        <f t="shared" si="169"/>
        <v/>
      </c>
      <c r="W529" s="195" t="str">
        <f t="shared" si="170"/>
        <v/>
      </c>
      <c r="X529" s="196" t="str">
        <f t="shared" si="183"/>
        <v/>
      </c>
      <c r="Y529" s="191" t="str">
        <f t="shared" si="164"/>
        <v/>
      </c>
      <c r="Z529" s="197" t="str">
        <f t="shared" si="171"/>
        <v/>
      </c>
      <c r="AA529" s="197" t="str">
        <f t="shared" si="172"/>
        <v/>
      </c>
      <c r="AB529" s="218"/>
      <c r="AC529" s="205"/>
    </row>
    <row r="530" spans="1:29">
      <c r="A530" s="219" t="str">
        <f t="shared" si="173"/>
        <v/>
      </c>
      <c r="B530" s="219"/>
      <c r="C530" s="184"/>
      <c r="D530" s="185"/>
      <c r="E530" s="185" t="str">
        <f>IF(OR(C530="",C530=Data!$B$3),"",IF(C530=Data!$B$2,"L","S"))</f>
        <v/>
      </c>
      <c r="F530" s="185" t="str">
        <f t="shared" si="174"/>
        <v/>
      </c>
      <c r="G530" s="186" t="str">
        <f t="shared" si="165"/>
        <v/>
      </c>
      <c r="H530" s="187"/>
      <c r="I530" s="188" t="str">
        <f t="shared" si="175"/>
        <v/>
      </c>
      <c r="J530" s="188" t="str">
        <f t="shared" si="176"/>
        <v/>
      </c>
      <c r="K530" s="189" t="str">
        <f t="shared" si="177"/>
        <v/>
      </c>
      <c r="L530" s="189" t="str">
        <f t="shared" si="178"/>
        <v/>
      </c>
      <c r="M530" s="190"/>
      <c r="N530" s="190"/>
      <c r="O530" s="188" t="str">
        <f t="shared" si="179"/>
        <v/>
      </c>
      <c r="P530" s="191" t="str">
        <f t="shared" si="166"/>
        <v/>
      </c>
      <c r="Q530" s="192" t="str">
        <f t="shared" si="180"/>
        <v/>
      </c>
      <c r="R530" s="191" t="str">
        <f t="shared" si="167"/>
        <v/>
      </c>
      <c r="S530" s="193" t="str">
        <f t="shared" si="181"/>
        <v/>
      </c>
      <c r="T530" s="194" t="str">
        <f t="shared" si="168"/>
        <v/>
      </c>
      <c r="U530" s="192" t="str">
        <f t="shared" si="182"/>
        <v/>
      </c>
      <c r="V530" s="195" t="str">
        <f t="shared" si="169"/>
        <v/>
      </c>
      <c r="W530" s="195" t="str">
        <f t="shared" si="170"/>
        <v/>
      </c>
      <c r="X530" s="196" t="str">
        <f t="shared" si="183"/>
        <v/>
      </c>
      <c r="Y530" s="191" t="str">
        <f t="shared" si="164"/>
        <v/>
      </c>
      <c r="Z530" s="197" t="str">
        <f t="shared" si="171"/>
        <v/>
      </c>
      <c r="AA530" s="197" t="str">
        <f t="shared" si="172"/>
        <v/>
      </c>
      <c r="AB530" s="218"/>
      <c r="AC530" s="205"/>
    </row>
    <row r="531" spans="1:29">
      <c r="A531" s="219" t="str">
        <f t="shared" si="173"/>
        <v/>
      </c>
      <c r="B531" s="219"/>
      <c r="C531" s="184"/>
      <c r="D531" s="185"/>
      <c r="E531" s="185" t="str">
        <f>IF(OR(C531="",C531=Data!$B$3),"",IF(C531=Data!$B$2,"L","S"))</f>
        <v/>
      </c>
      <c r="F531" s="185" t="str">
        <f t="shared" si="174"/>
        <v/>
      </c>
      <c r="G531" s="186" t="str">
        <f t="shared" si="165"/>
        <v/>
      </c>
      <c r="H531" s="187"/>
      <c r="I531" s="188" t="str">
        <f t="shared" si="175"/>
        <v/>
      </c>
      <c r="J531" s="188" t="str">
        <f t="shared" si="176"/>
        <v/>
      </c>
      <c r="K531" s="189" t="str">
        <f t="shared" si="177"/>
        <v/>
      </c>
      <c r="L531" s="189" t="str">
        <f t="shared" si="178"/>
        <v/>
      </c>
      <c r="M531" s="190"/>
      <c r="N531" s="190"/>
      <c r="O531" s="188" t="str">
        <f t="shared" si="179"/>
        <v/>
      </c>
      <c r="P531" s="191" t="str">
        <f t="shared" si="166"/>
        <v/>
      </c>
      <c r="Q531" s="192" t="str">
        <f t="shared" si="180"/>
        <v/>
      </c>
      <c r="R531" s="191" t="str">
        <f t="shared" si="167"/>
        <v/>
      </c>
      <c r="S531" s="193" t="str">
        <f t="shared" si="181"/>
        <v/>
      </c>
      <c r="T531" s="194" t="str">
        <f t="shared" si="168"/>
        <v/>
      </c>
      <c r="U531" s="192" t="str">
        <f t="shared" si="182"/>
        <v/>
      </c>
      <c r="V531" s="195" t="str">
        <f t="shared" si="169"/>
        <v/>
      </c>
      <c r="W531" s="195" t="str">
        <f t="shared" si="170"/>
        <v/>
      </c>
      <c r="X531" s="196" t="str">
        <f t="shared" si="183"/>
        <v/>
      </c>
      <c r="Y531" s="191" t="str">
        <f t="shared" si="164"/>
        <v/>
      </c>
      <c r="Z531" s="197" t="str">
        <f t="shared" si="171"/>
        <v/>
      </c>
      <c r="AA531" s="197" t="str">
        <f t="shared" si="172"/>
        <v/>
      </c>
      <c r="AB531" s="218"/>
      <c r="AC531" s="205"/>
    </row>
    <row r="532" spans="1:29">
      <c r="A532" s="219" t="str">
        <f t="shared" si="173"/>
        <v/>
      </c>
      <c r="B532" s="219"/>
      <c r="C532" s="184"/>
      <c r="D532" s="185"/>
      <c r="E532" s="185" t="str">
        <f>IF(OR(C532="",C532=Data!$B$3),"",IF(C532=Data!$B$2,"L","S"))</f>
        <v/>
      </c>
      <c r="F532" s="185" t="str">
        <f t="shared" si="174"/>
        <v/>
      </c>
      <c r="G532" s="186" t="str">
        <f t="shared" si="165"/>
        <v/>
      </c>
      <c r="H532" s="187"/>
      <c r="I532" s="188" t="str">
        <f t="shared" si="175"/>
        <v/>
      </c>
      <c r="J532" s="188" t="str">
        <f t="shared" si="176"/>
        <v/>
      </c>
      <c r="K532" s="189" t="str">
        <f t="shared" si="177"/>
        <v/>
      </c>
      <c r="L532" s="189" t="str">
        <f t="shared" si="178"/>
        <v/>
      </c>
      <c r="M532" s="190"/>
      <c r="N532" s="190"/>
      <c r="O532" s="188" t="str">
        <f t="shared" si="179"/>
        <v/>
      </c>
      <c r="P532" s="191" t="str">
        <f t="shared" si="166"/>
        <v/>
      </c>
      <c r="Q532" s="192" t="str">
        <f t="shared" si="180"/>
        <v/>
      </c>
      <c r="R532" s="191" t="str">
        <f t="shared" si="167"/>
        <v/>
      </c>
      <c r="S532" s="193" t="str">
        <f t="shared" si="181"/>
        <v/>
      </c>
      <c r="T532" s="194" t="str">
        <f t="shared" si="168"/>
        <v/>
      </c>
      <c r="U532" s="192" t="str">
        <f t="shared" si="182"/>
        <v/>
      </c>
      <c r="V532" s="195" t="str">
        <f t="shared" si="169"/>
        <v/>
      </c>
      <c r="W532" s="195" t="str">
        <f t="shared" si="170"/>
        <v/>
      </c>
      <c r="X532" s="196" t="str">
        <f t="shared" si="183"/>
        <v/>
      </c>
      <c r="Y532" s="191" t="str">
        <f t="shared" ref="Y532:Y595" si="184">IF(Y531="","",IF(T532="","",Y531+T532))</f>
        <v/>
      </c>
      <c r="Z532" s="197" t="str">
        <f t="shared" si="171"/>
        <v/>
      </c>
      <c r="AA532" s="197" t="str">
        <f t="shared" si="172"/>
        <v/>
      </c>
      <c r="AB532" s="218"/>
      <c r="AC532" s="205"/>
    </row>
    <row r="533" spans="1:29">
      <c r="A533" s="219" t="str">
        <f t="shared" si="173"/>
        <v/>
      </c>
      <c r="B533" s="219"/>
      <c r="C533" s="184"/>
      <c r="D533" s="185"/>
      <c r="E533" s="185" t="str">
        <f>IF(OR(C533="",C533=Data!$B$3),"",IF(C533=Data!$B$2,"L","S"))</f>
        <v/>
      </c>
      <c r="F533" s="185" t="str">
        <f t="shared" si="174"/>
        <v/>
      </c>
      <c r="G533" s="186" t="str">
        <f t="shared" si="165"/>
        <v/>
      </c>
      <c r="H533" s="187"/>
      <c r="I533" s="188" t="str">
        <f t="shared" si="175"/>
        <v/>
      </c>
      <c r="J533" s="188" t="str">
        <f t="shared" si="176"/>
        <v/>
      </c>
      <c r="K533" s="189" t="str">
        <f t="shared" si="177"/>
        <v/>
      </c>
      <c r="L533" s="189" t="str">
        <f t="shared" si="178"/>
        <v/>
      </c>
      <c r="M533" s="190"/>
      <c r="N533" s="190"/>
      <c r="O533" s="188" t="str">
        <f t="shared" si="179"/>
        <v/>
      </c>
      <c r="P533" s="191" t="str">
        <f t="shared" si="166"/>
        <v/>
      </c>
      <c r="Q533" s="192" t="str">
        <f t="shared" si="180"/>
        <v/>
      </c>
      <c r="R533" s="191" t="str">
        <f t="shared" si="167"/>
        <v/>
      </c>
      <c r="S533" s="193" t="str">
        <f t="shared" si="181"/>
        <v/>
      </c>
      <c r="T533" s="194" t="str">
        <f t="shared" si="168"/>
        <v/>
      </c>
      <c r="U533" s="192" t="str">
        <f t="shared" si="182"/>
        <v/>
      </c>
      <c r="V533" s="195" t="str">
        <f t="shared" si="169"/>
        <v/>
      </c>
      <c r="W533" s="195" t="str">
        <f t="shared" si="170"/>
        <v/>
      </c>
      <c r="X533" s="196" t="str">
        <f t="shared" si="183"/>
        <v/>
      </c>
      <c r="Y533" s="191" t="str">
        <f t="shared" si="184"/>
        <v/>
      </c>
      <c r="Z533" s="197" t="str">
        <f t="shared" si="171"/>
        <v/>
      </c>
      <c r="AA533" s="197" t="str">
        <f t="shared" si="172"/>
        <v/>
      </c>
      <c r="AB533" s="218"/>
      <c r="AC533" s="205"/>
    </row>
    <row r="534" spans="1:29">
      <c r="A534" s="219" t="str">
        <f t="shared" si="173"/>
        <v/>
      </c>
      <c r="B534" s="219"/>
      <c r="C534" s="184"/>
      <c r="D534" s="185"/>
      <c r="E534" s="185" t="str">
        <f>IF(OR(C534="",C534=Data!$B$3),"",IF(C534=Data!$B$2,"L","S"))</f>
        <v/>
      </c>
      <c r="F534" s="185" t="str">
        <f t="shared" si="174"/>
        <v/>
      </c>
      <c r="G534" s="186" t="str">
        <f t="shared" si="165"/>
        <v/>
      </c>
      <c r="H534" s="187"/>
      <c r="I534" s="188" t="str">
        <f t="shared" si="175"/>
        <v/>
      </c>
      <c r="J534" s="188" t="str">
        <f t="shared" si="176"/>
        <v/>
      </c>
      <c r="K534" s="189" t="str">
        <f t="shared" si="177"/>
        <v/>
      </c>
      <c r="L534" s="189" t="str">
        <f t="shared" si="178"/>
        <v/>
      </c>
      <c r="M534" s="190"/>
      <c r="N534" s="190"/>
      <c r="O534" s="188" t="str">
        <f t="shared" si="179"/>
        <v/>
      </c>
      <c r="P534" s="191" t="str">
        <f t="shared" si="166"/>
        <v/>
      </c>
      <c r="Q534" s="192" t="str">
        <f t="shared" si="180"/>
        <v/>
      </c>
      <c r="R534" s="191" t="str">
        <f t="shared" si="167"/>
        <v/>
      </c>
      <c r="S534" s="193" t="str">
        <f t="shared" si="181"/>
        <v/>
      </c>
      <c r="T534" s="194" t="str">
        <f t="shared" si="168"/>
        <v/>
      </c>
      <c r="U534" s="192" t="str">
        <f t="shared" si="182"/>
        <v/>
      </c>
      <c r="V534" s="195" t="str">
        <f t="shared" si="169"/>
        <v/>
      </c>
      <c r="W534" s="195" t="str">
        <f t="shared" si="170"/>
        <v/>
      </c>
      <c r="X534" s="196" t="str">
        <f t="shared" si="183"/>
        <v/>
      </c>
      <c r="Y534" s="191" t="str">
        <f t="shared" si="184"/>
        <v/>
      </c>
      <c r="Z534" s="197" t="str">
        <f t="shared" si="171"/>
        <v/>
      </c>
      <c r="AA534" s="197" t="str">
        <f t="shared" si="172"/>
        <v/>
      </c>
      <c r="AB534" s="218"/>
      <c r="AC534" s="205"/>
    </row>
    <row r="535" spans="1:29">
      <c r="A535" s="219" t="str">
        <f t="shared" si="173"/>
        <v/>
      </c>
      <c r="B535" s="219"/>
      <c r="C535" s="184"/>
      <c r="D535" s="185"/>
      <c r="E535" s="185" t="str">
        <f>IF(OR(C535="",C535=Data!$B$3),"",IF(C535=Data!$B$2,"L","S"))</f>
        <v/>
      </c>
      <c r="F535" s="185" t="str">
        <f t="shared" si="174"/>
        <v/>
      </c>
      <c r="G535" s="186" t="str">
        <f t="shared" si="165"/>
        <v/>
      </c>
      <c r="H535" s="187"/>
      <c r="I535" s="188" t="str">
        <f t="shared" si="175"/>
        <v/>
      </c>
      <c r="J535" s="188" t="str">
        <f t="shared" si="176"/>
        <v/>
      </c>
      <c r="K535" s="189" t="str">
        <f t="shared" si="177"/>
        <v/>
      </c>
      <c r="L535" s="189" t="str">
        <f t="shared" si="178"/>
        <v/>
      </c>
      <c r="M535" s="190"/>
      <c r="N535" s="190"/>
      <c r="O535" s="188" t="str">
        <f t="shared" si="179"/>
        <v/>
      </c>
      <c r="P535" s="191" t="str">
        <f t="shared" si="166"/>
        <v/>
      </c>
      <c r="Q535" s="192" t="str">
        <f t="shared" si="180"/>
        <v/>
      </c>
      <c r="R535" s="191" t="str">
        <f t="shared" si="167"/>
        <v/>
      </c>
      <c r="S535" s="193" t="str">
        <f t="shared" si="181"/>
        <v/>
      </c>
      <c r="T535" s="194" t="str">
        <f t="shared" si="168"/>
        <v/>
      </c>
      <c r="U535" s="192" t="str">
        <f t="shared" si="182"/>
        <v/>
      </c>
      <c r="V535" s="195" t="str">
        <f t="shared" si="169"/>
        <v/>
      </c>
      <c r="W535" s="195" t="str">
        <f t="shared" si="170"/>
        <v/>
      </c>
      <c r="X535" s="196" t="str">
        <f t="shared" si="183"/>
        <v/>
      </c>
      <c r="Y535" s="191" t="str">
        <f t="shared" si="184"/>
        <v/>
      </c>
      <c r="Z535" s="197" t="str">
        <f t="shared" si="171"/>
        <v/>
      </c>
      <c r="AA535" s="197" t="str">
        <f t="shared" si="172"/>
        <v/>
      </c>
      <c r="AB535" s="218"/>
      <c r="AC535" s="205"/>
    </row>
    <row r="536" spans="1:29">
      <c r="A536" s="219" t="str">
        <f t="shared" si="173"/>
        <v/>
      </c>
      <c r="B536" s="219"/>
      <c r="C536" s="184"/>
      <c r="D536" s="185"/>
      <c r="E536" s="185" t="str">
        <f>IF(OR(C536="",C536=Data!$B$3),"",IF(C536=Data!$B$2,"L","S"))</f>
        <v/>
      </c>
      <c r="F536" s="185" t="str">
        <f t="shared" si="174"/>
        <v/>
      </c>
      <c r="G536" s="186" t="str">
        <f t="shared" si="165"/>
        <v/>
      </c>
      <c r="H536" s="187"/>
      <c r="I536" s="188" t="str">
        <f t="shared" si="175"/>
        <v/>
      </c>
      <c r="J536" s="188" t="str">
        <f t="shared" si="176"/>
        <v/>
      </c>
      <c r="K536" s="189" t="str">
        <f t="shared" si="177"/>
        <v/>
      </c>
      <c r="L536" s="189" t="str">
        <f t="shared" si="178"/>
        <v/>
      </c>
      <c r="M536" s="190"/>
      <c r="N536" s="190"/>
      <c r="O536" s="188" t="str">
        <f t="shared" si="179"/>
        <v/>
      </c>
      <c r="P536" s="191" t="str">
        <f t="shared" si="166"/>
        <v/>
      </c>
      <c r="Q536" s="192" t="str">
        <f t="shared" si="180"/>
        <v/>
      </c>
      <c r="R536" s="191" t="str">
        <f t="shared" si="167"/>
        <v/>
      </c>
      <c r="S536" s="193" t="str">
        <f t="shared" si="181"/>
        <v/>
      </c>
      <c r="T536" s="194" t="str">
        <f t="shared" si="168"/>
        <v/>
      </c>
      <c r="U536" s="192" t="str">
        <f t="shared" si="182"/>
        <v/>
      </c>
      <c r="V536" s="195" t="str">
        <f t="shared" si="169"/>
        <v/>
      </c>
      <c r="W536" s="195" t="str">
        <f t="shared" si="170"/>
        <v/>
      </c>
      <c r="X536" s="196" t="str">
        <f t="shared" si="183"/>
        <v/>
      </c>
      <c r="Y536" s="191" t="str">
        <f t="shared" si="184"/>
        <v/>
      </c>
      <c r="Z536" s="197" t="str">
        <f t="shared" si="171"/>
        <v/>
      </c>
      <c r="AA536" s="197" t="str">
        <f t="shared" si="172"/>
        <v/>
      </c>
      <c r="AB536" s="218"/>
      <c r="AC536" s="205"/>
    </row>
    <row r="537" spans="1:29">
      <c r="A537" s="219" t="str">
        <f t="shared" si="173"/>
        <v/>
      </c>
      <c r="B537" s="219"/>
      <c r="C537" s="184"/>
      <c r="D537" s="185"/>
      <c r="E537" s="185" t="str">
        <f>IF(OR(C537="",C537=Data!$B$3),"",IF(C537=Data!$B$2,"L","S"))</f>
        <v/>
      </c>
      <c r="F537" s="185" t="str">
        <f t="shared" si="174"/>
        <v/>
      </c>
      <c r="G537" s="186" t="str">
        <f t="shared" si="165"/>
        <v/>
      </c>
      <c r="H537" s="187"/>
      <c r="I537" s="188" t="str">
        <f t="shared" si="175"/>
        <v/>
      </c>
      <c r="J537" s="188" t="str">
        <f t="shared" si="176"/>
        <v/>
      </c>
      <c r="K537" s="189" t="str">
        <f t="shared" si="177"/>
        <v/>
      </c>
      <c r="L537" s="189" t="str">
        <f t="shared" si="178"/>
        <v/>
      </c>
      <c r="M537" s="190"/>
      <c r="N537" s="190"/>
      <c r="O537" s="188" t="str">
        <f t="shared" si="179"/>
        <v/>
      </c>
      <c r="P537" s="191" t="str">
        <f t="shared" si="166"/>
        <v/>
      </c>
      <c r="Q537" s="192" t="str">
        <f t="shared" si="180"/>
        <v/>
      </c>
      <c r="R537" s="191" t="str">
        <f t="shared" si="167"/>
        <v/>
      </c>
      <c r="S537" s="193" t="str">
        <f t="shared" si="181"/>
        <v/>
      </c>
      <c r="T537" s="194" t="str">
        <f t="shared" si="168"/>
        <v/>
      </c>
      <c r="U537" s="192" t="str">
        <f t="shared" si="182"/>
        <v/>
      </c>
      <c r="V537" s="195" t="str">
        <f t="shared" si="169"/>
        <v/>
      </c>
      <c r="W537" s="195" t="str">
        <f t="shared" si="170"/>
        <v/>
      </c>
      <c r="X537" s="196" t="str">
        <f t="shared" si="183"/>
        <v/>
      </c>
      <c r="Y537" s="191" t="str">
        <f t="shared" si="184"/>
        <v/>
      </c>
      <c r="Z537" s="197" t="str">
        <f t="shared" si="171"/>
        <v/>
      </c>
      <c r="AA537" s="197" t="str">
        <f t="shared" si="172"/>
        <v/>
      </c>
      <c r="AB537" s="218"/>
      <c r="AC537" s="205"/>
    </row>
    <row r="538" spans="1:29">
      <c r="A538" s="219" t="str">
        <f t="shared" si="173"/>
        <v/>
      </c>
      <c r="B538" s="219"/>
      <c r="C538" s="184"/>
      <c r="D538" s="185"/>
      <c r="E538" s="185" t="str">
        <f>IF(OR(C538="",C538=Data!$B$3),"",IF(C538=Data!$B$2,"L","S"))</f>
        <v/>
      </c>
      <c r="F538" s="185" t="str">
        <f t="shared" si="174"/>
        <v/>
      </c>
      <c r="G538" s="186" t="str">
        <f t="shared" si="165"/>
        <v/>
      </c>
      <c r="H538" s="187"/>
      <c r="I538" s="188" t="str">
        <f t="shared" si="175"/>
        <v/>
      </c>
      <c r="J538" s="188" t="str">
        <f t="shared" si="176"/>
        <v/>
      </c>
      <c r="K538" s="189" t="str">
        <f t="shared" si="177"/>
        <v/>
      </c>
      <c r="L538" s="189" t="str">
        <f t="shared" si="178"/>
        <v/>
      </c>
      <c r="M538" s="190"/>
      <c r="N538" s="190"/>
      <c r="O538" s="188" t="str">
        <f t="shared" si="179"/>
        <v/>
      </c>
      <c r="P538" s="191" t="str">
        <f t="shared" si="166"/>
        <v/>
      </c>
      <c r="Q538" s="192" t="str">
        <f t="shared" si="180"/>
        <v/>
      </c>
      <c r="R538" s="191" t="str">
        <f t="shared" si="167"/>
        <v/>
      </c>
      <c r="S538" s="193" t="str">
        <f t="shared" si="181"/>
        <v/>
      </c>
      <c r="T538" s="194" t="str">
        <f t="shared" si="168"/>
        <v/>
      </c>
      <c r="U538" s="192" t="str">
        <f t="shared" si="182"/>
        <v/>
      </c>
      <c r="V538" s="195" t="str">
        <f t="shared" si="169"/>
        <v/>
      </c>
      <c r="W538" s="195" t="str">
        <f t="shared" si="170"/>
        <v/>
      </c>
      <c r="X538" s="196" t="str">
        <f t="shared" si="183"/>
        <v/>
      </c>
      <c r="Y538" s="191" t="str">
        <f t="shared" si="184"/>
        <v/>
      </c>
      <c r="Z538" s="197" t="str">
        <f t="shared" si="171"/>
        <v/>
      </c>
      <c r="AA538" s="197" t="str">
        <f t="shared" si="172"/>
        <v/>
      </c>
      <c r="AB538" s="218"/>
      <c r="AC538" s="205"/>
    </row>
    <row r="539" spans="1:29">
      <c r="A539" s="219" t="str">
        <f t="shared" si="173"/>
        <v/>
      </c>
      <c r="B539" s="219"/>
      <c r="C539" s="184"/>
      <c r="D539" s="185"/>
      <c r="E539" s="185" t="str">
        <f>IF(OR(C539="",C539=Data!$B$3),"",IF(C539=Data!$B$2,"L","S"))</f>
        <v/>
      </c>
      <c r="F539" s="185" t="str">
        <f t="shared" si="174"/>
        <v/>
      </c>
      <c r="G539" s="186" t="str">
        <f t="shared" si="165"/>
        <v/>
      </c>
      <c r="H539" s="187"/>
      <c r="I539" s="188" t="str">
        <f t="shared" si="175"/>
        <v/>
      </c>
      <c r="J539" s="188" t="str">
        <f t="shared" si="176"/>
        <v/>
      </c>
      <c r="K539" s="189" t="str">
        <f t="shared" si="177"/>
        <v/>
      </c>
      <c r="L539" s="189" t="str">
        <f t="shared" si="178"/>
        <v/>
      </c>
      <c r="M539" s="190"/>
      <c r="N539" s="190"/>
      <c r="O539" s="188" t="str">
        <f t="shared" si="179"/>
        <v/>
      </c>
      <c r="P539" s="191" t="str">
        <f t="shared" si="166"/>
        <v/>
      </c>
      <c r="Q539" s="192" t="str">
        <f t="shared" si="180"/>
        <v/>
      </c>
      <c r="R539" s="191" t="str">
        <f t="shared" si="167"/>
        <v/>
      </c>
      <c r="S539" s="193" t="str">
        <f t="shared" si="181"/>
        <v/>
      </c>
      <c r="T539" s="194" t="str">
        <f t="shared" si="168"/>
        <v/>
      </c>
      <c r="U539" s="192" t="str">
        <f t="shared" si="182"/>
        <v/>
      </c>
      <c r="V539" s="195" t="str">
        <f t="shared" si="169"/>
        <v/>
      </c>
      <c r="W539" s="195" t="str">
        <f t="shared" si="170"/>
        <v/>
      </c>
      <c r="X539" s="196" t="str">
        <f t="shared" si="183"/>
        <v/>
      </c>
      <c r="Y539" s="191" t="str">
        <f t="shared" si="184"/>
        <v/>
      </c>
      <c r="Z539" s="197" t="str">
        <f t="shared" si="171"/>
        <v/>
      </c>
      <c r="AA539" s="197" t="str">
        <f t="shared" si="172"/>
        <v/>
      </c>
      <c r="AB539" s="218"/>
      <c r="AC539" s="205"/>
    </row>
    <row r="540" spans="1:29">
      <c r="A540" s="219" t="str">
        <f t="shared" si="173"/>
        <v/>
      </c>
      <c r="B540" s="219"/>
      <c r="C540" s="184"/>
      <c r="D540" s="185"/>
      <c r="E540" s="185" t="str">
        <f>IF(OR(C540="",C540=Data!$B$3),"",IF(C540=Data!$B$2,"L","S"))</f>
        <v/>
      </c>
      <c r="F540" s="185" t="str">
        <f t="shared" si="174"/>
        <v/>
      </c>
      <c r="G540" s="186" t="str">
        <f t="shared" si="165"/>
        <v/>
      </c>
      <c r="H540" s="187"/>
      <c r="I540" s="188" t="str">
        <f t="shared" si="175"/>
        <v/>
      </c>
      <c r="J540" s="188" t="str">
        <f t="shared" si="176"/>
        <v/>
      </c>
      <c r="K540" s="189" t="str">
        <f t="shared" si="177"/>
        <v/>
      </c>
      <c r="L540" s="189" t="str">
        <f t="shared" si="178"/>
        <v/>
      </c>
      <c r="M540" s="190"/>
      <c r="N540" s="190"/>
      <c r="O540" s="188" t="str">
        <f t="shared" si="179"/>
        <v/>
      </c>
      <c r="P540" s="191" t="str">
        <f t="shared" si="166"/>
        <v/>
      </c>
      <c r="Q540" s="192" t="str">
        <f t="shared" si="180"/>
        <v/>
      </c>
      <c r="R540" s="191" t="str">
        <f t="shared" si="167"/>
        <v/>
      </c>
      <c r="S540" s="193" t="str">
        <f t="shared" si="181"/>
        <v/>
      </c>
      <c r="T540" s="194" t="str">
        <f t="shared" si="168"/>
        <v/>
      </c>
      <c r="U540" s="192" t="str">
        <f t="shared" si="182"/>
        <v/>
      </c>
      <c r="V540" s="195" t="str">
        <f t="shared" si="169"/>
        <v/>
      </c>
      <c r="W540" s="195" t="str">
        <f t="shared" si="170"/>
        <v/>
      </c>
      <c r="X540" s="196" t="str">
        <f t="shared" si="183"/>
        <v/>
      </c>
      <c r="Y540" s="191" t="str">
        <f t="shared" si="184"/>
        <v/>
      </c>
      <c r="Z540" s="197" t="str">
        <f t="shared" si="171"/>
        <v/>
      </c>
      <c r="AA540" s="197" t="str">
        <f t="shared" si="172"/>
        <v/>
      </c>
      <c r="AB540" s="218"/>
      <c r="AC540" s="205"/>
    </row>
    <row r="541" spans="1:29">
      <c r="A541" s="219" t="str">
        <f t="shared" si="173"/>
        <v/>
      </c>
      <c r="B541" s="219"/>
      <c r="C541" s="184"/>
      <c r="D541" s="185"/>
      <c r="E541" s="185" t="str">
        <f>IF(OR(C541="",C541=Data!$B$3),"",IF(C541=Data!$B$2,"L","S"))</f>
        <v/>
      </c>
      <c r="F541" s="185" t="str">
        <f t="shared" si="174"/>
        <v/>
      </c>
      <c r="G541" s="186" t="str">
        <f t="shared" si="165"/>
        <v/>
      </c>
      <c r="H541" s="187"/>
      <c r="I541" s="188" t="str">
        <f t="shared" si="175"/>
        <v/>
      </c>
      <c r="J541" s="188" t="str">
        <f t="shared" si="176"/>
        <v/>
      </c>
      <c r="K541" s="189" t="str">
        <f t="shared" si="177"/>
        <v/>
      </c>
      <c r="L541" s="189" t="str">
        <f t="shared" si="178"/>
        <v/>
      </c>
      <c r="M541" s="190"/>
      <c r="N541" s="190"/>
      <c r="O541" s="188" t="str">
        <f t="shared" si="179"/>
        <v/>
      </c>
      <c r="P541" s="191" t="str">
        <f t="shared" si="166"/>
        <v/>
      </c>
      <c r="Q541" s="192" t="str">
        <f t="shared" si="180"/>
        <v/>
      </c>
      <c r="R541" s="191" t="str">
        <f t="shared" si="167"/>
        <v/>
      </c>
      <c r="S541" s="193" t="str">
        <f t="shared" si="181"/>
        <v/>
      </c>
      <c r="T541" s="194" t="str">
        <f t="shared" si="168"/>
        <v/>
      </c>
      <c r="U541" s="192" t="str">
        <f t="shared" si="182"/>
        <v/>
      </c>
      <c r="V541" s="195" t="str">
        <f t="shared" si="169"/>
        <v/>
      </c>
      <c r="W541" s="195" t="str">
        <f t="shared" si="170"/>
        <v/>
      </c>
      <c r="X541" s="196" t="str">
        <f t="shared" si="183"/>
        <v/>
      </c>
      <c r="Y541" s="191" t="str">
        <f t="shared" si="184"/>
        <v/>
      </c>
      <c r="Z541" s="197" t="str">
        <f t="shared" si="171"/>
        <v/>
      </c>
      <c r="AA541" s="197" t="str">
        <f t="shared" si="172"/>
        <v/>
      </c>
      <c r="AB541" s="218"/>
      <c r="AC541" s="205"/>
    </row>
    <row r="542" spans="1:29">
      <c r="A542" s="219" t="str">
        <f t="shared" si="173"/>
        <v/>
      </c>
      <c r="B542" s="219"/>
      <c r="C542" s="184"/>
      <c r="D542" s="185"/>
      <c r="E542" s="185" t="str">
        <f>IF(OR(C542="",C542=Data!$B$3),"",IF(C542=Data!$B$2,"L","S"))</f>
        <v/>
      </c>
      <c r="F542" s="185" t="str">
        <f t="shared" si="174"/>
        <v/>
      </c>
      <c r="G542" s="186" t="str">
        <f t="shared" si="165"/>
        <v/>
      </c>
      <c r="H542" s="187"/>
      <c r="I542" s="188" t="str">
        <f t="shared" si="175"/>
        <v/>
      </c>
      <c r="J542" s="188" t="str">
        <f t="shared" si="176"/>
        <v/>
      </c>
      <c r="K542" s="189" t="str">
        <f t="shared" si="177"/>
        <v/>
      </c>
      <c r="L542" s="189" t="str">
        <f t="shared" si="178"/>
        <v/>
      </c>
      <c r="M542" s="190"/>
      <c r="N542" s="190"/>
      <c r="O542" s="188" t="str">
        <f t="shared" si="179"/>
        <v/>
      </c>
      <c r="P542" s="191" t="str">
        <f t="shared" si="166"/>
        <v/>
      </c>
      <c r="Q542" s="192" t="str">
        <f t="shared" si="180"/>
        <v/>
      </c>
      <c r="R542" s="191" t="str">
        <f t="shared" si="167"/>
        <v/>
      </c>
      <c r="S542" s="193" t="str">
        <f t="shared" si="181"/>
        <v/>
      </c>
      <c r="T542" s="194" t="str">
        <f t="shared" si="168"/>
        <v/>
      </c>
      <c r="U542" s="192" t="str">
        <f t="shared" si="182"/>
        <v/>
      </c>
      <c r="V542" s="195" t="str">
        <f t="shared" si="169"/>
        <v/>
      </c>
      <c r="W542" s="195" t="str">
        <f t="shared" si="170"/>
        <v/>
      </c>
      <c r="X542" s="196" t="str">
        <f t="shared" si="183"/>
        <v/>
      </c>
      <c r="Y542" s="191" t="str">
        <f t="shared" si="184"/>
        <v/>
      </c>
      <c r="Z542" s="197" t="str">
        <f t="shared" si="171"/>
        <v/>
      </c>
      <c r="AA542" s="197" t="str">
        <f t="shared" si="172"/>
        <v/>
      </c>
      <c r="AB542" s="218"/>
      <c r="AC542" s="205"/>
    </row>
    <row r="543" spans="1:29">
      <c r="A543" s="219" t="str">
        <f t="shared" si="173"/>
        <v/>
      </c>
      <c r="B543" s="219"/>
      <c r="C543" s="184"/>
      <c r="D543" s="185"/>
      <c r="E543" s="185" t="str">
        <f>IF(OR(C543="",C543=Data!$B$3),"",IF(C543=Data!$B$2,"L","S"))</f>
        <v/>
      </c>
      <c r="F543" s="185" t="str">
        <f t="shared" si="174"/>
        <v/>
      </c>
      <c r="G543" s="186" t="str">
        <f t="shared" si="165"/>
        <v/>
      </c>
      <c r="H543" s="187"/>
      <c r="I543" s="188" t="str">
        <f t="shared" si="175"/>
        <v/>
      </c>
      <c r="J543" s="188" t="str">
        <f t="shared" si="176"/>
        <v/>
      </c>
      <c r="K543" s="189" t="str">
        <f t="shared" si="177"/>
        <v/>
      </c>
      <c r="L543" s="189" t="str">
        <f t="shared" si="178"/>
        <v/>
      </c>
      <c r="M543" s="190"/>
      <c r="N543" s="190"/>
      <c r="O543" s="188" t="str">
        <f t="shared" si="179"/>
        <v/>
      </c>
      <c r="P543" s="191" t="str">
        <f t="shared" si="166"/>
        <v/>
      </c>
      <c r="Q543" s="192" t="str">
        <f t="shared" si="180"/>
        <v/>
      </c>
      <c r="R543" s="191" t="str">
        <f t="shared" si="167"/>
        <v/>
      </c>
      <c r="S543" s="193" t="str">
        <f t="shared" si="181"/>
        <v/>
      </c>
      <c r="T543" s="194" t="str">
        <f t="shared" si="168"/>
        <v/>
      </c>
      <c r="U543" s="192" t="str">
        <f t="shared" si="182"/>
        <v/>
      </c>
      <c r="V543" s="195" t="str">
        <f t="shared" si="169"/>
        <v/>
      </c>
      <c r="W543" s="195" t="str">
        <f t="shared" si="170"/>
        <v/>
      </c>
      <c r="X543" s="196" t="str">
        <f t="shared" si="183"/>
        <v/>
      </c>
      <c r="Y543" s="191" t="str">
        <f t="shared" si="184"/>
        <v/>
      </c>
      <c r="Z543" s="197" t="str">
        <f t="shared" si="171"/>
        <v/>
      </c>
      <c r="AA543" s="197" t="str">
        <f t="shared" si="172"/>
        <v/>
      </c>
      <c r="AB543" s="218"/>
      <c r="AC543" s="205"/>
    </row>
    <row r="544" spans="1:29">
      <c r="A544" s="219" t="str">
        <f t="shared" si="173"/>
        <v/>
      </c>
      <c r="B544" s="219"/>
      <c r="C544" s="184"/>
      <c r="D544" s="185"/>
      <c r="E544" s="185" t="str">
        <f>IF(OR(C544="",C544=Data!$B$3),"",IF(C544=Data!$B$2,"L","S"))</f>
        <v/>
      </c>
      <c r="F544" s="185" t="str">
        <f t="shared" si="174"/>
        <v/>
      </c>
      <c r="G544" s="186" t="str">
        <f t="shared" si="165"/>
        <v/>
      </c>
      <c r="H544" s="187"/>
      <c r="I544" s="188" t="str">
        <f t="shared" si="175"/>
        <v/>
      </c>
      <c r="J544" s="188" t="str">
        <f t="shared" si="176"/>
        <v/>
      </c>
      <c r="K544" s="189" t="str">
        <f t="shared" si="177"/>
        <v/>
      </c>
      <c r="L544" s="189" t="str">
        <f t="shared" si="178"/>
        <v/>
      </c>
      <c r="M544" s="190"/>
      <c r="N544" s="190"/>
      <c r="O544" s="188" t="str">
        <f t="shared" si="179"/>
        <v/>
      </c>
      <c r="P544" s="191" t="str">
        <f t="shared" si="166"/>
        <v/>
      </c>
      <c r="Q544" s="192" t="str">
        <f t="shared" si="180"/>
        <v/>
      </c>
      <c r="R544" s="191" t="str">
        <f t="shared" si="167"/>
        <v/>
      </c>
      <c r="S544" s="193" t="str">
        <f t="shared" si="181"/>
        <v/>
      </c>
      <c r="T544" s="194" t="str">
        <f t="shared" si="168"/>
        <v/>
      </c>
      <c r="U544" s="192" t="str">
        <f t="shared" si="182"/>
        <v/>
      </c>
      <c r="V544" s="195" t="str">
        <f t="shared" si="169"/>
        <v/>
      </c>
      <c r="W544" s="195" t="str">
        <f t="shared" si="170"/>
        <v/>
      </c>
      <c r="X544" s="196" t="str">
        <f t="shared" si="183"/>
        <v/>
      </c>
      <c r="Y544" s="191" t="str">
        <f t="shared" si="184"/>
        <v/>
      </c>
      <c r="Z544" s="197" t="str">
        <f t="shared" si="171"/>
        <v/>
      </c>
      <c r="AA544" s="197" t="str">
        <f t="shared" si="172"/>
        <v/>
      </c>
      <c r="AB544" s="218"/>
      <c r="AC544" s="205"/>
    </row>
    <row r="545" spans="1:29">
      <c r="A545" s="219" t="str">
        <f t="shared" si="173"/>
        <v/>
      </c>
      <c r="B545" s="219"/>
      <c r="C545" s="184"/>
      <c r="D545" s="185"/>
      <c r="E545" s="185" t="str">
        <f>IF(OR(C545="",C545=Data!$B$3),"",IF(C545=Data!$B$2,"L","S"))</f>
        <v/>
      </c>
      <c r="F545" s="185" t="str">
        <f t="shared" si="174"/>
        <v/>
      </c>
      <c r="G545" s="186" t="str">
        <f t="shared" si="165"/>
        <v/>
      </c>
      <c r="H545" s="187"/>
      <c r="I545" s="188" t="str">
        <f t="shared" si="175"/>
        <v/>
      </c>
      <c r="J545" s="188" t="str">
        <f t="shared" si="176"/>
        <v/>
      </c>
      <c r="K545" s="189" t="str">
        <f t="shared" si="177"/>
        <v/>
      </c>
      <c r="L545" s="189" t="str">
        <f t="shared" si="178"/>
        <v/>
      </c>
      <c r="M545" s="190"/>
      <c r="N545" s="190"/>
      <c r="O545" s="188" t="str">
        <f t="shared" si="179"/>
        <v/>
      </c>
      <c r="P545" s="191" t="str">
        <f t="shared" si="166"/>
        <v/>
      </c>
      <c r="Q545" s="192" t="str">
        <f t="shared" si="180"/>
        <v/>
      </c>
      <c r="R545" s="191" t="str">
        <f t="shared" si="167"/>
        <v/>
      </c>
      <c r="S545" s="193" t="str">
        <f t="shared" si="181"/>
        <v/>
      </c>
      <c r="T545" s="194" t="str">
        <f t="shared" si="168"/>
        <v/>
      </c>
      <c r="U545" s="192" t="str">
        <f t="shared" si="182"/>
        <v/>
      </c>
      <c r="V545" s="195" t="str">
        <f t="shared" si="169"/>
        <v/>
      </c>
      <c r="W545" s="195" t="str">
        <f t="shared" si="170"/>
        <v/>
      </c>
      <c r="X545" s="196" t="str">
        <f t="shared" si="183"/>
        <v/>
      </c>
      <c r="Y545" s="191" t="str">
        <f t="shared" si="184"/>
        <v/>
      </c>
      <c r="Z545" s="197" t="str">
        <f t="shared" si="171"/>
        <v/>
      </c>
      <c r="AA545" s="197" t="str">
        <f t="shared" si="172"/>
        <v/>
      </c>
      <c r="AB545" s="218"/>
      <c r="AC545" s="205"/>
    </row>
    <row r="546" spans="1:29">
      <c r="A546" s="219" t="str">
        <f t="shared" si="173"/>
        <v/>
      </c>
      <c r="B546" s="219"/>
      <c r="C546" s="184"/>
      <c r="D546" s="185"/>
      <c r="E546" s="185" t="str">
        <f>IF(OR(C546="",C546=Data!$B$3),"",IF(C546=Data!$B$2,"L","S"))</f>
        <v/>
      </c>
      <c r="F546" s="185" t="str">
        <f t="shared" si="174"/>
        <v/>
      </c>
      <c r="G546" s="186" t="str">
        <f t="shared" si="165"/>
        <v/>
      </c>
      <c r="H546" s="187"/>
      <c r="I546" s="188" t="str">
        <f t="shared" si="175"/>
        <v/>
      </c>
      <c r="J546" s="188" t="str">
        <f t="shared" si="176"/>
        <v/>
      </c>
      <c r="K546" s="189" t="str">
        <f t="shared" si="177"/>
        <v/>
      </c>
      <c r="L546" s="189" t="str">
        <f t="shared" si="178"/>
        <v/>
      </c>
      <c r="M546" s="190"/>
      <c r="N546" s="190"/>
      <c r="O546" s="188" t="str">
        <f t="shared" si="179"/>
        <v/>
      </c>
      <c r="P546" s="191" t="str">
        <f t="shared" si="166"/>
        <v/>
      </c>
      <c r="Q546" s="192" t="str">
        <f t="shared" si="180"/>
        <v/>
      </c>
      <c r="R546" s="191" t="str">
        <f t="shared" si="167"/>
        <v/>
      </c>
      <c r="S546" s="193" t="str">
        <f t="shared" si="181"/>
        <v/>
      </c>
      <c r="T546" s="194" t="str">
        <f t="shared" si="168"/>
        <v/>
      </c>
      <c r="U546" s="192" t="str">
        <f t="shared" si="182"/>
        <v/>
      </c>
      <c r="V546" s="195" t="str">
        <f t="shared" si="169"/>
        <v/>
      </c>
      <c r="W546" s="195" t="str">
        <f t="shared" si="170"/>
        <v/>
      </c>
      <c r="X546" s="196" t="str">
        <f t="shared" si="183"/>
        <v/>
      </c>
      <c r="Y546" s="191" t="str">
        <f t="shared" si="184"/>
        <v/>
      </c>
      <c r="Z546" s="197" t="str">
        <f t="shared" si="171"/>
        <v/>
      </c>
      <c r="AA546" s="197" t="str">
        <f t="shared" si="172"/>
        <v/>
      </c>
      <c r="AB546" s="218"/>
      <c r="AC546" s="205"/>
    </row>
    <row r="547" spans="1:29">
      <c r="A547" s="219" t="str">
        <f t="shared" si="173"/>
        <v/>
      </c>
      <c r="B547" s="219"/>
      <c r="C547" s="184"/>
      <c r="D547" s="185"/>
      <c r="E547" s="185" t="str">
        <f>IF(OR(C547="",C547=Data!$B$3),"",IF(C547=Data!$B$2,"L","S"))</f>
        <v/>
      </c>
      <c r="F547" s="185" t="str">
        <f t="shared" si="174"/>
        <v/>
      </c>
      <c r="G547" s="186" t="str">
        <f t="shared" si="165"/>
        <v/>
      </c>
      <c r="H547" s="187"/>
      <c r="I547" s="188" t="str">
        <f t="shared" si="175"/>
        <v/>
      </c>
      <c r="J547" s="188" t="str">
        <f t="shared" si="176"/>
        <v/>
      </c>
      <c r="K547" s="189" t="str">
        <f t="shared" si="177"/>
        <v/>
      </c>
      <c r="L547" s="189" t="str">
        <f t="shared" si="178"/>
        <v/>
      </c>
      <c r="M547" s="190"/>
      <c r="N547" s="190"/>
      <c r="O547" s="188" t="str">
        <f t="shared" si="179"/>
        <v/>
      </c>
      <c r="P547" s="191" t="str">
        <f t="shared" si="166"/>
        <v/>
      </c>
      <c r="Q547" s="192" t="str">
        <f t="shared" si="180"/>
        <v/>
      </c>
      <c r="R547" s="191" t="str">
        <f t="shared" si="167"/>
        <v/>
      </c>
      <c r="S547" s="193" t="str">
        <f t="shared" si="181"/>
        <v/>
      </c>
      <c r="T547" s="194" t="str">
        <f t="shared" si="168"/>
        <v/>
      </c>
      <c r="U547" s="192" t="str">
        <f t="shared" si="182"/>
        <v/>
      </c>
      <c r="V547" s="195" t="str">
        <f t="shared" si="169"/>
        <v/>
      </c>
      <c r="W547" s="195" t="str">
        <f t="shared" si="170"/>
        <v/>
      </c>
      <c r="X547" s="196" t="str">
        <f t="shared" si="183"/>
        <v/>
      </c>
      <c r="Y547" s="191" t="str">
        <f t="shared" si="184"/>
        <v/>
      </c>
      <c r="Z547" s="197" t="str">
        <f t="shared" si="171"/>
        <v/>
      </c>
      <c r="AA547" s="197" t="str">
        <f t="shared" si="172"/>
        <v/>
      </c>
      <c r="AB547" s="218"/>
      <c r="AC547" s="205"/>
    </row>
    <row r="548" spans="1:29">
      <c r="A548" s="219" t="str">
        <f t="shared" si="173"/>
        <v/>
      </c>
      <c r="B548" s="219"/>
      <c r="C548" s="184"/>
      <c r="D548" s="185"/>
      <c r="E548" s="185" t="str">
        <f>IF(OR(C548="",C548=Data!$B$3),"",IF(C548=Data!$B$2,"L","S"))</f>
        <v/>
      </c>
      <c r="F548" s="185" t="str">
        <f t="shared" si="174"/>
        <v/>
      </c>
      <c r="G548" s="186" t="str">
        <f t="shared" si="165"/>
        <v/>
      </c>
      <c r="H548" s="187"/>
      <c r="I548" s="188" t="str">
        <f t="shared" si="175"/>
        <v/>
      </c>
      <c r="J548" s="188" t="str">
        <f t="shared" si="176"/>
        <v/>
      </c>
      <c r="K548" s="189" t="str">
        <f t="shared" si="177"/>
        <v/>
      </c>
      <c r="L548" s="189" t="str">
        <f t="shared" si="178"/>
        <v/>
      </c>
      <c r="M548" s="190"/>
      <c r="N548" s="190"/>
      <c r="O548" s="188" t="str">
        <f t="shared" si="179"/>
        <v/>
      </c>
      <c r="P548" s="191" t="str">
        <f t="shared" si="166"/>
        <v/>
      </c>
      <c r="Q548" s="192" t="str">
        <f t="shared" si="180"/>
        <v/>
      </c>
      <c r="R548" s="191" t="str">
        <f t="shared" si="167"/>
        <v/>
      </c>
      <c r="S548" s="193" t="str">
        <f t="shared" si="181"/>
        <v/>
      </c>
      <c r="T548" s="194" t="str">
        <f t="shared" si="168"/>
        <v/>
      </c>
      <c r="U548" s="192" t="str">
        <f t="shared" si="182"/>
        <v/>
      </c>
      <c r="V548" s="195" t="str">
        <f t="shared" si="169"/>
        <v/>
      </c>
      <c r="W548" s="195" t="str">
        <f t="shared" si="170"/>
        <v/>
      </c>
      <c r="X548" s="196" t="str">
        <f t="shared" si="183"/>
        <v/>
      </c>
      <c r="Y548" s="191" t="str">
        <f t="shared" si="184"/>
        <v/>
      </c>
      <c r="Z548" s="197" t="str">
        <f t="shared" si="171"/>
        <v/>
      </c>
      <c r="AA548" s="197" t="str">
        <f t="shared" si="172"/>
        <v/>
      </c>
      <c r="AB548" s="218"/>
      <c r="AC548" s="205"/>
    </row>
    <row r="549" spans="1:29">
      <c r="A549" s="219" t="str">
        <f t="shared" si="173"/>
        <v/>
      </c>
      <c r="B549" s="219"/>
      <c r="C549" s="184"/>
      <c r="D549" s="185"/>
      <c r="E549" s="185" t="str">
        <f>IF(OR(C549="",C549=Data!$B$3),"",IF(C549=Data!$B$2,"L","S"))</f>
        <v/>
      </c>
      <c r="F549" s="185" t="str">
        <f t="shared" si="174"/>
        <v/>
      </c>
      <c r="G549" s="186" t="str">
        <f t="shared" si="165"/>
        <v/>
      </c>
      <c r="H549" s="187"/>
      <c r="I549" s="188" t="str">
        <f t="shared" si="175"/>
        <v/>
      </c>
      <c r="J549" s="188" t="str">
        <f t="shared" si="176"/>
        <v/>
      </c>
      <c r="K549" s="189" t="str">
        <f t="shared" si="177"/>
        <v/>
      </c>
      <c r="L549" s="189" t="str">
        <f t="shared" si="178"/>
        <v/>
      </c>
      <c r="M549" s="190"/>
      <c r="N549" s="190"/>
      <c r="O549" s="188" t="str">
        <f t="shared" si="179"/>
        <v/>
      </c>
      <c r="P549" s="191" t="str">
        <f t="shared" si="166"/>
        <v/>
      </c>
      <c r="Q549" s="192" t="str">
        <f t="shared" si="180"/>
        <v/>
      </c>
      <c r="R549" s="191" t="str">
        <f t="shared" si="167"/>
        <v/>
      </c>
      <c r="S549" s="193" t="str">
        <f t="shared" si="181"/>
        <v/>
      </c>
      <c r="T549" s="194" t="str">
        <f t="shared" si="168"/>
        <v/>
      </c>
      <c r="U549" s="192" t="str">
        <f t="shared" si="182"/>
        <v/>
      </c>
      <c r="V549" s="195" t="str">
        <f t="shared" si="169"/>
        <v/>
      </c>
      <c r="W549" s="195" t="str">
        <f t="shared" si="170"/>
        <v/>
      </c>
      <c r="X549" s="196" t="str">
        <f t="shared" si="183"/>
        <v/>
      </c>
      <c r="Y549" s="191" t="str">
        <f t="shared" si="184"/>
        <v/>
      </c>
      <c r="Z549" s="197" t="str">
        <f t="shared" si="171"/>
        <v/>
      </c>
      <c r="AA549" s="197" t="str">
        <f t="shared" si="172"/>
        <v/>
      </c>
      <c r="AB549" s="218"/>
      <c r="AC549" s="205"/>
    </row>
    <row r="550" spans="1:29">
      <c r="A550" s="219" t="str">
        <f t="shared" si="173"/>
        <v/>
      </c>
      <c r="B550" s="219"/>
      <c r="C550" s="184"/>
      <c r="D550" s="185"/>
      <c r="E550" s="185" t="str">
        <f>IF(OR(C550="",C550=Data!$B$3),"",IF(C550=Data!$B$2,"L","S"))</f>
        <v/>
      </c>
      <c r="F550" s="185" t="str">
        <f t="shared" si="174"/>
        <v/>
      </c>
      <c r="G550" s="186" t="str">
        <f t="shared" si="165"/>
        <v/>
      </c>
      <c r="H550" s="187"/>
      <c r="I550" s="188" t="str">
        <f t="shared" si="175"/>
        <v/>
      </c>
      <c r="J550" s="188" t="str">
        <f t="shared" si="176"/>
        <v/>
      </c>
      <c r="K550" s="189" t="str">
        <f t="shared" si="177"/>
        <v/>
      </c>
      <c r="L550" s="189" t="str">
        <f t="shared" si="178"/>
        <v/>
      </c>
      <c r="M550" s="190"/>
      <c r="N550" s="190"/>
      <c r="O550" s="188" t="str">
        <f t="shared" si="179"/>
        <v/>
      </c>
      <c r="P550" s="191" t="str">
        <f t="shared" si="166"/>
        <v/>
      </c>
      <c r="Q550" s="192" t="str">
        <f t="shared" si="180"/>
        <v/>
      </c>
      <c r="R550" s="191" t="str">
        <f t="shared" si="167"/>
        <v/>
      </c>
      <c r="S550" s="193" t="str">
        <f t="shared" si="181"/>
        <v/>
      </c>
      <c r="T550" s="194" t="str">
        <f t="shared" si="168"/>
        <v/>
      </c>
      <c r="U550" s="192" t="str">
        <f t="shared" si="182"/>
        <v/>
      </c>
      <c r="V550" s="195" t="str">
        <f t="shared" si="169"/>
        <v/>
      </c>
      <c r="W550" s="195" t="str">
        <f t="shared" si="170"/>
        <v/>
      </c>
      <c r="X550" s="196" t="str">
        <f t="shared" si="183"/>
        <v/>
      </c>
      <c r="Y550" s="191" t="str">
        <f t="shared" si="184"/>
        <v/>
      </c>
      <c r="Z550" s="197" t="str">
        <f t="shared" si="171"/>
        <v/>
      </c>
      <c r="AA550" s="197" t="str">
        <f t="shared" si="172"/>
        <v/>
      </c>
      <c r="AB550" s="218"/>
      <c r="AC550" s="205"/>
    </row>
    <row r="551" spans="1:29">
      <c r="A551" s="219" t="str">
        <f t="shared" si="173"/>
        <v/>
      </c>
      <c r="B551" s="219"/>
      <c r="C551" s="184"/>
      <c r="D551" s="185"/>
      <c r="E551" s="185" t="str">
        <f>IF(OR(C551="",C551=Data!$B$3),"",IF(C551=Data!$B$2,"L","S"))</f>
        <v/>
      </c>
      <c r="F551" s="185" t="str">
        <f t="shared" si="174"/>
        <v/>
      </c>
      <c r="G551" s="186" t="str">
        <f t="shared" si="165"/>
        <v/>
      </c>
      <c r="H551" s="187"/>
      <c r="I551" s="188" t="str">
        <f t="shared" si="175"/>
        <v/>
      </c>
      <c r="J551" s="188" t="str">
        <f t="shared" si="176"/>
        <v/>
      </c>
      <c r="K551" s="189" t="str">
        <f t="shared" si="177"/>
        <v/>
      </c>
      <c r="L551" s="189" t="str">
        <f t="shared" si="178"/>
        <v/>
      </c>
      <c r="M551" s="190"/>
      <c r="N551" s="190"/>
      <c r="O551" s="188" t="str">
        <f t="shared" si="179"/>
        <v/>
      </c>
      <c r="P551" s="191" t="str">
        <f t="shared" si="166"/>
        <v/>
      </c>
      <c r="Q551" s="192" t="str">
        <f t="shared" si="180"/>
        <v/>
      </c>
      <c r="R551" s="191" t="str">
        <f t="shared" si="167"/>
        <v/>
      </c>
      <c r="S551" s="193" t="str">
        <f t="shared" si="181"/>
        <v/>
      </c>
      <c r="T551" s="194" t="str">
        <f t="shared" si="168"/>
        <v/>
      </c>
      <c r="U551" s="192" t="str">
        <f t="shared" si="182"/>
        <v/>
      </c>
      <c r="V551" s="195" t="str">
        <f t="shared" si="169"/>
        <v/>
      </c>
      <c r="W551" s="195" t="str">
        <f t="shared" si="170"/>
        <v/>
      </c>
      <c r="X551" s="196" t="str">
        <f t="shared" si="183"/>
        <v/>
      </c>
      <c r="Y551" s="191" t="str">
        <f t="shared" si="184"/>
        <v/>
      </c>
      <c r="Z551" s="197" t="str">
        <f t="shared" si="171"/>
        <v/>
      </c>
      <c r="AA551" s="197" t="str">
        <f t="shared" si="172"/>
        <v/>
      </c>
      <c r="AB551" s="218"/>
      <c r="AC551" s="205"/>
    </row>
    <row r="552" spans="1:29">
      <c r="A552" s="219" t="str">
        <f t="shared" si="173"/>
        <v/>
      </c>
      <c r="B552" s="219"/>
      <c r="C552" s="184"/>
      <c r="D552" s="185"/>
      <c r="E552" s="185" t="str">
        <f>IF(OR(C552="",C552=Data!$B$3),"",IF(C552=Data!$B$2,"L","S"))</f>
        <v/>
      </c>
      <c r="F552" s="185" t="str">
        <f t="shared" si="174"/>
        <v/>
      </c>
      <c r="G552" s="186" t="str">
        <f t="shared" si="165"/>
        <v/>
      </c>
      <c r="H552" s="187"/>
      <c r="I552" s="188" t="str">
        <f t="shared" si="175"/>
        <v/>
      </c>
      <c r="J552" s="188" t="str">
        <f t="shared" si="176"/>
        <v/>
      </c>
      <c r="K552" s="189" t="str">
        <f t="shared" si="177"/>
        <v/>
      </c>
      <c r="L552" s="189" t="str">
        <f t="shared" si="178"/>
        <v/>
      </c>
      <c r="M552" s="190"/>
      <c r="N552" s="190"/>
      <c r="O552" s="188" t="str">
        <f t="shared" si="179"/>
        <v/>
      </c>
      <c r="P552" s="191" t="str">
        <f t="shared" si="166"/>
        <v/>
      </c>
      <c r="Q552" s="192" t="str">
        <f t="shared" si="180"/>
        <v/>
      </c>
      <c r="R552" s="191" t="str">
        <f t="shared" si="167"/>
        <v/>
      </c>
      <c r="S552" s="193" t="str">
        <f t="shared" si="181"/>
        <v/>
      </c>
      <c r="T552" s="194" t="str">
        <f t="shared" si="168"/>
        <v/>
      </c>
      <c r="U552" s="192" t="str">
        <f t="shared" si="182"/>
        <v/>
      </c>
      <c r="V552" s="195" t="str">
        <f t="shared" si="169"/>
        <v/>
      </c>
      <c r="W552" s="195" t="str">
        <f t="shared" si="170"/>
        <v/>
      </c>
      <c r="X552" s="196" t="str">
        <f t="shared" si="183"/>
        <v/>
      </c>
      <c r="Y552" s="191" t="str">
        <f t="shared" si="184"/>
        <v/>
      </c>
      <c r="Z552" s="197" t="str">
        <f t="shared" si="171"/>
        <v/>
      </c>
      <c r="AA552" s="197" t="str">
        <f t="shared" si="172"/>
        <v/>
      </c>
      <c r="AB552" s="218"/>
      <c r="AC552" s="205"/>
    </row>
    <row r="553" spans="1:29">
      <c r="A553" s="219" t="str">
        <f t="shared" si="173"/>
        <v/>
      </c>
      <c r="B553" s="219"/>
      <c r="C553" s="184"/>
      <c r="D553" s="185"/>
      <c r="E553" s="185" t="str">
        <f>IF(OR(C553="",C553=Data!$B$3),"",IF(C553=Data!$B$2,"L","S"))</f>
        <v/>
      </c>
      <c r="F553" s="185" t="str">
        <f t="shared" si="174"/>
        <v/>
      </c>
      <c r="G553" s="186" t="str">
        <f t="shared" si="165"/>
        <v/>
      </c>
      <c r="H553" s="187"/>
      <c r="I553" s="188" t="str">
        <f t="shared" si="175"/>
        <v/>
      </c>
      <c r="J553" s="188" t="str">
        <f t="shared" si="176"/>
        <v/>
      </c>
      <c r="K553" s="189" t="str">
        <f t="shared" si="177"/>
        <v/>
      </c>
      <c r="L553" s="189" t="str">
        <f t="shared" si="178"/>
        <v/>
      </c>
      <c r="M553" s="190"/>
      <c r="N553" s="190"/>
      <c r="O553" s="188" t="str">
        <f t="shared" si="179"/>
        <v/>
      </c>
      <c r="P553" s="191" t="str">
        <f t="shared" si="166"/>
        <v/>
      </c>
      <c r="Q553" s="192" t="str">
        <f t="shared" si="180"/>
        <v/>
      </c>
      <c r="R553" s="191" t="str">
        <f t="shared" si="167"/>
        <v/>
      </c>
      <c r="S553" s="193" t="str">
        <f t="shared" si="181"/>
        <v/>
      </c>
      <c r="T553" s="194" t="str">
        <f t="shared" si="168"/>
        <v/>
      </c>
      <c r="U553" s="192" t="str">
        <f t="shared" si="182"/>
        <v/>
      </c>
      <c r="V553" s="195" t="str">
        <f t="shared" si="169"/>
        <v/>
      </c>
      <c r="W553" s="195" t="str">
        <f t="shared" si="170"/>
        <v/>
      </c>
      <c r="X553" s="196" t="str">
        <f t="shared" si="183"/>
        <v/>
      </c>
      <c r="Y553" s="191" t="str">
        <f t="shared" si="184"/>
        <v/>
      </c>
      <c r="Z553" s="197" t="str">
        <f t="shared" si="171"/>
        <v/>
      </c>
      <c r="AA553" s="197" t="str">
        <f t="shared" si="172"/>
        <v/>
      </c>
      <c r="AB553" s="218"/>
      <c r="AC553" s="205"/>
    </row>
    <row r="554" spans="1:29">
      <c r="A554" s="219" t="str">
        <f t="shared" si="173"/>
        <v/>
      </c>
      <c r="B554" s="219"/>
      <c r="C554" s="184"/>
      <c r="D554" s="185"/>
      <c r="E554" s="185" t="str">
        <f>IF(OR(C554="",C554=Data!$B$3),"",IF(C554=Data!$B$2,"L","S"))</f>
        <v/>
      </c>
      <c r="F554" s="185" t="str">
        <f t="shared" si="174"/>
        <v/>
      </c>
      <c r="G554" s="186" t="str">
        <f t="shared" si="165"/>
        <v/>
      </c>
      <c r="H554" s="187"/>
      <c r="I554" s="188" t="str">
        <f t="shared" si="175"/>
        <v/>
      </c>
      <c r="J554" s="188" t="str">
        <f t="shared" si="176"/>
        <v/>
      </c>
      <c r="K554" s="189" t="str">
        <f t="shared" si="177"/>
        <v/>
      </c>
      <c r="L554" s="189" t="str">
        <f t="shared" si="178"/>
        <v/>
      </c>
      <c r="M554" s="190"/>
      <c r="N554" s="190"/>
      <c r="O554" s="188" t="str">
        <f t="shared" si="179"/>
        <v/>
      </c>
      <c r="P554" s="191" t="str">
        <f t="shared" si="166"/>
        <v/>
      </c>
      <c r="Q554" s="192" t="str">
        <f t="shared" si="180"/>
        <v/>
      </c>
      <c r="R554" s="191" t="str">
        <f t="shared" si="167"/>
        <v/>
      </c>
      <c r="S554" s="193" t="str">
        <f t="shared" si="181"/>
        <v/>
      </c>
      <c r="T554" s="194" t="str">
        <f t="shared" si="168"/>
        <v/>
      </c>
      <c r="U554" s="192" t="str">
        <f t="shared" si="182"/>
        <v/>
      </c>
      <c r="V554" s="195" t="str">
        <f t="shared" si="169"/>
        <v/>
      </c>
      <c r="W554" s="195" t="str">
        <f t="shared" si="170"/>
        <v/>
      </c>
      <c r="X554" s="196" t="str">
        <f t="shared" si="183"/>
        <v/>
      </c>
      <c r="Y554" s="191" t="str">
        <f t="shared" si="184"/>
        <v/>
      </c>
      <c r="Z554" s="197" t="str">
        <f t="shared" si="171"/>
        <v/>
      </c>
      <c r="AA554" s="197" t="str">
        <f t="shared" si="172"/>
        <v/>
      </c>
      <c r="AB554" s="218"/>
      <c r="AC554" s="205"/>
    </row>
    <row r="555" spans="1:29">
      <c r="A555" s="219" t="str">
        <f t="shared" si="173"/>
        <v/>
      </c>
      <c r="B555" s="219"/>
      <c r="C555" s="184"/>
      <c r="D555" s="185"/>
      <c r="E555" s="185" t="str">
        <f>IF(OR(C555="",C555=Data!$B$3),"",IF(C555=Data!$B$2,"L","S"))</f>
        <v/>
      </c>
      <c r="F555" s="185" t="str">
        <f t="shared" si="174"/>
        <v/>
      </c>
      <c r="G555" s="186" t="str">
        <f t="shared" si="165"/>
        <v/>
      </c>
      <c r="H555" s="187"/>
      <c r="I555" s="188" t="str">
        <f t="shared" si="175"/>
        <v/>
      </c>
      <c r="J555" s="188" t="str">
        <f t="shared" si="176"/>
        <v/>
      </c>
      <c r="K555" s="189" t="str">
        <f t="shared" si="177"/>
        <v/>
      </c>
      <c r="L555" s="189" t="str">
        <f t="shared" si="178"/>
        <v/>
      </c>
      <c r="M555" s="190"/>
      <c r="N555" s="190"/>
      <c r="O555" s="188" t="str">
        <f t="shared" si="179"/>
        <v/>
      </c>
      <c r="P555" s="191" t="str">
        <f t="shared" si="166"/>
        <v/>
      </c>
      <c r="Q555" s="192" t="str">
        <f t="shared" si="180"/>
        <v/>
      </c>
      <c r="R555" s="191" t="str">
        <f t="shared" si="167"/>
        <v/>
      </c>
      <c r="S555" s="193" t="str">
        <f t="shared" si="181"/>
        <v/>
      </c>
      <c r="T555" s="194" t="str">
        <f t="shared" si="168"/>
        <v/>
      </c>
      <c r="U555" s="192" t="str">
        <f t="shared" si="182"/>
        <v/>
      </c>
      <c r="V555" s="195" t="str">
        <f t="shared" si="169"/>
        <v/>
      </c>
      <c r="W555" s="195" t="str">
        <f t="shared" si="170"/>
        <v/>
      </c>
      <c r="X555" s="196" t="str">
        <f t="shared" si="183"/>
        <v/>
      </c>
      <c r="Y555" s="191" t="str">
        <f t="shared" si="184"/>
        <v/>
      </c>
      <c r="Z555" s="197" t="str">
        <f t="shared" si="171"/>
        <v/>
      </c>
      <c r="AA555" s="197" t="str">
        <f t="shared" si="172"/>
        <v/>
      </c>
      <c r="AB555" s="218"/>
      <c r="AC555" s="205"/>
    </row>
    <row r="556" spans="1:29">
      <c r="A556" s="219" t="str">
        <f t="shared" si="173"/>
        <v/>
      </c>
      <c r="B556" s="219"/>
      <c r="C556" s="184"/>
      <c r="D556" s="185"/>
      <c r="E556" s="185" t="str">
        <f>IF(OR(C556="",C556=Data!$B$3),"",IF(C556=Data!$B$2,"L","S"))</f>
        <v/>
      </c>
      <c r="F556" s="185" t="str">
        <f t="shared" si="174"/>
        <v/>
      </c>
      <c r="G556" s="186" t="str">
        <f t="shared" si="165"/>
        <v/>
      </c>
      <c r="H556" s="187"/>
      <c r="I556" s="188" t="str">
        <f t="shared" si="175"/>
        <v/>
      </c>
      <c r="J556" s="188" t="str">
        <f t="shared" si="176"/>
        <v/>
      </c>
      <c r="K556" s="189" t="str">
        <f t="shared" si="177"/>
        <v/>
      </c>
      <c r="L556" s="189" t="str">
        <f t="shared" si="178"/>
        <v/>
      </c>
      <c r="M556" s="190"/>
      <c r="N556" s="190"/>
      <c r="O556" s="188" t="str">
        <f t="shared" si="179"/>
        <v/>
      </c>
      <c r="P556" s="191" t="str">
        <f t="shared" si="166"/>
        <v/>
      </c>
      <c r="Q556" s="192" t="str">
        <f t="shared" si="180"/>
        <v/>
      </c>
      <c r="R556" s="191" t="str">
        <f t="shared" si="167"/>
        <v/>
      </c>
      <c r="S556" s="193" t="str">
        <f t="shared" si="181"/>
        <v/>
      </c>
      <c r="T556" s="194" t="str">
        <f t="shared" si="168"/>
        <v/>
      </c>
      <c r="U556" s="192" t="str">
        <f t="shared" si="182"/>
        <v/>
      </c>
      <c r="V556" s="195" t="str">
        <f t="shared" si="169"/>
        <v/>
      </c>
      <c r="W556" s="195" t="str">
        <f t="shared" si="170"/>
        <v/>
      </c>
      <c r="X556" s="196" t="str">
        <f t="shared" si="183"/>
        <v/>
      </c>
      <c r="Y556" s="191" t="str">
        <f t="shared" si="184"/>
        <v/>
      </c>
      <c r="Z556" s="197" t="str">
        <f t="shared" si="171"/>
        <v/>
      </c>
      <c r="AA556" s="197" t="str">
        <f t="shared" si="172"/>
        <v/>
      </c>
      <c r="AB556" s="218"/>
      <c r="AC556" s="205"/>
    </row>
    <row r="557" spans="1:29">
      <c r="A557" s="219" t="str">
        <f t="shared" si="173"/>
        <v/>
      </c>
      <c r="B557" s="219"/>
      <c r="C557" s="184"/>
      <c r="D557" s="185"/>
      <c r="E557" s="185" t="str">
        <f>IF(OR(C557="",C557=Data!$B$3),"",IF(C557=Data!$B$2,"L","S"))</f>
        <v/>
      </c>
      <c r="F557" s="185" t="str">
        <f t="shared" si="174"/>
        <v/>
      </c>
      <c r="G557" s="186" t="str">
        <f t="shared" si="165"/>
        <v/>
      </c>
      <c r="H557" s="187"/>
      <c r="I557" s="188" t="str">
        <f t="shared" si="175"/>
        <v/>
      </c>
      <c r="J557" s="188" t="str">
        <f t="shared" si="176"/>
        <v/>
      </c>
      <c r="K557" s="189" t="str">
        <f t="shared" si="177"/>
        <v/>
      </c>
      <c r="L557" s="189" t="str">
        <f t="shared" si="178"/>
        <v/>
      </c>
      <c r="M557" s="190"/>
      <c r="N557" s="190"/>
      <c r="O557" s="188" t="str">
        <f t="shared" si="179"/>
        <v/>
      </c>
      <c r="P557" s="191" t="str">
        <f t="shared" si="166"/>
        <v/>
      </c>
      <c r="Q557" s="192" t="str">
        <f t="shared" si="180"/>
        <v/>
      </c>
      <c r="R557" s="191" t="str">
        <f t="shared" si="167"/>
        <v/>
      </c>
      <c r="S557" s="193" t="str">
        <f t="shared" si="181"/>
        <v/>
      </c>
      <c r="T557" s="194" t="str">
        <f t="shared" si="168"/>
        <v/>
      </c>
      <c r="U557" s="192" t="str">
        <f t="shared" si="182"/>
        <v/>
      </c>
      <c r="V557" s="195" t="str">
        <f t="shared" si="169"/>
        <v/>
      </c>
      <c r="W557" s="195" t="str">
        <f t="shared" si="170"/>
        <v/>
      </c>
      <c r="X557" s="196" t="str">
        <f t="shared" si="183"/>
        <v/>
      </c>
      <c r="Y557" s="191" t="str">
        <f t="shared" si="184"/>
        <v/>
      </c>
      <c r="Z557" s="197" t="str">
        <f t="shared" si="171"/>
        <v/>
      </c>
      <c r="AA557" s="197" t="str">
        <f t="shared" si="172"/>
        <v/>
      </c>
      <c r="AB557" s="218"/>
      <c r="AC557" s="205"/>
    </row>
    <row r="558" spans="1:29">
      <c r="A558" s="219" t="str">
        <f t="shared" si="173"/>
        <v/>
      </c>
      <c r="B558" s="219"/>
      <c r="C558" s="184"/>
      <c r="D558" s="185"/>
      <c r="E558" s="185" t="str">
        <f>IF(OR(C558="",C558=Data!$B$3),"",IF(C558=Data!$B$2,"L","S"))</f>
        <v/>
      </c>
      <c r="F558" s="185" t="str">
        <f t="shared" si="174"/>
        <v/>
      </c>
      <c r="G558" s="186" t="str">
        <f t="shared" si="165"/>
        <v/>
      </c>
      <c r="H558" s="187"/>
      <c r="I558" s="188" t="str">
        <f t="shared" si="175"/>
        <v/>
      </c>
      <c r="J558" s="188" t="str">
        <f t="shared" si="176"/>
        <v/>
      </c>
      <c r="K558" s="189" t="str">
        <f t="shared" si="177"/>
        <v/>
      </c>
      <c r="L558" s="189" t="str">
        <f t="shared" si="178"/>
        <v/>
      </c>
      <c r="M558" s="190"/>
      <c r="N558" s="190"/>
      <c r="O558" s="188" t="str">
        <f t="shared" si="179"/>
        <v/>
      </c>
      <c r="P558" s="191" t="str">
        <f t="shared" si="166"/>
        <v/>
      </c>
      <c r="Q558" s="192" t="str">
        <f t="shared" si="180"/>
        <v/>
      </c>
      <c r="R558" s="191" t="str">
        <f t="shared" si="167"/>
        <v/>
      </c>
      <c r="S558" s="193" t="str">
        <f t="shared" si="181"/>
        <v/>
      </c>
      <c r="T558" s="194" t="str">
        <f t="shared" si="168"/>
        <v/>
      </c>
      <c r="U558" s="192" t="str">
        <f t="shared" si="182"/>
        <v/>
      </c>
      <c r="V558" s="195" t="str">
        <f t="shared" si="169"/>
        <v/>
      </c>
      <c r="W558" s="195" t="str">
        <f t="shared" si="170"/>
        <v/>
      </c>
      <c r="X558" s="196" t="str">
        <f t="shared" si="183"/>
        <v/>
      </c>
      <c r="Y558" s="191" t="str">
        <f t="shared" si="184"/>
        <v/>
      </c>
      <c r="Z558" s="197" t="str">
        <f t="shared" si="171"/>
        <v/>
      </c>
      <c r="AA558" s="197" t="str">
        <f t="shared" si="172"/>
        <v/>
      </c>
      <c r="AB558" s="218"/>
      <c r="AC558" s="205"/>
    </row>
    <row r="559" spans="1:29">
      <c r="A559" s="219" t="str">
        <f t="shared" si="173"/>
        <v/>
      </c>
      <c r="B559" s="219"/>
      <c r="C559" s="184"/>
      <c r="D559" s="185"/>
      <c r="E559" s="185" t="str">
        <f>IF(OR(C559="",C559=Data!$B$3),"",IF(C559=Data!$B$2,"L","S"))</f>
        <v/>
      </c>
      <c r="F559" s="185" t="str">
        <f t="shared" si="174"/>
        <v/>
      </c>
      <c r="G559" s="186" t="str">
        <f t="shared" si="165"/>
        <v/>
      </c>
      <c r="H559" s="187"/>
      <c r="I559" s="188" t="str">
        <f t="shared" si="175"/>
        <v/>
      </c>
      <c r="J559" s="188" t="str">
        <f t="shared" si="176"/>
        <v/>
      </c>
      <c r="K559" s="189" t="str">
        <f t="shared" si="177"/>
        <v/>
      </c>
      <c r="L559" s="189" t="str">
        <f t="shared" si="178"/>
        <v/>
      </c>
      <c r="M559" s="190"/>
      <c r="N559" s="190"/>
      <c r="O559" s="188" t="str">
        <f t="shared" si="179"/>
        <v/>
      </c>
      <c r="P559" s="191" t="str">
        <f t="shared" si="166"/>
        <v/>
      </c>
      <c r="Q559" s="192" t="str">
        <f t="shared" si="180"/>
        <v/>
      </c>
      <c r="R559" s="191" t="str">
        <f t="shared" si="167"/>
        <v/>
      </c>
      <c r="S559" s="193" t="str">
        <f t="shared" si="181"/>
        <v/>
      </c>
      <c r="T559" s="194" t="str">
        <f t="shared" si="168"/>
        <v/>
      </c>
      <c r="U559" s="192" t="str">
        <f t="shared" si="182"/>
        <v/>
      </c>
      <c r="V559" s="195" t="str">
        <f t="shared" si="169"/>
        <v/>
      </c>
      <c r="W559" s="195" t="str">
        <f t="shared" si="170"/>
        <v/>
      </c>
      <c r="X559" s="196" t="str">
        <f t="shared" si="183"/>
        <v/>
      </c>
      <c r="Y559" s="191" t="str">
        <f t="shared" si="184"/>
        <v/>
      </c>
      <c r="Z559" s="197" t="str">
        <f t="shared" si="171"/>
        <v/>
      </c>
      <c r="AA559" s="197" t="str">
        <f t="shared" si="172"/>
        <v/>
      </c>
      <c r="AB559" s="218"/>
      <c r="AC559" s="205"/>
    </row>
    <row r="560" spans="1:29">
      <c r="A560" s="219" t="str">
        <f t="shared" si="173"/>
        <v/>
      </c>
      <c r="B560" s="219"/>
      <c r="C560" s="184"/>
      <c r="D560" s="185"/>
      <c r="E560" s="185" t="str">
        <f>IF(OR(C560="",C560=Data!$B$3),"",IF(C560=Data!$B$2,"L","S"))</f>
        <v/>
      </c>
      <c r="F560" s="185" t="str">
        <f t="shared" si="174"/>
        <v/>
      </c>
      <c r="G560" s="186" t="str">
        <f t="shared" si="165"/>
        <v/>
      </c>
      <c r="H560" s="187"/>
      <c r="I560" s="188" t="str">
        <f t="shared" si="175"/>
        <v/>
      </c>
      <c r="J560" s="188" t="str">
        <f t="shared" si="176"/>
        <v/>
      </c>
      <c r="K560" s="189" t="str">
        <f t="shared" si="177"/>
        <v/>
      </c>
      <c r="L560" s="189" t="str">
        <f t="shared" si="178"/>
        <v/>
      </c>
      <c r="M560" s="190"/>
      <c r="N560" s="190"/>
      <c r="O560" s="188" t="str">
        <f t="shared" si="179"/>
        <v/>
      </c>
      <c r="P560" s="191" t="str">
        <f t="shared" si="166"/>
        <v/>
      </c>
      <c r="Q560" s="192" t="str">
        <f t="shared" si="180"/>
        <v/>
      </c>
      <c r="R560" s="191" t="str">
        <f t="shared" si="167"/>
        <v/>
      </c>
      <c r="S560" s="193" t="str">
        <f t="shared" si="181"/>
        <v/>
      </c>
      <c r="T560" s="194" t="str">
        <f t="shared" si="168"/>
        <v/>
      </c>
      <c r="U560" s="192" t="str">
        <f t="shared" si="182"/>
        <v/>
      </c>
      <c r="V560" s="195" t="str">
        <f t="shared" si="169"/>
        <v/>
      </c>
      <c r="W560" s="195" t="str">
        <f t="shared" si="170"/>
        <v/>
      </c>
      <c r="X560" s="196" t="str">
        <f t="shared" si="183"/>
        <v/>
      </c>
      <c r="Y560" s="191" t="str">
        <f t="shared" si="184"/>
        <v/>
      </c>
      <c r="Z560" s="197" t="str">
        <f t="shared" si="171"/>
        <v/>
      </c>
      <c r="AA560" s="197" t="str">
        <f t="shared" si="172"/>
        <v/>
      </c>
      <c r="AB560" s="218"/>
      <c r="AC560" s="205"/>
    </row>
    <row r="561" spans="1:29">
      <c r="A561" s="219" t="str">
        <f t="shared" si="173"/>
        <v/>
      </c>
      <c r="B561" s="219"/>
      <c r="C561" s="184"/>
      <c r="D561" s="185"/>
      <c r="E561" s="185" t="str">
        <f>IF(OR(C561="",C561=Data!$B$3),"",IF(C561=Data!$B$2,"L","S"))</f>
        <v/>
      </c>
      <c r="F561" s="185" t="str">
        <f t="shared" si="174"/>
        <v/>
      </c>
      <c r="G561" s="186" t="str">
        <f t="shared" si="165"/>
        <v/>
      </c>
      <c r="H561" s="187"/>
      <c r="I561" s="188" t="str">
        <f t="shared" si="175"/>
        <v/>
      </c>
      <c r="J561" s="188" t="str">
        <f t="shared" si="176"/>
        <v/>
      </c>
      <c r="K561" s="189" t="str">
        <f t="shared" si="177"/>
        <v/>
      </c>
      <c r="L561" s="189" t="str">
        <f t="shared" si="178"/>
        <v/>
      </c>
      <c r="M561" s="190"/>
      <c r="N561" s="190"/>
      <c r="O561" s="188" t="str">
        <f t="shared" si="179"/>
        <v/>
      </c>
      <c r="P561" s="191" t="str">
        <f t="shared" si="166"/>
        <v/>
      </c>
      <c r="Q561" s="192" t="str">
        <f t="shared" si="180"/>
        <v/>
      </c>
      <c r="R561" s="191" t="str">
        <f t="shared" si="167"/>
        <v/>
      </c>
      <c r="S561" s="193" t="str">
        <f t="shared" si="181"/>
        <v/>
      </c>
      <c r="T561" s="194" t="str">
        <f t="shared" si="168"/>
        <v/>
      </c>
      <c r="U561" s="192" t="str">
        <f t="shared" si="182"/>
        <v/>
      </c>
      <c r="V561" s="195" t="str">
        <f t="shared" si="169"/>
        <v/>
      </c>
      <c r="W561" s="195" t="str">
        <f t="shared" si="170"/>
        <v/>
      </c>
      <c r="X561" s="196" t="str">
        <f t="shared" si="183"/>
        <v/>
      </c>
      <c r="Y561" s="191" t="str">
        <f t="shared" si="184"/>
        <v/>
      </c>
      <c r="Z561" s="197" t="str">
        <f t="shared" si="171"/>
        <v/>
      </c>
      <c r="AA561" s="197" t="str">
        <f t="shared" si="172"/>
        <v/>
      </c>
      <c r="AB561" s="218"/>
      <c r="AC561" s="205"/>
    </row>
    <row r="562" spans="1:29">
      <c r="A562" s="219" t="str">
        <f t="shared" si="173"/>
        <v/>
      </c>
      <c r="B562" s="219"/>
      <c r="C562" s="184"/>
      <c r="D562" s="185"/>
      <c r="E562" s="185" t="str">
        <f>IF(OR(C562="",C562=Data!$B$3),"",IF(C562=Data!$B$2,"L","S"))</f>
        <v/>
      </c>
      <c r="F562" s="185" t="str">
        <f t="shared" si="174"/>
        <v/>
      </c>
      <c r="G562" s="186" t="str">
        <f t="shared" si="165"/>
        <v/>
      </c>
      <c r="H562" s="187"/>
      <c r="I562" s="188" t="str">
        <f t="shared" si="175"/>
        <v/>
      </c>
      <c r="J562" s="188" t="str">
        <f t="shared" si="176"/>
        <v/>
      </c>
      <c r="K562" s="189" t="str">
        <f t="shared" si="177"/>
        <v/>
      </c>
      <c r="L562" s="189" t="str">
        <f t="shared" si="178"/>
        <v/>
      </c>
      <c r="M562" s="190"/>
      <c r="N562" s="190"/>
      <c r="O562" s="188" t="str">
        <f t="shared" si="179"/>
        <v/>
      </c>
      <c r="P562" s="191" t="str">
        <f t="shared" si="166"/>
        <v/>
      </c>
      <c r="Q562" s="192" t="str">
        <f t="shared" si="180"/>
        <v/>
      </c>
      <c r="R562" s="191" t="str">
        <f t="shared" si="167"/>
        <v/>
      </c>
      <c r="S562" s="193" t="str">
        <f t="shared" si="181"/>
        <v/>
      </c>
      <c r="T562" s="194" t="str">
        <f t="shared" si="168"/>
        <v/>
      </c>
      <c r="U562" s="192" t="str">
        <f t="shared" si="182"/>
        <v/>
      </c>
      <c r="V562" s="195" t="str">
        <f t="shared" si="169"/>
        <v/>
      </c>
      <c r="W562" s="195" t="str">
        <f t="shared" si="170"/>
        <v/>
      </c>
      <c r="X562" s="196" t="str">
        <f t="shared" si="183"/>
        <v/>
      </c>
      <c r="Y562" s="191" t="str">
        <f t="shared" si="184"/>
        <v/>
      </c>
      <c r="Z562" s="197" t="str">
        <f t="shared" si="171"/>
        <v/>
      </c>
      <c r="AA562" s="197" t="str">
        <f t="shared" si="172"/>
        <v/>
      </c>
      <c r="AB562" s="218"/>
      <c r="AC562" s="205"/>
    </row>
    <row r="563" spans="1:29">
      <c r="A563" s="219" t="str">
        <f t="shared" si="173"/>
        <v/>
      </c>
      <c r="B563" s="219"/>
      <c r="C563" s="184"/>
      <c r="D563" s="185"/>
      <c r="E563" s="185" t="str">
        <f>IF(OR(C563="",C563=Data!$B$3),"",IF(C563=Data!$B$2,"L","S"))</f>
        <v/>
      </c>
      <c r="F563" s="185" t="str">
        <f t="shared" si="174"/>
        <v/>
      </c>
      <c r="G563" s="186" t="str">
        <f t="shared" si="165"/>
        <v/>
      </c>
      <c r="H563" s="187"/>
      <c r="I563" s="188" t="str">
        <f t="shared" si="175"/>
        <v/>
      </c>
      <c r="J563" s="188" t="str">
        <f t="shared" si="176"/>
        <v/>
      </c>
      <c r="K563" s="189" t="str">
        <f t="shared" si="177"/>
        <v/>
      </c>
      <c r="L563" s="189" t="str">
        <f t="shared" si="178"/>
        <v/>
      </c>
      <c r="M563" s="190"/>
      <c r="N563" s="190"/>
      <c r="O563" s="188" t="str">
        <f t="shared" si="179"/>
        <v/>
      </c>
      <c r="P563" s="191" t="str">
        <f t="shared" si="166"/>
        <v/>
      </c>
      <c r="Q563" s="192" t="str">
        <f t="shared" si="180"/>
        <v/>
      </c>
      <c r="R563" s="191" t="str">
        <f t="shared" si="167"/>
        <v/>
      </c>
      <c r="S563" s="193" t="str">
        <f t="shared" si="181"/>
        <v/>
      </c>
      <c r="T563" s="194" t="str">
        <f t="shared" si="168"/>
        <v/>
      </c>
      <c r="U563" s="192" t="str">
        <f t="shared" si="182"/>
        <v/>
      </c>
      <c r="V563" s="195" t="str">
        <f t="shared" si="169"/>
        <v/>
      </c>
      <c r="W563" s="195" t="str">
        <f t="shared" si="170"/>
        <v/>
      </c>
      <c r="X563" s="196" t="str">
        <f t="shared" si="183"/>
        <v/>
      </c>
      <c r="Y563" s="191" t="str">
        <f t="shared" si="184"/>
        <v/>
      </c>
      <c r="Z563" s="197" t="str">
        <f t="shared" si="171"/>
        <v/>
      </c>
      <c r="AA563" s="197" t="str">
        <f t="shared" si="172"/>
        <v/>
      </c>
      <c r="AB563" s="218"/>
      <c r="AC563" s="205"/>
    </row>
    <row r="564" spans="1:29">
      <c r="A564" s="219" t="str">
        <f t="shared" si="173"/>
        <v/>
      </c>
      <c r="B564" s="219"/>
      <c r="C564" s="184"/>
      <c r="D564" s="185"/>
      <c r="E564" s="185" t="str">
        <f>IF(OR(C564="",C564=Data!$B$3),"",IF(C564=Data!$B$2,"L","S"))</f>
        <v/>
      </c>
      <c r="F564" s="185" t="str">
        <f t="shared" si="174"/>
        <v/>
      </c>
      <c r="G564" s="186" t="str">
        <f t="shared" si="165"/>
        <v/>
      </c>
      <c r="H564" s="187"/>
      <c r="I564" s="188" t="str">
        <f t="shared" si="175"/>
        <v/>
      </c>
      <c r="J564" s="188" t="str">
        <f t="shared" si="176"/>
        <v/>
      </c>
      <c r="K564" s="189" t="str">
        <f t="shared" si="177"/>
        <v/>
      </c>
      <c r="L564" s="189" t="str">
        <f t="shared" si="178"/>
        <v/>
      </c>
      <c r="M564" s="190"/>
      <c r="N564" s="190"/>
      <c r="O564" s="188" t="str">
        <f t="shared" si="179"/>
        <v/>
      </c>
      <c r="P564" s="191" t="str">
        <f t="shared" si="166"/>
        <v/>
      </c>
      <c r="Q564" s="192" t="str">
        <f t="shared" si="180"/>
        <v/>
      </c>
      <c r="R564" s="191" t="str">
        <f t="shared" si="167"/>
        <v/>
      </c>
      <c r="S564" s="193" t="str">
        <f t="shared" si="181"/>
        <v/>
      </c>
      <c r="T564" s="194" t="str">
        <f t="shared" si="168"/>
        <v/>
      </c>
      <c r="U564" s="192" t="str">
        <f t="shared" si="182"/>
        <v/>
      </c>
      <c r="V564" s="195" t="str">
        <f t="shared" si="169"/>
        <v/>
      </c>
      <c r="W564" s="195" t="str">
        <f t="shared" si="170"/>
        <v/>
      </c>
      <c r="X564" s="196" t="str">
        <f t="shared" si="183"/>
        <v/>
      </c>
      <c r="Y564" s="191" t="str">
        <f t="shared" si="184"/>
        <v/>
      </c>
      <c r="Z564" s="197" t="str">
        <f t="shared" si="171"/>
        <v/>
      </c>
      <c r="AA564" s="197" t="str">
        <f t="shared" si="172"/>
        <v/>
      </c>
      <c r="AB564" s="218"/>
      <c r="AC564" s="205"/>
    </row>
    <row r="565" spans="1:29">
      <c r="A565" s="219" t="str">
        <f t="shared" si="173"/>
        <v/>
      </c>
      <c r="B565" s="219"/>
      <c r="C565" s="184"/>
      <c r="D565" s="185"/>
      <c r="E565" s="185" t="str">
        <f>IF(OR(C565="",C565=Data!$B$3),"",IF(C565=Data!$B$2,"L","S"))</f>
        <v/>
      </c>
      <c r="F565" s="185" t="str">
        <f t="shared" si="174"/>
        <v/>
      </c>
      <c r="G565" s="186" t="str">
        <f t="shared" si="165"/>
        <v/>
      </c>
      <c r="H565" s="187"/>
      <c r="I565" s="188" t="str">
        <f t="shared" si="175"/>
        <v/>
      </c>
      <c r="J565" s="188" t="str">
        <f t="shared" si="176"/>
        <v/>
      </c>
      <c r="K565" s="189" t="str">
        <f t="shared" si="177"/>
        <v/>
      </c>
      <c r="L565" s="189" t="str">
        <f t="shared" si="178"/>
        <v/>
      </c>
      <c r="M565" s="190"/>
      <c r="N565" s="190"/>
      <c r="O565" s="188" t="str">
        <f t="shared" si="179"/>
        <v/>
      </c>
      <c r="P565" s="191" t="str">
        <f t="shared" si="166"/>
        <v/>
      </c>
      <c r="Q565" s="192" t="str">
        <f t="shared" si="180"/>
        <v/>
      </c>
      <c r="R565" s="191" t="str">
        <f t="shared" si="167"/>
        <v/>
      </c>
      <c r="S565" s="193" t="str">
        <f t="shared" si="181"/>
        <v/>
      </c>
      <c r="T565" s="194" t="str">
        <f t="shared" si="168"/>
        <v/>
      </c>
      <c r="U565" s="192" t="str">
        <f t="shared" si="182"/>
        <v/>
      </c>
      <c r="V565" s="195" t="str">
        <f t="shared" si="169"/>
        <v/>
      </c>
      <c r="W565" s="195" t="str">
        <f t="shared" si="170"/>
        <v/>
      </c>
      <c r="X565" s="196" t="str">
        <f t="shared" si="183"/>
        <v/>
      </c>
      <c r="Y565" s="191" t="str">
        <f t="shared" si="184"/>
        <v/>
      </c>
      <c r="Z565" s="197" t="str">
        <f t="shared" si="171"/>
        <v/>
      </c>
      <c r="AA565" s="197" t="str">
        <f t="shared" si="172"/>
        <v/>
      </c>
      <c r="AB565" s="218"/>
      <c r="AC565" s="205"/>
    </row>
    <row r="566" spans="1:29">
      <c r="A566" s="219" t="str">
        <f t="shared" si="173"/>
        <v/>
      </c>
      <c r="B566" s="219"/>
      <c r="C566" s="184"/>
      <c r="D566" s="185"/>
      <c r="E566" s="185" t="str">
        <f>IF(OR(C566="",C566=Data!$B$3),"",IF(C566=Data!$B$2,"L","S"))</f>
        <v/>
      </c>
      <c r="F566" s="185" t="str">
        <f t="shared" si="174"/>
        <v/>
      </c>
      <c r="G566" s="186" t="str">
        <f t="shared" si="165"/>
        <v/>
      </c>
      <c r="H566" s="187"/>
      <c r="I566" s="188" t="str">
        <f t="shared" si="175"/>
        <v/>
      </c>
      <c r="J566" s="188" t="str">
        <f t="shared" si="176"/>
        <v/>
      </c>
      <c r="K566" s="189" t="str">
        <f t="shared" si="177"/>
        <v/>
      </c>
      <c r="L566" s="189" t="str">
        <f t="shared" si="178"/>
        <v/>
      </c>
      <c r="M566" s="190"/>
      <c r="N566" s="190"/>
      <c r="O566" s="188" t="str">
        <f t="shared" si="179"/>
        <v/>
      </c>
      <c r="P566" s="191" t="str">
        <f t="shared" si="166"/>
        <v/>
      </c>
      <c r="Q566" s="192" t="str">
        <f t="shared" si="180"/>
        <v/>
      </c>
      <c r="R566" s="191" t="str">
        <f t="shared" si="167"/>
        <v/>
      </c>
      <c r="S566" s="193" t="str">
        <f t="shared" si="181"/>
        <v/>
      </c>
      <c r="T566" s="194" t="str">
        <f t="shared" si="168"/>
        <v/>
      </c>
      <c r="U566" s="192" t="str">
        <f t="shared" si="182"/>
        <v/>
      </c>
      <c r="V566" s="195" t="str">
        <f t="shared" si="169"/>
        <v/>
      </c>
      <c r="W566" s="195" t="str">
        <f t="shared" si="170"/>
        <v/>
      </c>
      <c r="X566" s="196" t="str">
        <f t="shared" si="183"/>
        <v/>
      </c>
      <c r="Y566" s="191" t="str">
        <f t="shared" si="184"/>
        <v/>
      </c>
      <c r="Z566" s="197" t="str">
        <f t="shared" si="171"/>
        <v/>
      </c>
      <c r="AA566" s="197" t="str">
        <f t="shared" si="172"/>
        <v/>
      </c>
      <c r="AB566" s="218"/>
      <c r="AC566" s="205"/>
    </row>
    <row r="567" spans="1:29">
      <c r="A567" s="219" t="str">
        <f t="shared" si="173"/>
        <v/>
      </c>
      <c r="B567" s="219"/>
      <c r="C567" s="184"/>
      <c r="D567" s="185"/>
      <c r="E567" s="185" t="str">
        <f>IF(OR(C567="",C567=Data!$B$3),"",IF(C567=Data!$B$2,"L","S"))</f>
        <v/>
      </c>
      <c r="F567" s="185" t="str">
        <f t="shared" si="174"/>
        <v/>
      </c>
      <c r="G567" s="186" t="str">
        <f t="shared" si="165"/>
        <v/>
      </c>
      <c r="H567" s="187"/>
      <c r="I567" s="188" t="str">
        <f t="shared" si="175"/>
        <v/>
      </c>
      <c r="J567" s="188" t="str">
        <f t="shared" si="176"/>
        <v/>
      </c>
      <c r="K567" s="189" t="str">
        <f t="shared" si="177"/>
        <v/>
      </c>
      <c r="L567" s="189" t="str">
        <f t="shared" si="178"/>
        <v/>
      </c>
      <c r="M567" s="190"/>
      <c r="N567" s="190"/>
      <c r="O567" s="188" t="str">
        <f t="shared" si="179"/>
        <v/>
      </c>
      <c r="P567" s="191" t="str">
        <f t="shared" si="166"/>
        <v/>
      </c>
      <c r="Q567" s="192" t="str">
        <f t="shared" si="180"/>
        <v/>
      </c>
      <c r="R567" s="191" t="str">
        <f t="shared" si="167"/>
        <v/>
      </c>
      <c r="S567" s="193" t="str">
        <f t="shared" si="181"/>
        <v/>
      </c>
      <c r="T567" s="194" t="str">
        <f t="shared" si="168"/>
        <v/>
      </c>
      <c r="U567" s="192" t="str">
        <f t="shared" si="182"/>
        <v/>
      </c>
      <c r="V567" s="195" t="str">
        <f t="shared" si="169"/>
        <v/>
      </c>
      <c r="W567" s="195" t="str">
        <f t="shared" si="170"/>
        <v/>
      </c>
      <c r="X567" s="196" t="str">
        <f t="shared" si="183"/>
        <v/>
      </c>
      <c r="Y567" s="191" t="str">
        <f t="shared" si="184"/>
        <v/>
      </c>
      <c r="Z567" s="197" t="str">
        <f t="shared" si="171"/>
        <v/>
      </c>
      <c r="AA567" s="197" t="str">
        <f t="shared" si="172"/>
        <v/>
      </c>
      <c r="AB567" s="218"/>
      <c r="AC567" s="205"/>
    </row>
    <row r="568" spans="1:29">
      <c r="A568" s="219" t="str">
        <f t="shared" si="173"/>
        <v/>
      </c>
      <c r="B568" s="219"/>
      <c r="C568" s="184"/>
      <c r="D568" s="185"/>
      <c r="E568" s="185" t="str">
        <f>IF(OR(C568="",C568=Data!$B$3),"",IF(C568=Data!$B$2,"L","S"))</f>
        <v/>
      </c>
      <c r="F568" s="185" t="str">
        <f t="shared" si="174"/>
        <v/>
      </c>
      <c r="G568" s="186" t="str">
        <f t="shared" si="165"/>
        <v/>
      </c>
      <c r="H568" s="187"/>
      <c r="I568" s="188" t="str">
        <f t="shared" si="175"/>
        <v/>
      </c>
      <c r="J568" s="188" t="str">
        <f t="shared" si="176"/>
        <v/>
      </c>
      <c r="K568" s="189" t="str">
        <f t="shared" si="177"/>
        <v/>
      </c>
      <c r="L568" s="189" t="str">
        <f t="shared" si="178"/>
        <v/>
      </c>
      <c r="M568" s="190"/>
      <c r="N568" s="190"/>
      <c r="O568" s="188" t="str">
        <f t="shared" si="179"/>
        <v/>
      </c>
      <c r="P568" s="191" t="str">
        <f t="shared" si="166"/>
        <v/>
      </c>
      <c r="Q568" s="192" t="str">
        <f t="shared" si="180"/>
        <v/>
      </c>
      <c r="R568" s="191" t="str">
        <f t="shared" si="167"/>
        <v/>
      </c>
      <c r="S568" s="193" t="str">
        <f t="shared" si="181"/>
        <v/>
      </c>
      <c r="T568" s="194" t="str">
        <f t="shared" si="168"/>
        <v/>
      </c>
      <c r="U568" s="192" t="str">
        <f t="shared" si="182"/>
        <v/>
      </c>
      <c r="V568" s="195" t="str">
        <f t="shared" si="169"/>
        <v/>
      </c>
      <c r="W568" s="195" t="str">
        <f t="shared" si="170"/>
        <v/>
      </c>
      <c r="X568" s="196" t="str">
        <f t="shared" si="183"/>
        <v/>
      </c>
      <c r="Y568" s="191" t="str">
        <f t="shared" si="184"/>
        <v/>
      </c>
      <c r="Z568" s="197" t="str">
        <f t="shared" si="171"/>
        <v/>
      </c>
      <c r="AA568" s="197" t="str">
        <f t="shared" si="172"/>
        <v/>
      </c>
      <c r="AB568" s="218"/>
      <c r="AC568" s="205"/>
    </row>
    <row r="569" spans="1:29">
      <c r="A569" s="219" t="str">
        <f t="shared" si="173"/>
        <v/>
      </c>
      <c r="B569" s="219"/>
      <c r="C569" s="184"/>
      <c r="D569" s="185"/>
      <c r="E569" s="185" t="str">
        <f>IF(OR(C569="",C569=Data!$B$3),"",IF(C569=Data!$B$2,"L","S"))</f>
        <v/>
      </c>
      <c r="F569" s="185" t="str">
        <f t="shared" si="174"/>
        <v/>
      </c>
      <c r="G569" s="186" t="str">
        <f t="shared" si="165"/>
        <v/>
      </c>
      <c r="H569" s="187"/>
      <c r="I569" s="188" t="str">
        <f t="shared" si="175"/>
        <v/>
      </c>
      <c r="J569" s="188" t="str">
        <f t="shared" si="176"/>
        <v/>
      </c>
      <c r="K569" s="189" t="str">
        <f t="shared" si="177"/>
        <v/>
      </c>
      <c r="L569" s="189" t="str">
        <f t="shared" si="178"/>
        <v/>
      </c>
      <c r="M569" s="190"/>
      <c r="N569" s="190"/>
      <c r="O569" s="188" t="str">
        <f t="shared" si="179"/>
        <v/>
      </c>
      <c r="P569" s="191" t="str">
        <f t="shared" si="166"/>
        <v/>
      </c>
      <c r="Q569" s="192" t="str">
        <f t="shared" si="180"/>
        <v/>
      </c>
      <c r="R569" s="191" t="str">
        <f t="shared" si="167"/>
        <v/>
      </c>
      <c r="S569" s="193" t="str">
        <f t="shared" si="181"/>
        <v/>
      </c>
      <c r="T569" s="194" t="str">
        <f t="shared" si="168"/>
        <v/>
      </c>
      <c r="U569" s="192" t="str">
        <f t="shared" si="182"/>
        <v/>
      </c>
      <c r="V569" s="195" t="str">
        <f t="shared" si="169"/>
        <v/>
      </c>
      <c r="W569" s="195" t="str">
        <f t="shared" si="170"/>
        <v/>
      </c>
      <c r="X569" s="196" t="str">
        <f t="shared" si="183"/>
        <v/>
      </c>
      <c r="Y569" s="191" t="str">
        <f t="shared" si="184"/>
        <v/>
      </c>
      <c r="Z569" s="197" t="str">
        <f t="shared" si="171"/>
        <v/>
      </c>
      <c r="AA569" s="197" t="str">
        <f t="shared" si="172"/>
        <v/>
      </c>
      <c r="AB569" s="218"/>
      <c r="AC569" s="205"/>
    </row>
    <row r="570" spans="1:29">
      <c r="A570" s="219" t="str">
        <f t="shared" si="173"/>
        <v/>
      </c>
      <c r="B570" s="219"/>
      <c r="C570" s="184"/>
      <c r="D570" s="185"/>
      <c r="E570" s="185" t="str">
        <f>IF(OR(C570="",C570=Data!$B$3),"",IF(C570=Data!$B$2,"L","S"))</f>
        <v/>
      </c>
      <c r="F570" s="185" t="str">
        <f t="shared" si="174"/>
        <v/>
      </c>
      <c r="G570" s="186" t="str">
        <f t="shared" si="165"/>
        <v/>
      </c>
      <c r="H570" s="187"/>
      <c r="I570" s="188" t="str">
        <f t="shared" si="175"/>
        <v/>
      </c>
      <c r="J570" s="188" t="str">
        <f t="shared" si="176"/>
        <v/>
      </c>
      <c r="K570" s="189" t="str">
        <f t="shared" si="177"/>
        <v/>
      </c>
      <c r="L570" s="189" t="str">
        <f t="shared" si="178"/>
        <v/>
      </c>
      <c r="M570" s="190"/>
      <c r="N570" s="190"/>
      <c r="O570" s="188" t="str">
        <f t="shared" si="179"/>
        <v/>
      </c>
      <c r="P570" s="191" t="str">
        <f t="shared" si="166"/>
        <v/>
      </c>
      <c r="Q570" s="192" t="str">
        <f t="shared" si="180"/>
        <v/>
      </c>
      <c r="R570" s="191" t="str">
        <f t="shared" si="167"/>
        <v/>
      </c>
      <c r="S570" s="193" t="str">
        <f t="shared" si="181"/>
        <v/>
      </c>
      <c r="T570" s="194" t="str">
        <f t="shared" si="168"/>
        <v/>
      </c>
      <c r="U570" s="192" t="str">
        <f t="shared" si="182"/>
        <v/>
      </c>
      <c r="V570" s="195" t="str">
        <f t="shared" si="169"/>
        <v/>
      </c>
      <c r="W570" s="195" t="str">
        <f t="shared" si="170"/>
        <v/>
      </c>
      <c r="X570" s="196" t="str">
        <f t="shared" si="183"/>
        <v/>
      </c>
      <c r="Y570" s="191" t="str">
        <f t="shared" si="184"/>
        <v/>
      </c>
      <c r="Z570" s="197" t="str">
        <f t="shared" si="171"/>
        <v/>
      </c>
      <c r="AA570" s="197" t="str">
        <f t="shared" si="172"/>
        <v/>
      </c>
      <c r="AB570" s="218"/>
      <c r="AC570" s="205"/>
    </row>
    <row r="571" spans="1:29">
      <c r="A571" s="219" t="str">
        <f t="shared" si="173"/>
        <v/>
      </c>
      <c r="B571" s="219"/>
      <c r="C571" s="184"/>
      <c r="D571" s="185"/>
      <c r="E571" s="185" t="str">
        <f>IF(OR(C571="",C571=Data!$B$3),"",IF(C571=Data!$B$2,"L","S"))</f>
        <v/>
      </c>
      <c r="F571" s="185" t="str">
        <f t="shared" si="174"/>
        <v/>
      </c>
      <c r="G571" s="186" t="str">
        <f t="shared" si="165"/>
        <v/>
      </c>
      <c r="H571" s="187"/>
      <c r="I571" s="188" t="str">
        <f t="shared" si="175"/>
        <v/>
      </c>
      <c r="J571" s="188" t="str">
        <f t="shared" si="176"/>
        <v/>
      </c>
      <c r="K571" s="189" t="str">
        <f t="shared" si="177"/>
        <v/>
      </c>
      <c r="L571" s="189" t="str">
        <f t="shared" si="178"/>
        <v/>
      </c>
      <c r="M571" s="190"/>
      <c r="N571" s="190"/>
      <c r="O571" s="188" t="str">
        <f t="shared" si="179"/>
        <v/>
      </c>
      <c r="P571" s="191" t="str">
        <f t="shared" si="166"/>
        <v/>
      </c>
      <c r="Q571" s="192" t="str">
        <f t="shared" si="180"/>
        <v/>
      </c>
      <c r="R571" s="191" t="str">
        <f t="shared" si="167"/>
        <v/>
      </c>
      <c r="S571" s="193" t="str">
        <f t="shared" si="181"/>
        <v/>
      </c>
      <c r="T571" s="194" t="str">
        <f t="shared" si="168"/>
        <v/>
      </c>
      <c r="U571" s="192" t="str">
        <f t="shared" si="182"/>
        <v/>
      </c>
      <c r="V571" s="195" t="str">
        <f t="shared" si="169"/>
        <v/>
      </c>
      <c r="W571" s="195" t="str">
        <f t="shared" si="170"/>
        <v/>
      </c>
      <c r="X571" s="196" t="str">
        <f t="shared" si="183"/>
        <v/>
      </c>
      <c r="Y571" s="191" t="str">
        <f t="shared" si="184"/>
        <v/>
      </c>
      <c r="Z571" s="197" t="str">
        <f t="shared" si="171"/>
        <v/>
      </c>
      <c r="AA571" s="197" t="str">
        <f t="shared" si="172"/>
        <v/>
      </c>
      <c r="AB571" s="218"/>
      <c r="AC571" s="205"/>
    </row>
    <row r="572" spans="1:29">
      <c r="A572" s="219" t="str">
        <f t="shared" si="173"/>
        <v/>
      </c>
      <c r="B572" s="219"/>
      <c r="C572" s="184"/>
      <c r="D572" s="185"/>
      <c r="E572" s="185" t="str">
        <f>IF(OR(C572="",C572=Data!$B$3),"",IF(C572=Data!$B$2,"L","S"))</f>
        <v/>
      </c>
      <c r="F572" s="185" t="str">
        <f t="shared" si="174"/>
        <v/>
      </c>
      <c r="G572" s="186" t="str">
        <f t="shared" si="165"/>
        <v/>
      </c>
      <c r="H572" s="187"/>
      <c r="I572" s="188" t="str">
        <f t="shared" si="175"/>
        <v/>
      </c>
      <c r="J572" s="188" t="str">
        <f t="shared" si="176"/>
        <v/>
      </c>
      <c r="K572" s="189" t="str">
        <f t="shared" si="177"/>
        <v/>
      </c>
      <c r="L572" s="189" t="str">
        <f t="shared" si="178"/>
        <v/>
      </c>
      <c r="M572" s="190"/>
      <c r="N572" s="190"/>
      <c r="O572" s="188" t="str">
        <f t="shared" si="179"/>
        <v/>
      </c>
      <c r="P572" s="191" t="str">
        <f t="shared" si="166"/>
        <v/>
      </c>
      <c r="Q572" s="192" t="str">
        <f t="shared" si="180"/>
        <v/>
      </c>
      <c r="R572" s="191" t="str">
        <f t="shared" si="167"/>
        <v/>
      </c>
      <c r="S572" s="193" t="str">
        <f t="shared" si="181"/>
        <v/>
      </c>
      <c r="T572" s="194" t="str">
        <f t="shared" si="168"/>
        <v/>
      </c>
      <c r="U572" s="192" t="str">
        <f t="shared" si="182"/>
        <v/>
      </c>
      <c r="V572" s="195" t="str">
        <f t="shared" si="169"/>
        <v/>
      </c>
      <c r="W572" s="195" t="str">
        <f t="shared" si="170"/>
        <v/>
      </c>
      <c r="X572" s="196" t="str">
        <f t="shared" si="183"/>
        <v/>
      </c>
      <c r="Y572" s="191" t="str">
        <f t="shared" si="184"/>
        <v/>
      </c>
      <c r="Z572" s="197" t="str">
        <f t="shared" si="171"/>
        <v/>
      </c>
      <c r="AA572" s="197" t="str">
        <f t="shared" si="172"/>
        <v/>
      </c>
      <c r="AB572" s="218"/>
      <c r="AC572" s="205"/>
    </row>
    <row r="573" spans="1:29">
      <c r="A573" s="219" t="str">
        <f t="shared" si="173"/>
        <v/>
      </c>
      <c r="B573" s="219"/>
      <c r="C573" s="184"/>
      <c r="D573" s="185"/>
      <c r="E573" s="185" t="str">
        <f>IF(OR(C573="",C573=Data!$B$3),"",IF(C573=Data!$B$2,"L","S"))</f>
        <v/>
      </c>
      <c r="F573" s="185" t="str">
        <f t="shared" si="174"/>
        <v/>
      </c>
      <c r="G573" s="186" t="str">
        <f t="shared" si="165"/>
        <v/>
      </c>
      <c r="H573" s="187"/>
      <c r="I573" s="188" t="str">
        <f t="shared" si="175"/>
        <v/>
      </c>
      <c r="J573" s="188" t="str">
        <f t="shared" si="176"/>
        <v/>
      </c>
      <c r="K573" s="189" t="str">
        <f t="shared" si="177"/>
        <v/>
      </c>
      <c r="L573" s="189" t="str">
        <f t="shared" si="178"/>
        <v/>
      </c>
      <c r="M573" s="190"/>
      <c r="N573" s="190"/>
      <c r="O573" s="188" t="str">
        <f t="shared" si="179"/>
        <v/>
      </c>
      <c r="P573" s="191" t="str">
        <f t="shared" si="166"/>
        <v/>
      </c>
      <c r="Q573" s="192" t="str">
        <f t="shared" si="180"/>
        <v/>
      </c>
      <c r="R573" s="191" t="str">
        <f t="shared" si="167"/>
        <v/>
      </c>
      <c r="S573" s="193" t="str">
        <f t="shared" si="181"/>
        <v/>
      </c>
      <c r="T573" s="194" t="str">
        <f t="shared" si="168"/>
        <v/>
      </c>
      <c r="U573" s="192" t="str">
        <f t="shared" si="182"/>
        <v/>
      </c>
      <c r="V573" s="195" t="str">
        <f t="shared" si="169"/>
        <v/>
      </c>
      <c r="W573" s="195" t="str">
        <f t="shared" si="170"/>
        <v/>
      </c>
      <c r="X573" s="196" t="str">
        <f t="shared" si="183"/>
        <v/>
      </c>
      <c r="Y573" s="191" t="str">
        <f t="shared" si="184"/>
        <v/>
      </c>
      <c r="Z573" s="197" t="str">
        <f t="shared" si="171"/>
        <v/>
      </c>
      <c r="AA573" s="197" t="str">
        <f t="shared" si="172"/>
        <v/>
      </c>
      <c r="AB573" s="218"/>
      <c r="AC573" s="205"/>
    </row>
    <row r="574" spans="1:29">
      <c r="A574" s="219" t="str">
        <f t="shared" si="173"/>
        <v/>
      </c>
      <c r="B574" s="219"/>
      <c r="C574" s="184"/>
      <c r="D574" s="185"/>
      <c r="E574" s="185" t="str">
        <f>IF(OR(C574="",C574=Data!$B$3),"",IF(C574=Data!$B$2,"L","S"))</f>
        <v/>
      </c>
      <c r="F574" s="185" t="str">
        <f t="shared" si="174"/>
        <v/>
      </c>
      <c r="G574" s="186" t="str">
        <f t="shared" si="165"/>
        <v/>
      </c>
      <c r="H574" s="187"/>
      <c r="I574" s="188" t="str">
        <f t="shared" si="175"/>
        <v/>
      </c>
      <c r="J574" s="188" t="str">
        <f t="shared" si="176"/>
        <v/>
      </c>
      <c r="K574" s="189" t="str">
        <f t="shared" si="177"/>
        <v/>
      </c>
      <c r="L574" s="189" t="str">
        <f t="shared" si="178"/>
        <v/>
      </c>
      <c r="M574" s="190"/>
      <c r="N574" s="190"/>
      <c r="O574" s="188" t="str">
        <f t="shared" si="179"/>
        <v/>
      </c>
      <c r="P574" s="191" t="str">
        <f t="shared" si="166"/>
        <v/>
      </c>
      <c r="Q574" s="192" t="str">
        <f t="shared" si="180"/>
        <v/>
      </c>
      <c r="R574" s="191" t="str">
        <f t="shared" si="167"/>
        <v/>
      </c>
      <c r="S574" s="193" t="str">
        <f t="shared" si="181"/>
        <v/>
      </c>
      <c r="T574" s="194" t="str">
        <f t="shared" si="168"/>
        <v/>
      </c>
      <c r="U574" s="192" t="str">
        <f t="shared" si="182"/>
        <v/>
      </c>
      <c r="V574" s="195" t="str">
        <f t="shared" si="169"/>
        <v/>
      </c>
      <c r="W574" s="195" t="str">
        <f t="shared" si="170"/>
        <v/>
      </c>
      <c r="X574" s="196" t="str">
        <f t="shared" si="183"/>
        <v/>
      </c>
      <c r="Y574" s="191" t="str">
        <f t="shared" si="184"/>
        <v/>
      </c>
      <c r="Z574" s="197" t="str">
        <f t="shared" si="171"/>
        <v/>
      </c>
      <c r="AA574" s="197" t="str">
        <f t="shared" si="172"/>
        <v/>
      </c>
      <c r="AB574" s="218"/>
      <c r="AC574" s="205"/>
    </row>
    <row r="575" spans="1:29">
      <c r="A575" s="219" t="str">
        <f t="shared" si="173"/>
        <v/>
      </c>
      <c r="B575" s="219"/>
      <c r="C575" s="184"/>
      <c r="D575" s="185"/>
      <c r="E575" s="185" t="str">
        <f>IF(OR(C575="",C575=Data!$B$3),"",IF(C575=Data!$B$2,"L","S"))</f>
        <v/>
      </c>
      <c r="F575" s="185" t="str">
        <f t="shared" si="174"/>
        <v/>
      </c>
      <c r="G575" s="186" t="str">
        <f t="shared" si="165"/>
        <v/>
      </c>
      <c r="H575" s="187"/>
      <c r="I575" s="188" t="str">
        <f t="shared" si="175"/>
        <v/>
      </c>
      <c r="J575" s="188" t="str">
        <f t="shared" si="176"/>
        <v/>
      </c>
      <c r="K575" s="189" t="str">
        <f t="shared" si="177"/>
        <v/>
      </c>
      <c r="L575" s="189" t="str">
        <f t="shared" si="178"/>
        <v/>
      </c>
      <c r="M575" s="190"/>
      <c r="N575" s="190"/>
      <c r="O575" s="188" t="str">
        <f t="shared" si="179"/>
        <v/>
      </c>
      <c r="P575" s="191" t="str">
        <f t="shared" si="166"/>
        <v/>
      </c>
      <c r="Q575" s="192" t="str">
        <f t="shared" si="180"/>
        <v/>
      </c>
      <c r="R575" s="191" t="str">
        <f t="shared" si="167"/>
        <v/>
      </c>
      <c r="S575" s="193" t="str">
        <f t="shared" si="181"/>
        <v/>
      </c>
      <c r="T575" s="194" t="str">
        <f t="shared" si="168"/>
        <v/>
      </c>
      <c r="U575" s="192" t="str">
        <f t="shared" si="182"/>
        <v/>
      </c>
      <c r="V575" s="195" t="str">
        <f t="shared" si="169"/>
        <v/>
      </c>
      <c r="W575" s="195" t="str">
        <f t="shared" si="170"/>
        <v/>
      </c>
      <c r="X575" s="196" t="str">
        <f t="shared" si="183"/>
        <v/>
      </c>
      <c r="Y575" s="191" t="str">
        <f t="shared" si="184"/>
        <v/>
      </c>
      <c r="Z575" s="197" t="str">
        <f t="shared" si="171"/>
        <v/>
      </c>
      <c r="AA575" s="197" t="str">
        <f t="shared" si="172"/>
        <v/>
      </c>
      <c r="AB575" s="218"/>
      <c r="AC575" s="205"/>
    </row>
    <row r="576" spans="1:29">
      <c r="A576" s="219" t="str">
        <f t="shared" si="173"/>
        <v/>
      </c>
      <c r="B576" s="219"/>
      <c r="C576" s="184"/>
      <c r="D576" s="185"/>
      <c r="E576" s="185" t="str">
        <f>IF(OR(C576="",C576=Data!$B$3),"",IF(C576=Data!$B$2,"L","S"))</f>
        <v/>
      </c>
      <c r="F576" s="185" t="str">
        <f t="shared" si="174"/>
        <v/>
      </c>
      <c r="G576" s="186" t="str">
        <f t="shared" si="165"/>
        <v/>
      </c>
      <c r="H576" s="187"/>
      <c r="I576" s="188" t="str">
        <f t="shared" si="175"/>
        <v/>
      </c>
      <c r="J576" s="188" t="str">
        <f t="shared" si="176"/>
        <v/>
      </c>
      <c r="K576" s="189" t="str">
        <f t="shared" si="177"/>
        <v/>
      </c>
      <c r="L576" s="189" t="str">
        <f t="shared" si="178"/>
        <v/>
      </c>
      <c r="M576" s="190"/>
      <c r="N576" s="190"/>
      <c r="O576" s="188" t="str">
        <f t="shared" si="179"/>
        <v/>
      </c>
      <c r="P576" s="191" t="str">
        <f t="shared" si="166"/>
        <v/>
      </c>
      <c r="Q576" s="192" t="str">
        <f t="shared" si="180"/>
        <v/>
      </c>
      <c r="R576" s="191" t="str">
        <f t="shared" si="167"/>
        <v/>
      </c>
      <c r="S576" s="193" t="str">
        <f t="shared" si="181"/>
        <v/>
      </c>
      <c r="T576" s="194" t="str">
        <f t="shared" si="168"/>
        <v/>
      </c>
      <c r="U576" s="192" t="str">
        <f t="shared" si="182"/>
        <v/>
      </c>
      <c r="V576" s="195" t="str">
        <f t="shared" si="169"/>
        <v/>
      </c>
      <c r="W576" s="195" t="str">
        <f t="shared" si="170"/>
        <v/>
      </c>
      <c r="X576" s="196" t="str">
        <f t="shared" si="183"/>
        <v/>
      </c>
      <c r="Y576" s="191" t="str">
        <f t="shared" si="184"/>
        <v/>
      </c>
      <c r="Z576" s="197" t="str">
        <f t="shared" si="171"/>
        <v/>
      </c>
      <c r="AA576" s="197" t="str">
        <f t="shared" si="172"/>
        <v/>
      </c>
      <c r="AB576" s="218"/>
      <c r="AC576" s="205"/>
    </row>
    <row r="577" spans="1:29">
      <c r="A577" s="219" t="str">
        <f t="shared" si="173"/>
        <v/>
      </c>
      <c r="B577" s="219"/>
      <c r="C577" s="184"/>
      <c r="D577" s="185"/>
      <c r="E577" s="185" t="str">
        <f>IF(OR(C577="",C577=Data!$B$3),"",IF(C577=Data!$B$2,"L","S"))</f>
        <v/>
      </c>
      <c r="F577" s="185" t="str">
        <f t="shared" si="174"/>
        <v/>
      </c>
      <c r="G577" s="186" t="str">
        <f t="shared" si="165"/>
        <v/>
      </c>
      <c r="H577" s="187"/>
      <c r="I577" s="188" t="str">
        <f t="shared" si="175"/>
        <v/>
      </c>
      <c r="J577" s="188" t="str">
        <f t="shared" si="176"/>
        <v/>
      </c>
      <c r="K577" s="189" t="str">
        <f t="shared" si="177"/>
        <v/>
      </c>
      <c r="L577" s="189" t="str">
        <f t="shared" si="178"/>
        <v/>
      </c>
      <c r="M577" s="190"/>
      <c r="N577" s="190"/>
      <c r="O577" s="188" t="str">
        <f t="shared" si="179"/>
        <v/>
      </c>
      <c r="P577" s="191" t="str">
        <f t="shared" si="166"/>
        <v/>
      </c>
      <c r="Q577" s="192" t="str">
        <f t="shared" si="180"/>
        <v/>
      </c>
      <c r="R577" s="191" t="str">
        <f t="shared" si="167"/>
        <v/>
      </c>
      <c r="S577" s="193" t="str">
        <f t="shared" si="181"/>
        <v/>
      </c>
      <c r="T577" s="194" t="str">
        <f t="shared" si="168"/>
        <v/>
      </c>
      <c r="U577" s="192" t="str">
        <f t="shared" si="182"/>
        <v/>
      </c>
      <c r="V577" s="195" t="str">
        <f t="shared" si="169"/>
        <v/>
      </c>
      <c r="W577" s="195" t="str">
        <f t="shared" si="170"/>
        <v/>
      </c>
      <c r="X577" s="196" t="str">
        <f t="shared" si="183"/>
        <v/>
      </c>
      <c r="Y577" s="191" t="str">
        <f t="shared" si="184"/>
        <v/>
      </c>
      <c r="Z577" s="197" t="str">
        <f t="shared" si="171"/>
        <v/>
      </c>
      <c r="AA577" s="197" t="str">
        <f t="shared" si="172"/>
        <v/>
      </c>
      <c r="AB577" s="218"/>
      <c r="AC577" s="205"/>
    </row>
    <row r="578" spans="1:29">
      <c r="A578" s="219" t="str">
        <f t="shared" si="173"/>
        <v/>
      </c>
      <c r="B578" s="219"/>
      <c r="C578" s="184"/>
      <c r="D578" s="185"/>
      <c r="E578" s="185" t="str">
        <f>IF(OR(C578="",C578=Data!$B$3),"",IF(C578=Data!$B$2,"L","S"))</f>
        <v/>
      </c>
      <c r="F578" s="185" t="str">
        <f t="shared" si="174"/>
        <v/>
      </c>
      <c r="G578" s="186" t="str">
        <f t="shared" si="165"/>
        <v/>
      </c>
      <c r="H578" s="187"/>
      <c r="I578" s="188" t="str">
        <f t="shared" si="175"/>
        <v/>
      </c>
      <c r="J578" s="188" t="str">
        <f t="shared" si="176"/>
        <v/>
      </c>
      <c r="K578" s="189" t="str">
        <f t="shared" si="177"/>
        <v/>
      </c>
      <c r="L578" s="189" t="str">
        <f t="shared" si="178"/>
        <v/>
      </c>
      <c r="M578" s="190"/>
      <c r="N578" s="190"/>
      <c r="O578" s="188" t="str">
        <f t="shared" si="179"/>
        <v/>
      </c>
      <c r="P578" s="191" t="str">
        <f t="shared" si="166"/>
        <v/>
      </c>
      <c r="Q578" s="192" t="str">
        <f t="shared" si="180"/>
        <v/>
      </c>
      <c r="R578" s="191" t="str">
        <f t="shared" si="167"/>
        <v/>
      </c>
      <c r="S578" s="193" t="str">
        <f t="shared" si="181"/>
        <v/>
      </c>
      <c r="T578" s="194" t="str">
        <f t="shared" si="168"/>
        <v/>
      </c>
      <c r="U578" s="192" t="str">
        <f t="shared" si="182"/>
        <v/>
      </c>
      <c r="V578" s="195" t="str">
        <f t="shared" si="169"/>
        <v/>
      </c>
      <c r="W578" s="195" t="str">
        <f t="shared" si="170"/>
        <v/>
      </c>
      <c r="X578" s="196" t="str">
        <f t="shared" si="183"/>
        <v/>
      </c>
      <c r="Y578" s="191" t="str">
        <f t="shared" si="184"/>
        <v/>
      </c>
      <c r="Z578" s="197" t="str">
        <f t="shared" si="171"/>
        <v/>
      </c>
      <c r="AA578" s="197" t="str">
        <f t="shared" si="172"/>
        <v/>
      </c>
      <c r="AB578" s="218"/>
      <c r="AC578" s="205"/>
    </row>
    <row r="579" spans="1:29">
      <c r="A579" s="219" t="str">
        <f t="shared" si="173"/>
        <v/>
      </c>
      <c r="B579" s="219"/>
      <c r="C579" s="184"/>
      <c r="D579" s="185"/>
      <c r="E579" s="185" t="str">
        <f>IF(OR(C579="",C579=Data!$B$3),"",IF(C579=Data!$B$2,"L","S"))</f>
        <v/>
      </c>
      <c r="F579" s="185" t="str">
        <f t="shared" si="174"/>
        <v/>
      </c>
      <c r="G579" s="186" t="str">
        <f t="shared" si="165"/>
        <v/>
      </c>
      <c r="H579" s="187"/>
      <c r="I579" s="188" t="str">
        <f t="shared" si="175"/>
        <v/>
      </c>
      <c r="J579" s="188" t="str">
        <f t="shared" si="176"/>
        <v/>
      </c>
      <c r="K579" s="189" t="str">
        <f t="shared" si="177"/>
        <v/>
      </c>
      <c r="L579" s="189" t="str">
        <f t="shared" si="178"/>
        <v/>
      </c>
      <c r="M579" s="190"/>
      <c r="N579" s="190"/>
      <c r="O579" s="188" t="str">
        <f t="shared" si="179"/>
        <v/>
      </c>
      <c r="P579" s="191" t="str">
        <f t="shared" si="166"/>
        <v/>
      </c>
      <c r="Q579" s="192" t="str">
        <f t="shared" si="180"/>
        <v/>
      </c>
      <c r="R579" s="191" t="str">
        <f t="shared" si="167"/>
        <v/>
      </c>
      <c r="S579" s="193" t="str">
        <f t="shared" si="181"/>
        <v/>
      </c>
      <c r="T579" s="194" t="str">
        <f t="shared" si="168"/>
        <v/>
      </c>
      <c r="U579" s="192" t="str">
        <f t="shared" si="182"/>
        <v/>
      </c>
      <c r="V579" s="195" t="str">
        <f t="shared" si="169"/>
        <v/>
      </c>
      <c r="W579" s="195" t="str">
        <f t="shared" si="170"/>
        <v/>
      </c>
      <c r="X579" s="196" t="str">
        <f t="shared" si="183"/>
        <v/>
      </c>
      <c r="Y579" s="191" t="str">
        <f t="shared" si="184"/>
        <v/>
      </c>
      <c r="Z579" s="197" t="str">
        <f t="shared" si="171"/>
        <v/>
      </c>
      <c r="AA579" s="197" t="str">
        <f t="shared" si="172"/>
        <v/>
      </c>
      <c r="AB579" s="218"/>
      <c r="AC579" s="205"/>
    </row>
    <row r="580" spans="1:29">
      <c r="A580" s="219" t="str">
        <f t="shared" si="173"/>
        <v/>
      </c>
      <c r="B580" s="219"/>
      <c r="C580" s="184"/>
      <c r="D580" s="185"/>
      <c r="E580" s="185" t="str">
        <f>IF(OR(C580="",C580=Data!$B$3),"",IF(C580=Data!$B$2,"L","S"))</f>
        <v/>
      </c>
      <c r="F580" s="185" t="str">
        <f t="shared" si="174"/>
        <v/>
      </c>
      <c r="G580" s="186" t="str">
        <f t="shared" si="165"/>
        <v/>
      </c>
      <c r="H580" s="187"/>
      <c r="I580" s="188" t="str">
        <f t="shared" si="175"/>
        <v/>
      </c>
      <c r="J580" s="188" t="str">
        <f t="shared" si="176"/>
        <v/>
      </c>
      <c r="K580" s="189" t="str">
        <f t="shared" si="177"/>
        <v/>
      </c>
      <c r="L580" s="189" t="str">
        <f t="shared" si="178"/>
        <v/>
      </c>
      <c r="M580" s="190"/>
      <c r="N580" s="190"/>
      <c r="O580" s="188" t="str">
        <f t="shared" si="179"/>
        <v/>
      </c>
      <c r="P580" s="191" t="str">
        <f t="shared" si="166"/>
        <v/>
      </c>
      <c r="Q580" s="192" t="str">
        <f t="shared" si="180"/>
        <v/>
      </c>
      <c r="R580" s="191" t="str">
        <f t="shared" si="167"/>
        <v/>
      </c>
      <c r="S580" s="193" t="str">
        <f t="shared" si="181"/>
        <v/>
      </c>
      <c r="T580" s="194" t="str">
        <f t="shared" si="168"/>
        <v/>
      </c>
      <c r="U580" s="192" t="str">
        <f t="shared" si="182"/>
        <v/>
      </c>
      <c r="V580" s="195" t="str">
        <f t="shared" si="169"/>
        <v/>
      </c>
      <c r="W580" s="195" t="str">
        <f t="shared" si="170"/>
        <v/>
      </c>
      <c r="X580" s="196" t="str">
        <f t="shared" si="183"/>
        <v/>
      </c>
      <c r="Y580" s="191" t="str">
        <f t="shared" si="184"/>
        <v/>
      </c>
      <c r="Z580" s="197" t="str">
        <f t="shared" si="171"/>
        <v/>
      </c>
      <c r="AA580" s="197" t="str">
        <f t="shared" si="172"/>
        <v/>
      </c>
      <c r="AB580" s="218"/>
      <c r="AC580" s="205"/>
    </row>
    <row r="581" spans="1:29">
      <c r="A581" s="219" t="str">
        <f t="shared" si="173"/>
        <v/>
      </c>
      <c r="B581" s="219"/>
      <c r="C581" s="184"/>
      <c r="D581" s="185"/>
      <c r="E581" s="185" t="str">
        <f>IF(OR(C581="",C581=Data!$B$3),"",IF(C581=Data!$B$2,"L","S"))</f>
        <v/>
      </c>
      <c r="F581" s="185" t="str">
        <f t="shared" si="174"/>
        <v/>
      </c>
      <c r="G581" s="186" t="str">
        <f t="shared" si="165"/>
        <v/>
      </c>
      <c r="H581" s="187"/>
      <c r="I581" s="188" t="str">
        <f t="shared" si="175"/>
        <v/>
      </c>
      <c r="J581" s="188" t="str">
        <f t="shared" si="176"/>
        <v/>
      </c>
      <c r="K581" s="189" t="str">
        <f t="shared" si="177"/>
        <v/>
      </c>
      <c r="L581" s="189" t="str">
        <f t="shared" si="178"/>
        <v/>
      </c>
      <c r="M581" s="190"/>
      <c r="N581" s="190"/>
      <c r="O581" s="188" t="str">
        <f t="shared" si="179"/>
        <v/>
      </c>
      <c r="P581" s="191" t="str">
        <f t="shared" si="166"/>
        <v/>
      </c>
      <c r="Q581" s="192" t="str">
        <f t="shared" si="180"/>
        <v/>
      </c>
      <c r="R581" s="191" t="str">
        <f t="shared" si="167"/>
        <v/>
      </c>
      <c r="S581" s="193" t="str">
        <f t="shared" si="181"/>
        <v/>
      </c>
      <c r="T581" s="194" t="str">
        <f t="shared" si="168"/>
        <v/>
      </c>
      <c r="U581" s="192" t="str">
        <f t="shared" si="182"/>
        <v/>
      </c>
      <c r="V581" s="195" t="str">
        <f t="shared" si="169"/>
        <v/>
      </c>
      <c r="W581" s="195" t="str">
        <f t="shared" si="170"/>
        <v/>
      </c>
      <c r="X581" s="196" t="str">
        <f t="shared" si="183"/>
        <v/>
      </c>
      <c r="Y581" s="191" t="str">
        <f t="shared" si="184"/>
        <v/>
      </c>
      <c r="Z581" s="197" t="str">
        <f t="shared" si="171"/>
        <v/>
      </c>
      <c r="AA581" s="197" t="str">
        <f t="shared" si="172"/>
        <v/>
      </c>
      <c r="AB581" s="218"/>
      <c r="AC581" s="205"/>
    </row>
    <row r="582" spans="1:29">
      <c r="A582" s="219" t="str">
        <f t="shared" si="173"/>
        <v/>
      </c>
      <c r="B582" s="219"/>
      <c r="C582" s="184"/>
      <c r="D582" s="185"/>
      <c r="E582" s="185" t="str">
        <f>IF(OR(C582="",C582=Data!$B$3),"",IF(C582=Data!$B$2,"L","S"))</f>
        <v/>
      </c>
      <c r="F582" s="185" t="str">
        <f t="shared" si="174"/>
        <v/>
      </c>
      <c r="G582" s="186" t="str">
        <f t="shared" si="165"/>
        <v/>
      </c>
      <c r="H582" s="187"/>
      <c r="I582" s="188" t="str">
        <f t="shared" si="175"/>
        <v/>
      </c>
      <c r="J582" s="188" t="str">
        <f t="shared" si="176"/>
        <v/>
      </c>
      <c r="K582" s="189" t="str">
        <f t="shared" si="177"/>
        <v/>
      </c>
      <c r="L582" s="189" t="str">
        <f t="shared" si="178"/>
        <v/>
      </c>
      <c r="M582" s="190"/>
      <c r="N582" s="190"/>
      <c r="O582" s="188" t="str">
        <f t="shared" si="179"/>
        <v/>
      </c>
      <c r="P582" s="191" t="str">
        <f t="shared" si="166"/>
        <v/>
      </c>
      <c r="Q582" s="192" t="str">
        <f t="shared" si="180"/>
        <v/>
      </c>
      <c r="R582" s="191" t="str">
        <f t="shared" si="167"/>
        <v/>
      </c>
      <c r="S582" s="193" t="str">
        <f t="shared" si="181"/>
        <v/>
      </c>
      <c r="T582" s="194" t="str">
        <f t="shared" si="168"/>
        <v/>
      </c>
      <c r="U582" s="192" t="str">
        <f t="shared" si="182"/>
        <v/>
      </c>
      <c r="V582" s="195" t="str">
        <f t="shared" si="169"/>
        <v/>
      </c>
      <c r="W582" s="195" t="str">
        <f t="shared" si="170"/>
        <v/>
      </c>
      <c r="X582" s="196" t="str">
        <f t="shared" si="183"/>
        <v/>
      </c>
      <c r="Y582" s="191" t="str">
        <f t="shared" si="184"/>
        <v/>
      </c>
      <c r="Z582" s="197" t="str">
        <f t="shared" si="171"/>
        <v/>
      </c>
      <c r="AA582" s="197" t="str">
        <f t="shared" si="172"/>
        <v/>
      </c>
      <c r="AB582" s="218"/>
      <c r="AC582" s="205"/>
    </row>
    <row r="583" spans="1:29">
      <c r="A583" s="219" t="str">
        <f t="shared" si="173"/>
        <v/>
      </c>
      <c r="B583" s="219"/>
      <c r="C583" s="184"/>
      <c r="D583" s="185"/>
      <c r="E583" s="185" t="str">
        <f>IF(OR(C583="",C583=Data!$B$3),"",IF(C583=Data!$B$2,"L","S"))</f>
        <v/>
      </c>
      <c r="F583" s="185" t="str">
        <f t="shared" si="174"/>
        <v/>
      </c>
      <c r="G583" s="186" t="str">
        <f t="shared" si="165"/>
        <v/>
      </c>
      <c r="H583" s="187"/>
      <c r="I583" s="188" t="str">
        <f t="shared" si="175"/>
        <v/>
      </c>
      <c r="J583" s="188" t="str">
        <f t="shared" si="176"/>
        <v/>
      </c>
      <c r="K583" s="189" t="str">
        <f t="shared" si="177"/>
        <v/>
      </c>
      <c r="L583" s="189" t="str">
        <f t="shared" si="178"/>
        <v/>
      </c>
      <c r="M583" s="190"/>
      <c r="N583" s="190"/>
      <c r="O583" s="188" t="str">
        <f t="shared" si="179"/>
        <v/>
      </c>
      <c r="P583" s="191" t="str">
        <f t="shared" si="166"/>
        <v/>
      </c>
      <c r="Q583" s="192" t="str">
        <f t="shared" si="180"/>
        <v/>
      </c>
      <c r="R583" s="191" t="str">
        <f t="shared" si="167"/>
        <v/>
      </c>
      <c r="S583" s="193" t="str">
        <f t="shared" si="181"/>
        <v/>
      </c>
      <c r="T583" s="194" t="str">
        <f t="shared" si="168"/>
        <v/>
      </c>
      <c r="U583" s="192" t="str">
        <f t="shared" si="182"/>
        <v/>
      </c>
      <c r="V583" s="195" t="str">
        <f t="shared" si="169"/>
        <v/>
      </c>
      <c r="W583" s="195" t="str">
        <f t="shared" si="170"/>
        <v/>
      </c>
      <c r="X583" s="196" t="str">
        <f t="shared" si="183"/>
        <v/>
      </c>
      <c r="Y583" s="191" t="str">
        <f t="shared" si="184"/>
        <v/>
      </c>
      <c r="Z583" s="197" t="str">
        <f t="shared" si="171"/>
        <v/>
      </c>
      <c r="AA583" s="197" t="str">
        <f t="shared" si="172"/>
        <v/>
      </c>
      <c r="AB583" s="218"/>
      <c r="AC583" s="205"/>
    </row>
    <row r="584" spans="1:29">
      <c r="A584" s="219" t="str">
        <f t="shared" si="173"/>
        <v/>
      </c>
      <c r="B584" s="219"/>
      <c r="C584" s="184"/>
      <c r="D584" s="185"/>
      <c r="E584" s="185" t="str">
        <f>IF(OR(C584="",C584=Data!$B$3),"",IF(C584=Data!$B$2,"L","S"))</f>
        <v/>
      </c>
      <c r="F584" s="185" t="str">
        <f t="shared" si="174"/>
        <v/>
      </c>
      <c r="G584" s="186" t="str">
        <f t="shared" si="165"/>
        <v/>
      </c>
      <c r="H584" s="187"/>
      <c r="I584" s="188" t="str">
        <f t="shared" si="175"/>
        <v/>
      </c>
      <c r="J584" s="188" t="str">
        <f t="shared" si="176"/>
        <v/>
      </c>
      <c r="K584" s="189" t="str">
        <f t="shared" si="177"/>
        <v/>
      </c>
      <c r="L584" s="189" t="str">
        <f t="shared" si="178"/>
        <v/>
      </c>
      <c r="M584" s="190"/>
      <c r="N584" s="190"/>
      <c r="O584" s="188" t="str">
        <f t="shared" si="179"/>
        <v/>
      </c>
      <c r="P584" s="191" t="str">
        <f t="shared" si="166"/>
        <v/>
      </c>
      <c r="Q584" s="192" t="str">
        <f t="shared" si="180"/>
        <v/>
      </c>
      <c r="R584" s="191" t="str">
        <f t="shared" si="167"/>
        <v/>
      </c>
      <c r="S584" s="193" t="str">
        <f t="shared" si="181"/>
        <v/>
      </c>
      <c r="T584" s="194" t="str">
        <f t="shared" si="168"/>
        <v/>
      </c>
      <c r="U584" s="192" t="str">
        <f t="shared" si="182"/>
        <v/>
      </c>
      <c r="V584" s="195" t="str">
        <f t="shared" si="169"/>
        <v/>
      </c>
      <c r="W584" s="195" t="str">
        <f t="shared" si="170"/>
        <v/>
      </c>
      <c r="X584" s="196" t="str">
        <f t="shared" si="183"/>
        <v/>
      </c>
      <c r="Y584" s="191" t="str">
        <f t="shared" si="184"/>
        <v/>
      </c>
      <c r="Z584" s="197" t="str">
        <f t="shared" si="171"/>
        <v/>
      </c>
      <c r="AA584" s="197" t="str">
        <f t="shared" si="172"/>
        <v/>
      </c>
      <c r="AB584" s="218"/>
      <c r="AC584" s="205"/>
    </row>
    <row r="585" spans="1:29">
      <c r="A585" s="219" t="str">
        <f t="shared" si="173"/>
        <v/>
      </c>
      <c r="B585" s="219"/>
      <c r="C585" s="184"/>
      <c r="D585" s="185"/>
      <c r="E585" s="185" t="str">
        <f>IF(OR(C585="",C585=Data!$B$3),"",IF(C585=Data!$B$2,"L","S"))</f>
        <v/>
      </c>
      <c r="F585" s="185" t="str">
        <f t="shared" si="174"/>
        <v/>
      </c>
      <c r="G585" s="186" t="str">
        <f t="shared" si="165"/>
        <v/>
      </c>
      <c r="H585" s="187"/>
      <c r="I585" s="188" t="str">
        <f t="shared" si="175"/>
        <v/>
      </c>
      <c r="J585" s="188" t="str">
        <f t="shared" si="176"/>
        <v/>
      </c>
      <c r="K585" s="189" t="str">
        <f t="shared" si="177"/>
        <v/>
      </c>
      <c r="L585" s="189" t="str">
        <f t="shared" si="178"/>
        <v/>
      </c>
      <c r="M585" s="190"/>
      <c r="N585" s="190"/>
      <c r="O585" s="188" t="str">
        <f t="shared" si="179"/>
        <v/>
      </c>
      <c r="P585" s="191" t="str">
        <f t="shared" si="166"/>
        <v/>
      </c>
      <c r="Q585" s="192" t="str">
        <f t="shared" si="180"/>
        <v/>
      </c>
      <c r="R585" s="191" t="str">
        <f t="shared" si="167"/>
        <v/>
      </c>
      <c r="S585" s="193" t="str">
        <f t="shared" si="181"/>
        <v/>
      </c>
      <c r="T585" s="194" t="str">
        <f t="shared" si="168"/>
        <v/>
      </c>
      <c r="U585" s="192" t="str">
        <f t="shared" si="182"/>
        <v/>
      </c>
      <c r="V585" s="195" t="str">
        <f t="shared" si="169"/>
        <v/>
      </c>
      <c r="W585" s="195" t="str">
        <f t="shared" si="170"/>
        <v/>
      </c>
      <c r="X585" s="196" t="str">
        <f t="shared" si="183"/>
        <v/>
      </c>
      <c r="Y585" s="191" t="str">
        <f t="shared" si="184"/>
        <v/>
      </c>
      <c r="Z585" s="197" t="str">
        <f t="shared" si="171"/>
        <v/>
      </c>
      <c r="AA585" s="197" t="str">
        <f t="shared" si="172"/>
        <v/>
      </c>
      <c r="AB585" s="218"/>
      <c r="AC585" s="205"/>
    </row>
    <row r="586" spans="1:29">
      <c r="A586" s="219" t="str">
        <f t="shared" si="173"/>
        <v/>
      </c>
      <c r="B586" s="219"/>
      <c r="C586" s="184"/>
      <c r="D586" s="185"/>
      <c r="E586" s="185" t="str">
        <f>IF(OR(C586="",C586=Data!$B$3),"",IF(C586=Data!$B$2,"L","S"))</f>
        <v/>
      </c>
      <c r="F586" s="185" t="str">
        <f t="shared" si="174"/>
        <v/>
      </c>
      <c r="G586" s="186" t="str">
        <f t="shared" si="165"/>
        <v/>
      </c>
      <c r="H586" s="187"/>
      <c r="I586" s="188" t="str">
        <f t="shared" si="175"/>
        <v/>
      </c>
      <c r="J586" s="188" t="str">
        <f t="shared" si="176"/>
        <v/>
      </c>
      <c r="K586" s="189" t="str">
        <f t="shared" si="177"/>
        <v/>
      </c>
      <c r="L586" s="189" t="str">
        <f t="shared" si="178"/>
        <v/>
      </c>
      <c r="M586" s="190"/>
      <c r="N586" s="190"/>
      <c r="O586" s="188" t="str">
        <f t="shared" si="179"/>
        <v/>
      </c>
      <c r="P586" s="191" t="str">
        <f t="shared" si="166"/>
        <v/>
      </c>
      <c r="Q586" s="192" t="str">
        <f t="shared" si="180"/>
        <v/>
      </c>
      <c r="R586" s="191" t="str">
        <f t="shared" si="167"/>
        <v/>
      </c>
      <c r="S586" s="193" t="str">
        <f t="shared" si="181"/>
        <v/>
      </c>
      <c r="T586" s="194" t="str">
        <f t="shared" si="168"/>
        <v/>
      </c>
      <c r="U586" s="192" t="str">
        <f t="shared" si="182"/>
        <v/>
      </c>
      <c r="V586" s="195" t="str">
        <f t="shared" si="169"/>
        <v/>
      </c>
      <c r="W586" s="195" t="str">
        <f t="shared" si="170"/>
        <v/>
      </c>
      <c r="X586" s="196" t="str">
        <f t="shared" si="183"/>
        <v/>
      </c>
      <c r="Y586" s="191" t="str">
        <f t="shared" si="184"/>
        <v/>
      </c>
      <c r="Z586" s="197" t="str">
        <f t="shared" si="171"/>
        <v/>
      </c>
      <c r="AA586" s="197" t="str">
        <f t="shared" si="172"/>
        <v/>
      </c>
      <c r="AB586" s="218"/>
      <c r="AC586" s="205"/>
    </row>
    <row r="587" spans="1:29">
      <c r="A587" s="219" t="str">
        <f t="shared" si="173"/>
        <v/>
      </c>
      <c r="B587" s="219"/>
      <c r="C587" s="184"/>
      <c r="D587" s="185"/>
      <c r="E587" s="185" t="str">
        <f>IF(OR(C587="",C587=Data!$B$3),"",IF(C587=Data!$B$2,"L","S"))</f>
        <v/>
      </c>
      <c r="F587" s="185" t="str">
        <f t="shared" si="174"/>
        <v/>
      </c>
      <c r="G587" s="186" t="str">
        <f t="shared" si="165"/>
        <v/>
      </c>
      <c r="H587" s="187"/>
      <c r="I587" s="188" t="str">
        <f t="shared" si="175"/>
        <v/>
      </c>
      <c r="J587" s="188" t="str">
        <f t="shared" si="176"/>
        <v/>
      </c>
      <c r="K587" s="189" t="str">
        <f t="shared" si="177"/>
        <v/>
      </c>
      <c r="L587" s="189" t="str">
        <f t="shared" si="178"/>
        <v/>
      </c>
      <c r="M587" s="190"/>
      <c r="N587" s="190"/>
      <c r="O587" s="188" t="str">
        <f t="shared" si="179"/>
        <v/>
      </c>
      <c r="P587" s="191" t="str">
        <f t="shared" si="166"/>
        <v/>
      </c>
      <c r="Q587" s="192" t="str">
        <f t="shared" si="180"/>
        <v/>
      </c>
      <c r="R587" s="191" t="str">
        <f t="shared" si="167"/>
        <v/>
      </c>
      <c r="S587" s="193" t="str">
        <f t="shared" si="181"/>
        <v/>
      </c>
      <c r="T587" s="194" t="str">
        <f t="shared" si="168"/>
        <v/>
      </c>
      <c r="U587" s="192" t="str">
        <f t="shared" si="182"/>
        <v/>
      </c>
      <c r="V587" s="195" t="str">
        <f t="shared" si="169"/>
        <v/>
      </c>
      <c r="W587" s="195" t="str">
        <f t="shared" si="170"/>
        <v/>
      </c>
      <c r="X587" s="196" t="str">
        <f t="shared" si="183"/>
        <v/>
      </c>
      <c r="Y587" s="191" t="str">
        <f t="shared" si="184"/>
        <v/>
      </c>
      <c r="Z587" s="197" t="str">
        <f t="shared" si="171"/>
        <v/>
      </c>
      <c r="AA587" s="197" t="str">
        <f t="shared" si="172"/>
        <v/>
      </c>
      <c r="AB587" s="218"/>
      <c r="AC587" s="205"/>
    </row>
    <row r="588" spans="1:29">
      <c r="A588" s="219" t="str">
        <f t="shared" si="173"/>
        <v/>
      </c>
      <c r="B588" s="219"/>
      <c r="C588" s="184"/>
      <c r="D588" s="185"/>
      <c r="E588" s="185" t="str">
        <f>IF(OR(C588="",C588=Data!$B$3),"",IF(C588=Data!$B$2,"L","S"))</f>
        <v/>
      </c>
      <c r="F588" s="185" t="str">
        <f t="shared" si="174"/>
        <v/>
      </c>
      <c r="G588" s="186" t="str">
        <f t="shared" ref="G588:G651" si="185">IF(A588="","",$D$3)</f>
        <v/>
      </c>
      <c r="H588" s="187"/>
      <c r="I588" s="188" t="str">
        <f t="shared" si="175"/>
        <v/>
      </c>
      <c r="J588" s="188" t="str">
        <f t="shared" si="176"/>
        <v/>
      </c>
      <c r="K588" s="189" t="str">
        <f t="shared" si="177"/>
        <v/>
      </c>
      <c r="L588" s="189" t="str">
        <f t="shared" si="178"/>
        <v/>
      </c>
      <c r="M588" s="190"/>
      <c r="N588" s="190"/>
      <c r="O588" s="188" t="str">
        <f t="shared" si="179"/>
        <v/>
      </c>
      <c r="P588" s="191" t="str">
        <f t="shared" ref="P588:P651" si="186">IF(O588="","",IF(L588*F588*G588=0,0,L588*F588*G588))</f>
        <v/>
      </c>
      <c r="Q588" s="192" t="str">
        <f t="shared" si="180"/>
        <v/>
      </c>
      <c r="R588" s="191" t="str">
        <f t="shared" ref="R588:R651" si="187">IF(O588&lt;&gt;"",IF(K588*F588*G588=0,"",K588*F588*G588),"")</f>
        <v/>
      </c>
      <c r="S588" s="193" t="str">
        <f t="shared" si="181"/>
        <v/>
      </c>
      <c r="T588" s="194" t="str">
        <f t="shared" ref="T588:T651" si="188">IF(X588="","",X588*F588*G588)</f>
        <v/>
      </c>
      <c r="U588" s="192" t="str">
        <f t="shared" si="182"/>
        <v/>
      </c>
      <c r="V588" s="195" t="str">
        <f t="shared" ref="V588:V651" si="189">IF(O588="","",IF(AND(O588&gt;I588,E588="L"),1, IF(AND(I588&gt;O588,E588="S"),1,0)))</f>
        <v/>
      </c>
      <c r="W588" s="195" t="str">
        <f t="shared" ref="W588:W651" si="190">IF(O588="","",IF(AND(O588&lt;I588,E588="L"),1, IF(AND(I588&lt;O588,E588="S"),1,0)))</f>
        <v/>
      </c>
      <c r="X588" s="196" t="str">
        <f t="shared" si="183"/>
        <v/>
      </c>
      <c r="Y588" s="191" t="str">
        <f t="shared" si="184"/>
        <v/>
      </c>
      <c r="Z588" s="197" t="str">
        <f t="shared" ref="Z588:Z651" si="191">IF(M588="","",MONTH(M588))</f>
        <v/>
      </c>
      <c r="AA588" s="197" t="str">
        <f t="shared" ref="AA588:AA651" si="192">IF(M588="","",YEAR(M588))</f>
        <v/>
      </c>
      <c r="AB588" s="218"/>
      <c r="AC588" s="205"/>
    </row>
    <row r="589" spans="1:29">
      <c r="A589" s="219" t="str">
        <f t="shared" ref="A589:A652" si="193">IF(C589="","",1)</f>
        <v/>
      </c>
      <c r="B589" s="219"/>
      <c r="C589" s="184"/>
      <c r="D589" s="185"/>
      <c r="E589" s="185" t="str">
        <f>IF(OR(C589="",C589=Data!$B$3),"",IF(C589=Data!$B$2,"L","S"))</f>
        <v/>
      </c>
      <c r="F589" s="185" t="str">
        <f t="shared" ref="F589:F652" si="194">IF(A589&lt;&gt;"",$D$2,"")</f>
        <v/>
      </c>
      <c r="G589" s="186" t="str">
        <f t="shared" si="185"/>
        <v/>
      </c>
      <c r="H589" s="187"/>
      <c r="I589" s="188" t="str">
        <f t="shared" ref="I589:I652" si="195">IF(H589="","",IF(E589="L",H589+$D$4*0.0001,H589-$D$4*0.0001))</f>
        <v/>
      </c>
      <c r="J589" s="188" t="str">
        <f t="shared" ref="J589:J652" si="196">IF(AND(H589&lt;&gt;"",I589&lt;&gt;""),IF(E589="L",I589+(I589-H589)*3,I589-(H589-I589)*3),"")</f>
        <v/>
      </c>
      <c r="K589" s="189" t="str">
        <f t="shared" ref="K589:K652" si="197">IF(AND(E589&lt;&gt;"",AND(I589&lt;&gt;"",J589&lt;&gt;"")),IF(E589="L",(J589-I589)*IF(I589&gt;10,IF(SEARCH("JPY",D589),10,100),10000),(I589-J589)*IF(I589&gt;10,IF(SEARCH("JPY",D589),10,100),10000)),"")</f>
        <v/>
      </c>
      <c r="L589" s="189" t="str">
        <f t="shared" ref="L589:L652" si="198">IF(AND(E589&lt;&gt;"",AND(H589&lt;&gt;"",I589&lt;&gt;"")),IF(E589="L",(I589-H589)*IF(I589&gt;10,IF(SEARCH("JPY",D589),10,100),10000),(H589-I589)*IF(I589&gt;10,IF(SEARCH("JPY",D589),10,100),10000)),"")</f>
        <v/>
      </c>
      <c r="M589" s="190"/>
      <c r="N589" s="190"/>
      <c r="O589" s="188" t="str">
        <f t="shared" ref="O589:O652" si="199">J589</f>
        <v/>
      </c>
      <c r="P589" s="191" t="str">
        <f t="shared" si="186"/>
        <v/>
      </c>
      <c r="Q589" s="192" t="str">
        <f t="shared" ref="Q589:Q652" si="200">IF(P589="","",IF(P589=0,0,P589/$I$4))</f>
        <v/>
      </c>
      <c r="R589" s="191" t="str">
        <f t="shared" si="187"/>
        <v/>
      </c>
      <c r="S589" s="193" t="str">
        <f t="shared" ref="S589:S652" si="201">IF(P589="","",IF(P589=0,0,R589/P589))</f>
        <v/>
      </c>
      <c r="T589" s="194" t="str">
        <f t="shared" si="188"/>
        <v/>
      </c>
      <c r="U589" s="192" t="str">
        <f t="shared" ref="U589:U652" si="202">IF(T589="","",IF($I$4="","",T589/$I$4))</f>
        <v/>
      </c>
      <c r="V589" s="195" t="str">
        <f t="shared" si="189"/>
        <v/>
      </c>
      <c r="W589" s="195" t="str">
        <f t="shared" si="190"/>
        <v/>
      </c>
      <c r="X589" s="196" t="str">
        <f t="shared" ref="X589:X652" si="203">IF((O589=""),"",IF(E589="L",1,-1)*(O589-I589)*IF(O589&gt;10,IF(SEARCH("JPY",D589),10,100),10000))</f>
        <v/>
      </c>
      <c r="Y589" s="191" t="str">
        <f t="shared" si="184"/>
        <v/>
      </c>
      <c r="Z589" s="197" t="str">
        <f t="shared" si="191"/>
        <v/>
      </c>
      <c r="AA589" s="197" t="str">
        <f t="shared" si="192"/>
        <v/>
      </c>
      <c r="AB589" s="218"/>
      <c r="AC589" s="205"/>
    </row>
    <row r="590" spans="1:29">
      <c r="A590" s="219" t="str">
        <f t="shared" si="193"/>
        <v/>
      </c>
      <c r="B590" s="219"/>
      <c r="C590" s="184"/>
      <c r="D590" s="185"/>
      <c r="E590" s="185" t="str">
        <f>IF(OR(C590="",C590=Data!$B$3),"",IF(C590=Data!$B$2,"L","S"))</f>
        <v/>
      </c>
      <c r="F590" s="185" t="str">
        <f t="shared" si="194"/>
        <v/>
      </c>
      <c r="G590" s="186" t="str">
        <f t="shared" si="185"/>
        <v/>
      </c>
      <c r="H590" s="187"/>
      <c r="I590" s="188" t="str">
        <f t="shared" si="195"/>
        <v/>
      </c>
      <c r="J590" s="188" t="str">
        <f t="shared" si="196"/>
        <v/>
      </c>
      <c r="K590" s="189" t="str">
        <f t="shared" si="197"/>
        <v/>
      </c>
      <c r="L590" s="189" t="str">
        <f t="shared" si="198"/>
        <v/>
      </c>
      <c r="M590" s="190"/>
      <c r="N590" s="190"/>
      <c r="O590" s="188" t="str">
        <f t="shared" si="199"/>
        <v/>
      </c>
      <c r="P590" s="191" t="str">
        <f t="shared" si="186"/>
        <v/>
      </c>
      <c r="Q590" s="192" t="str">
        <f t="shared" si="200"/>
        <v/>
      </c>
      <c r="R590" s="191" t="str">
        <f t="shared" si="187"/>
        <v/>
      </c>
      <c r="S590" s="193" t="str">
        <f t="shared" si="201"/>
        <v/>
      </c>
      <c r="T590" s="194" t="str">
        <f t="shared" si="188"/>
        <v/>
      </c>
      <c r="U590" s="192" t="str">
        <f t="shared" si="202"/>
        <v/>
      </c>
      <c r="V590" s="195" t="str">
        <f t="shared" si="189"/>
        <v/>
      </c>
      <c r="W590" s="195" t="str">
        <f t="shared" si="190"/>
        <v/>
      </c>
      <c r="X590" s="196" t="str">
        <f t="shared" si="203"/>
        <v/>
      </c>
      <c r="Y590" s="191" t="str">
        <f t="shared" si="184"/>
        <v/>
      </c>
      <c r="Z590" s="197" t="str">
        <f t="shared" si="191"/>
        <v/>
      </c>
      <c r="AA590" s="197" t="str">
        <f t="shared" si="192"/>
        <v/>
      </c>
      <c r="AB590" s="218"/>
      <c r="AC590" s="205"/>
    </row>
    <row r="591" spans="1:29">
      <c r="A591" s="219" t="str">
        <f t="shared" si="193"/>
        <v/>
      </c>
      <c r="B591" s="219"/>
      <c r="C591" s="184"/>
      <c r="D591" s="185"/>
      <c r="E591" s="185" t="str">
        <f>IF(OR(C591="",C591=Data!$B$3),"",IF(C591=Data!$B$2,"L","S"))</f>
        <v/>
      </c>
      <c r="F591" s="185" t="str">
        <f t="shared" si="194"/>
        <v/>
      </c>
      <c r="G591" s="186" t="str">
        <f t="shared" si="185"/>
        <v/>
      </c>
      <c r="H591" s="187"/>
      <c r="I591" s="188" t="str">
        <f t="shared" si="195"/>
        <v/>
      </c>
      <c r="J591" s="188" t="str">
        <f t="shared" si="196"/>
        <v/>
      </c>
      <c r="K591" s="189" t="str">
        <f t="shared" si="197"/>
        <v/>
      </c>
      <c r="L591" s="189" t="str">
        <f t="shared" si="198"/>
        <v/>
      </c>
      <c r="M591" s="190"/>
      <c r="N591" s="190"/>
      <c r="O591" s="188" t="str">
        <f t="shared" si="199"/>
        <v/>
      </c>
      <c r="P591" s="191" t="str">
        <f t="shared" si="186"/>
        <v/>
      </c>
      <c r="Q591" s="192" t="str">
        <f t="shared" si="200"/>
        <v/>
      </c>
      <c r="R591" s="191" t="str">
        <f t="shared" si="187"/>
        <v/>
      </c>
      <c r="S591" s="193" t="str">
        <f t="shared" si="201"/>
        <v/>
      </c>
      <c r="T591" s="194" t="str">
        <f t="shared" si="188"/>
        <v/>
      </c>
      <c r="U591" s="192" t="str">
        <f t="shared" si="202"/>
        <v/>
      </c>
      <c r="V591" s="195" t="str">
        <f t="shared" si="189"/>
        <v/>
      </c>
      <c r="W591" s="195" t="str">
        <f t="shared" si="190"/>
        <v/>
      </c>
      <c r="X591" s="196" t="str">
        <f t="shared" si="203"/>
        <v/>
      </c>
      <c r="Y591" s="191" t="str">
        <f t="shared" si="184"/>
        <v/>
      </c>
      <c r="Z591" s="197" t="str">
        <f t="shared" si="191"/>
        <v/>
      </c>
      <c r="AA591" s="197" t="str">
        <f t="shared" si="192"/>
        <v/>
      </c>
      <c r="AB591" s="218"/>
      <c r="AC591" s="205"/>
    </row>
    <row r="592" spans="1:29">
      <c r="A592" s="219" t="str">
        <f t="shared" si="193"/>
        <v/>
      </c>
      <c r="B592" s="219"/>
      <c r="C592" s="184"/>
      <c r="D592" s="185"/>
      <c r="E592" s="185" t="str">
        <f>IF(OR(C592="",C592=Data!$B$3),"",IF(C592=Data!$B$2,"L","S"))</f>
        <v/>
      </c>
      <c r="F592" s="185" t="str">
        <f t="shared" si="194"/>
        <v/>
      </c>
      <c r="G592" s="186" t="str">
        <f t="shared" si="185"/>
        <v/>
      </c>
      <c r="H592" s="187"/>
      <c r="I592" s="188" t="str">
        <f t="shared" si="195"/>
        <v/>
      </c>
      <c r="J592" s="188" t="str">
        <f t="shared" si="196"/>
        <v/>
      </c>
      <c r="K592" s="189" t="str">
        <f t="shared" si="197"/>
        <v/>
      </c>
      <c r="L592" s="189" t="str">
        <f t="shared" si="198"/>
        <v/>
      </c>
      <c r="M592" s="190"/>
      <c r="N592" s="190"/>
      <c r="O592" s="188" t="str">
        <f t="shared" si="199"/>
        <v/>
      </c>
      <c r="P592" s="191" t="str">
        <f t="shared" si="186"/>
        <v/>
      </c>
      <c r="Q592" s="192" t="str">
        <f t="shared" si="200"/>
        <v/>
      </c>
      <c r="R592" s="191" t="str">
        <f t="shared" si="187"/>
        <v/>
      </c>
      <c r="S592" s="193" t="str">
        <f t="shared" si="201"/>
        <v/>
      </c>
      <c r="T592" s="194" t="str">
        <f t="shared" si="188"/>
        <v/>
      </c>
      <c r="U592" s="192" t="str">
        <f t="shared" si="202"/>
        <v/>
      </c>
      <c r="V592" s="195" t="str">
        <f t="shared" si="189"/>
        <v/>
      </c>
      <c r="W592" s="195" t="str">
        <f t="shared" si="190"/>
        <v/>
      </c>
      <c r="X592" s="196" t="str">
        <f t="shared" si="203"/>
        <v/>
      </c>
      <c r="Y592" s="191" t="str">
        <f t="shared" si="184"/>
        <v/>
      </c>
      <c r="Z592" s="197" t="str">
        <f t="shared" si="191"/>
        <v/>
      </c>
      <c r="AA592" s="197" t="str">
        <f t="shared" si="192"/>
        <v/>
      </c>
      <c r="AB592" s="218"/>
      <c r="AC592" s="205"/>
    </row>
    <row r="593" spans="1:29">
      <c r="A593" s="219" t="str">
        <f t="shared" si="193"/>
        <v/>
      </c>
      <c r="B593" s="219"/>
      <c r="C593" s="184"/>
      <c r="D593" s="185"/>
      <c r="E593" s="185" t="str">
        <f>IF(OR(C593="",C593=Data!$B$3),"",IF(C593=Data!$B$2,"L","S"))</f>
        <v/>
      </c>
      <c r="F593" s="185" t="str">
        <f t="shared" si="194"/>
        <v/>
      </c>
      <c r="G593" s="186" t="str">
        <f t="shared" si="185"/>
        <v/>
      </c>
      <c r="H593" s="187"/>
      <c r="I593" s="188" t="str">
        <f t="shared" si="195"/>
        <v/>
      </c>
      <c r="J593" s="188" t="str">
        <f t="shared" si="196"/>
        <v/>
      </c>
      <c r="K593" s="189" t="str">
        <f t="shared" si="197"/>
        <v/>
      </c>
      <c r="L593" s="189" t="str">
        <f t="shared" si="198"/>
        <v/>
      </c>
      <c r="M593" s="190"/>
      <c r="N593" s="190"/>
      <c r="O593" s="188" t="str">
        <f t="shared" si="199"/>
        <v/>
      </c>
      <c r="P593" s="191" t="str">
        <f t="shared" si="186"/>
        <v/>
      </c>
      <c r="Q593" s="192" t="str">
        <f t="shared" si="200"/>
        <v/>
      </c>
      <c r="R593" s="191" t="str">
        <f t="shared" si="187"/>
        <v/>
      </c>
      <c r="S593" s="193" t="str">
        <f t="shared" si="201"/>
        <v/>
      </c>
      <c r="T593" s="194" t="str">
        <f t="shared" si="188"/>
        <v/>
      </c>
      <c r="U593" s="192" t="str">
        <f t="shared" si="202"/>
        <v/>
      </c>
      <c r="V593" s="195" t="str">
        <f t="shared" si="189"/>
        <v/>
      </c>
      <c r="W593" s="195" t="str">
        <f t="shared" si="190"/>
        <v/>
      </c>
      <c r="X593" s="196" t="str">
        <f t="shared" si="203"/>
        <v/>
      </c>
      <c r="Y593" s="191" t="str">
        <f t="shared" si="184"/>
        <v/>
      </c>
      <c r="Z593" s="197" t="str">
        <f t="shared" si="191"/>
        <v/>
      </c>
      <c r="AA593" s="197" t="str">
        <f t="shared" si="192"/>
        <v/>
      </c>
      <c r="AB593" s="218"/>
      <c r="AC593" s="205"/>
    </row>
    <row r="594" spans="1:29">
      <c r="A594" s="219" t="str">
        <f t="shared" si="193"/>
        <v/>
      </c>
      <c r="B594" s="219"/>
      <c r="C594" s="184"/>
      <c r="D594" s="185"/>
      <c r="E594" s="185" t="str">
        <f>IF(OR(C594="",C594=Data!$B$3),"",IF(C594=Data!$B$2,"L","S"))</f>
        <v/>
      </c>
      <c r="F594" s="185" t="str">
        <f t="shared" si="194"/>
        <v/>
      </c>
      <c r="G594" s="186" t="str">
        <f t="shared" si="185"/>
        <v/>
      </c>
      <c r="H594" s="187"/>
      <c r="I594" s="188" t="str">
        <f t="shared" si="195"/>
        <v/>
      </c>
      <c r="J594" s="188" t="str">
        <f t="shared" si="196"/>
        <v/>
      </c>
      <c r="K594" s="189" t="str">
        <f t="shared" si="197"/>
        <v/>
      </c>
      <c r="L594" s="189" t="str">
        <f t="shared" si="198"/>
        <v/>
      </c>
      <c r="M594" s="190"/>
      <c r="N594" s="190"/>
      <c r="O594" s="188" t="str">
        <f t="shared" si="199"/>
        <v/>
      </c>
      <c r="P594" s="191" t="str">
        <f t="shared" si="186"/>
        <v/>
      </c>
      <c r="Q594" s="192" t="str">
        <f t="shared" si="200"/>
        <v/>
      </c>
      <c r="R594" s="191" t="str">
        <f t="shared" si="187"/>
        <v/>
      </c>
      <c r="S594" s="193" t="str">
        <f t="shared" si="201"/>
        <v/>
      </c>
      <c r="T594" s="194" t="str">
        <f t="shared" si="188"/>
        <v/>
      </c>
      <c r="U594" s="192" t="str">
        <f t="shared" si="202"/>
        <v/>
      </c>
      <c r="V594" s="195" t="str">
        <f t="shared" si="189"/>
        <v/>
      </c>
      <c r="W594" s="195" t="str">
        <f t="shared" si="190"/>
        <v/>
      </c>
      <c r="X594" s="196" t="str">
        <f t="shared" si="203"/>
        <v/>
      </c>
      <c r="Y594" s="191" t="str">
        <f t="shared" si="184"/>
        <v/>
      </c>
      <c r="Z594" s="197" t="str">
        <f t="shared" si="191"/>
        <v/>
      </c>
      <c r="AA594" s="197" t="str">
        <f t="shared" si="192"/>
        <v/>
      </c>
      <c r="AB594" s="218"/>
      <c r="AC594" s="205"/>
    </row>
    <row r="595" spans="1:29">
      <c r="A595" s="219" t="str">
        <f t="shared" si="193"/>
        <v/>
      </c>
      <c r="B595" s="219"/>
      <c r="C595" s="184"/>
      <c r="D595" s="185"/>
      <c r="E595" s="185" t="str">
        <f>IF(OR(C595="",C595=Data!$B$3),"",IF(C595=Data!$B$2,"L","S"))</f>
        <v/>
      </c>
      <c r="F595" s="185" t="str">
        <f t="shared" si="194"/>
        <v/>
      </c>
      <c r="G595" s="186" t="str">
        <f t="shared" si="185"/>
        <v/>
      </c>
      <c r="H595" s="187"/>
      <c r="I595" s="188" t="str">
        <f t="shared" si="195"/>
        <v/>
      </c>
      <c r="J595" s="188" t="str">
        <f t="shared" si="196"/>
        <v/>
      </c>
      <c r="K595" s="189" t="str">
        <f t="shared" si="197"/>
        <v/>
      </c>
      <c r="L595" s="189" t="str">
        <f t="shared" si="198"/>
        <v/>
      </c>
      <c r="M595" s="190"/>
      <c r="N595" s="190"/>
      <c r="O595" s="188" t="str">
        <f t="shared" si="199"/>
        <v/>
      </c>
      <c r="P595" s="191" t="str">
        <f t="shared" si="186"/>
        <v/>
      </c>
      <c r="Q595" s="192" t="str">
        <f t="shared" si="200"/>
        <v/>
      </c>
      <c r="R595" s="191" t="str">
        <f t="shared" si="187"/>
        <v/>
      </c>
      <c r="S595" s="193" t="str">
        <f t="shared" si="201"/>
        <v/>
      </c>
      <c r="T595" s="194" t="str">
        <f t="shared" si="188"/>
        <v/>
      </c>
      <c r="U595" s="192" t="str">
        <f t="shared" si="202"/>
        <v/>
      </c>
      <c r="V595" s="195" t="str">
        <f t="shared" si="189"/>
        <v/>
      </c>
      <c r="W595" s="195" t="str">
        <f t="shared" si="190"/>
        <v/>
      </c>
      <c r="X595" s="196" t="str">
        <f t="shared" si="203"/>
        <v/>
      </c>
      <c r="Y595" s="191" t="str">
        <f t="shared" si="184"/>
        <v/>
      </c>
      <c r="Z595" s="197" t="str">
        <f t="shared" si="191"/>
        <v/>
      </c>
      <c r="AA595" s="197" t="str">
        <f t="shared" si="192"/>
        <v/>
      </c>
      <c r="AB595" s="218"/>
      <c r="AC595" s="205"/>
    </row>
    <row r="596" spans="1:29">
      <c r="A596" s="219" t="str">
        <f t="shared" si="193"/>
        <v/>
      </c>
      <c r="B596" s="219"/>
      <c r="C596" s="184"/>
      <c r="D596" s="185"/>
      <c r="E596" s="185" t="str">
        <f>IF(OR(C596="",C596=Data!$B$3),"",IF(C596=Data!$B$2,"L","S"))</f>
        <v/>
      </c>
      <c r="F596" s="185" t="str">
        <f t="shared" si="194"/>
        <v/>
      </c>
      <c r="G596" s="186" t="str">
        <f t="shared" si="185"/>
        <v/>
      </c>
      <c r="H596" s="187"/>
      <c r="I596" s="188" t="str">
        <f t="shared" si="195"/>
        <v/>
      </c>
      <c r="J596" s="188" t="str">
        <f t="shared" si="196"/>
        <v/>
      </c>
      <c r="K596" s="189" t="str">
        <f t="shared" si="197"/>
        <v/>
      </c>
      <c r="L596" s="189" t="str">
        <f t="shared" si="198"/>
        <v/>
      </c>
      <c r="M596" s="190"/>
      <c r="N596" s="190"/>
      <c r="O596" s="188" t="str">
        <f t="shared" si="199"/>
        <v/>
      </c>
      <c r="P596" s="191" t="str">
        <f t="shared" si="186"/>
        <v/>
      </c>
      <c r="Q596" s="192" t="str">
        <f t="shared" si="200"/>
        <v/>
      </c>
      <c r="R596" s="191" t="str">
        <f t="shared" si="187"/>
        <v/>
      </c>
      <c r="S596" s="193" t="str">
        <f t="shared" si="201"/>
        <v/>
      </c>
      <c r="T596" s="194" t="str">
        <f t="shared" si="188"/>
        <v/>
      </c>
      <c r="U596" s="192" t="str">
        <f t="shared" si="202"/>
        <v/>
      </c>
      <c r="V596" s="195" t="str">
        <f t="shared" si="189"/>
        <v/>
      </c>
      <c r="W596" s="195" t="str">
        <f t="shared" si="190"/>
        <v/>
      </c>
      <c r="X596" s="196" t="str">
        <f t="shared" si="203"/>
        <v/>
      </c>
      <c r="Y596" s="191" t="str">
        <f t="shared" ref="Y596:Y659" si="204">IF(Y595="","",IF(T596="","",Y595+T596))</f>
        <v/>
      </c>
      <c r="Z596" s="197" t="str">
        <f t="shared" si="191"/>
        <v/>
      </c>
      <c r="AA596" s="197" t="str">
        <f t="shared" si="192"/>
        <v/>
      </c>
      <c r="AB596" s="218"/>
      <c r="AC596" s="205"/>
    </row>
    <row r="597" spans="1:29">
      <c r="A597" s="219" t="str">
        <f t="shared" si="193"/>
        <v/>
      </c>
      <c r="B597" s="219"/>
      <c r="C597" s="184"/>
      <c r="D597" s="185"/>
      <c r="E597" s="185" t="str">
        <f>IF(OR(C597="",C597=Data!$B$3),"",IF(C597=Data!$B$2,"L","S"))</f>
        <v/>
      </c>
      <c r="F597" s="185" t="str">
        <f t="shared" si="194"/>
        <v/>
      </c>
      <c r="G597" s="186" t="str">
        <f t="shared" si="185"/>
        <v/>
      </c>
      <c r="H597" s="187"/>
      <c r="I597" s="188" t="str">
        <f t="shared" si="195"/>
        <v/>
      </c>
      <c r="J597" s="188" t="str">
        <f t="shared" si="196"/>
        <v/>
      </c>
      <c r="K597" s="189" t="str">
        <f t="shared" si="197"/>
        <v/>
      </c>
      <c r="L597" s="189" t="str">
        <f t="shared" si="198"/>
        <v/>
      </c>
      <c r="M597" s="190"/>
      <c r="N597" s="190"/>
      <c r="O597" s="188" t="str">
        <f t="shared" si="199"/>
        <v/>
      </c>
      <c r="P597" s="191" t="str">
        <f t="shared" si="186"/>
        <v/>
      </c>
      <c r="Q597" s="192" t="str">
        <f t="shared" si="200"/>
        <v/>
      </c>
      <c r="R597" s="191" t="str">
        <f t="shared" si="187"/>
        <v/>
      </c>
      <c r="S597" s="193" t="str">
        <f t="shared" si="201"/>
        <v/>
      </c>
      <c r="T597" s="194" t="str">
        <f t="shared" si="188"/>
        <v/>
      </c>
      <c r="U597" s="192" t="str">
        <f t="shared" si="202"/>
        <v/>
      </c>
      <c r="V597" s="195" t="str">
        <f t="shared" si="189"/>
        <v/>
      </c>
      <c r="W597" s="195" t="str">
        <f t="shared" si="190"/>
        <v/>
      </c>
      <c r="X597" s="196" t="str">
        <f t="shared" si="203"/>
        <v/>
      </c>
      <c r="Y597" s="191" t="str">
        <f t="shared" si="204"/>
        <v/>
      </c>
      <c r="Z597" s="197" t="str">
        <f t="shared" si="191"/>
        <v/>
      </c>
      <c r="AA597" s="197" t="str">
        <f t="shared" si="192"/>
        <v/>
      </c>
      <c r="AB597" s="218"/>
      <c r="AC597" s="205"/>
    </row>
    <row r="598" spans="1:29">
      <c r="A598" s="219" t="str">
        <f t="shared" si="193"/>
        <v/>
      </c>
      <c r="B598" s="219"/>
      <c r="C598" s="184"/>
      <c r="D598" s="185"/>
      <c r="E598" s="185" t="str">
        <f>IF(OR(C598="",C598=Data!$B$3),"",IF(C598=Data!$B$2,"L","S"))</f>
        <v/>
      </c>
      <c r="F598" s="185" t="str">
        <f t="shared" si="194"/>
        <v/>
      </c>
      <c r="G598" s="186" t="str">
        <f t="shared" si="185"/>
        <v/>
      </c>
      <c r="H598" s="187"/>
      <c r="I598" s="188" t="str">
        <f t="shared" si="195"/>
        <v/>
      </c>
      <c r="J598" s="188" t="str">
        <f t="shared" si="196"/>
        <v/>
      </c>
      <c r="K598" s="189" t="str">
        <f t="shared" si="197"/>
        <v/>
      </c>
      <c r="L598" s="189" t="str">
        <f t="shared" si="198"/>
        <v/>
      </c>
      <c r="M598" s="190"/>
      <c r="N598" s="190"/>
      <c r="O598" s="188" t="str">
        <f t="shared" si="199"/>
        <v/>
      </c>
      <c r="P598" s="191" t="str">
        <f t="shared" si="186"/>
        <v/>
      </c>
      <c r="Q598" s="192" t="str">
        <f t="shared" si="200"/>
        <v/>
      </c>
      <c r="R598" s="191" t="str">
        <f t="shared" si="187"/>
        <v/>
      </c>
      <c r="S598" s="193" t="str">
        <f t="shared" si="201"/>
        <v/>
      </c>
      <c r="T598" s="194" t="str">
        <f t="shared" si="188"/>
        <v/>
      </c>
      <c r="U598" s="192" t="str">
        <f t="shared" si="202"/>
        <v/>
      </c>
      <c r="V598" s="195" t="str">
        <f t="shared" si="189"/>
        <v/>
      </c>
      <c r="W598" s="195" t="str">
        <f t="shared" si="190"/>
        <v/>
      </c>
      <c r="X598" s="196" t="str">
        <f t="shared" si="203"/>
        <v/>
      </c>
      <c r="Y598" s="191" t="str">
        <f t="shared" si="204"/>
        <v/>
      </c>
      <c r="Z598" s="197" t="str">
        <f t="shared" si="191"/>
        <v/>
      </c>
      <c r="AA598" s="197" t="str">
        <f t="shared" si="192"/>
        <v/>
      </c>
      <c r="AB598" s="218"/>
      <c r="AC598" s="205"/>
    </row>
    <row r="599" spans="1:29">
      <c r="A599" s="219" t="str">
        <f t="shared" si="193"/>
        <v/>
      </c>
      <c r="B599" s="219"/>
      <c r="C599" s="184"/>
      <c r="D599" s="185"/>
      <c r="E599" s="185" t="str">
        <f>IF(OR(C599="",C599=Data!$B$3),"",IF(C599=Data!$B$2,"L","S"))</f>
        <v/>
      </c>
      <c r="F599" s="185" t="str">
        <f t="shared" si="194"/>
        <v/>
      </c>
      <c r="G599" s="186" t="str">
        <f t="shared" si="185"/>
        <v/>
      </c>
      <c r="H599" s="187"/>
      <c r="I599" s="188" t="str">
        <f t="shared" si="195"/>
        <v/>
      </c>
      <c r="J599" s="188" t="str">
        <f t="shared" si="196"/>
        <v/>
      </c>
      <c r="K599" s="189" t="str">
        <f t="shared" si="197"/>
        <v/>
      </c>
      <c r="L599" s="189" t="str">
        <f t="shared" si="198"/>
        <v/>
      </c>
      <c r="M599" s="190"/>
      <c r="N599" s="190"/>
      <c r="O599" s="188" t="str">
        <f t="shared" si="199"/>
        <v/>
      </c>
      <c r="P599" s="191" t="str">
        <f t="shared" si="186"/>
        <v/>
      </c>
      <c r="Q599" s="192" t="str">
        <f t="shared" si="200"/>
        <v/>
      </c>
      <c r="R599" s="191" t="str">
        <f t="shared" si="187"/>
        <v/>
      </c>
      <c r="S599" s="193" t="str">
        <f t="shared" si="201"/>
        <v/>
      </c>
      <c r="T599" s="194" t="str">
        <f t="shared" si="188"/>
        <v/>
      </c>
      <c r="U599" s="192" t="str">
        <f t="shared" si="202"/>
        <v/>
      </c>
      <c r="V599" s="195" t="str">
        <f t="shared" si="189"/>
        <v/>
      </c>
      <c r="W599" s="195" t="str">
        <f t="shared" si="190"/>
        <v/>
      </c>
      <c r="X599" s="196" t="str">
        <f t="shared" si="203"/>
        <v/>
      </c>
      <c r="Y599" s="191" t="str">
        <f t="shared" si="204"/>
        <v/>
      </c>
      <c r="Z599" s="197" t="str">
        <f t="shared" si="191"/>
        <v/>
      </c>
      <c r="AA599" s="197" t="str">
        <f t="shared" si="192"/>
        <v/>
      </c>
      <c r="AB599" s="218"/>
      <c r="AC599" s="205"/>
    </row>
    <row r="600" spans="1:29">
      <c r="A600" s="219" t="str">
        <f t="shared" si="193"/>
        <v/>
      </c>
      <c r="B600" s="219"/>
      <c r="C600" s="184"/>
      <c r="D600" s="185"/>
      <c r="E600" s="185" t="str">
        <f>IF(OR(C600="",C600=Data!$B$3),"",IF(C600=Data!$B$2,"L","S"))</f>
        <v/>
      </c>
      <c r="F600" s="185" t="str">
        <f t="shared" si="194"/>
        <v/>
      </c>
      <c r="G600" s="186" t="str">
        <f t="shared" si="185"/>
        <v/>
      </c>
      <c r="H600" s="187"/>
      <c r="I600" s="188" t="str">
        <f t="shared" si="195"/>
        <v/>
      </c>
      <c r="J600" s="188" t="str">
        <f t="shared" si="196"/>
        <v/>
      </c>
      <c r="K600" s="189" t="str">
        <f t="shared" si="197"/>
        <v/>
      </c>
      <c r="L600" s="189" t="str">
        <f t="shared" si="198"/>
        <v/>
      </c>
      <c r="M600" s="190"/>
      <c r="N600" s="190"/>
      <c r="O600" s="188" t="str">
        <f t="shared" si="199"/>
        <v/>
      </c>
      <c r="P600" s="191" t="str">
        <f t="shared" si="186"/>
        <v/>
      </c>
      <c r="Q600" s="192" t="str">
        <f t="shared" si="200"/>
        <v/>
      </c>
      <c r="R600" s="191" t="str">
        <f t="shared" si="187"/>
        <v/>
      </c>
      <c r="S600" s="193" t="str">
        <f t="shared" si="201"/>
        <v/>
      </c>
      <c r="T600" s="194" t="str">
        <f t="shared" si="188"/>
        <v/>
      </c>
      <c r="U600" s="192" t="str">
        <f t="shared" si="202"/>
        <v/>
      </c>
      <c r="V600" s="195" t="str">
        <f t="shared" si="189"/>
        <v/>
      </c>
      <c r="W600" s="195" t="str">
        <f t="shared" si="190"/>
        <v/>
      </c>
      <c r="X600" s="196" t="str">
        <f t="shared" si="203"/>
        <v/>
      </c>
      <c r="Y600" s="191" t="str">
        <f t="shared" si="204"/>
        <v/>
      </c>
      <c r="Z600" s="197" t="str">
        <f t="shared" si="191"/>
        <v/>
      </c>
      <c r="AA600" s="197" t="str">
        <f t="shared" si="192"/>
        <v/>
      </c>
      <c r="AB600" s="218"/>
      <c r="AC600" s="205"/>
    </row>
    <row r="601" spans="1:29">
      <c r="A601" s="219" t="str">
        <f t="shared" si="193"/>
        <v/>
      </c>
      <c r="B601" s="219"/>
      <c r="C601" s="184"/>
      <c r="D601" s="185"/>
      <c r="E601" s="185" t="str">
        <f>IF(OR(C601="",C601=Data!$B$3),"",IF(C601=Data!$B$2,"L","S"))</f>
        <v/>
      </c>
      <c r="F601" s="185" t="str">
        <f t="shared" si="194"/>
        <v/>
      </c>
      <c r="G601" s="186" t="str">
        <f t="shared" si="185"/>
        <v/>
      </c>
      <c r="H601" s="187"/>
      <c r="I601" s="188" t="str">
        <f t="shared" si="195"/>
        <v/>
      </c>
      <c r="J601" s="188" t="str">
        <f t="shared" si="196"/>
        <v/>
      </c>
      <c r="K601" s="189" t="str">
        <f t="shared" si="197"/>
        <v/>
      </c>
      <c r="L601" s="189" t="str">
        <f t="shared" si="198"/>
        <v/>
      </c>
      <c r="M601" s="190"/>
      <c r="N601" s="190"/>
      <c r="O601" s="188" t="str">
        <f t="shared" si="199"/>
        <v/>
      </c>
      <c r="P601" s="191" t="str">
        <f t="shared" si="186"/>
        <v/>
      </c>
      <c r="Q601" s="192" t="str">
        <f t="shared" si="200"/>
        <v/>
      </c>
      <c r="R601" s="191" t="str">
        <f t="shared" si="187"/>
        <v/>
      </c>
      <c r="S601" s="193" t="str">
        <f t="shared" si="201"/>
        <v/>
      </c>
      <c r="T601" s="194" t="str">
        <f t="shared" si="188"/>
        <v/>
      </c>
      <c r="U601" s="192" t="str">
        <f t="shared" si="202"/>
        <v/>
      </c>
      <c r="V601" s="195" t="str">
        <f t="shared" si="189"/>
        <v/>
      </c>
      <c r="W601" s="195" t="str">
        <f t="shared" si="190"/>
        <v/>
      </c>
      <c r="X601" s="196" t="str">
        <f t="shared" si="203"/>
        <v/>
      </c>
      <c r="Y601" s="191" t="str">
        <f t="shared" si="204"/>
        <v/>
      </c>
      <c r="Z601" s="197" t="str">
        <f t="shared" si="191"/>
        <v/>
      </c>
      <c r="AA601" s="197" t="str">
        <f t="shared" si="192"/>
        <v/>
      </c>
      <c r="AB601" s="218"/>
      <c r="AC601" s="205"/>
    </row>
    <row r="602" spans="1:29">
      <c r="A602" s="219" t="str">
        <f t="shared" si="193"/>
        <v/>
      </c>
      <c r="B602" s="219"/>
      <c r="C602" s="184"/>
      <c r="D602" s="185"/>
      <c r="E602" s="185" t="str">
        <f>IF(OR(C602="",C602=Data!$B$3),"",IF(C602=Data!$B$2,"L","S"))</f>
        <v/>
      </c>
      <c r="F602" s="185" t="str">
        <f t="shared" si="194"/>
        <v/>
      </c>
      <c r="G602" s="186" t="str">
        <f t="shared" si="185"/>
        <v/>
      </c>
      <c r="H602" s="187"/>
      <c r="I602" s="188" t="str">
        <f t="shared" si="195"/>
        <v/>
      </c>
      <c r="J602" s="188" t="str">
        <f t="shared" si="196"/>
        <v/>
      </c>
      <c r="K602" s="189" t="str">
        <f t="shared" si="197"/>
        <v/>
      </c>
      <c r="L602" s="189" t="str">
        <f t="shared" si="198"/>
        <v/>
      </c>
      <c r="M602" s="190"/>
      <c r="N602" s="190"/>
      <c r="O602" s="188" t="str">
        <f t="shared" si="199"/>
        <v/>
      </c>
      <c r="P602" s="191" t="str">
        <f t="shared" si="186"/>
        <v/>
      </c>
      <c r="Q602" s="192" t="str">
        <f t="shared" si="200"/>
        <v/>
      </c>
      <c r="R602" s="191" t="str">
        <f t="shared" si="187"/>
        <v/>
      </c>
      <c r="S602" s="193" t="str">
        <f t="shared" si="201"/>
        <v/>
      </c>
      <c r="T602" s="194" t="str">
        <f t="shared" si="188"/>
        <v/>
      </c>
      <c r="U602" s="192" t="str">
        <f t="shared" si="202"/>
        <v/>
      </c>
      <c r="V602" s="195" t="str">
        <f t="shared" si="189"/>
        <v/>
      </c>
      <c r="W602" s="195" t="str">
        <f t="shared" si="190"/>
        <v/>
      </c>
      <c r="X602" s="196" t="str">
        <f t="shared" si="203"/>
        <v/>
      </c>
      <c r="Y602" s="191" t="str">
        <f t="shared" si="204"/>
        <v/>
      </c>
      <c r="Z602" s="197" t="str">
        <f t="shared" si="191"/>
        <v/>
      </c>
      <c r="AA602" s="197" t="str">
        <f t="shared" si="192"/>
        <v/>
      </c>
      <c r="AB602" s="218"/>
      <c r="AC602" s="205"/>
    </row>
    <row r="603" spans="1:29">
      <c r="A603" s="219" t="str">
        <f t="shared" si="193"/>
        <v/>
      </c>
      <c r="B603" s="219"/>
      <c r="C603" s="184"/>
      <c r="D603" s="185"/>
      <c r="E603" s="185" t="str">
        <f>IF(OR(C603="",C603=Data!$B$3),"",IF(C603=Data!$B$2,"L","S"))</f>
        <v/>
      </c>
      <c r="F603" s="185" t="str">
        <f t="shared" si="194"/>
        <v/>
      </c>
      <c r="G603" s="186" t="str">
        <f t="shared" si="185"/>
        <v/>
      </c>
      <c r="H603" s="187"/>
      <c r="I603" s="188" t="str">
        <f t="shared" si="195"/>
        <v/>
      </c>
      <c r="J603" s="188" t="str">
        <f t="shared" si="196"/>
        <v/>
      </c>
      <c r="K603" s="189" t="str">
        <f t="shared" si="197"/>
        <v/>
      </c>
      <c r="L603" s="189" t="str">
        <f t="shared" si="198"/>
        <v/>
      </c>
      <c r="M603" s="190"/>
      <c r="N603" s="190"/>
      <c r="O603" s="188" t="str">
        <f t="shared" si="199"/>
        <v/>
      </c>
      <c r="P603" s="191" t="str">
        <f t="shared" si="186"/>
        <v/>
      </c>
      <c r="Q603" s="192" t="str">
        <f t="shared" si="200"/>
        <v/>
      </c>
      <c r="R603" s="191" t="str">
        <f t="shared" si="187"/>
        <v/>
      </c>
      <c r="S603" s="193" t="str">
        <f t="shared" si="201"/>
        <v/>
      </c>
      <c r="T603" s="194" t="str">
        <f t="shared" si="188"/>
        <v/>
      </c>
      <c r="U603" s="192" t="str">
        <f t="shared" si="202"/>
        <v/>
      </c>
      <c r="V603" s="195" t="str">
        <f t="shared" si="189"/>
        <v/>
      </c>
      <c r="W603" s="195" t="str">
        <f t="shared" si="190"/>
        <v/>
      </c>
      <c r="X603" s="196" t="str">
        <f t="shared" si="203"/>
        <v/>
      </c>
      <c r="Y603" s="191" t="str">
        <f t="shared" si="204"/>
        <v/>
      </c>
      <c r="Z603" s="197" t="str">
        <f t="shared" si="191"/>
        <v/>
      </c>
      <c r="AA603" s="197" t="str">
        <f t="shared" si="192"/>
        <v/>
      </c>
      <c r="AB603" s="218"/>
      <c r="AC603" s="205"/>
    </row>
    <row r="604" spans="1:29">
      <c r="A604" s="219" t="str">
        <f t="shared" si="193"/>
        <v/>
      </c>
      <c r="B604" s="219"/>
      <c r="C604" s="184"/>
      <c r="D604" s="185"/>
      <c r="E604" s="185" t="str">
        <f>IF(OR(C604="",C604=Data!$B$3),"",IF(C604=Data!$B$2,"L","S"))</f>
        <v/>
      </c>
      <c r="F604" s="185" t="str">
        <f t="shared" si="194"/>
        <v/>
      </c>
      <c r="G604" s="186" t="str">
        <f t="shared" si="185"/>
        <v/>
      </c>
      <c r="H604" s="187"/>
      <c r="I604" s="188" t="str">
        <f t="shared" si="195"/>
        <v/>
      </c>
      <c r="J604" s="188" t="str">
        <f t="shared" si="196"/>
        <v/>
      </c>
      <c r="K604" s="189" t="str">
        <f t="shared" si="197"/>
        <v/>
      </c>
      <c r="L604" s="189" t="str">
        <f t="shared" si="198"/>
        <v/>
      </c>
      <c r="M604" s="190"/>
      <c r="N604" s="190"/>
      <c r="O604" s="188" t="str">
        <f t="shared" si="199"/>
        <v/>
      </c>
      <c r="P604" s="191" t="str">
        <f t="shared" si="186"/>
        <v/>
      </c>
      <c r="Q604" s="192" t="str">
        <f t="shared" si="200"/>
        <v/>
      </c>
      <c r="R604" s="191" t="str">
        <f t="shared" si="187"/>
        <v/>
      </c>
      <c r="S604" s="193" t="str">
        <f t="shared" si="201"/>
        <v/>
      </c>
      <c r="T604" s="194" t="str">
        <f t="shared" si="188"/>
        <v/>
      </c>
      <c r="U604" s="192" t="str">
        <f t="shared" si="202"/>
        <v/>
      </c>
      <c r="V604" s="195" t="str">
        <f t="shared" si="189"/>
        <v/>
      </c>
      <c r="W604" s="195" t="str">
        <f t="shared" si="190"/>
        <v/>
      </c>
      <c r="X604" s="196" t="str">
        <f t="shared" si="203"/>
        <v/>
      </c>
      <c r="Y604" s="191" t="str">
        <f t="shared" si="204"/>
        <v/>
      </c>
      <c r="Z604" s="197" t="str">
        <f t="shared" si="191"/>
        <v/>
      </c>
      <c r="AA604" s="197" t="str">
        <f t="shared" si="192"/>
        <v/>
      </c>
      <c r="AB604" s="218"/>
      <c r="AC604" s="205"/>
    </row>
    <row r="605" spans="1:29">
      <c r="A605" s="219" t="str">
        <f t="shared" si="193"/>
        <v/>
      </c>
      <c r="B605" s="219"/>
      <c r="C605" s="184"/>
      <c r="D605" s="185"/>
      <c r="E605" s="185" t="str">
        <f>IF(OR(C605="",C605=Data!$B$3),"",IF(C605=Data!$B$2,"L","S"))</f>
        <v/>
      </c>
      <c r="F605" s="185" t="str">
        <f t="shared" si="194"/>
        <v/>
      </c>
      <c r="G605" s="186" t="str">
        <f t="shared" si="185"/>
        <v/>
      </c>
      <c r="H605" s="187"/>
      <c r="I605" s="188" t="str">
        <f t="shared" si="195"/>
        <v/>
      </c>
      <c r="J605" s="188" t="str">
        <f t="shared" si="196"/>
        <v/>
      </c>
      <c r="K605" s="189" t="str">
        <f t="shared" si="197"/>
        <v/>
      </c>
      <c r="L605" s="189" t="str">
        <f t="shared" si="198"/>
        <v/>
      </c>
      <c r="M605" s="190"/>
      <c r="N605" s="190"/>
      <c r="O605" s="188" t="str">
        <f t="shared" si="199"/>
        <v/>
      </c>
      <c r="P605" s="191" t="str">
        <f t="shared" si="186"/>
        <v/>
      </c>
      <c r="Q605" s="192" t="str">
        <f t="shared" si="200"/>
        <v/>
      </c>
      <c r="R605" s="191" t="str">
        <f t="shared" si="187"/>
        <v/>
      </c>
      <c r="S605" s="193" t="str">
        <f t="shared" si="201"/>
        <v/>
      </c>
      <c r="T605" s="194" t="str">
        <f t="shared" si="188"/>
        <v/>
      </c>
      <c r="U605" s="192" t="str">
        <f t="shared" si="202"/>
        <v/>
      </c>
      <c r="V605" s="195" t="str">
        <f t="shared" si="189"/>
        <v/>
      </c>
      <c r="W605" s="195" t="str">
        <f t="shared" si="190"/>
        <v/>
      </c>
      <c r="X605" s="196" t="str">
        <f t="shared" si="203"/>
        <v/>
      </c>
      <c r="Y605" s="191" t="str">
        <f t="shared" si="204"/>
        <v/>
      </c>
      <c r="Z605" s="197" t="str">
        <f t="shared" si="191"/>
        <v/>
      </c>
      <c r="AA605" s="197" t="str">
        <f t="shared" si="192"/>
        <v/>
      </c>
      <c r="AB605" s="218"/>
      <c r="AC605" s="205"/>
    </row>
    <row r="606" spans="1:29">
      <c r="A606" s="219" t="str">
        <f t="shared" si="193"/>
        <v/>
      </c>
      <c r="B606" s="219"/>
      <c r="C606" s="184"/>
      <c r="D606" s="185"/>
      <c r="E606" s="185" t="str">
        <f>IF(OR(C606="",C606=Data!$B$3),"",IF(C606=Data!$B$2,"L","S"))</f>
        <v/>
      </c>
      <c r="F606" s="185" t="str">
        <f t="shared" si="194"/>
        <v/>
      </c>
      <c r="G606" s="186" t="str">
        <f t="shared" si="185"/>
        <v/>
      </c>
      <c r="H606" s="187"/>
      <c r="I606" s="188" t="str">
        <f t="shared" si="195"/>
        <v/>
      </c>
      <c r="J606" s="188" t="str">
        <f t="shared" si="196"/>
        <v/>
      </c>
      <c r="K606" s="189" t="str">
        <f t="shared" si="197"/>
        <v/>
      </c>
      <c r="L606" s="189" t="str">
        <f t="shared" si="198"/>
        <v/>
      </c>
      <c r="M606" s="190"/>
      <c r="N606" s="190"/>
      <c r="O606" s="188" t="str">
        <f t="shared" si="199"/>
        <v/>
      </c>
      <c r="P606" s="191" t="str">
        <f t="shared" si="186"/>
        <v/>
      </c>
      <c r="Q606" s="192" t="str">
        <f t="shared" si="200"/>
        <v/>
      </c>
      <c r="R606" s="191" t="str">
        <f t="shared" si="187"/>
        <v/>
      </c>
      <c r="S606" s="193" t="str">
        <f t="shared" si="201"/>
        <v/>
      </c>
      <c r="T606" s="194" t="str">
        <f t="shared" si="188"/>
        <v/>
      </c>
      <c r="U606" s="192" t="str">
        <f t="shared" si="202"/>
        <v/>
      </c>
      <c r="V606" s="195" t="str">
        <f t="shared" si="189"/>
        <v/>
      </c>
      <c r="W606" s="195" t="str">
        <f t="shared" si="190"/>
        <v/>
      </c>
      <c r="X606" s="196" t="str">
        <f t="shared" si="203"/>
        <v/>
      </c>
      <c r="Y606" s="191" t="str">
        <f t="shared" si="204"/>
        <v/>
      </c>
      <c r="Z606" s="197" t="str">
        <f t="shared" si="191"/>
        <v/>
      </c>
      <c r="AA606" s="197" t="str">
        <f t="shared" si="192"/>
        <v/>
      </c>
      <c r="AB606" s="218"/>
      <c r="AC606" s="205"/>
    </row>
    <row r="607" spans="1:29">
      <c r="A607" s="219" t="str">
        <f t="shared" si="193"/>
        <v/>
      </c>
      <c r="B607" s="219"/>
      <c r="C607" s="184"/>
      <c r="D607" s="185"/>
      <c r="E607" s="185" t="str">
        <f>IF(OR(C607="",C607=Data!$B$3),"",IF(C607=Data!$B$2,"L","S"))</f>
        <v/>
      </c>
      <c r="F607" s="185" t="str">
        <f t="shared" si="194"/>
        <v/>
      </c>
      <c r="G607" s="186" t="str">
        <f t="shared" si="185"/>
        <v/>
      </c>
      <c r="H607" s="187"/>
      <c r="I607" s="188" t="str">
        <f t="shared" si="195"/>
        <v/>
      </c>
      <c r="J607" s="188" t="str">
        <f t="shared" si="196"/>
        <v/>
      </c>
      <c r="K607" s="189" t="str">
        <f t="shared" si="197"/>
        <v/>
      </c>
      <c r="L607" s="189" t="str">
        <f t="shared" si="198"/>
        <v/>
      </c>
      <c r="M607" s="190"/>
      <c r="N607" s="190"/>
      <c r="O607" s="188" t="str">
        <f t="shared" si="199"/>
        <v/>
      </c>
      <c r="P607" s="191" t="str">
        <f t="shared" si="186"/>
        <v/>
      </c>
      <c r="Q607" s="192" t="str">
        <f t="shared" si="200"/>
        <v/>
      </c>
      <c r="R607" s="191" t="str">
        <f t="shared" si="187"/>
        <v/>
      </c>
      <c r="S607" s="193" t="str">
        <f t="shared" si="201"/>
        <v/>
      </c>
      <c r="T607" s="194" t="str">
        <f t="shared" si="188"/>
        <v/>
      </c>
      <c r="U607" s="192" t="str">
        <f t="shared" si="202"/>
        <v/>
      </c>
      <c r="V607" s="195" t="str">
        <f t="shared" si="189"/>
        <v/>
      </c>
      <c r="W607" s="195" t="str">
        <f t="shared" si="190"/>
        <v/>
      </c>
      <c r="X607" s="196" t="str">
        <f t="shared" si="203"/>
        <v/>
      </c>
      <c r="Y607" s="191" t="str">
        <f t="shared" si="204"/>
        <v/>
      </c>
      <c r="Z607" s="197" t="str">
        <f t="shared" si="191"/>
        <v/>
      </c>
      <c r="AA607" s="197" t="str">
        <f t="shared" si="192"/>
        <v/>
      </c>
      <c r="AB607" s="218"/>
      <c r="AC607" s="205"/>
    </row>
    <row r="608" spans="1:29">
      <c r="A608" s="219" t="str">
        <f t="shared" si="193"/>
        <v/>
      </c>
      <c r="B608" s="219"/>
      <c r="C608" s="184"/>
      <c r="D608" s="185"/>
      <c r="E608" s="185" t="str">
        <f>IF(OR(C608="",C608=Data!$B$3),"",IF(C608=Data!$B$2,"L","S"))</f>
        <v/>
      </c>
      <c r="F608" s="185" t="str">
        <f t="shared" si="194"/>
        <v/>
      </c>
      <c r="G608" s="186" t="str">
        <f t="shared" si="185"/>
        <v/>
      </c>
      <c r="H608" s="187"/>
      <c r="I608" s="188" t="str">
        <f t="shared" si="195"/>
        <v/>
      </c>
      <c r="J608" s="188" t="str">
        <f t="shared" si="196"/>
        <v/>
      </c>
      <c r="K608" s="189" t="str">
        <f t="shared" si="197"/>
        <v/>
      </c>
      <c r="L608" s="189" t="str">
        <f t="shared" si="198"/>
        <v/>
      </c>
      <c r="M608" s="190"/>
      <c r="N608" s="190"/>
      <c r="O608" s="188" t="str">
        <f t="shared" si="199"/>
        <v/>
      </c>
      <c r="P608" s="191" t="str">
        <f t="shared" si="186"/>
        <v/>
      </c>
      <c r="Q608" s="192" t="str">
        <f t="shared" si="200"/>
        <v/>
      </c>
      <c r="R608" s="191" t="str">
        <f t="shared" si="187"/>
        <v/>
      </c>
      <c r="S608" s="193" t="str">
        <f t="shared" si="201"/>
        <v/>
      </c>
      <c r="T608" s="194" t="str">
        <f t="shared" si="188"/>
        <v/>
      </c>
      <c r="U608" s="192" t="str">
        <f t="shared" si="202"/>
        <v/>
      </c>
      <c r="V608" s="195" t="str">
        <f t="shared" si="189"/>
        <v/>
      </c>
      <c r="W608" s="195" t="str">
        <f t="shared" si="190"/>
        <v/>
      </c>
      <c r="X608" s="196" t="str">
        <f t="shared" si="203"/>
        <v/>
      </c>
      <c r="Y608" s="191" t="str">
        <f t="shared" si="204"/>
        <v/>
      </c>
      <c r="Z608" s="197" t="str">
        <f t="shared" si="191"/>
        <v/>
      </c>
      <c r="AA608" s="197" t="str">
        <f t="shared" si="192"/>
        <v/>
      </c>
      <c r="AB608" s="218"/>
      <c r="AC608" s="205"/>
    </row>
    <row r="609" spans="1:29">
      <c r="A609" s="219" t="str">
        <f t="shared" si="193"/>
        <v/>
      </c>
      <c r="B609" s="219"/>
      <c r="C609" s="184"/>
      <c r="D609" s="185"/>
      <c r="E609" s="185" t="str">
        <f>IF(OR(C609="",C609=Data!$B$3),"",IF(C609=Data!$B$2,"L","S"))</f>
        <v/>
      </c>
      <c r="F609" s="185" t="str">
        <f t="shared" si="194"/>
        <v/>
      </c>
      <c r="G609" s="186" t="str">
        <f t="shared" si="185"/>
        <v/>
      </c>
      <c r="H609" s="187"/>
      <c r="I609" s="188" t="str">
        <f t="shared" si="195"/>
        <v/>
      </c>
      <c r="J609" s="188" t="str">
        <f t="shared" si="196"/>
        <v/>
      </c>
      <c r="K609" s="189" t="str">
        <f t="shared" si="197"/>
        <v/>
      </c>
      <c r="L609" s="189" t="str">
        <f t="shared" si="198"/>
        <v/>
      </c>
      <c r="M609" s="190"/>
      <c r="N609" s="190"/>
      <c r="O609" s="188" t="str">
        <f t="shared" si="199"/>
        <v/>
      </c>
      <c r="P609" s="191" t="str">
        <f t="shared" si="186"/>
        <v/>
      </c>
      <c r="Q609" s="192" t="str">
        <f t="shared" si="200"/>
        <v/>
      </c>
      <c r="R609" s="191" t="str">
        <f t="shared" si="187"/>
        <v/>
      </c>
      <c r="S609" s="193" t="str">
        <f t="shared" si="201"/>
        <v/>
      </c>
      <c r="T609" s="194" t="str">
        <f t="shared" si="188"/>
        <v/>
      </c>
      <c r="U609" s="192" t="str">
        <f t="shared" si="202"/>
        <v/>
      </c>
      <c r="V609" s="195" t="str">
        <f t="shared" si="189"/>
        <v/>
      </c>
      <c r="W609" s="195" t="str">
        <f t="shared" si="190"/>
        <v/>
      </c>
      <c r="X609" s="196" t="str">
        <f t="shared" si="203"/>
        <v/>
      </c>
      <c r="Y609" s="191" t="str">
        <f t="shared" si="204"/>
        <v/>
      </c>
      <c r="Z609" s="197" t="str">
        <f t="shared" si="191"/>
        <v/>
      </c>
      <c r="AA609" s="197" t="str">
        <f t="shared" si="192"/>
        <v/>
      </c>
      <c r="AB609" s="218"/>
      <c r="AC609" s="205"/>
    </row>
    <row r="610" spans="1:29">
      <c r="A610" s="219" t="str">
        <f t="shared" si="193"/>
        <v/>
      </c>
      <c r="B610" s="219"/>
      <c r="C610" s="184"/>
      <c r="D610" s="185"/>
      <c r="E610" s="185" t="str">
        <f>IF(OR(C610="",C610=Data!$B$3),"",IF(C610=Data!$B$2,"L","S"))</f>
        <v/>
      </c>
      <c r="F610" s="185" t="str">
        <f t="shared" si="194"/>
        <v/>
      </c>
      <c r="G610" s="186" t="str">
        <f t="shared" si="185"/>
        <v/>
      </c>
      <c r="H610" s="187"/>
      <c r="I610" s="188" t="str">
        <f t="shared" si="195"/>
        <v/>
      </c>
      <c r="J610" s="188" t="str">
        <f t="shared" si="196"/>
        <v/>
      </c>
      <c r="K610" s="189" t="str">
        <f t="shared" si="197"/>
        <v/>
      </c>
      <c r="L610" s="189" t="str">
        <f t="shared" si="198"/>
        <v/>
      </c>
      <c r="M610" s="190"/>
      <c r="N610" s="190"/>
      <c r="O610" s="188" t="str">
        <f t="shared" si="199"/>
        <v/>
      </c>
      <c r="P610" s="191" t="str">
        <f t="shared" si="186"/>
        <v/>
      </c>
      <c r="Q610" s="192" t="str">
        <f t="shared" si="200"/>
        <v/>
      </c>
      <c r="R610" s="191" t="str">
        <f t="shared" si="187"/>
        <v/>
      </c>
      <c r="S610" s="193" t="str">
        <f t="shared" si="201"/>
        <v/>
      </c>
      <c r="T610" s="194" t="str">
        <f t="shared" si="188"/>
        <v/>
      </c>
      <c r="U610" s="192" t="str">
        <f t="shared" si="202"/>
        <v/>
      </c>
      <c r="V610" s="195" t="str">
        <f t="shared" si="189"/>
        <v/>
      </c>
      <c r="W610" s="195" t="str">
        <f t="shared" si="190"/>
        <v/>
      </c>
      <c r="X610" s="196" t="str">
        <f t="shared" si="203"/>
        <v/>
      </c>
      <c r="Y610" s="191" t="str">
        <f t="shared" si="204"/>
        <v/>
      </c>
      <c r="Z610" s="197" t="str">
        <f t="shared" si="191"/>
        <v/>
      </c>
      <c r="AA610" s="197" t="str">
        <f t="shared" si="192"/>
        <v/>
      </c>
      <c r="AB610" s="218"/>
      <c r="AC610" s="205"/>
    </row>
    <row r="611" spans="1:29">
      <c r="A611" s="219" t="str">
        <f t="shared" si="193"/>
        <v/>
      </c>
      <c r="B611" s="219"/>
      <c r="C611" s="184"/>
      <c r="D611" s="185"/>
      <c r="E611" s="185" t="str">
        <f>IF(OR(C611="",C611=Data!$B$3),"",IF(C611=Data!$B$2,"L","S"))</f>
        <v/>
      </c>
      <c r="F611" s="185" t="str">
        <f t="shared" si="194"/>
        <v/>
      </c>
      <c r="G611" s="186" t="str">
        <f t="shared" si="185"/>
        <v/>
      </c>
      <c r="H611" s="187"/>
      <c r="I611" s="188" t="str">
        <f t="shared" si="195"/>
        <v/>
      </c>
      <c r="J611" s="188" t="str">
        <f t="shared" si="196"/>
        <v/>
      </c>
      <c r="K611" s="189" t="str">
        <f t="shared" si="197"/>
        <v/>
      </c>
      <c r="L611" s="189" t="str">
        <f t="shared" si="198"/>
        <v/>
      </c>
      <c r="M611" s="190"/>
      <c r="N611" s="190"/>
      <c r="O611" s="188" t="str">
        <f t="shared" si="199"/>
        <v/>
      </c>
      <c r="P611" s="191" t="str">
        <f t="shared" si="186"/>
        <v/>
      </c>
      <c r="Q611" s="192" t="str">
        <f t="shared" si="200"/>
        <v/>
      </c>
      <c r="R611" s="191" t="str">
        <f t="shared" si="187"/>
        <v/>
      </c>
      <c r="S611" s="193" t="str">
        <f t="shared" si="201"/>
        <v/>
      </c>
      <c r="T611" s="194" t="str">
        <f t="shared" si="188"/>
        <v/>
      </c>
      <c r="U611" s="192" t="str">
        <f t="shared" si="202"/>
        <v/>
      </c>
      <c r="V611" s="195" t="str">
        <f t="shared" si="189"/>
        <v/>
      </c>
      <c r="W611" s="195" t="str">
        <f t="shared" si="190"/>
        <v/>
      </c>
      <c r="X611" s="196" t="str">
        <f t="shared" si="203"/>
        <v/>
      </c>
      <c r="Y611" s="191" t="str">
        <f t="shared" si="204"/>
        <v/>
      </c>
      <c r="Z611" s="197" t="str">
        <f t="shared" si="191"/>
        <v/>
      </c>
      <c r="AA611" s="197" t="str">
        <f t="shared" si="192"/>
        <v/>
      </c>
      <c r="AB611" s="218"/>
      <c r="AC611" s="205"/>
    </row>
    <row r="612" spans="1:29">
      <c r="A612" s="219" t="str">
        <f t="shared" si="193"/>
        <v/>
      </c>
      <c r="B612" s="219"/>
      <c r="C612" s="184"/>
      <c r="D612" s="185"/>
      <c r="E612" s="185" t="str">
        <f>IF(OR(C612="",C612=Data!$B$3),"",IF(C612=Data!$B$2,"L","S"))</f>
        <v/>
      </c>
      <c r="F612" s="185" t="str">
        <f t="shared" si="194"/>
        <v/>
      </c>
      <c r="G612" s="186" t="str">
        <f t="shared" si="185"/>
        <v/>
      </c>
      <c r="H612" s="187"/>
      <c r="I612" s="188" t="str">
        <f t="shared" si="195"/>
        <v/>
      </c>
      <c r="J612" s="188" t="str">
        <f t="shared" si="196"/>
        <v/>
      </c>
      <c r="K612" s="189" t="str">
        <f t="shared" si="197"/>
        <v/>
      </c>
      <c r="L612" s="189" t="str">
        <f t="shared" si="198"/>
        <v/>
      </c>
      <c r="M612" s="190"/>
      <c r="N612" s="190"/>
      <c r="O612" s="188" t="str">
        <f t="shared" si="199"/>
        <v/>
      </c>
      <c r="P612" s="191" t="str">
        <f t="shared" si="186"/>
        <v/>
      </c>
      <c r="Q612" s="192" t="str">
        <f t="shared" si="200"/>
        <v/>
      </c>
      <c r="R612" s="191" t="str">
        <f t="shared" si="187"/>
        <v/>
      </c>
      <c r="S612" s="193" t="str">
        <f t="shared" si="201"/>
        <v/>
      </c>
      <c r="T612" s="194" t="str">
        <f t="shared" si="188"/>
        <v/>
      </c>
      <c r="U612" s="192" t="str">
        <f t="shared" si="202"/>
        <v/>
      </c>
      <c r="V612" s="195" t="str">
        <f t="shared" si="189"/>
        <v/>
      </c>
      <c r="W612" s="195" t="str">
        <f t="shared" si="190"/>
        <v/>
      </c>
      <c r="X612" s="196" t="str">
        <f t="shared" si="203"/>
        <v/>
      </c>
      <c r="Y612" s="191" t="str">
        <f t="shared" si="204"/>
        <v/>
      </c>
      <c r="Z612" s="197" t="str">
        <f t="shared" si="191"/>
        <v/>
      </c>
      <c r="AA612" s="197" t="str">
        <f t="shared" si="192"/>
        <v/>
      </c>
      <c r="AB612" s="218"/>
      <c r="AC612" s="205"/>
    </row>
    <row r="613" spans="1:29">
      <c r="A613" s="219" t="str">
        <f t="shared" si="193"/>
        <v/>
      </c>
      <c r="B613" s="219"/>
      <c r="C613" s="184"/>
      <c r="D613" s="185"/>
      <c r="E613" s="185" t="str">
        <f>IF(OR(C613="",C613=Data!$B$3),"",IF(C613=Data!$B$2,"L","S"))</f>
        <v/>
      </c>
      <c r="F613" s="185" t="str">
        <f t="shared" si="194"/>
        <v/>
      </c>
      <c r="G613" s="186" t="str">
        <f t="shared" si="185"/>
        <v/>
      </c>
      <c r="H613" s="187"/>
      <c r="I613" s="188" t="str">
        <f t="shared" si="195"/>
        <v/>
      </c>
      <c r="J613" s="188" t="str">
        <f t="shared" si="196"/>
        <v/>
      </c>
      <c r="K613" s="189" t="str">
        <f t="shared" si="197"/>
        <v/>
      </c>
      <c r="L613" s="189" t="str">
        <f t="shared" si="198"/>
        <v/>
      </c>
      <c r="M613" s="190"/>
      <c r="N613" s="190"/>
      <c r="O613" s="188" t="str">
        <f t="shared" si="199"/>
        <v/>
      </c>
      <c r="P613" s="191" t="str">
        <f t="shared" si="186"/>
        <v/>
      </c>
      <c r="Q613" s="192" t="str">
        <f t="shared" si="200"/>
        <v/>
      </c>
      <c r="R613" s="191" t="str">
        <f t="shared" si="187"/>
        <v/>
      </c>
      <c r="S613" s="193" t="str">
        <f t="shared" si="201"/>
        <v/>
      </c>
      <c r="T613" s="194" t="str">
        <f t="shared" si="188"/>
        <v/>
      </c>
      <c r="U613" s="192" t="str">
        <f t="shared" si="202"/>
        <v/>
      </c>
      <c r="V613" s="195" t="str">
        <f t="shared" si="189"/>
        <v/>
      </c>
      <c r="W613" s="195" t="str">
        <f t="shared" si="190"/>
        <v/>
      </c>
      <c r="X613" s="196" t="str">
        <f t="shared" si="203"/>
        <v/>
      </c>
      <c r="Y613" s="191" t="str">
        <f t="shared" si="204"/>
        <v/>
      </c>
      <c r="Z613" s="197" t="str">
        <f t="shared" si="191"/>
        <v/>
      </c>
      <c r="AA613" s="197" t="str">
        <f t="shared" si="192"/>
        <v/>
      </c>
      <c r="AB613" s="218"/>
      <c r="AC613" s="205"/>
    </row>
    <row r="614" spans="1:29">
      <c r="A614" s="219" t="str">
        <f t="shared" si="193"/>
        <v/>
      </c>
      <c r="B614" s="219"/>
      <c r="C614" s="184"/>
      <c r="D614" s="185"/>
      <c r="E614" s="185" t="str">
        <f>IF(OR(C614="",C614=Data!$B$3),"",IF(C614=Data!$B$2,"L","S"))</f>
        <v/>
      </c>
      <c r="F614" s="185" t="str">
        <f t="shared" si="194"/>
        <v/>
      </c>
      <c r="G614" s="186" t="str">
        <f t="shared" si="185"/>
        <v/>
      </c>
      <c r="H614" s="187"/>
      <c r="I614" s="188" t="str">
        <f t="shared" si="195"/>
        <v/>
      </c>
      <c r="J614" s="188" t="str">
        <f t="shared" si="196"/>
        <v/>
      </c>
      <c r="K614" s="189" t="str">
        <f t="shared" si="197"/>
        <v/>
      </c>
      <c r="L614" s="189" t="str">
        <f t="shared" si="198"/>
        <v/>
      </c>
      <c r="M614" s="190"/>
      <c r="N614" s="190"/>
      <c r="O614" s="188" t="str">
        <f t="shared" si="199"/>
        <v/>
      </c>
      <c r="P614" s="191" t="str">
        <f t="shared" si="186"/>
        <v/>
      </c>
      <c r="Q614" s="192" t="str">
        <f t="shared" si="200"/>
        <v/>
      </c>
      <c r="R614" s="191" t="str">
        <f t="shared" si="187"/>
        <v/>
      </c>
      <c r="S614" s="193" t="str">
        <f t="shared" si="201"/>
        <v/>
      </c>
      <c r="T614" s="194" t="str">
        <f t="shared" si="188"/>
        <v/>
      </c>
      <c r="U614" s="192" t="str">
        <f t="shared" si="202"/>
        <v/>
      </c>
      <c r="V614" s="195" t="str">
        <f t="shared" si="189"/>
        <v/>
      </c>
      <c r="W614" s="195" t="str">
        <f t="shared" si="190"/>
        <v/>
      </c>
      <c r="X614" s="196" t="str">
        <f t="shared" si="203"/>
        <v/>
      </c>
      <c r="Y614" s="191" t="str">
        <f t="shared" si="204"/>
        <v/>
      </c>
      <c r="Z614" s="197" t="str">
        <f t="shared" si="191"/>
        <v/>
      </c>
      <c r="AA614" s="197" t="str">
        <f t="shared" si="192"/>
        <v/>
      </c>
      <c r="AB614" s="218"/>
      <c r="AC614" s="205"/>
    </row>
    <row r="615" spans="1:29">
      <c r="A615" s="219" t="str">
        <f t="shared" si="193"/>
        <v/>
      </c>
      <c r="B615" s="219"/>
      <c r="C615" s="184"/>
      <c r="D615" s="185"/>
      <c r="E615" s="185" t="str">
        <f>IF(OR(C615="",C615=Data!$B$3),"",IF(C615=Data!$B$2,"L","S"))</f>
        <v/>
      </c>
      <c r="F615" s="185" t="str">
        <f t="shared" si="194"/>
        <v/>
      </c>
      <c r="G615" s="186" t="str">
        <f t="shared" si="185"/>
        <v/>
      </c>
      <c r="H615" s="187"/>
      <c r="I615" s="188" t="str">
        <f t="shared" si="195"/>
        <v/>
      </c>
      <c r="J615" s="188" t="str">
        <f t="shared" si="196"/>
        <v/>
      </c>
      <c r="K615" s="189" t="str">
        <f t="shared" si="197"/>
        <v/>
      </c>
      <c r="L615" s="189" t="str">
        <f t="shared" si="198"/>
        <v/>
      </c>
      <c r="M615" s="190"/>
      <c r="N615" s="190"/>
      <c r="O615" s="188" t="str">
        <f t="shared" si="199"/>
        <v/>
      </c>
      <c r="P615" s="191" t="str">
        <f t="shared" si="186"/>
        <v/>
      </c>
      <c r="Q615" s="192" t="str">
        <f t="shared" si="200"/>
        <v/>
      </c>
      <c r="R615" s="191" t="str">
        <f t="shared" si="187"/>
        <v/>
      </c>
      <c r="S615" s="193" t="str">
        <f t="shared" si="201"/>
        <v/>
      </c>
      <c r="T615" s="194" t="str">
        <f t="shared" si="188"/>
        <v/>
      </c>
      <c r="U615" s="192" t="str">
        <f t="shared" si="202"/>
        <v/>
      </c>
      <c r="V615" s="195" t="str">
        <f t="shared" si="189"/>
        <v/>
      </c>
      <c r="W615" s="195" t="str">
        <f t="shared" si="190"/>
        <v/>
      </c>
      <c r="X615" s="196" t="str">
        <f t="shared" si="203"/>
        <v/>
      </c>
      <c r="Y615" s="191" t="str">
        <f t="shared" si="204"/>
        <v/>
      </c>
      <c r="Z615" s="197" t="str">
        <f t="shared" si="191"/>
        <v/>
      </c>
      <c r="AA615" s="197" t="str">
        <f t="shared" si="192"/>
        <v/>
      </c>
      <c r="AB615" s="218"/>
      <c r="AC615" s="205"/>
    </row>
    <row r="616" spans="1:29">
      <c r="A616" s="219" t="str">
        <f t="shared" si="193"/>
        <v/>
      </c>
      <c r="B616" s="219"/>
      <c r="C616" s="184"/>
      <c r="D616" s="185"/>
      <c r="E616" s="185" t="str">
        <f>IF(OR(C616="",C616=Data!$B$3),"",IF(C616=Data!$B$2,"L","S"))</f>
        <v/>
      </c>
      <c r="F616" s="185" t="str">
        <f t="shared" si="194"/>
        <v/>
      </c>
      <c r="G616" s="186" t="str">
        <f t="shared" si="185"/>
        <v/>
      </c>
      <c r="H616" s="187"/>
      <c r="I616" s="188" t="str">
        <f t="shared" si="195"/>
        <v/>
      </c>
      <c r="J616" s="188" t="str">
        <f t="shared" si="196"/>
        <v/>
      </c>
      <c r="K616" s="189" t="str">
        <f t="shared" si="197"/>
        <v/>
      </c>
      <c r="L616" s="189" t="str">
        <f t="shared" si="198"/>
        <v/>
      </c>
      <c r="M616" s="190"/>
      <c r="N616" s="190"/>
      <c r="O616" s="188" t="str">
        <f t="shared" si="199"/>
        <v/>
      </c>
      <c r="P616" s="191" t="str">
        <f t="shared" si="186"/>
        <v/>
      </c>
      <c r="Q616" s="192" t="str">
        <f t="shared" si="200"/>
        <v/>
      </c>
      <c r="R616" s="191" t="str">
        <f t="shared" si="187"/>
        <v/>
      </c>
      <c r="S616" s="193" t="str">
        <f t="shared" si="201"/>
        <v/>
      </c>
      <c r="T616" s="194" t="str">
        <f t="shared" si="188"/>
        <v/>
      </c>
      <c r="U616" s="192" t="str">
        <f t="shared" si="202"/>
        <v/>
      </c>
      <c r="V616" s="195" t="str">
        <f t="shared" si="189"/>
        <v/>
      </c>
      <c r="W616" s="195" t="str">
        <f t="shared" si="190"/>
        <v/>
      </c>
      <c r="X616" s="196" t="str">
        <f t="shared" si="203"/>
        <v/>
      </c>
      <c r="Y616" s="191" t="str">
        <f t="shared" si="204"/>
        <v/>
      </c>
      <c r="Z616" s="197" t="str">
        <f t="shared" si="191"/>
        <v/>
      </c>
      <c r="AA616" s="197" t="str">
        <f t="shared" si="192"/>
        <v/>
      </c>
      <c r="AB616" s="218"/>
      <c r="AC616" s="205"/>
    </row>
    <row r="617" spans="1:29">
      <c r="A617" s="219" t="str">
        <f t="shared" si="193"/>
        <v/>
      </c>
      <c r="B617" s="219"/>
      <c r="C617" s="184"/>
      <c r="D617" s="185"/>
      <c r="E617" s="185" t="str">
        <f>IF(OR(C617="",C617=Data!$B$3),"",IF(C617=Data!$B$2,"L","S"))</f>
        <v/>
      </c>
      <c r="F617" s="185" t="str">
        <f t="shared" si="194"/>
        <v/>
      </c>
      <c r="G617" s="186" t="str">
        <f t="shared" si="185"/>
        <v/>
      </c>
      <c r="H617" s="187"/>
      <c r="I617" s="188" t="str">
        <f t="shared" si="195"/>
        <v/>
      </c>
      <c r="J617" s="188" t="str">
        <f t="shared" si="196"/>
        <v/>
      </c>
      <c r="K617" s="189" t="str">
        <f t="shared" si="197"/>
        <v/>
      </c>
      <c r="L617" s="189" t="str">
        <f t="shared" si="198"/>
        <v/>
      </c>
      <c r="M617" s="190"/>
      <c r="N617" s="190"/>
      <c r="O617" s="188" t="str">
        <f t="shared" si="199"/>
        <v/>
      </c>
      <c r="P617" s="191" t="str">
        <f t="shared" si="186"/>
        <v/>
      </c>
      <c r="Q617" s="192" t="str">
        <f t="shared" si="200"/>
        <v/>
      </c>
      <c r="R617" s="191" t="str">
        <f t="shared" si="187"/>
        <v/>
      </c>
      <c r="S617" s="193" t="str">
        <f t="shared" si="201"/>
        <v/>
      </c>
      <c r="T617" s="194" t="str">
        <f t="shared" si="188"/>
        <v/>
      </c>
      <c r="U617" s="192" t="str">
        <f t="shared" si="202"/>
        <v/>
      </c>
      <c r="V617" s="195" t="str">
        <f t="shared" si="189"/>
        <v/>
      </c>
      <c r="W617" s="195" t="str">
        <f t="shared" si="190"/>
        <v/>
      </c>
      <c r="X617" s="196" t="str">
        <f t="shared" si="203"/>
        <v/>
      </c>
      <c r="Y617" s="191" t="str">
        <f t="shared" si="204"/>
        <v/>
      </c>
      <c r="Z617" s="197" t="str">
        <f t="shared" si="191"/>
        <v/>
      </c>
      <c r="AA617" s="197" t="str">
        <f t="shared" si="192"/>
        <v/>
      </c>
      <c r="AB617" s="218"/>
      <c r="AC617" s="205"/>
    </row>
    <row r="618" spans="1:29">
      <c r="A618" s="219" t="str">
        <f t="shared" si="193"/>
        <v/>
      </c>
      <c r="B618" s="219"/>
      <c r="C618" s="184"/>
      <c r="D618" s="185"/>
      <c r="E618" s="185" t="str">
        <f>IF(OR(C618="",C618=Data!$B$3),"",IF(C618=Data!$B$2,"L","S"))</f>
        <v/>
      </c>
      <c r="F618" s="185" t="str">
        <f t="shared" si="194"/>
        <v/>
      </c>
      <c r="G618" s="186" t="str">
        <f t="shared" si="185"/>
        <v/>
      </c>
      <c r="H618" s="187"/>
      <c r="I618" s="188" t="str">
        <f t="shared" si="195"/>
        <v/>
      </c>
      <c r="J618" s="188" t="str">
        <f t="shared" si="196"/>
        <v/>
      </c>
      <c r="K618" s="189" t="str">
        <f t="shared" si="197"/>
        <v/>
      </c>
      <c r="L618" s="189" t="str">
        <f t="shared" si="198"/>
        <v/>
      </c>
      <c r="M618" s="190"/>
      <c r="N618" s="190"/>
      <c r="O618" s="188" t="str">
        <f t="shared" si="199"/>
        <v/>
      </c>
      <c r="P618" s="191" t="str">
        <f t="shared" si="186"/>
        <v/>
      </c>
      <c r="Q618" s="192" t="str">
        <f t="shared" si="200"/>
        <v/>
      </c>
      <c r="R618" s="191" t="str">
        <f t="shared" si="187"/>
        <v/>
      </c>
      <c r="S618" s="193" t="str">
        <f t="shared" si="201"/>
        <v/>
      </c>
      <c r="T618" s="194" t="str">
        <f t="shared" si="188"/>
        <v/>
      </c>
      <c r="U618" s="192" t="str">
        <f t="shared" si="202"/>
        <v/>
      </c>
      <c r="V618" s="195" t="str">
        <f t="shared" si="189"/>
        <v/>
      </c>
      <c r="W618" s="195" t="str">
        <f t="shared" si="190"/>
        <v/>
      </c>
      <c r="X618" s="196" t="str">
        <f t="shared" si="203"/>
        <v/>
      </c>
      <c r="Y618" s="191" t="str">
        <f t="shared" si="204"/>
        <v/>
      </c>
      <c r="Z618" s="197" t="str">
        <f t="shared" si="191"/>
        <v/>
      </c>
      <c r="AA618" s="197" t="str">
        <f t="shared" si="192"/>
        <v/>
      </c>
      <c r="AB618" s="218"/>
      <c r="AC618" s="205"/>
    </row>
    <row r="619" spans="1:29">
      <c r="A619" s="219" t="str">
        <f t="shared" si="193"/>
        <v/>
      </c>
      <c r="B619" s="219"/>
      <c r="C619" s="184"/>
      <c r="D619" s="185"/>
      <c r="E619" s="185" t="str">
        <f>IF(OR(C619="",C619=Data!$B$3),"",IF(C619=Data!$B$2,"L","S"))</f>
        <v/>
      </c>
      <c r="F619" s="185" t="str">
        <f t="shared" si="194"/>
        <v/>
      </c>
      <c r="G619" s="186" t="str">
        <f t="shared" si="185"/>
        <v/>
      </c>
      <c r="H619" s="187"/>
      <c r="I619" s="188" t="str">
        <f t="shared" si="195"/>
        <v/>
      </c>
      <c r="J619" s="188" t="str">
        <f t="shared" si="196"/>
        <v/>
      </c>
      <c r="K619" s="189" t="str">
        <f t="shared" si="197"/>
        <v/>
      </c>
      <c r="L619" s="189" t="str">
        <f t="shared" si="198"/>
        <v/>
      </c>
      <c r="M619" s="190"/>
      <c r="N619" s="190"/>
      <c r="O619" s="188" t="str">
        <f t="shared" si="199"/>
        <v/>
      </c>
      <c r="P619" s="191" t="str">
        <f t="shared" si="186"/>
        <v/>
      </c>
      <c r="Q619" s="192" t="str">
        <f t="shared" si="200"/>
        <v/>
      </c>
      <c r="R619" s="191" t="str">
        <f t="shared" si="187"/>
        <v/>
      </c>
      <c r="S619" s="193" t="str">
        <f t="shared" si="201"/>
        <v/>
      </c>
      <c r="T619" s="194" t="str">
        <f t="shared" si="188"/>
        <v/>
      </c>
      <c r="U619" s="192" t="str">
        <f t="shared" si="202"/>
        <v/>
      </c>
      <c r="V619" s="195" t="str">
        <f t="shared" si="189"/>
        <v/>
      </c>
      <c r="W619" s="195" t="str">
        <f t="shared" si="190"/>
        <v/>
      </c>
      <c r="X619" s="196" t="str">
        <f t="shared" si="203"/>
        <v/>
      </c>
      <c r="Y619" s="191" t="str">
        <f t="shared" si="204"/>
        <v/>
      </c>
      <c r="Z619" s="197" t="str">
        <f t="shared" si="191"/>
        <v/>
      </c>
      <c r="AA619" s="197" t="str">
        <f t="shared" si="192"/>
        <v/>
      </c>
      <c r="AB619" s="218"/>
      <c r="AC619" s="205"/>
    </row>
    <row r="620" spans="1:29">
      <c r="A620" s="219" t="str">
        <f t="shared" si="193"/>
        <v/>
      </c>
      <c r="B620" s="219"/>
      <c r="C620" s="184"/>
      <c r="D620" s="185"/>
      <c r="E620" s="185" t="str">
        <f>IF(OR(C620="",C620=Data!$B$3),"",IF(C620=Data!$B$2,"L","S"))</f>
        <v/>
      </c>
      <c r="F620" s="185" t="str">
        <f t="shared" si="194"/>
        <v/>
      </c>
      <c r="G620" s="186" t="str">
        <f t="shared" si="185"/>
        <v/>
      </c>
      <c r="H620" s="187"/>
      <c r="I620" s="188" t="str">
        <f t="shared" si="195"/>
        <v/>
      </c>
      <c r="J620" s="188" t="str">
        <f t="shared" si="196"/>
        <v/>
      </c>
      <c r="K620" s="189" t="str">
        <f t="shared" si="197"/>
        <v/>
      </c>
      <c r="L620" s="189" t="str">
        <f t="shared" si="198"/>
        <v/>
      </c>
      <c r="M620" s="190"/>
      <c r="N620" s="190"/>
      <c r="O620" s="188" t="str">
        <f t="shared" si="199"/>
        <v/>
      </c>
      <c r="P620" s="191" t="str">
        <f t="shared" si="186"/>
        <v/>
      </c>
      <c r="Q620" s="192" t="str">
        <f t="shared" si="200"/>
        <v/>
      </c>
      <c r="R620" s="191" t="str">
        <f t="shared" si="187"/>
        <v/>
      </c>
      <c r="S620" s="193" t="str">
        <f t="shared" si="201"/>
        <v/>
      </c>
      <c r="T620" s="194" t="str">
        <f t="shared" si="188"/>
        <v/>
      </c>
      <c r="U620" s="192" t="str">
        <f t="shared" si="202"/>
        <v/>
      </c>
      <c r="V620" s="195" t="str">
        <f t="shared" si="189"/>
        <v/>
      </c>
      <c r="W620" s="195" t="str">
        <f t="shared" si="190"/>
        <v/>
      </c>
      <c r="X620" s="196" t="str">
        <f t="shared" si="203"/>
        <v/>
      </c>
      <c r="Y620" s="191" t="str">
        <f t="shared" si="204"/>
        <v/>
      </c>
      <c r="Z620" s="197" t="str">
        <f t="shared" si="191"/>
        <v/>
      </c>
      <c r="AA620" s="197" t="str">
        <f t="shared" si="192"/>
        <v/>
      </c>
      <c r="AB620" s="218"/>
      <c r="AC620" s="205"/>
    </row>
    <row r="621" spans="1:29">
      <c r="A621" s="219" t="str">
        <f t="shared" si="193"/>
        <v/>
      </c>
      <c r="B621" s="219"/>
      <c r="C621" s="184"/>
      <c r="D621" s="185"/>
      <c r="E621" s="185" t="str">
        <f>IF(OR(C621="",C621=Data!$B$3),"",IF(C621=Data!$B$2,"L","S"))</f>
        <v/>
      </c>
      <c r="F621" s="185" t="str">
        <f t="shared" si="194"/>
        <v/>
      </c>
      <c r="G621" s="186" t="str">
        <f t="shared" si="185"/>
        <v/>
      </c>
      <c r="H621" s="187"/>
      <c r="I621" s="188" t="str">
        <f t="shared" si="195"/>
        <v/>
      </c>
      <c r="J621" s="188" t="str">
        <f t="shared" si="196"/>
        <v/>
      </c>
      <c r="K621" s="189" t="str">
        <f t="shared" si="197"/>
        <v/>
      </c>
      <c r="L621" s="189" t="str">
        <f t="shared" si="198"/>
        <v/>
      </c>
      <c r="M621" s="190"/>
      <c r="N621" s="190"/>
      <c r="O621" s="188" t="str">
        <f t="shared" si="199"/>
        <v/>
      </c>
      <c r="P621" s="191" t="str">
        <f t="shared" si="186"/>
        <v/>
      </c>
      <c r="Q621" s="192" t="str">
        <f t="shared" si="200"/>
        <v/>
      </c>
      <c r="R621" s="191" t="str">
        <f t="shared" si="187"/>
        <v/>
      </c>
      <c r="S621" s="193" t="str">
        <f t="shared" si="201"/>
        <v/>
      </c>
      <c r="T621" s="194" t="str">
        <f t="shared" si="188"/>
        <v/>
      </c>
      <c r="U621" s="192" t="str">
        <f t="shared" si="202"/>
        <v/>
      </c>
      <c r="V621" s="195" t="str">
        <f t="shared" si="189"/>
        <v/>
      </c>
      <c r="W621" s="195" t="str">
        <f t="shared" si="190"/>
        <v/>
      </c>
      <c r="X621" s="196" t="str">
        <f t="shared" si="203"/>
        <v/>
      </c>
      <c r="Y621" s="191" t="str">
        <f t="shared" si="204"/>
        <v/>
      </c>
      <c r="Z621" s="197" t="str">
        <f t="shared" si="191"/>
        <v/>
      </c>
      <c r="AA621" s="197" t="str">
        <f t="shared" si="192"/>
        <v/>
      </c>
      <c r="AB621" s="218"/>
      <c r="AC621" s="205"/>
    </row>
    <row r="622" spans="1:29">
      <c r="A622" s="219" t="str">
        <f t="shared" si="193"/>
        <v/>
      </c>
      <c r="B622" s="219"/>
      <c r="C622" s="184"/>
      <c r="D622" s="185"/>
      <c r="E622" s="185" t="str">
        <f>IF(OR(C622="",C622=Data!$B$3),"",IF(C622=Data!$B$2,"L","S"))</f>
        <v/>
      </c>
      <c r="F622" s="185" t="str">
        <f t="shared" si="194"/>
        <v/>
      </c>
      <c r="G622" s="186" t="str">
        <f t="shared" si="185"/>
        <v/>
      </c>
      <c r="H622" s="187"/>
      <c r="I622" s="188" t="str">
        <f t="shared" si="195"/>
        <v/>
      </c>
      <c r="J622" s="188" t="str">
        <f t="shared" si="196"/>
        <v/>
      </c>
      <c r="K622" s="189" t="str">
        <f t="shared" si="197"/>
        <v/>
      </c>
      <c r="L622" s="189" t="str">
        <f t="shared" si="198"/>
        <v/>
      </c>
      <c r="M622" s="190"/>
      <c r="N622" s="190"/>
      <c r="O622" s="188" t="str">
        <f t="shared" si="199"/>
        <v/>
      </c>
      <c r="P622" s="191" t="str">
        <f t="shared" si="186"/>
        <v/>
      </c>
      <c r="Q622" s="192" t="str">
        <f t="shared" si="200"/>
        <v/>
      </c>
      <c r="R622" s="191" t="str">
        <f t="shared" si="187"/>
        <v/>
      </c>
      <c r="S622" s="193" t="str">
        <f t="shared" si="201"/>
        <v/>
      </c>
      <c r="T622" s="194" t="str">
        <f t="shared" si="188"/>
        <v/>
      </c>
      <c r="U622" s="192" t="str">
        <f t="shared" si="202"/>
        <v/>
      </c>
      <c r="V622" s="195" t="str">
        <f t="shared" si="189"/>
        <v/>
      </c>
      <c r="W622" s="195" t="str">
        <f t="shared" si="190"/>
        <v/>
      </c>
      <c r="X622" s="196" t="str">
        <f t="shared" si="203"/>
        <v/>
      </c>
      <c r="Y622" s="191" t="str">
        <f t="shared" si="204"/>
        <v/>
      </c>
      <c r="Z622" s="197" t="str">
        <f t="shared" si="191"/>
        <v/>
      </c>
      <c r="AA622" s="197" t="str">
        <f t="shared" si="192"/>
        <v/>
      </c>
      <c r="AB622" s="218"/>
      <c r="AC622" s="205"/>
    </row>
    <row r="623" spans="1:29">
      <c r="A623" s="219" t="str">
        <f t="shared" si="193"/>
        <v/>
      </c>
      <c r="B623" s="219"/>
      <c r="C623" s="184"/>
      <c r="D623" s="185"/>
      <c r="E623" s="185" t="str">
        <f>IF(OR(C623="",C623=Data!$B$3),"",IF(C623=Data!$B$2,"L","S"))</f>
        <v/>
      </c>
      <c r="F623" s="185" t="str">
        <f t="shared" si="194"/>
        <v/>
      </c>
      <c r="G623" s="186" t="str">
        <f t="shared" si="185"/>
        <v/>
      </c>
      <c r="H623" s="187"/>
      <c r="I623" s="188" t="str">
        <f t="shared" si="195"/>
        <v/>
      </c>
      <c r="J623" s="188" t="str">
        <f t="shared" si="196"/>
        <v/>
      </c>
      <c r="K623" s="189" t="str">
        <f t="shared" si="197"/>
        <v/>
      </c>
      <c r="L623" s="189" t="str">
        <f t="shared" si="198"/>
        <v/>
      </c>
      <c r="M623" s="190"/>
      <c r="N623" s="190"/>
      <c r="O623" s="188" t="str">
        <f t="shared" si="199"/>
        <v/>
      </c>
      <c r="P623" s="191" t="str">
        <f t="shared" si="186"/>
        <v/>
      </c>
      <c r="Q623" s="192" t="str">
        <f t="shared" si="200"/>
        <v/>
      </c>
      <c r="R623" s="191" t="str">
        <f t="shared" si="187"/>
        <v/>
      </c>
      <c r="S623" s="193" t="str">
        <f t="shared" si="201"/>
        <v/>
      </c>
      <c r="T623" s="194" t="str">
        <f t="shared" si="188"/>
        <v/>
      </c>
      <c r="U623" s="192" t="str">
        <f t="shared" si="202"/>
        <v/>
      </c>
      <c r="V623" s="195" t="str">
        <f t="shared" si="189"/>
        <v/>
      </c>
      <c r="W623" s="195" t="str">
        <f t="shared" si="190"/>
        <v/>
      </c>
      <c r="X623" s="196" t="str">
        <f t="shared" si="203"/>
        <v/>
      </c>
      <c r="Y623" s="191" t="str">
        <f t="shared" si="204"/>
        <v/>
      </c>
      <c r="Z623" s="197" t="str">
        <f t="shared" si="191"/>
        <v/>
      </c>
      <c r="AA623" s="197" t="str">
        <f t="shared" si="192"/>
        <v/>
      </c>
      <c r="AB623" s="218"/>
      <c r="AC623" s="205"/>
    </row>
    <row r="624" spans="1:29">
      <c r="A624" s="219" t="str">
        <f t="shared" si="193"/>
        <v/>
      </c>
      <c r="B624" s="219"/>
      <c r="C624" s="184"/>
      <c r="D624" s="185"/>
      <c r="E624" s="185" t="str">
        <f>IF(OR(C624="",C624=Data!$B$3),"",IF(C624=Data!$B$2,"L","S"))</f>
        <v/>
      </c>
      <c r="F624" s="185" t="str">
        <f t="shared" si="194"/>
        <v/>
      </c>
      <c r="G624" s="186" t="str">
        <f t="shared" si="185"/>
        <v/>
      </c>
      <c r="H624" s="187"/>
      <c r="I624" s="188" t="str">
        <f t="shared" si="195"/>
        <v/>
      </c>
      <c r="J624" s="188" t="str">
        <f t="shared" si="196"/>
        <v/>
      </c>
      <c r="K624" s="189" t="str">
        <f t="shared" si="197"/>
        <v/>
      </c>
      <c r="L624" s="189" t="str">
        <f t="shared" si="198"/>
        <v/>
      </c>
      <c r="M624" s="190"/>
      <c r="N624" s="190"/>
      <c r="O624" s="188" t="str">
        <f t="shared" si="199"/>
        <v/>
      </c>
      <c r="P624" s="191" t="str">
        <f t="shared" si="186"/>
        <v/>
      </c>
      <c r="Q624" s="192" t="str">
        <f t="shared" si="200"/>
        <v/>
      </c>
      <c r="R624" s="191" t="str">
        <f t="shared" si="187"/>
        <v/>
      </c>
      <c r="S624" s="193" t="str">
        <f t="shared" si="201"/>
        <v/>
      </c>
      <c r="T624" s="194" t="str">
        <f t="shared" si="188"/>
        <v/>
      </c>
      <c r="U624" s="192" t="str">
        <f t="shared" si="202"/>
        <v/>
      </c>
      <c r="V624" s="195" t="str">
        <f t="shared" si="189"/>
        <v/>
      </c>
      <c r="W624" s="195" t="str">
        <f t="shared" si="190"/>
        <v/>
      </c>
      <c r="X624" s="196" t="str">
        <f t="shared" si="203"/>
        <v/>
      </c>
      <c r="Y624" s="191" t="str">
        <f t="shared" si="204"/>
        <v/>
      </c>
      <c r="Z624" s="197" t="str">
        <f t="shared" si="191"/>
        <v/>
      </c>
      <c r="AA624" s="197" t="str">
        <f t="shared" si="192"/>
        <v/>
      </c>
      <c r="AB624" s="218"/>
      <c r="AC624" s="205"/>
    </row>
    <row r="625" spans="1:29">
      <c r="A625" s="219" t="str">
        <f t="shared" si="193"/>
        <v/>
      </c>
      <c r="B625" s="219"/>
      <c r="C625" s="184"/>
      <c r="D625" s="185"/>
      <c r="E625" s="185" t="str">
        <f>IF(OR(C625="",C625=Data!$B$3),"",IF(C625=Data!$B$2,"L","S"))</f>
        <v/>
      </c>
      <c r="F625" s="185" t="str">
        <f t="shared" si="194"/>
        <v/>
      </c>
      <c r="G625" s="186" t="str">
        <f t="shared" si="185"/>
        <v/>
      </c>
      <c r="H625" s="187"/>
      <c r="I625" s="188" t="str">
        <f t="shared" si="195"/>
        <v/>
      </c>
      <c r="J625" s="188" t="str">
        <f t="shared" si="196"/>
        <v/>
      </c>
      <c r="K625" s="189" t="str">
        <f t="shared" si="197"/>
        <v/>
      </c>
      <c r="L625" s="189" t="str">
        <f t="shared" si="198"/>
        <v/>
      </c>
      <c r="M625" s="190"/>
      <c r="N625" s="190"/>
      <c r="O625" s="188" t="str">
        <f t="shared" si="199"/>
        <v/>
      </c>
      <c r="P625" s="191" t="str">
        <f t="shared" si="186"/>
        <v/>
      </c>
      <c r="Q625" s="192" t="str">
        <f t="shared" si="200"/>
        <v/>
      </c>
      <c r="R625" s="191" t="str">
        <f t="shared" si="187"/>
        <v/>
      </c>
      <c r="S625" s="193" t="str">
        <f t="shared" si="201"/>
        <v/>
      </c>
      <c r="T625" s="194" t="str">
        <f t="shared" si="188"/>
        <v/>
      </c>
      <c r="U625" s="192" t="str">
        <f t="shared" si="202"/>
        <v/>
      </c>
      <c r="V625" s="195" t="str">
        <f t="shared" si="189"/>
        <v/>
      </c>
      <c r="W625" s="195" t="str">
        <f t="shared" si="190"/>
        <v/>
      </c>
      <c r="X625" s="196" t="str">
        <f t="shared" si="203"/>
        <v/>
      </c>
      <c r="Y625" s="191" t="str">
        <f t="shared" si="204"/>
        <v/>
      </c>
      <c r="Z625" s="197" t="str">
        <f t="shared" si="191"/>
        <v/>
      </c>
      <c r="AA625" s="197" t="str">
        <f t="shared" si="192"/>
        <v/>
      </c>
      <c r="AB625" s="218"/>
      <c r="AC625" s="205"/>
    </row>
    <row r="626" spans="1:29">
      <c r="A626" s="219" t="str">
        <f t="shared" si="193"/>
        <v/>
      </c>
      <c r="B626" s="219"/>
      <c r="C626" s="184"/>
      <c r="D626" s="185"/>
      <c r="E626" s="185" t="str">
        <f>IF(OR(C626="",C626=Data!$B$3),"",IF(C626=Data!$B$2,"L","S"))</f>
        <v/>
      </c>
      <c r="F626" s="185" t="str">
        <f t="shared" si="194"/>
        <v/>
      </c>
      <c r="G626" s="186" t="str">
        <f t="shared" si="185"/>
        <v/>
      </c>
      <c r="H626" s="187"/>
      <c r="I626" s="188" t="str">
        <f t="shared" si="195"/>
        <v/>
      </c>
      <c r="J626" s="188" t="str">
        <f t="shared" si="196"/>
        <v/>
      </c>
      <c r="K626" s="189" t="str">
        <f t="shared" si="197"/>
        <v/>
      </c>
      <c r="L626" s="189" t="str">
        <f t="shared" si="198"/>
        <v/>
      </c>
      <c r="M626" s="190"/>
      <c r="N626" s="190"/>
      <c r="O626" s="188" t="str">
        <f t="shared" si="199"/>
        <v/>
      </c>
      <c r="P626" s="191" t="str">
        <f t="shared" si="186"/>
        <v/>
      </c>
      <c r="Q626" s="192" t="str">
        <f t="shared" si="200"/>
        <v/>
      </c>
      <c r="R626" s="191" t="str">
        <f t="shared" si="187"/>
        <v/>
      </c>
      <c r="S626" s="193" t="str">
        <f t="shared" si="201"/>
        <v/>
      </c>
      <c r="T626" s="194" t="str">
        <f t="shared" si="188"/>
        <v/>
      </c>
      <c r="U626" s="192" t="str">
        <f t="shared" si="202"/>
        <v/>
      </c>
      <c r="V626" s="195" t="str">
        <f t="shared" si="189"/>
        <v/>
      </c>
      <c r="W626" s="195" t="str">
        <f t="shared" si="190"/>
        <v/>
      </c>
      <c r="X626" s="196" t="str">
        <f t="shared" si="203"/>
        <v/>
      </c>
      <c r="Y626" s="191" t="str">
        <f t="shared" si="204"/>
        <v/>
      </c>
      <c r="Z626" s="197" t="str">
        <f t="shared" si="191"/>
        <v/>
      </c>
      <c r="AA626" s="197" t="str">
        <f t="shared" si="192"/>
        <v/>
      </c>
      <c r="AB626" s="218"/>
      <c r="AC626" s="205"/>
    </row>
    <row r="627" spans="1:29">
      <c r="A627" s="219" t="str">
        <f t="shared" si="193"/>
        <v/>
      </c>
      <c r="B627" s="219"/>
      <c r="C627" s="184"/>
      <c r="D627" s="185"/>
      <c r="E627" s="185" t="str">
        <f>IF(OR(C627="",C627=Data!$B$3),"",IF(C627=Data!$B$2,"L","S"))</f>
        <v/>
      </c>
      <c r="F627" s="185" t="str">
        <f t="shared" si="194"/>
        <v/>
      </c>
      <c r="G627" s="186" t="str">
        <f t="shared" si="185"/>
        <v/>
      </c>
      <c r="H627" s="187"/>
      <c r="I627" s="188" t="str">
        <f t="shared" si="195"/>
        <v/>
      </c>
      <c r="J627" s="188" t="str">
        <f t="shared" si="196"/>
        <v/>
      </c>
      <c r="K627" s="189" t="str">
        <f t="shared" si="197"/>
        <v/>
      </c>
      <c r="L627" s="189" t="str">
        <f t="shared" si="198"/>
        <v/>
      </c>
      <c r="M627" s="190"/>
      <c r="N627" s="190"/>
      <c r="O627" s="188" t="str">
        <f t="shared" si="199"/>
        <v/>
      </c>
      <c r="P627" s="191" t="str">
        <f t="shared" si="186"/>
        <v/>
      </c>
      <c r="Q627" s="192" t="str">
        <f t="shared" si="200"/>
        <v/>
      </c>
      <c r="R627" s="191" t="str">
        <f t="shared" si="187"/>
        <v/>
      </c>
      <c r="S627" s="193" t="str">
        <f t="shared" si="201"/>
        <v/>
      </c>
      <c r="T627" s="194" t="str">
        <f t="shared" si="188"/>
        <v/>
      </c>
      <c r="U627" s="192" t="str">
        <f t="shared" si="202"/>
        <v/>
      </c>
      <c r="V627" s="195" t="str">
        <f t="shared" si="189"/>
        <v/>
      </c>
      <c r="W627" s="195" t="str">
        <f t="shared" si="190"/>
        <v/>
      </c>
      <c r="X627" s="196" t="str">
        <f t="shared" si="203"/>
        <v/>
      </c>
      <c r="Y627" s="191" t="str">
        <f t="shared" si="204"/>
        <v/>
      </c>
      <c r="Z627" s="197" t="str">
        <f t="shared" si="191"/>
        <v/>
      </c>
      <c r="AA627" s="197" t="str">
        <f t="shared" si="192"/>
        <v/>
      </c>
      <c r="AB627" s="218"/>
      <c r="AC627" s="205"/>
    </row>
    <row r="628" spans="1:29">
      <c r="A628" s="219" t="str">
        <f t="shared" si="193"/>
        <v/>
      </c>
      <c r="B628" s="219"/>
      <c r="C628" s="184"/>
      <c r="D628" s="185"/>
      <c r="E628" s="185" t="str">
        <f>IF(OR(C628="",C628=Data!$B$3),"",IF(C628=Data!$B$2,"L","S"))</f>
        <v/>
      </c>
      <c r="F628" s="185" t="str">
        <f t="shared" si="194"/>
        <v/>
      </c>
      <c r="G628" s="186" t="str">
        <f t="shared" si="185"/>
        <v/>
      </c>
      <c r="H628" s="187"/>
      <c r="I628" s="188" t="str">
        <f t="shared" si="195"/>
        <v/>
      </c>
      <c r="J628" s="188" t="str">
        <f t="shared" si="196"/>
        <v/>
      </c>
      <c r="K628" s="189" t="str">
        <f t="shared" si="197"/>
        <v/>
      </c>
      <c r="L628" s="189" t="str">
        <f t="shared" si="198"/>
        <v/>
      </c>
      <c r="M628" s="190"/>
      <c r="N628" s="190"/>
      <c r="O628" s="188" t="str">
        <f t="shared" si="199"/>
        <v/>
      </c>
      <c r="P628" s="191" t="str">
        <f t="shared" si="186"/>
        <v/>
      </c>
      <c r="Q628" s="192" t="str">
        <f t="shared" si="200"/>
        <v/>
      </c>
      <c r="R628" s="191" t="str">
        <f t="shared" si="187"/>
        <v/>
      </c>
      <c r="S628" s="193" t="str">
        <f t="shared" si="201"/>
        <v/>
      </c>
      <c r="T628" s="194" t="str">
        <f t="shared" si="188"/>
        <v/>
      </c>
      <c r="U628" s="192" t="str">
        <f t="shared" si="202"/>
        <v/>
      </c>
      <c r="V628" s="195" t="str">
        <f t="shared" si="189"/>
        <v/>
      </c>
      <c r="W628" s="195" t="str">
        <f t="shared" si="190"/>
        <v/>
      </c>
      <c r="X628" s="196" t="str">
        <f t="shared" si="203"/>
        <v/>
      </c>
      <c r="Y628" s="191" t="str">
        <f t="shared" si="204"/>
        <v/>
      </c>
      <c r="Z628" s="197" t="str">
        <f t="shared" si="191"/>
        <v/>
      </c>
      <c r="AA628" s="197" t="str">
        <f t="shared" si="192"/>
        <v/>
      </c>
      <c r="AB628" s="218"/>
      <c r="AC628" s="205"/>
    </row>
    <row r="629" spans="1:29">
      <c r="A629" s="219" t="str">
        <f t="shared" si="193"/>
        <v/>
      </c>
      <c r="B629" s="219"/>
      <c r="C629" s="184"/>
      <c r="D629" s="185"/>
      <c r="E629" s="185" t="str">
        <f>IF(OR(C629="",C629=Data!$B$3),"",IF(C629=Data!$B$2,"L","S"))</f>
        <v/>
      </c>
      <c r="F629" s="185" t="str">
        <f t="shared" si="194"/>
        <v/>
      </c>
      <c r="G629" s="186" t="str">
        <f t="shared" si="185"/>
        <v/>
      </c>
      <c r="H629" s="187"/>
      <c r="I629" s="188" t="str">
        <f t="shared" si="195"/>
        <v/>
      </c>
      <c r="J629" s="188" t="str">
        <f t="shared" si="196"/>
        <v/>
      </c>
      <c r="K629" s="189" t="str">
        <f t="shared" si="197"/>
        <v/>
      </c>
      <c r="L629" s="189" t="str">
        <f t="shared" si="198"/>
        <v/>
      </c>
      <c r="M629" s="190"/>
      <c r="N629" s="190"/>
      <c r="O629" s="188" t="str">
        <f t="shared" si="199"/>
        <v/>
      </c>
      <c r="P629" s="191" t="str">
        <f t="shared" si="186"/>
        <v/>
      </c>
      <c r="Q629" s="192" t="str">
        <f t="shared" si="200"/>
        <v/>
      </c>
      <c r="R629" s="191" t="str">
        <f t="shared" si="187"/>
        <v/>
      </c>
      <c r="S629" s="193" t="str">
        <f t="shared" si="201"/>
        <v/>
      </c>
      <c r="T629" s="194" t="str">
        <f t="shared" si="188"/>
        <v/>
      </c>
      <c r="U629" s="192" t="str">
        <f t="shared" si="202"/>
        <v/>
      </c>
      <c r="V629" s="195" t="str">
        <f t="shared" si="189"/>
        <v/>
      </c>
      <c r="W629" s="195" t="str">
        <f t="shared" si="190"/>
        <v/>
      </c>
      <c r="X629" s="196" t="str">
        <f t="shared" si="203"/>
        <v/>
      </c>
      <c r="Y629" s="191" t="str">
        <f t="shared" si="204"/>
        <v/>
      </c>
      <c r="Z629" s="197" t="str">
        <f t="shared" si="191"/>
        <v/>
      </c>
      <c r="AA629" s="197" t="str">
        <f t="shared" si="192"/>
        <v/>
      </c>
      <c r="AB629" s="218"/>
      <c r="AC629" s="205"/>
    </row>
    <row r="630" spans="1:29">
      <c r="A630" s="219" t="str">
        <f t="shared" si="193"/>
        <v/>
      </c>
      <c r="B630" s="219"/>
      <c r="C630" s="184"/>
      <c r="D630" s="185"/>
      <c r="E630" s="185" t="str">
        <f>IF(OR(C630="",C630=Data!$B$3),"",IF(C630=Data!$B$2,"L","S"))</f>
        <v/>
      </c>
      <c r="F630" s="185" t="str">
        <f t="shared" si="194"/>
        <v/>
      </c>
      <c r="G630" s="186" t="str">
        <f t="shared" si="185"/>
        <v/>
      </c>
      <c r="H630" s="187"/>
      <c r="I630" s="188" t="str">
        <f t="shared" si="195"/>
        <v/>
      </c>
      <c r="J630" s="188" t="str">
        <f t="shared" si="196"/>
        <v/>
      </c>
      <c r="K630" s="189" t="str">
        <f t="shared" si="197"/>
        <v/>
      </c>
      <c r="L630" s="189" t="str">
        <f t="shared" si="198"/>
        <v/>
      </c>
      <c r="M630" s="190"/>
      <c r="N630" s="190"/>
      <c r="O630" s="188" t="str">
        <f t="shared" si="199"/>
        <v/>
      </c>
      <c r="P630" s="191" t="str">
        <f t="shared" si="186"/>
        <v/>
      </c>
      <c r="Q630" s="192" t="str">
        <f t="shared" si="200"/>
        <v/>
      </c>
      <c r="R630" s="191" t="str">
        <f t="shared" si="187"/>
        <v/>
      </c>
      <c r="S630" s="193" t="str">
        <f t="shared" si="201"/>
        <v/>
      </c>
      <c r="T630" s="194" t="str">
        <f t="shared" si="188"/>
        <v/>
      </c>
      <c r="U630" s="192" t="str">
        <f t="shared" si="202"/>
        <v/>
      </c>
      <c r="V630" s="195" t="str">
        <f t="shared" si="189"/>
        <v/>
      </c>
      <c r="W630" s="195" t="str">
        <f t="shared" si="190"/>
        <v/>
      </c>
      <c r="X630" s="196" t="str">
        <f t="shared" si="203"/>
        <v/>
      </c>
      <c r="Y630" s="191" t="str">
        <f t="shared" si="204"/>
        <v/>
      </c>
      <c r="Z630" s="197" t="str">
        <f t="shared" si="191"/>
        <v/>
      </c>
      <c r="AA630" s="197" t="str">
        <f t="shared" si="192"/>
        <v/>
      </c>
      <c r="AB630" s="218"/>
      <c r="AC630" s="205"/>
    </row>
    <row r="631" spans="1:29">
      <c r="A631" s="219" t="str">
        <f t="shared" si="193"/>
        <v/>
      </c>
      <c r="B631" s="219"/>
      <c r="C631" s="184"/>
      <c r="D631" s="185"/>
      <c r="E631" s="185" t="str">
        <f>IF(OR(C631="",C631=Data!$B$3),"",IF(C631=Data!$B$2,"L","S"))</f>
        <v/>
      </c>
      <c r="F631" s="185" t="str">
        <f t="shared" si="194"/>
        <v/>
      </c>
      <c r="G631" s="186" t="str">
        <f t="shared" si="185"/>
        <v/>
      </c>
      <c r="H631" s="187"/>
      <c r="I631" s="188" t="str">
        <f t="shared" si="195"/>
        <v/>
      </c>
      <c r="J631" s="188" t="str">
        <f t="shared" si="196"/>
        <v/>
      </c>
      <c r="K631" s="189" t="str">
        <f t="shared" si="197"/>
        <v/>
      </c>
      <c r="L631" s="189" t="str">
        <f t="shared" si="198"/>
        <v/>
      </c>
      <c r="M631" s="190"/>
      <c r="N631" s="190"/>
      <c r="O631" s="188" t="str">
        <f t="shared" si="199"/>
        <v/>
      </c>
      <c r="P631" s="191" t="str">
        <f t="shared" si="186"/>
        <v/>
      </c>
      <c r="Q631" s="192" t="str">
        <f t="shared" si="200"/>
        <v/>
      </c>
      <c r="R631" s="191" t="str">
        <f t="shared" si="187"/>
        <v/>
      </c>
      <c r="S631" s="193" t="str">
        <f t="shared" si="201"/>
        <v/>
      </c>
      <c r="T631" s="194" t="str">
        <f t="shared" si="188"/>
        <v/>
      </c>
      <c r="U631" s="192" t="str">
        <f t="shared" si="202"/>
        <v/>
      </c>
      <c r="V631" s="195" t="str">
        <f t="shared" si="189"/>
        <v/>
      </c>
      <c r="W631" s="195" t="str">
        <f t="shared" si="190"/>
        <v/>
      </c>
      <c r="X631" s="196" t="str">
        <f t="shared" si="203"/>
        <v/>
      </c>
      <c r="Y631" s="191" t="str">
        <f t="shared" si="204"/>
        <v/>
      </c>
      <c r="Z631" s="197" t="str">
        <f t="shared" si="191"/>
        <v/>
      </c>
      <c r="AA631" s="197" t="str">
        <f t="shared" si="192"/>
        <v/>
      </c>
      <c r="AB631" s="218"/>
      <c r="AC631" s="205"/>
    </row>
    <row r="632" spans="1:29">
      <c r="A632" s="219" t="str">
        <f t="shared" si="193"/>
        <v/>
      </c>
      <c r="B632" s="219"/>
      <c r="C632" s="184"/>
      <c r="D632" s="185"/>
      <c r="E632" s="185" t="str">
        <f>IF(OR(C632="",C632=Data!$B$3),"",IF(C632=Data!$B$2,"L","S"))</f>
        <v/>
      </c>
      <c r="F632" s="185" t="str">
        <f t="shared" si="194"/>
        <v/>
      </c>
      <c r="G632" s="186" t="str">
        <f t="shared" si="185"/>
        <v/>
      </c>
      <c r="H632" s="187"/>
      <c r="I632" s="188" t="str">
        <f t="shared" si="195"/>
        <v/>
      </c>
      <c r="J632" s="188" t="str">
        <f t="shared" si="196"/>
        <v/>
      </c>
      <c r="K632" s="189" t="str">
        <f t="shared" si="197"/>
        <v/>
      </c>
      <c r="L632" s="189" t="str">
        <f t="shared" si="198"/>
        <v/>
      </c>
      <c r="M632" s="190"/>
      <c r="N632" s="190"/>
      <c r="O632" s="188" t="str">
        <f t="shared" si="199"/>
        <v/>
      </c>
      <c r="P632" s="191" t="str">
        <f t="shared" si="186"/>
        <v/>
      </c>
      <c r="Q632" s="192" t="str">
        <f t="shared" si="200"/>
        <v/>
      </c>
      <c r="R632" s="191" t="str">
        <f t="shared" si="187"/>
        <v/>
      </c>
      <c r="S632" s="193" t="str">
        <f t="shared" si="201"/>
        <v/>
      </c>
      <c r="T632" s="194" t="str">
        <f t="shared" si="188"/>
        <v/>
      </c>
      <c r="U632" s="192" t="str">
        <f t="shared" si="202"/>
        <v/>
      </c>
      <c r="V632" s="195" t="str">
        <f t="shared" si="189"/>
        <v/>
      </c>
      <c r="W632" s="195" t="str">
        <f t="shared" si="190"/>
        <v/>
      </c>
      <c r="X632" s="196" t="str">
        <f t="shared" si="203"/>
        <v/>
      </c>
      <c r="Y632" s="191" t="str">
        <f t="shared" si="204"/>
        <v/>
      </c>
      <c r="Z632" s="197" t="str">
        <f t="shared" si="191"/>
        <v/>
      </c>
      <c r="AA632" s="197" t="str">
        <f t="shared" si="192"/>
        <v/>
      </c>
      <c r="AB632" s="218"/>
      <c r="AC632" s="205"/>
    </row>
    <row r="633" spans="1:29">
      <c r="A633" s="219" t="str">
        <f t="shared" si="193"/>
        <v/>
      </c>
      <c r="B633" s="219"/>
      <c r="C633" s="184"/>
      <c r="D633" s="185"/>
      <c r="E633" s="185" t="str">
        <f>IF(OR(C633="",C633=Data!$B$3),"",IF(C633=Data!$B$2,"L","S"))</f>
        <v/>
      </c>
      <c r="F633" s="185" t="str">
        <f t="shared" si="194"/>
        <v/>
      </c>
      <c r="G633" s="186" t="str">
        <f t="shared" si="185"/>
        <v/>
      </c>
      <c r="H633" s="187"/>
      <c r="I633" s="188" t="str">
        <f t="shared" si="195"/>
        <v/>
      </c>
      <c r="J633" s="188" t="str">
        <f t="shared" si="196"/>
        <v/>
      </c>
      <c r="K633" s="189" t="str">
        <f t="shared" si="197"/>
        <v/>
      </c>
      <c r="L633" s="189" t="str">
        <f t="shared" si="198"/>
        <v/>
      </c>
      <c r="M633" s="190"/>
      <c r="N633" s="190"/>
      <c r="O633" s="188" t="str">
        <f t="shared" si="199"/>
        <v/>
      </c>
      <c r="P633" s="191" t="str">
        <f t="shared" si="186"/>
        <v/>
      </c>
      <c r="Q633" s="192" t="str">
        <f t="shared" si="200"/>
        <v/>
      </c>
      <c r="R633" s="191" t="str">
        <f t="shared" si="187"/>
        <v/>
      </c>
      <c r="S633" s="193" t="str">
        <f t="shared" si="201"/>
        <v/>
      </c>
      <c r="T633" s="194" t="str">
        <f t="shared" si="188"/>
        <v/>
      </c>
      <c r="U633" s="192" t="str">
        <f t="shared" si="202"/>
        <v/>
      </c>
      <c r="V633" s="195" t="str">
        <f t="shared" si="189"/>
        <v/>
      </c>
      <c r="W633" s="195" t="str">
        <f t="shared" si="190"/>
        <v/>
      </c>
      <c r="X633" s="196" t="str">
        <f t="shared" si="203"/>
        <v/>
      </c>
      <c r="Y633" s="191" t="str">
        <f t="shared" si="204"/>
        <v/>
      </c>
      <c r="Z633" s="197" t="str">
        <f t="shared" si="191"/>
        <v/>
      </c>
      <c r="AA633" s="197" t="str">
        <f t="shared" si="192"/>
        <v/>
      </c>
      <c r="AB633" s="218"/>
      <c r="AC633" s="205"/>
    </row>
    <row r="634" spans="1:29">
      <c r="A634" s="219" t="str">
        <f t="shared" si="193"/>
        <v/>
      </c>
      <c r="B634" s="219"/>
      <c r="C634" s="184"/>
      <c r="D634" s="185"/>
      <c r="E634" s="185" t="str">
        <f>IF(OR(C634="",C634=Data!$B$3),"",IF(C634=Data!$B$2,"L","S"))</f>
        <v/>
      </c>
      <c r="F634" s="185" t="str">
        <f t="shared" si="194"/>
        <v/>
      </c>
      <c r="G634" s="186" t="str">
        <f t="shared" si="185"/>
        <v/>
      </c>
      <c r="H634" s="187"/>
      <c r="I634" s="188" t="str">
        <f t="shared" si="195"/>
        <v/>
      </c>
      <c r="J634" s="188" t="str">
        <f t="shared" si="196"/>
        <v/>
      </c>
      <c r="K634" s="189" t="str">
        <f t="shared" si="197"/>
        <v/>
      </c>
      <c r="L634" s="189" t="str">
        <f t="shared" si="198"/>
        <v/>
      </c>
      <c r="M634" s="190"/>
      <c r="N634" s="190"/>
      <c r="O634" s="188" t="str">
        <f t="shared" si="199"/>
        <v/>
      </c>
      <c r="P634" s="191" t="str">
        <f t="shared" si="186"/>
        <v/>
      </c>
      <c r="Q634" s="192" t="str">
        <f t="shared" si="200"/>
        <v/>
      </c>
      <c r="R634" s="191" t="str">
        <f t="shared" si="187"/>
        <v/>
      </c>
      <c r="S634" s="193" t="str">
        <f t="shared" si="201"/>
        <v/>
      </c>
      <c r="T634" s="194" t="str">
        <f t="shared" si="188"/>
        <v/>
      </c>
      <c r="U634" s="192" t="str">
        <f t="shared" si="202"/>
        <v/>
      </c>
      <c r="V634" s="195" t="str">
        <f t="shared" si="189"/>
        <v/>
      </c>
      <c r="W634" s="195" t="str">
        <f t="shared" si="190"/>
        <v/>
      </c>
      <c r="X634" s="196" t="str">
        <f t="shared" si="203"/>
        <v/>
      </c>
      <c r="Y634" s="191" t="str">
        <f t="shared" si="204"/>
        <v/>
      </c>
      <c r="Z634" s="197" t="str">
        <f t="shared" si="191"/>
        <v/>
      </c>
      <c r="AA634" s="197" t="str">
        <f t="shared" si="192"/>
        <v/>
      </c>
      <c r="AB634" s="218"/>
      <c r="AC634" s="205"/>
    </row>
    <row r="635" spans="1:29">
      <c r="A635" s="219" t="str">
        <f t="shared" si="193"/>
        <v/>
      </c>
      <c r="B635" s="219"/>
      <c r="C635" s="184"/>
      <c r="D635" s="185"/>
      <c r="E635" s="185" t="str">
        <f>IF(OR(C635="",C635=Data!$B$3),"",IF(C635=Data!$B$2,"L","S"))</f>
        <v/>
      </c>
      <c r="F635" s="185" t="str">
        <f t="shared" si="194"/>
        <v/>
      </c>
      <c r="G635" s="186" t="str">
        <f t="shared" si="185"/>
        <v/>
      </c>
      <c r="H635" s="187"/>
      <c r="I635" s="188" t="str">
        <f t="shared" si="195"/>
        <v/>
      </c>
      <c r="J635" s="188" t="str">
        <f t="shared" si="196"/>
        <v/>
      </c>
      <c r="K635" s="189" t="str">
        <f t="shared" si="197"/>
        <v/>
      </c>
      <c r="L635" s="189" t="str">
        <f t="shared" si="198"/>
        <v/>
      </c>
      <c r="M635" s="190"/>
      <c r="N635" s="190"/>
      <c r="O635" s="188" t="str">
        <f t="shared" si="199"/>
        <v/>
      </c>
      <c r="P635" s="191" t="str">
        <f t="shared" si="186"/>
        <v/>
      </c>
      <c r="Q635" s="192" t="str">
        <f t="shared" si="200"/>
        <v/>
      </c>
      <c r="R635" s="191" t="str">
        <f t="shared" si="187"/>
        <v/>
      </c>
      <c r="S635" s="193" t="str">
        <f t="shared" si="201"/>
        <v/>
      </c>
      <c r="T635" s="194" t="str">
        <f t="shared" si="188"/>
        <v/>
      </c>
      <c r="U635" s="192" t="str">
        <f t="shared" si="202"/>
        <v/>
      </c>
      <c r="V635" s="195" t="str">
        <f t="shared" si="189"/>
        <v/>
      </c>
      <c r="W635" s="195" t="str">
        <f t="shared" si="190"/>
        <v/>
      </c>
      <c r="X635" s="196" t="str">
        <f t="shared" si="203"/>
        <v/>
      </c>
      <c r="Y635" s="191" t="str">
        <f t="shared" si="204"/>
        <v/>
      </c>
      <c r="Z635" s="197" t="str">
        <f t="shared" si="191"/>
        <v/>
      </c>
      <c r="AA635" s="197" t="str">
        <f t="shared" si="192"/>
        <v/>
      </c>
      <c r="AB635" s="218"/>
      <c r="AC635" s="205"/>
    </row>
    <row r="636" spans="1:29">
      <c r="A636" s="219" t="str">
        <f t="shared" si="193"/>
        <v/>
      </c>
      <c r="B636" s="219"/>
      <c r="C636" s="184"/>
      <c r="D636" s="185"/>
      <c r="E636" s="185" t="str">
        <f>IF(OR(C636="",C636=Data!$B$3),"",IF(C636=Data!$B$2,"L","S"))</f>
        <v/>
      </c>
      <c r="F636" s="185" t="str">
        <f t="shared" si="194"/>
        <v/>
      </c>
      <c r="G636" s="186" t="str">
        <f t="shared" si="185"/>
        <v/>
      </c>
      <c r="H636" s="187"/>
      <c r="I636" s="188" t="str">
        <f t="shared" si="195"/>
        <v/>
      </c>
      <c r="J636" s="188" t="str">
        <f t="shared" si="196"/>
        <v/>
      </c>
      <c r="K636" s="189" t="str">
        <f t="shared" si="197"/>
        <v/>
      </c>
      <c r="L636" s="189" t="str">
        <f t="shared" si="198"/>
        <v/>
      </c>
      <c r="M636" s="190"/>
      <c r="N636" s="190"/>
      <c r="O636" s="188" t="str">
        <f t="shared" si="199"/>
        <v/>
      </c>
      <c r="P636" s="191" t="str">
        <f t="shared" si="186"/>
        <v/>
      </c>
      <c r="Q636" s="192" t="str">
        <f t="shared" si="200"/>
        <v/>
      </c>
      <c r="R636" s="191" t="str">
        <f t="shared" si="187"/>
        <v/>
      </c>
      <c r="S636" s="193" t="str">
        <f t="shared" si="201"/>
        <v/>
      </c>
      <c r="T636" s="194" t="str">
        <f t="shared" si="188"/>
        <v/>
      </c>
      <c r="U636" s="192" t="str">
        <f t="shared" si="202"/>
        <v/>
      </c>
      <c r="V636" s="195" t="str">
        <f t="shared" si="189"/>
        <v/>
      </c>
      <c r="W636" s="195" t="str">
        <f t="shared" si="190"/>
        <v/>
      </c>
      <c r="X636" s="196" t="str">
        <f t="shared" si="203"/>
        <v/>
      </c>
      <c r="Y636" s="191" t="str">
        <f t="shared" si="204"/>
        <v/>
      </c>
      <c r="Z636" s="197" t="str">
        <f t="shared" si="191"/>
        <v/>
      </c>
      <c r="AA636" s="197" t="str">
        <f t="shared" si="192"/>
        <v/>
      </c>
      <c r="AB636" s="218"/>
      <c r="AC636" s="205"/>
    </row>
    <row r="637" spans="1:29">
      <c r="A637" s="219" t="str">
        <f t="shared" si="193"/>
        <v/>
      </c>
      <c r="B637" s="219"/>
      <c r="C637" s="184"/>
      <c r="D637" s="185"/>
      <c r="E637" s="185" t="str">
        <f>IF(OR(C637="",C637=Data!$B$3),"",IF(C637=Data!$B$2,"L","S"))</f>
        <v/>
      </c>
      <c r="F637" s="185" t="str">
        <f t="shared" si="194"/>
        <v/>
      </c>
      <c r="G637" s="186" t="str">
        <f t="shared" si="185"/>
        <v/>
      </c>
      <c r="H637" s="187"/>
      <c r="I637" s="188" t="str">
        <f t="shared" si="195"/>
        <v/>
      </c>
      <c r="J637" s="188" t="str">
        <f t="shared" si="196"/>
        <v/>
      </c>
      <c r="K637" s="189" t="str">
        <f t="shared" si="197"/>
        <v/>
      </c>
      <c r="L637" s="189" t="str">
        <f t="shared" si="198"/>
        <v/>
      </c>
      <c r="M637" s="190"/>
      <c r="N637" s="190"/>
      <c r="O637" s="188" t="str">
        <f t="shared" si="199"/>
        <v/>
      </c>
      <c r="P637" s="191" t="str">
        <f t="shared" si="186"/>
        <v/>
      </c>
      <c r="Q637" s="192" t="str">
        <f t="shared" si="200"/>
        <v/>
      </c>
      <c r="R637" s="191" t="str">
        <f t="shared" si="187"/>
        <v/>
      </c>
      <c r="S637" s="193" t="str">
        <f t="shared" si="201"/>
        <v/>
      </c>
      <c r="T637" s="194" t="str">
        <f t="shared" si="188"/>
        <v/>
      </c>
      <c r="U637" s="192" t="str">
        <f t="shared" si="202"/>
        <v/>
      </c>
      <c r="V637" s="195" t="str">
        <f t="shared" si="189"/>
        <v/>
      </c>
      <c r="W637" s="195" t="str">
        <f t="shared" si="190"/>
        <v/>
      </c>
      <c r="X637" s="196" t="str">
        <f t="shared" si="203"/>
        <v/>
      </c>
      <c r="Y637" s="191" t="str">
        <f t="shared" si="204"/>
        <v/>
      </c>
      <c r="Z637" s="197" t="str">
        <f t="shared" si="191"/>
        <v/>
      </c>
      <c r="AA637" s="197" t="str">
        <f t="shared" si="192"/>
        <v/>
      </c>
      <c r="AB637" s="218"/>
      <c r="AC637" s="205"/>
    </row>
    <row r="638" spans="1:29">
      <c r="A638" s="219" t="str">
        <f t="shared" si="193"/>
        <v/>
      </c>
      <c r="B638" s="219"/>
      <c r="C638" s="184"/>
      <c r="D638" s="185"/>
      <c r="E638" s="185" t="str">
        <f>IF(OR(C638="",C638=Data!$B$3),"",IF(C638=Data!$B$2,"L","S"))</f>
        <v/>
      </c>
      <c r="F638" s="185" t="str">
        <f t="shared" si="194"/>
        <v/>
      </c>
      <c r="G638" s="186" t="str">
        <f t="shared" si="185"/>
        <v/>
      </c>
      <c r="H638" s="187"/>
      <c r="I638" s="188" t="str">
        <f t="shared" si="195"/>
        <v/>
      </c>
      <c r="J638" s="188" t="str">
        <f t="shared" si="196"/>
        <v/>
      </c>
      <c r="K638" s="189" t="str">
        <f t="shared" si="197"/>
        <v/>
      </c>
      <c r="L638" s="189" t="str">
        <f t="shared" si="198"/>
        <v/>
      </c>
      <c r="M638" s="190"/>
      <c r="N638" s="190"/>
      <c r="O638" s="188" t="str">
        <f t="shared" si="199"/>
        <v/>
      </c>
      <c r="P638" s="191" t="str">
        <f t="shared" si="186"/>
        <v/>
      </c>
      <c r="Q638" s="192" t="str">
        <f t="shared" si="200"/>
        <v/>
      </c>
      <c r="R638" s="191" t="str">
        <f t="shared" si="187"/>
        <v/>
      </c>
      <c r="S638" s="193" t="str">
        <f t="shared" si="201"/>
        <v/>
      </c>
      <c r="T638" s="194" t="str">
        <f t="shared" si="188"/>
        <v/>
      </c>
      <c r="U638" s="192" t="str">
        <f t="shared" si="202"/>
        <v/>
      </c>
      <c r="V638" s="195" t="str">
        <f t="shared" si="189"/>
        <v/>
      </c>
      <c r="W638" s="195" t="str">
        <f t="shared" si="190"/>
        <v/>
      </c>
      <c r="X638" s="196" t="str">
        <f t="shared" si="203"/>
        <v/>
      </c>
      <c r="Y638" s="191" t="str">
        <f t="shared" si="204"/>
        <v/>
      </c>
      <c r="Z638" s="197" t="str">
        <f t="shared" si="191"/>
        <v/>
      </c>
      <c r="AA638" s="197" t="str">
        <f t="shared" si="192"/>
        <v/>
      </c>
      <c r="AB638" s="218"/>
      <c r="AC638" s="205"/>
    </row>
    <row r="639" spans="1:29">
      <c r="A639" s="219" t="str">
        <f t="shared" si="193"/>
        <v/>
      </c>
      <c r="B639" s="219"/>
      <c r="C639" s="184"/>
      <c r="D639" s="185"/>
      <c r="E639" s="185" t="str">
        <f>IF(OR(C639="",C639=Data!$B$3),"",IF(C639=Data!$B$2,"L","S"))</f>
        <v/>
      </c>
      <c r="F639" s="185" t="str">
        <f t="shared" si="194"/>
        <v/>
      </c>
      <c r="G639" s="186" t="str">
        <f t="shared" si="185"/>
        <v/>
      </c>
      <c r="H639" s="187"/>
      <c r="I639" s="188" t="str">
        <f t="shared" si="195"/>
        <v/>
      </c>
      <c r="J639" s="188" t="str">
        <f t="shared" si="196"/>
        <v/>
      </c>
      <c r="K639" s="189" t="str">
        <f t="shared" si="197"/>
        <v/>
      </c>
      <c r="L639" s="189" t="str">
        <f t="shared" si="198"/>
        <v/>
      </c>
      <c r="M639" s="190"/>
      <c r="N639" s="190"/>
      <c r="O639" s="188" t="str">
        <f t="shared" si="199"/>
        <v/>
      </c>
      <c r="P639" s="191" t="str">
        <f t="shared" si="186"/>
        <v/>
      </c>
      <c r="Q639" s="192" t="str">
        <f t="shared" si="200"/>
        <v/>
      </c>
      <c r="R639" s="191" t="str">
        <f t="shared" si="187"/>
        <v/>
      </c>
      <c r="S639" s="193" t="str">
        <f t="shared" si="201"/>
        <v/>
      </c>
      <c r="T639" s="194" t="str">
        <f t="shared" si="188"/>
        <v/>
      </c>
      <c r="U639" s="192" t="str">
        <f t="shared" si="202"/>
        <v/>
      </c>
      <c r="V639" s="195" t="str">
        <f t="shared" si="189"/>
        <v/>
      </c>
      <c r="W639" s="195" t="str">
        <f t="shared" si="190"/>
        <v/>
      </c>
      <c r="X639" s="196" t="str">
        <f t="shared" si="203"/>
        <v/>
      </c>
      <c r="Y639" s="191" t="str">
        <f t="shared" si="204"/>
        <v/>
      </c>
      <c r="Z639" s="197" t="str">
        <f t="shared" si="191"/>
        <v/>
      </c>
      <c r="AA639" s="197" t="str">
        <f t="shared" si="192"/>
        <v/>
      </c>
      <c r="AB639" s="218"/>
      <c r="AC639" s="205"/>
    </row>
    <row r="640" spans="1:29">
      <c r="A640" s="219" t="str">
        <f t="shared" si="193"/>
        <v/>
      </c>
      <c r="B640" s="219"/>
      <c r="C640" s="184"/>
      <c r="D640" s="185"/>
      <c r="E640" s="185" t="str">
        <f>IF(OR(C640="",C640=Data!$B$3),"",IF(C640=Data!$B$2,"L","S"))</f>
        <v/>
      </c>
      <c r="F640" s="185" t="str">
        <f t="shared" si="194"/>
        <v/>
      </c>
      <c r="G640" s="186" t="str">
        <f t="shared" si="185"/>
        <v/>
      </c>
      <c r="H640" s="187"/>
      <c r="I640" s="188" t="str">
        <f t="shared" si="195"/>
        <v/>
      </c>
      <c r="J640" s="188" t="str">
        <f t="shared" si="196"/>
        <v/>
      </c>
      <c r="K640" s="189" t="str">
        <f t="shared" si="197"/>
        <v/>
      </c>
      <c r="L640" s="189" t="str">
        <f t="shared" si="198"/>
        <v/>
      </c>
      <c r="M640" s="190"/>
      <c r="N640" s="190"/>
      <c r="O640" s="188" t="str">
        <f t="shared" si="199"/>
        <v/>
      </c>
      <c r="P640" s="191" t="str">
        <f t="shared" si="186"/>
        <v/>
      </c>
      <c r="Q640" s="192" t="str">
        <f t="shared" si="200"/>
        <v/>
      </c>
      <c r="R640" s="191" t="str">
        <f t="shared" si="187"/>
        <v/>
      </c>
      <c r="S640" s="193" t="str">
        <f t="shared" si="201"/>
        <v/>
      </c>
      <c r="T640" s="194" t="str">
        <f t="shared" si="188"/>
        <v/>
      </c>
      <c r="U640" s="192" t="str">
        <f t="shared" si="202"/>
        <v/>
      </c>
      <c r="V640" s="195" t="str">
        <f t="shared" si="189"/>
        <v/>
      </c>
      <c r="W640" s="195" t="str">
        <f t="shared" si="190"/>
        <v/>
      </c>
      <c r="X640" s="196" t="str">
        <f t="shared" si="203"/>
        <v/>
      </c>
      <c r="Y640" s="191" t="str">
        <f t="shared" si="204"/>
        <v/>
      </c>
      <c r="Z640" s="197" t="str">
        <f t="shared" si="191"/>
        <v/>
      </c>
      <c r="AA640" s="197" t="str">
        <f t="shared" si="192"/>
        <v/>
      </c>
      <c r="AB640" s="218"/>
      <c r="AC640" s="205"/>
    </row>
    <row r="641" spans="1:29">
      <c r="A641" s="219" t="str">
        <f t="shared" si="193"/>
        <v/>
      </c>
      <c r="B641" s="219"/>
      <c r="C641" s="184"/>
      <c r="D641" s="185"/>
      <c r="E641" s="185" t="str">
        <f>IF(OR(C641="",C641=Data!$B$3),"",IF(C641=Data!$B$2,"L","S"))</f>
        <v/>
      </c>
      <c r="F641" s="185" t="str">
        <f t="shared" si="194"/>
        <v/>
      </c>
      <c r="G641" s="186" t="str">
        <f t="shared" si="185"/>
        <v/>
      </c>
      <c r="H641" s="187"/>
      <c r="I641" s="188" t="str">
        <f t="shared" si="195"/>
        <v/>
      </c>
      <c r="J641" s="188" t="str">
        <f t="shared" si="196"/>
        <v/>
      </c>
      <c r="K641" s="189" t="str">
        <f t="shared" si="197"/>
        <v/>
      </c>
      <c r="L641" s="189" t="str">
        <f t="shared" si="198"/>
        <v/>
      </c>
      <c r="M641" s="190"/>
      <c r="N641" s="190"/>
      <c r="O641" s="188" t="str">
        <f t="shared" si="199"/>
        <v/>
      </c>
      <c r="P641" s="191" t="str">
        <f t="shared" si="186"/>
        <v/>
      </c>
      <c r="Q641" s="192" t="str">
        <f t="shared" si="200"/>
        <v/>
      </c>
      <c r="R641" s="191" t="str">
        <f t="shared" si="187"/>
        <v/>
      </c>
      <c r="S641" s="193" t="str">
        <f t="shared" si="201"/>
        <v/>
      </c>
      <c r="T641" s="194" t="str">
        <f t="shared" si="188"/>
        <v/>
      </c>
      <c r="U641" s="192" t="str">
        <f t="shared" si="202"/>
        <v/>
      </c>
      <c r="V641" s="195" t="str">
        <f t="shared" si="189"/>
        <v/>
      </c>
      <c r="W641" s="195" t="str">
        <f t="shared" si="190"/>
        <v/>
      </c>
      <c r="X641" s="196" t="str">
        <f t="shared" si="203"/>
        <v/>
      </c>
      <c r="Y641" s="191" t="str">
        <f t="shared" si="204"/>
        <v/>
      </c>
      <c r="Z641" s="197" t="str">
        <f t="shared" si="191"/>
        <v/>
      </c>
      <c r="AA641" s="197" t="str">
        <f t="shared" si="192"/>
        <v/>
      </c>
      <c r="AB641" s="218"/>
      <c r="AC641" s="205"/>
    </row>
    <row r="642" spans="1:29">
      <c r="A642" s="219" t="str">
        <f t="shared" si="193"/>
        <v/>
      </c>
      <c r="B642" s="219"/>
      <c r="C642" s="184"/>
      <c r="D642" s="185"/>
      <c r="E642" s="185" t="str">
        <f>IF(OR(C642="",C642=Data!$B$3),"",IF(C642=Data!$B$2,"L","S"))</f>
        <v/>
      </c>
      <c r="F642" s="185" t="str">
        <f t="shared" si="194"/>
        <v/>
      </c>
      <c r="G642" s="186" t="str">
        <f t="shared" si="185"/>
        <v/>
      </c>
      <c r="H642" s="187"/>
      <c r="I642" s="188" t="str">
        <f t="shared" si="195"/>
        <v/>
      </c>
      <c r="J642" s="188" t="str">
        <f t="shared" si="196"/>
        <v/>
      </c>
      <c r="K642" s="189" t="str">
        <f t="shared" si="197"/>
        <v/>
      </c>
      <c r="L642" s="189" t="str">
        <f t="shared" si="198"/>
        <v/>
      </c>
      <c r="M642" s="190"/>
      <c r="N642" s="190"/>
      <c r="O642" s="188" t="str">
        <f t="shared" si="199"/>
        <v/>
      </c>
      <c r="P642" s="191" t="str">
        <f t="shared" si="186"/>
        <v/>
      </c>
      <c r="Q642" s="192" t="str">
        <f t="shared" si="200"/>
        <v/>
      </c>
      <c r="R642" s="191" t="str">
        <f t="shared" si="187"/>
        <v/>
      </c>
      <c r="S642" s="193" t="str">
        <f t="shared" si="201"/>
        <v/>
      </c>
      <c r="T642" s="194" t="str">
        <f t="shared" si="188"/>
        <v/>
      </c>
      <c r="U642" s="192" t="str">
        <f t="shared" si="202"/>
        <v/>
      </c>
      <c r="V642" s="195" t="str">
        <f t="shared" si="189"/>
        <v/>
      </c>
      <c r="W642" s="195" t="str">
        <f t="shared" si="190"/>
        <v/>
      </c>
      <c r="X642" s="196" t="str">
        <f t="shared" si="203"/>
        <v/>
      </c>
      <c r="Y642" s="191" t="str">
        <f t="shared" si="204"/>
        <v/>
      </c>
      <c r="Z642" s="197" t="str">
        <f t="shared" si="191"/>
        <v/>
      </c>
      <c r="AA642" s="197" t="str">
        <f t="shared" si="192"/>
        <v/>
      </c>
      <c r="AB642" s="218"/>
      <c r="AC642" s="205"/>
    </row>
    <row r="643" spans="1:29">
      <c r="A643" s="219" t="str">
        <f t="shared" si="193"/>
        <v/>
      </c>
      <c r="B643" s="219"/>
      <c r="C643" s="184"/>
      <c r="D643" s="185"/>
      <c r="E643" s="185" t="str">
        <f>IF(OR(C643="",C643=Data!$B$3),"",IF(C643=Data!$B$2,"L","S"))</f>
        <v/>
      </c>
      <c r="F643" s="185" t="str">
        <f t="shared" si="194"/>
        <v/>
      </c>
      <c r="G643" s="186" t="str">
        <f t="shared" si="185"/>
        <v/>
      </c>
      <c r="H643" s="187"/>
      <c r="I643" s="188" t="str">
        <f t="shared" si="195"/>
        <v/>
      </c>
      <c r="J643" s="188" t="str">
        <f t="shared" si="196"/>
        <v/>
      </c>
      <c r="K643" s="189" t="str">
        <f t="shared" si="197"/>
        <v/>
      </c>
      <c r="L643" s="189" t="str">
        <f t="shared" si="198"/>
        <v/>
      </c>
      <c r="M643" s="190"/>
      <c r="N643" s="190"/>
      <c r="O643" s="188" t="str">
        <f t="shared" si="199"/>
        <v/>
      </c>
      <c r="P643" s="191" t="str">
        <f t="shared" si="186"/>
        <v/>
      </c>
      <c r="Q643" s="192" t="str">
        <f t="shared" si="200"/>
        <v/>
      </c>
      <c r="R643" s="191" t="str">
        <f t="shared" si="187"/>
        <v/>
      </c>
      <c r="S643" s="193" t="str">
        <f t="shared" si="201"/>
        <v/>
      </c>
      <c r="T643" s="194" t="str">
        <f t="shared" si="188"/>
        <v/>
      </c>
      <c r="U643" s="192" t="str">
        <f t="shared" si="202"/>
        <v/>
      </c>
      <c r="V643" s="195" t="str">
        <f t="shared" si="189"/>
        <v/>
      </c>
      <c r="W643" s="195" t="str">
        <f t="shared" si="190"/>
        <v/>
      </c>
      <c r="X643" s="196" t="str">
        <f t="shared" si="203"/>
        <v/>
      </c>
      <c r="Y643" s="191" t="str">
        <f t="shared" si="204"/>
        <v/>
      </c>
      <c r="Z643" s="197" t="str">
        <f t="shared" si="191"/>
        <v/>
      </c>
      <c r="AA643" s="197" t="str">
        <f t="shared" si="192"/>
        <v/>
      </c>
      <c r="AB643" s="218"/>
      <c r="AC643" s="205"/>
    </row>
    <row r="644" spans="1:29">
      <c r="A644" s="219" t="str">
        <f t="shared" si="193"/>
        <v/>
      </c>
      <c r="B644" s="219"/>
      <c r="C644" s="184"/>
      <c r="D644" s="185"/>
      <c r="E644" s="185" t="str">
        <f>IF(OR(C644="",C644=Data!$B$3),"",IF(C644=Data!$B$2,"L","S"))</f>
        <v/>
      </c>
      <c r="F644" s="185" t="str">
        <f t="shared" si="194"/>
        <v/>
      </c>
      <c r="G644" s="186" t="str">
        <f t="shared" si="185"/>
        <v/>
      </c>
      <c r="H644" s="187"/>
      <c r="I644" s="188" t="str">
        <f t="shared" si="195"/>
        <v/>
      </c>
      <c r="J644" s="188" t="str">
        <f t="shared" si="196"/>
        <v/>
      </c>
      <c r="K644" s="189" t="str">
        <f t="shared" si="197"/>
        <v/>
      </c>
      <c r="L644" s="189" t="str">
        <f t="shared" si="198"/>
        <v/>
      </c>
      <c r="M644" s="190"/>
      <c r="N644" s="190"/>
      <c r="O644" s="188" t="str">
        <f t="shared" si="199"/>
        <v/>
      </c>
      <c r="P644" s="191" t="str">
        <f t="shared" si="186"/>
        <v/>
      </c>
      <c r="Q644" s="192" t="str">
        <f t="shared" si="200"/>
        <v/>
      </c>
      <c r="R644" s="191" t="str">
        <f t="shared" si="187"/>
        <v/>
      </c>
      <c r="S644" s="193" t="str">
        <f t="shared" si="201"/>
        <v/>
      </c>
      <c r="T644" s="194" t="str">
        <f t="shared" si="188"/>
        <v/>
      </c>
      <c r="U644" s="192" t="str">
        <f t="shared" si="202"/>
        <v/>
      </c>
      <c r="V644" s="195" t="str">
        <f t="shared" si="189"/>
        <v/>
      </c>
      <c r="W644" s="195" t="str">
        <f t="shared" si="190"/>
        <v/>
      </c>
      <c r="X644" s="196" t="str">
        <f t="shared" si="203"/>
        <v/>
      </c>
      <c r="Y644" s="191" t="str">
        <f t="shared" si="204"/>
        <v/>
      </c>
      <c r="Z644" s="197" t="str">
        <f t="shared" si="191"/>
        <v/>
      </c>
      <c r="AA644" s="197" t="str">
        <f t="shared" si="192"/>
        <v/>
      </c>
      <c r="AB644" s="218"/>
      <c r="AC644" s="205"/>
    </row>
    <row r="645" spans="1:29">
      <c r="A645" s="219" t="str">
        <f t="shared" si="193"/>
        <v/>
      </c>
      <c r="B645" s="219"/>
      <c r="C645" s="184"/>
      <c r="D645" s="185"/>
      <c r="E645" s="185" t="str">
        <f>IF(OR(C645="",C645=Data!$B$3),"",IF(C645=Data!$B$2,"L","S"))</f>
        <v/>
      </c>
      <c r="F645" s="185" t="str">
        <f t="shared" si="194"/>
        <v/>
      </c>
      <c r="G645" s="186" t="str">
        <f t="shared" si="185"/>
        <v/>
      </c>
      <c r="H645" s="187"/>
      <c r="I645" s="188" t="str">
        <f t="shared" si="195"/>
        <v/>
      </c>
      <c r="J645" s="188" t="str">
        <f t="shared" si="196"/>
        <v/>
      </c>
      <c r="K645" s="189" t="str">
        <f t="shared" si="197"/>
        <v/>
      </c>
      <c r="L645" s="189" t="str">
        <f t="shared" si="198"/>
        <v/>
      </c>
      <c r="M645" s="190"/>
      <c r="N645" s="190"/>
      <c r="O645" s="188" t="str">
        <f t="shared" si="199"/>
        <v/>
      </c>
      <c r="P645" s="191" t="str">
        <f t="shared" si="186"/>
        <v/>
      </c>
      <c r="Q645" s="192" t="str">
        <f t="shared" si="200"/>
        <v/>
      </c>
      <c r="R645" s="191" t="str">
        <f t="shared" si="187"/>
        <v/>
      </c>
      <c r="S645" s="193" t="str">
        <f t="shared" si="201"/>
        <v/>
      </c>
      <c r="T645" s="194" t="str">
        <f t="shared" si="188"/>
        <v/>
      </c>
      <c r="U645" s="192" t="str">
        <f t="shared" si="202"/>
        <v/>
      </c>
      <c r="V645" s="195" t="str">
        <f t="shared" si="189"/>
        <v/>
      </c>
      <c r="W645" s="195" t="str">
        <f t="shared" si="190"/>
        <v/>
      </c>
      <c r="X645" s="196" t="str">
        <f t="shared" si="203"/>
        <v/>
      </c>
      <c r="Y645" s="191" t="str">
        <f t="shared" si="204"/>
        <v/>
      </c>
      <c r="Z645" s="197" t="str">
        <f t="shared" si="191"/>
        <v/>
      </c>
      <c r="AA645" s="197" t="str">
        <f t="shared" si="192"/>
        <v/>
      </c>
      <c r="AB645" s="218"/>
      <c r="AC645" s="205"/>
    </row>
    <row r="646" spans="1:29">
      <c r="A646" s="219" t="str">
        <f t="shared" si="193"/>
        <v/>
      </c>
      <c r="B646" s="219"/>
      <c r="C646" s="184"/>
      <c r="D646" s="185"/>
      <c r="E646" s="185" t="str">
        <f>IF(OR(C646="",C646=Data!$B$3),"",IF(C646=Data!$B$2,"L","S"))</f>
        <v/>
      </c>
      <c r="F646" s="185" t="str">
        <f t="shared" si="194"/>
        <v/>
      </c>
      <c r="G646" s="186" t="str">
        <f t="shared" si="185"/>
        <v/>
      </c>
      <c r="H646" s="187"/>
      <c r="I646" s="188" t="str">
        <f t="shared" si="195"/>
        <v/>
      </c>
      <c r="J646" s="188" t="str">
        <f t="shared" si="196"/>
        <v/>
      </c>
      <c r="K646" s="189" t="str">
        <f t="shared" si="197"/>
        <v/>
      </c>
      <c r="L646" s="189" t="str">
        <f t="shared" si="198"/>
        <v/>
      </c>
      <c r="M646" s="190"/>
      <c r="N646" s="190"/>
      <c r="O646" s="188" t="str">
        <f t="shared" si="199"/>
        <v/>
      </c>
      <c r="P646" s="191" t="str">
        <f t="shared" si="186"/>
        <v/>
      </c>
      <c r="Q646" s="192" t="str">
        <f t="shared" si="200"/>
        <v/>
      </c>
      <c r="R646" s="191" t="str">
        <f t="shared" si="187"/>
        <v/>
      </c>
      <c r="S646" s="193" t="str">
        <f t="shared" si="201"/>
        <v/>
      </c>
      <c r="T646" s="194" t="str">
        <f t="shared" si="188"/>
        <v/>
      </c>
      <c r="U646" s="192" t="str">
        <f t="shared" si="202"/>
        <v/>
      </c>
      <c r="V646" s="195" t="str">
        <f t="shared" si="189"/>
        <v/>
      </c>
      <c r="W646" s="195" t="str">
        <f t="shared" si="190"/>
        <v/>
      </c>
      <c r="X646" s="196" t="str">
        <f t="shared" si="203"/>
        <v/>
      </c>
      <c r="Y646" s="191" t="str">
        <f t="shared" si="204"/>
        <v/>
      </c>
      <c r="Z646" s="197" t="str">
        <f t="shared" si="191"/>
        <v/>
      </c>
      <c r="AA646" s="197" t="str">
        <f t="shared" si="192"/>
        <v/>
      </c>
      <c r="AB646" s="218"/>
      <c r="AC646" s="205"/>
    </row>
    <row r="647" spans="1:29">
      <c r="A647" s="219" t="str">
        <f t="shared" si="193"/>
        <v/>
      </c>
      <c r="B647" s="219"/>
      <c r="C647" s="184"/>
      <c r="D647" s="185"/>
      <c r="E647" s="185" t="str">
        <f>IF(OR(C647="",C647=Data!$B$3),"",IF(C647=Data!$B$2,"L","S"))</f>
        <v/>
      </c>
      <c r="F647" s="185" t="str">
        <f t="shared" si="194"/>
        <v/>
      </c>
      <c r="G647" s="186" t="str">
        <f t="shared" si="185"/>
        <v/>
      </c>
      <c r="H647" s="187"/>
      <c r="I647" s="188" t="str">
        <f t="shared" si="195"/>
        <v/>
      </c>
      <c r="J647" s="188" t="str">
        <f t="shared" si="196"/>
        <v/>
      </c>
      <c r="K647" s="189" t="str">
        <f t="shared" si="197"/>
        <v/>
      </c>
      <c r="L647" s="189" t="str">
        <f t="shared" si="198"/>
        <v/>
      </c>
      <c r="M647" s="190"/>
      <c r="N647" s="190"/>
      <c r="O647" s="188" t="str">
        <f t="shared" si="199"/>
        <v/>
      </c>
      <c r="P647" s="191" t="str">
        <f t="shared" si="186"/>
        <v/>
      </c>
      <c r="Q647" s="192" t="str">
        <f t="shared" si="200"/>
        <v/>
      </c>
      <c r="R647" s="191" t="str">
        <f t="shared" si="187"/>
        <v/>
      </c>
      <c r="S647" s="193" t="str">
        <f t="shared" si="201"/>
        <v/>
      </c>
      <c r="T647" s="194" t="str">
        <f t="shared" si="188"/>
        <v/>
      </c>
      <c r="U647" s="192" t="str">
        <f t="shared" si="202"/>
        <v/>
      </c>
      <c r="V647" s="195" t="str">
        <f t="shared" si="189"/>
        <v/>
      </c>
      <c r="W647" s="195" t="str">
        <f t="shared" si="190"/>
        <v/>
      </c>
      <c r="X647" s="196" t="str">
        <f t="shared" si="203"/>
        <v/>
      </c>
      <c r="Y647" s="191" t="str">
        <f t="shared" si="204"/>
        <v/>
      </c>
      <c r="Z647" s="197" t="str">
        <f t="shared" si="191"/>
        <v/>
      </c>
      <c r="AA647" s="197" t="str">
        <f t="shared" si="192"/>
        <v/>
      </c>
      <c r="AB647" s="218"/>
      <c r="AC647" s="205"/>
    </row>
    <row r="648" spans="1:29">
      <c r="A648" s="219" t="str">
        <f t="shared" si="193"/>
        <v/>
      </c>
      <c r="B648" s="219"/>
      <c r="C648" s="184"/>
      <c r="D648" s="185"/>
      <c r="E648" s="185" t="str">
        <f>IF(OR(C648="",C648=Data!$B$3),"",IF(C648=Data!$B$2,"L","S"))</f>
        <v/>
      </c>
      <c r="F648" s="185" t="str">
        <f t="shared" si="194"/>
        <v/>
      </c>
      <c r="G648" s="186" t="str">
        <f t="shared" si="185"/>
        <v/>
      </c>
      <c r="H648" s="187"/>
      <c r="I648" s="188" t="str">
        <f t="shared" si="195"/>
        <v/>
      </c>
      <c r="J648" s="188" t="str">
        <f t="shared" si="196"/>
        <v/>
      </c>
      <c r="K648" s="189" t="str">
        <f t="shared" si="197"/>
        <v/>
      </c>
      <c r="L648" s="189" t="str">
        <f t="shared" si="198"/>
        <v/>
      </c>
      <c r="M648" s="190"/>
      <c r="N648" s="190"/>
      <c r="O648" s="188" t="str">
        <f t="shared" si="199"/>
        <v/>
      </c>
      <c r="P648" s="191" t="str">
        <f t="shared" si="186"/>
        <v/>
      </c>
      <c r="Q648" s="192" t="str">
        <f t="shared" si="200"/>
        <v/>
      </c>
      <c r="R648" s="191" t="str">
        <f t="shared" si="187"/>
        <v/>
      </c>
      <c r="S648" s="193" t="str">
        <f t="shared" si="201"/>
        <v/>
      </c>
      <c r="T648" s="194" t="str">
        <f t="shared" si="188"/>
        <v/>
      </c>
      <c r="U648" s="192" t="str">
        <f t="shared" si="202"/>
        <v/>
      </c>
      <c r="V648" s="195" t="str">
        <f t="shared" si="189"/>
        <v/>
      </c>
      <c r="W648" s="195" t="str">
        <f t="shared" si="190"/>
        <v/>
      </c>
      <c r="X648" s="196" t="str">
        <f t="shared" si="203"/>
        <v/>
      </c>
      <c r="Y648" s="191" t="str">
        <f t="shared" si="204"/>
        <v/>
      </c>
      <c r="Z648" s="197" t="str">
        <f t="shared" si="191"/>
        <v/>
      </c>
      <c r="AA648" s="197" t="str">
        <f t="shared" si="192"/>
        <v/>
      </c>
      <c r="AB648" s="218"/>
      <c r="AC648" s="205"/>
    </row>
    <row r="649" spans="1:29">
      <c r="A649" s="219" t="str">
        <f t="shared" si="193"/>
        <v/>
      </c>
      <c r="B649" s="219"/>
      <c r="C649" s="184"/>
      <c r="D649" s="185"/>
      <c r="E649" s="185" t="str">
        <f>IF(OR(C649="",C649=Data!$B$3),"",IF(C649=Data!$B$2,"L","S"))</f>
        <v/>
      </c>
      <c r="F649" s="185" t="str">
        <f t="shared" si="194"/>
        <v/>
      </c>
      <c r="G649" s="186" t="str">
        <f t="shared" si="185"/>
        <v/>
      </c>
      <c r="H649" s="187"/>
      <c r="I649" s="188" t="str">
        <f t="shared" si="195"/>
        <v/>
      </c>
      <c r="J649" s="188" t="str">
        <f t="shared" si="196"/>
        <v/>
      </c>
      <c r="K649" s="189" t="str">
        <f t="shared" si="197"/>
        <v/>
      </c>
      <c r="L649" s="189" t="str">
        <f t="shared" si="198"/>
        <v/>
      </c>
      <c r="M649" s="190"/>
      <c r="N649" s="190"/>
      <c r="O649" s="188" t="str">
        <f t="shared" si="199"/>
        <v/>
      </c>
      <c r="P649" s="191" t="str">
        <f t="shared" si="186"/>
        <v/>
      </c>
      <c r="Q649" s="192" t="str">
        <f t="shared" si="200"/>
        <v/>
      </c>
      <c r="R649" s="191" t="str">
        <f t="shared" si="187"/>
        <v/>
      </c>
      <c r="S649" s="193" t="str">
        <f t="shared" si="201"/>
        <v/>
      </c>
      <c r="T649" s="194" t="str">
        <f t="shared" si="188"/>
        <v/>
      </c>
      <c r="U649" s="192" t="str">
        <f t="shared" si="202"/>
        <v/>
      </c>
      <c r="V649" s="195" t="str">
        <f t="shared" si="189"/>
        <v/>
      </c>
      <c r="W649" s="195" t="str">
        <f t="shared" si="190"/>
        <v/>
      </c>
      <c r="X649" s="196" t="str">
        <f t="shared" si="203"/>
        <v/>
      </c>
      <c r="Y649" s="191" t="str">
        <f t="shared" si="204"/>
        <v/>
      </c>
      <c r="Z649" s="197" t="str">
        <f t="shared" si="191"/>
        <v/>
      </c>
      <c r="AA649" s="197" t="str">
        <f t="shared" si="192"/>
        <v/>
      </c>
      <c r="AB649" s="218"/>
      <c r="AC649" s="205"/>
    </row>
    <row r="650" spans="1:29">
      <c r="A650" s="219" t="str">
        <f t="shared" si="193"/>
        <v/>
      </c>
      <c r="B650" s="219"/>
      <c r="C650" s="184"/>
      <c r="D650" s="185"/>
      <c r="E650" s="185" t="str">
        <f>IF(OR(C650="",C650=Data!$B$3),"",IF(C650=Data!$B$2,"L","S"))</f>
        <v/>
      </c>
      <c r="F650" s="185" t="str">
        <f t="shared" si="194"/>
        <v/>
      </c>
      <c r="G650" s="186" t="str">
        <f t="shared" si="185"/>
        <v/>
      </c>
      <c r="H650" s="187"/>
      <c r="I650" s="188" t="str">
        <f t="shared" si="195"/>
        <v/>
      </c>
      <c r="J650" s="188" t="str">
        <f t="shared" si="196"/>
        <v/>
      </c>
      <c r="K650" s="189" t="str">
        <f t="shared" si="197"/>
        <v/>
      </c>
      <c r="L650" s="189" t="str">
        <f t="shared" si="198"/>
        <v/>
      </c>
      <c r="M650" s="190"/>
      <c r="N650" s="190"/>
      <c r="O650" s="188" t="str">
        <f t="shared" si="199"/>
        <v/>
      </c>
      <c r="P650" s="191" t="str">
        <f t="shared" si="186"/>
        <v/>
      </c>
      <c r="Q650" s="192" t="str">
        <f t="shared" si="200"/>
        <v/>
      </c>
      <c r="R650" s="191" t="str">
        <f t="shared" si="187"/>
        <v/>
      </c>
      <c r="S650" s="193" t="str">
        <f t="shared" si="201"/>
        <v/>
      </c>
      <c r="T650" s="194" t="str">
        <f t="shared" si="188"/>
        <v/>
      </c>
      <c r="U650" s="192" t="str">
        <f t="shared" si="202"/>
        <v/>
      </c>
      <c r="V650" s="195" t="str">
        <f t="shared" si="189"/>
        <v/>
      </c>
      <c r="W650" s="195" t="str">
        <f t="shared" si="190"/>
        <v/>
      </c>
      <c r="X650" s="196" t="str">
        <f t="shared" si="203"/>
        <v/>
      </c>
      <c r="Y650" s="191" t="str">
        <f t="shared" si="204"/>
        <v/>
      </c>
      <c r="Z650" s="197" t="str">
        <f t="shared" si="191"/>
        <v/>
      </c>
      <c r="AA650" s="197" t="str">
        <f t="shared" si="192"/>
        <v/>
      </c>
      <c r="AB650" s="218"/>
      <c r="AC650" s="205"/>
    </row>
    <row r="651" spans="1:29">
      <c r="A651" s="219" t="str">
        <f t="shared" si="193"/>
        <v/>
      </c>
      <c r="B651" s="219"/>
      <c r="C651" s="184"/>
      <c r="D651" s="185"/>
      <c r="E651" s="185" t="str">
        <f>IF(OR(C651="",C651=Data!$B$3),"",IF(C651=Data!$B$2,"L","S"))</f>
        <v/>
      </c>
      <c r="F651" s="185" t="str">
        <f t="shared" si="194"/>
        <v/>
      </c>
      <c r="G651" s="186" t="str">
        <f t="shared" si="185"/>
        <v/>
      </c>
      <c r="H651" s="187"/>
      <c r="I651" s="188" t="str">
        <f t="shared" si="195"/>
        <v/>
      </c>
      <c r="J651" s="188" t="str">
        <f t="shared" si="196"/>
        <v/>
      </c>
      <c r="K651" s="189" t="str">
        <f t="shared" si="197"/>
        <v/>
      </c>
      <c r="L651" s="189" t="str">
        <f t="shared" si="198"/>
        <v/>
      </c>
      <c r="M651" s="190"/>
      <c r="N651" s="190"/>
      <c r="O651" s="188" t="str">
        <f t="shared" si="199"/>
        <v/>
      </c>
      <c r="P651" s="191" t="str">
        <f t="shared" si="186"/>
        <v/>
      </c>
      <c r="Q651" s="192" t="str">
        <f t="shared" si="200"/>
        <v/>
      </c>
      <c r="R651" s="191" t="str">
        <f t="shared" si="187"/>
        <v/>
      </c>
      <c r="S651" s="193" t="str">
        <f t="shared" si="201"/>
        <v/>
      </c>
      <c r="T651" s="194" t="str">
        <f t="shared" si="188"/>
        <v/>
      </c>
      <c r="U651" s="192" t="str">
        <f t="shared" si="202"/>
        <v/>
      </c>
      <c r="V651" s="195" t="str">
        <f t="shared" si="189"/>
        <v/>
      </c>
      <c r="W651" s="195" t="str">
        <f t="shared" si="190"/>
        <v/>
      </c>
      <c r="X651" s="196" t="str">
        <f t="shared" si="203"/>
        <v/>
      </c>
      <c r="Y651" s="191" t="str">
        <f t="shared" si="204"/>
        <v/>
      </c>
      <c r="Z651" s="197" t="str">
        <f t="shared" si="191"/>
        <v/>
      </c>
      <c r="AA651" s="197" t="str">
        <f t="shared" si="192"/>
        <v/>
      </c>
      <c r="AB651" s="218"/>
      <c r="AC651" s="205"/>
    </row>
    <row r="652" spans="1:29">
      <c r="A652" s="219" t="str">
        <f t="shared" si="193"/>
        <v/>
      </c>
      <c r="B652" s="219"/>
      <c r="C652" s="184"/>
      <c r="D652" s="185"/>
      <c r="E652" s="185" t="str">
        <f>IF(OR(C652="",C652=Data!$B$3),"",IF(C652=Data!$B$2,"L","S"))</f>
        <v/>
      </c>
      <c r="F652" s="185" t="str">
        <f t="shared" si="194"/>
        <v/>
      </c>
      <c r="G652" s="186" t="str">
        <f t="shared" ref="G652:G715" si="205">IF(A652="","",$D$3)</f>
        <v/>
      </c>
      <c r="H652" s="187"/>
      <c r="I652" s="188" t="str">
        <f t="shared" si="195"/>
        <v/>
      </c>
      <c r="J652" s="188" t="str">
        <f t="shared" si="196"/>
        <v/>
      </c>
      <c r="K652" s="189" t="str">
        <f t="shared" si="197"/>
        <v/>
      </c>
      <c r="L652" s="189" t="str">
        <f t="shared" si="198"/>
        <v/>
      </c>
      <c r="M652" s="190"/>
      <c r="N652" s="190"/>
      <c r="O652" s="188" t="str">
        <f t="shared" si="199"/>
        <v/>
      </c>
      <c r="P652" s="191" t="str">
        <f t="shared" ref="P652:P715" si="206">IF(O652="","",IF(L652*F652*G652=0,0,L652*F652*G652))</f>
        <v/>
      </c>
      <c r="Q652" s="192" t="str">
        <f t="shared" si="200"/>
        <v/>
      </c>
      <c r="R652" s="191" t="str">
        <f t="shared" ref="R652:R715" si="207">IF(O652&lt;&gt;"",IF(K652*F652*G652=0,"",K652*F652*G652),"")</f>
        <v/>
      </c>
      <c r="S652" s="193" t="str">
        <f t="shared" si="201"/>
        <v/>
      </c>
      <c r="T652" s="194" t="str">
        <f t="shared" ref="T652:T715" si="208">IF(X652="","",X652*F652*G652)</f>
        <v/>
      </c>
      <c r="U652" s="192" t="str">
        <f t="shared" si="202"/>
        <v/>
      </c>
      <c r="V652" s="195" t="str">
        <f t="shared" ref="V652:V715" si="209">IF(O652="","",IF(AND(O652&gt;I652,E652="L"),1, IF(AND(I652&gt;O652,E652="S"),1,0)))</f>
        <v/>
      </c>
      <c r="W652" s="195" t="str">
        <f t="shared" ref="W652:W715" si="210">IF(O652="","",IF(AND(O652&lt;I652,E652="L"),1, IF(AND(I652&lt;O652,E652="S"),1,0)))</f>
        <v/>
      </c>
      <c r="X652" s="196" t="str">
        <f t="shared" si="203"/>
        <v/>
      </c>
      <c r="Y652" s="191" t="str">
        <f t="shared" si="204"/>
        <v/>
      </c>
      <c r="Z652" s="197" t="str">
        <f t="shared" ref="Z652:Z715" si="211">IF(M652="","",MONTH(M652))</f>
        <v/>
      </c>
      <c r="AA652" s="197" t="str">
        <f t="shared" ref="AA652:AA715" si="212">IF(M652="","",YEAR(M652))</f>
        <v/>
      </c>
      <c r="AB652" s="218"/>
      <c r="AC652" s="205"/>
    </row>
    <row r="653" spans="1:29">
      <c r="A653" s="219" t="str">
        <f t="shared" ref="A653:A716" si="213">IF(C653="","",1)</f>
        <v/>
      </c>
      <c r="B653" s="219"/>
      <c r="C653" s="184"/>
      <c r="D653" s="185"/>
      <c r="E653" s="185" t="str">
        <f>IF(OR(C653="",C653=Data!$B$3),"",IF(C653=Data!$B$2,"L","S"))</f>
        <v/>
      </c>
      <c r="F653" s="185" t="str">
        <f t="shared" ref="F653:F716" si="214">IF(A653&lt;&gt;"",$D$2,"")</f>
        <v/>
      </c>
      <c r="G653" s="186" t="str">
        <f t="shared" si="205"/>
        <v/>
      </c>
      <c r="H653" s="187"/>
      <c r="I653" s="188" t="str">
        <f t="shared" ref="I653:I716" si="215">IF(H653="","",IF(E653="L",H653+$D$4*0.0001,H653-$D$4*0.0001))</f>
        <v/>
      </c>
      <c r="J653" s="188" t="str">
        <f t="shared" ref="J653:J716" si="216">IF(AND(H653&lt;&gt;"",I653&lt;&gt;""),IF(E653="L",I653+(I653-H653)*3,I653-(H653-I653)*3),"")</f>
        <v/>
      </c>
      <c r="K653" s="189" t="str">
        <f t="shared" ref="K653:K716" si="217">IF(AND(E653&lt;&gt;"",AND(I653&lt;&gt;"",J653&lt;&gt;"")),IF(E653="L",(J653-I653)*IF(I653&gt;10,IF(SEARCH("JPY",D653),10,100),10000),(I653-J653)*IF(I653&gt;10,IF(SEARCH("JPY",D653),10,100),10000)),"")</f>
        <v/>
      </c>
      <c r="L653" s="189" t="str">
        <f t="shared" ref="L653:L716" si="218">IF(AND(E653&lt;&gt;"",AND(H653&lt;&gt;"",I653&lt;&gt;"")),IF(E653="L",(I653-H653)*IF(I653&gt;10,IF(SEARCH("JPY",D653),10,100),10000),(H653-I653)*IF(I653&gt;10,IF(SEARCH("JPY",D653),10,100),10000)),"")</f>
        <v/>
      </c>
      <c r="M653" s="190"/>
      <c r="N653" s="190"/>
      <c r="O653" s="188" t="str">
        <f t="shared" ref="O653:O716" si="219">J653</f>
        <v/>
      </c>
      <c r="P653" s="191" t="str">
        <f t="shared" si="206"/>
        <v/>
      </c>
      <c r="Q653" s="192" t="str">
        <f t="shared" ref="Q653:Q716" si="220">IF(P653="","",IF(P653=0,0,P653/$I$4))</f>
        <v/>
      </c>
      <c r="R653" s="191" t="str">
        <f t="shared" si="207"/>
        <v/>
      </c>
      <c r="S653" s="193" t="str">
        <f t="shared" ref="S653:S716" si="221">IF(P653="","",IF(P653=0,0,R653/P653))</f>
        <v/>
      </c>
      <c r="T653" s="194" t="str">
        <f t="shared" si="208"/>
        <v/>
      </c>
      <c r="U653" s="192" t="str">
        <f t="shared" ref="U653:U716" si="222">IF(T653="","",IF($I$4="","",T653/$I$4))</f>
        <v/>
      </c>
      <c r="V653" s="195" t="str">
        <f t="shared" si="209"/>
        <v/>
      </c>
      <c r="W653" s="195" t="str">
        <f t="shared" si="210"/>
        <v/>
      </c>
      <c r="X653" s="196" t="str">
        <f t="shared" ref="X653:X716" si="223">IF((O653=""),"",IF(E653="L",1,-1)*(O653-I653)*IF(O653&gt;10,IF(SEARCH("JPY",D653),10,100),10000))</f>
        <v/>
      </c>
      <c r="Y653" s="191" t="str">
        <f t="shared" si="204"/>
        <v/>
      </c>
      <c r="Z653" s="197" t="str">
        <f t="shared" si="211"/>
        <v/>
      </c>
      <c r="AA653" s="197" t="str">
        <f t="shared" si="212"/>
        <v/>
      </c>
      <c r="AB653" s="218"/>
      <c r="AC653" s="205"/>
    </row>
    <row r="654" spans="1:29">
      <c r="A654" s="219" t="str">
        <f t="shared" si="213"/>
        <v/>
      </c>
      <c r="B654" s="219"/>
      <c r="C654" s="184"/>
      <c r="D654" s="185"/>
      <c r="E654" s="185" t="str">
        <f>IF(OR(C654="",C654=Data!$B$3),"",IF(C654=Data!$B$2,"L","S"))</f>
        <v/>
      </c>
      <c r="F654" s="185" t="str">
        <f t="shared" si="214"/>
        <v/>
      </c>
      <c r="G654" s="186" t="str">
        <f t="shared" si="205"/>
        <v/>
      </c>
      <c r="H654" s="187"/>
      <c r="I654" s="188" t="str">
        <f t="shared" si="215"/>
        <v/>
      </c>
      <c r="J654" s="188" t="str">
        <f t="shared" si="216"/>
        <v/>
      </c>
      <c r="K654" s="189" t="str">
        <f t="shared" si="217"/>
        <v/>
      </c>
      <c r="L654" s="189" t="str">
        <f t="shared" si="218"/>
        <v/>
      </c>
      <c r="M654" s="190"/>
      <c r="N654" s="190"/>
      <c r="O654" s="188" t="str">
        <f t="shared" si="219"/>
        <v/>
      </c>
      <c r="P654" s="191" t="str">
        <f t="shared" si="206"/>
        <v/>
      </c>
      <c r="Q654" s="192" t="str">
        <f t="shared" si="220"/>
        <v/>
      </c>
      <c r="R654" s="191" t="str">
        <f t="shared" si="207"/>
        <v/>
      </c>
      <c r="S654" s="193" t="str">
        <f t="shared" si="221"/>
        <v/>
      </c>
      <c r="T654" s="194" t="str">
        <f t="shared" si="208"/>
        <v/>
      </c>
      <c r="U654" s="192" t="str">
        <f t="shared" si="222"/>
        <v/>
      </c>
      <c r="V654" s="195" t="str">
        <f t="shared" si="209"/>
        <v/>
      </c>
      <c r="W654" s="195" t="str">
        <f t="shared" si="210"/>
        <v/>
      </c>
      <c r="X654" s="196" t="str">
        <f t="shared" si="223"/>
        <v/>
      </c>
      <c r="Y654" s="191" t="str">
        <f t="shared" si="204"/>
        <v/>
      </c>
      <c r="Z654" s="197" t="str">
        <f t="shared" si="211"/>
        <v/>
      </c>
      <c r="AA654" s="197" t="str">
        <f t="shared" si="212"/>
        <v/>
      </c>
      <c r="AB654" s="218"/>
      <c r="AC654" s="205"/>
    </row>
    <row r="655" spans="1:29">
      <c r="A655" s="219" t="str">
        <f t="shared" si="213"/>
        <v/>
      </c>
      <c r="B655" s="219"/>
      <c r="C655" s="184"/>
      <c r="D655" s="185"/>
      <c r="E655" s="185" t="str">
        <f>IF(OR(C655="",C655=Data!$B$3),"",IF(C655=Data!$B$2,"L","S"))</f>
        <v/>
      </c>
      <c r="F655" s="185" t="str">
        <f t="shared" si="214"/>
        <v/>
      </c>
      <c r="G655" s="186" t="str">
        <f t="shared" si="205"/>
        <v/>
      </c>
      <c r="H655" s="187"/>
      <c r="I655" s="188" t="str">
        <f t="shared" si="215"/>
        <v/>
      </c>
      <c r="J655" s="188" t="str">
        <f t="shared" si="216"/>
        <v/>
      </c>
      <c r="K655" s="189" t="str">
        <f t="shared" si="217"/>
        <v/>
      </c>
      <c r="L655" s="189" t="str">
        <f t="shared" si="218"/>
        <v/>
      </c>
      <c r="M655" s="190"/>
      <c r="N655" s="190"/>
      <c r="O655" s="188" t="str">
        <f t="shared" si="219"/>
        <v/>
      </c>
      <c r="P655" s="191" t="str">
        <f t="shared" si="206"/>
        <v/>
      </c>
      <c r="Q655" s="192" t="str">
        <f t="shared" si="220"/>
        <v/>
      </c>
      <c r="R655" s="191" t="str">
        <f t="shared" si="207"/>
        <v/>
      </c>
      <c r="S655" s="193" t="str">
        <f t="shared" si="221"/>
        <v/>
      </c>
      <c r="T655" s="194" t="str">
        <f t="shared" si="208"/>
        <v/>
      </c>
      <c r="U655" s="192" t="str">
        <f t="shared" si="222"/>
        <v/>
      </c>
      <c r="V655" s="195" t="str">
        <f t="shared" si="209"/>
        <v/>
      </c>
      <c r="W655" s="195" t="str">
        <f t="shared" si="210"/>
        <v/>
      </c>
      <c r="X655" s="196" t="str">
        <f t="shared" si="223"/>
        <v/>
      </c>
      <c r="Y655" s="191" t="str">
        <f t="shared" si="204"/>
        <v/>
      </c>
      <c r="Z655" s="197" t="str">
        <f t="shared" si="211"/>
        <v/>
      </c>
      <c r="AA655" s="197" t="str">
        <f t="shared" si="212"/>
        <v/>
      </c>
      <c r="AB655" s="218"/>
      <c r="AC655" s="205"/>
    </row>
    <row r="656" spans="1:29">
      <c r="A656" s="219" t="str">
        <f t="shared" si="213"/>
        <v/>
      </c>
      <c r="B656" s="219"/>
      <c r="C656" s="184"/>
      <c r="D656" s="185"/>
      <c r="E656" s="185" t="str">
        <f>IF(OR(C656="",C656=Data!$B$3),"",IF(C656=Data!$B$2,"L","S"))</f>
        <v/>
      </c>
      <c r="F656" s="185" t="str">
        <f t="shared" si="214"/>
        <v/>
      </c>
      <c r="G656" s="186" t="str">
        <f t="shared" si="205"/>
        <v/>
      </c>
      <c r="H656" s="187"/>
      <c r="I656" s="188" t="str">
        <f t="shared" si="215"/>
        <v/>
      </c>
      <c r="J656" s="188" t="str">
        <f t="shared" si="216"/>
        <v/>
      </c>
      <c r="K656" s="189" t="str">
        <f t="shared" si="217"/>
        <v/>
      </c>
      <c r="L656" s="189" t="str">
        <f t="shared" si="218"/>
        <v/>
      </c>
      <c r="M656" s="190"/>
      <c r="N656" s="190"/>
      <c r="O656" s="188" t="str">
        <f t="shared" si="219"/>
        <v/>
      </c>
      <c r="P656" s="191" t="str">
        <f t="shared" si="206"/>
        <v/>
      </c>
      <c r="Q656" s="192" t="str">
        <f t="shared" si="220"/>
        <v/>
      </c>
      <c r="R656" s="191" t="str">
        <f t="shared" si="207"/>
        <v/>
      </c>
      <c r="S656" s="193" t="str">
        <f t="shared" si="221"/>
        <v/>
      </c>
      <c r="T656" s="194" t="str">
        <f t="shared" si="208"/>
        <v/>
      </c>
      <c r="U656" s="192" t="str">
        <f t="shared" si="222"/>
        <v/>
      </c>
      <c r="V656" s="195" t="str">
        <f t="shared" si="209"/>
        <v/>
      </c>
      <c r="W656" s="195" t="str">
        <f t="shared" si="210"/>
        <v/>
      </c>
      <c r="X656" s="196" t="str">
        <f t="shared" si="223"/>
        <v/>
      </c>
      <c r="Y656" s="191" t="str">
        <f t="shared" si="204"/>
        <v/>
      </c>
      <c r="Z656" s="197" t="str">
        <f t="shared" si="211"/>
        <v/>
      </c>
      <c r="AA656" s="197" t="str">
        <f t="shared" si="212"/>
        <v/>
      </c>
      <c r="AB656" s="218"/>
      <c r="AC656" s="205"/>
    </row>
    <row r="657" spans="1:29">
      <c r="A657" s="219" t="str">
        <f t="shared" si="213"/>
        <v/>
      </c>
      <c r="B657" s="219"/>
      <c r="C657" s="184"/>
      <c r="D657" s="185"/>
      <c r="E657" s="185" t="str">
        <f>IF(OR(C657="",C657=Data!$B$3),"",IF(C657=Data!$B$2,"L","S"))</f>
        <v/>
      </c>
      <c r="F657" s="185" t="str">
        <f t="shared" si="214"/>
        <v/>
      </c>
      <c r="G657" s="186" t="str">
        <f t="shared" si="205"/>
        <v/>
      </c>
      <c r="H657" s="187"/>
      <c r="I657" s="188" t="str">
        <f t="shared" si="215"/>
        <v/>
      </c>
      <c r="J657" s="188" t="str">
        <f t="shared" si="216"/>
        <v/>
      </c>
      <c r="K657" s="189" t="str">
        <f t="shared" si="217"/>
        <v/>
      </c>
      <c r="L657" s="189" t="str">
        <f t="shared" si="218"/>
        <v/>
      </c>
      <c r="M657" s="190"/>
      <c r="N657" s="190"/>
      <c r="O657" s="188" t="str">
        <f t="shared" si="219"/>
        <v/>
      </c>
      <c r="P657" s="191" t="str">
        <f t="shared" si="206"/>
        <v/>
      </c>
      <c r="Q657" s="192" t="str">
        <f t="shared" si="220"/>
        <v/>
      </c>
      <c r="R657" s="191" t="str">
        <f t="shared" si="207"/>
        <v/>
      </c>
      <c r="S657" s="193" t="str">
        <f t="shared" si="221"/>
        <v/>
      </c>
      <c r="T657" s="194" t="str">
        <f t="shared" si="208"/>
        <v/>
      </c>
      <c r="U657" s="192" t="str">
        <f t="shared" si="222"/>
        <v/>
      </c>
      <c r="V657" s="195" t="str">
        <f t="shared" si="209"/>
        <v/>
      </c>
      <c r="W657" s="195" t="str">
        <f t="shared" si="210"/>
        <v/>
      </c>
      <c r="X657" s="196" t="str">
        <f t="shared" si="223"/>
        <v/>
      </c>
      <c r="Y657" s="191" t="str">
        <f t="shared" si="204"/>
        <v/>
      </c>
      <c r="Z657" s="197" t="str">
        <f t="shared" si="211"/>
        <v/>
      </c>
      <c r="AA657" s="197" t="str">
        <f t="shared" si="212"/>
        <v/>
      </c>
      <c r="AB657" s="218"/>
      <c r="AC657" s="205"/>
    </row>
    <row r="658" spans="1:29">
      <c r="A658" s="219" t="str">
        <f t="shared" si="213"/>
        <v/>
      </c>
      <c r="B658" s="219"/>
      <c r="C658" s="184"/>
      <c r="D658" s="185"/>
      <c r="E658" s="185" t="str">
        <f>IF(OR(C658="",C658=Data!$B$3),"",IF(C658=Data!$B$2,"L","S"))</f>
        <v/>
      </c>
      <c r="F658" s="185" t="str">
        <f t="shared" si="214"/>
        <v/>
      </c>
      <c r="G658" s="186" t="str">
        <f t="shared" si="205"/>
        <v/>
      </c>
      <c r="H658" s="187"/>
      <c r="I658" s="188" t="str">
        <f t="shared" si="215"/>
        <v/>
      </c>
      <c r="J658" s="188" t="str">
        <f t="shared" si="216"/>
        <v/>
      </c>
      <c r="K658" s="189" t="str">
        <f t="shared" si="217"/>
        <v/>
      </c>
      <c r="L658" s="189" t="str">
        <f t="shared" si="218"/>
        <v/>
      </c>
      <c r="M658" s="190"/>
      <c r="N658" s="190"/>
      <c r="O658" s="188" t="str">
        <f t="shared" si="219"/>
        <v/>
      </c>
      <c r="P658" s="191" t="str">
        <f t="shared" si="206"/>
        <v/>
      </c>
      <c r="Q658" s="192" t="str">
        <f t="shared" si="220"/>
        <v/>
      </c>
      <c r="R658" s="191" t="str">
        <f t="shared" si="207"/>
        <v/>
      </c>
      <c r="S658" s="193" t="str">
        <f t="shared" si="221"/>
        <v/>
      </c>
      <c r="T658" s="194" t="str">
        <f t="shared" si="208"/>
        <v/>
      </c>
      <c r="U658" s="192" t="str">
        <f t="shared" si="222"/>
        <v/>
      </c>
      <c r="V658" s="195" t="str">
        <f t="shared" si="209"/>
        <v/>
      </c>
      <c r="W658" s="195" t="str">
        <f t="shared" si="210"/>
        <v/>
      </c>
      <c r="X658" s="196" t="str">
        <f t="shared" si="223"/>
        <v/>
      </c>
      <c r="Y658" s="191" t="str">
        <f t="shared" si="204"/>
        <v/>
      </c>
      <c r="Z658" s="197" t="str">
        <f t="shared" si="211"/>
        <v/>
      </c>
      <c r="AA658" s="197" t="str">
        <f t="shared" si="212"/>
        <v/>
      </c>
      <c r="AB658" s="218"/>
      <c r="AC658" s="205"/>
    </row>
    <row r="659" spans="1:29">
      <c r="A659" s="219" t="str">
        <f t="shared" si="213"/>
        <v/>
      </c>
      <c r="B659" s="219"/>
      <c r="C659" s="184"/>
      <c r="D659" s="185"/>
      <c r="E659" s="185" t="str">
        <f>IF(OR(C659="",C659=Data!$B$3),"",IF(C659=Data!$B$2,"L","S"))</f>
        <v/>
      </c>
      <c r="F659" s="185" t="str">
        <f t="shared" si="214"/>
        <v/>
      </c>
      <c r="G659" s="186" t="str">
        <f t="shared" si="205"/>
        <v/>
      </c>
      <c r="H659" s="187"/>
      <c r="I659" s="188" t="str">
        <f t="shared" si="215"/>
        <v/>
      </c>
      <c r="J659" s="188" t="str">
        <f t="shared" si="216"/>
        <v/>
      </c>
      <c r="K659" s="189" t="str">
        <f t="shared" si="217"/>
        <v/>
      </c>
      <c r="L659" s="189" t="str">
        <f t="shared" si="218"/>
        <v/>
      </c>
      <c r="M659" s="190"/>
      <c r="N659" s="190"/>
      <c r="O659" s="188" t="str">
        <f t="shared" si="219"/>
        <v/>
      </c>
      <c r="P659" s="191" t="str">
        <f t="shared" si="206"/>
        <v/>
      </c>
      <c r="Q659" s="192" t="str">
        <f t="shared" si="220"/>
        <v/>
      </c>
      <c r="R659" s="191" t="str">
        <f t="shared" si="207"/>
        <v/>
      </c>
      <c r="S659" s="193" t="str">
        <f t="shared" si="221"/>
        <v/>
      </c>
      <c r="T659" s="194" t="str">
        <f t="shared" si="208"/>
        <v/>
      </c>
      <c r="U659" s="192" t="str">
        <f t="shared" si="222"/>
        <v/>
      </c>
      <c r="V659" s="195" t="str">
        <f t="shared" si="209"/>
        <v/>
      </c>
      <c r="W659" s="195" t="str">
        <f t="shared" si="210"/>
        <v/>
      </c>
      <c r="X659" s="196" t="str">
        <f t="shared" si="223"/>
        <v/>
      </c>
      <c r="Y659" s="191" t="str">
        <f t="shared" si="204"/>
        <v/>
      </c>
      <c r="Z659" s="197" t="str">
        <f t="shared" si="211"/>
        <v/>
      </c>
      <c r="AA659" s="197" t="str">
        <f t="shared" si="212"/>
        <v/>
      </c>
      <c r="AB659" s="218"/>
      <c r="AC659" s="205"/>
    </row>
    <row r="660" spans="1:29">
      <c r="A660" s="219" t="str">
        <f t="shared" si="213"/>
        <v/>
      </c>
      <c r="B660" s="219"/>
      <c r="C660" s="184"/>
      <c r="D660" s="185"/>
      <c r="E660" s="185" t="str">
        <f>IF(OR(C660="",C660=Data!$B$3),"",IF(C660=Data!$B$2,"L","S"))</f>
        <v/>
      </c>
      <c r="F660" s="185" t="str">
        <f t="shared" si="214"/>
        <v/>
      </c>
      <c r="G660" s="186" t="str">
        <f t="shared" si="205"/>
        <v/>
      </c>
      <c r="H660" s="187"/>
      <c r="I660" s="188" t="str">
        <f t="shared" si="215"/>
        <v/>
      </c>
      <c r="J660" s="188" t="str">
        <f t="shared" si="216"/>
        <v/>
      </c>
      <c r="K660" s="189" t="str">
        <f t="shared" si="217"/>
        <v/>
      </c>
      <c r="L660" s="189" t="str">
        <f t="shared" si="218"/>
        <v/>
      </c>
      <c r="M660" s="190"/>
      <c r="N660" s="190"/>
      <c r="O660" s="188" t="str">
        <f t="shared" si="219"/>
        <v/>
      </c>
      <c r="P660" s="191" t="str">
        <f t="shared" si="206"/>
        <v/>
      </c>
      <c r="Q660" s="192" t="str">
        <f t="shared" si="220"/>
        <v/>
      </c>
      <c r="R660" s="191" t="str">
        <f t="shared" si="207"/>
        <v/>
      </c>
      <c r="S660" s="193" t="str">
        <f t="shared" si="221"/>
        <v/>
      </c>
      <c r="T660" s="194" t="str">
        <f t="shared" si="208"/>
        <v/>
      </c>
      <c r="U660" s="192" t="str">
        <f t="shared" si="222"/>
        <v/>
      </c>
      <c r="V660" s="195" t="str">
        <f t="shared" si="209"/>
        <v/>
      </c>
      <c r="W660" s="195" t="str">
        <f t="shared" si="210"/>
        <v/>
      </c>
      <c r="X660" s="196" t="str">
        <f t="shared" si="223"/>
        <v/>
      </c>
      <c r="Y660" s="191" t="str">
        <f t="shared" ref="Y660:Y723" si="224">IF(Y659="","",IF(T660="","",Y659+T660))</f>
        <v/>
      </c>
      <c r="Z660" s="197" t="str">
        <f t="shared" si="211"/>
        <v/>
      </c>
      <c r="AA660" s="197" t="str">
        <f t="shared" si="212"/>
        <v/>
      </c>
      <c r="AB660" s="218"/>
      <c r="AC660" s="205"/>
    </row>
    <row r="661" spans="1:29">
      <c r="A661" s="219" t="str">
        <f t="shared" si="213"/>
        <v/>
      </c>
      <c r="B661" s="219"/>
      <c r="C661" s="184"/>
      <c r="D661" s="185"/>
      <c r="E661" s="185" t="str">
        <f>IF(OR(C661="",C661=Data!$B$3),"",IF(C661=Data!$B$2,"L","S"))</f>
        <v/>
      </c>
      <c r="F661" s="185" t="str">
        <f t="shared" si="214"/>
        <v/>
      </c>
      <c r="G661" s="186" t="str">
        <f t="shared" si="205"/>
        <v/>
      </c>
      <c r="H661" s="187"/>
      <c r="I661" s="188" t="str">
        <f t="shared" si="215"/>
        <v/>
      </c>
      <c r="J661" s="188" t="str">
        <f t="shared" si="216"/>
        <v/>
      </c>
      <c r="K661" s="189" t="str">
        <f t="shared" si="217"/>
        <v/>
      </c>
      <c r="L661" s="189" t="str">
        <f t="shared" si="218"/>
        <v/>
      </c>
      <c r="M661" s="190"/>
      <c r="N661" s="190"/>
      <c r="O661" s="188" t="str">
        <f t="shared" si="219"/>
        <v/>
      </c>
      <c r="P661" s="191" t="str">
        <f t="shared" si="206"/>
        <v/>
      </c>
      <c r="Q661" s="192" t="str">
        <f t="shared" si="220"/>
        <v/>
      </c>
      <c r="R661" s="191" t="str">
        <f t="shared" si="207"/>
        <v/>
      </c>
      <c r="S661" s="193" t="str">
        <f t="shared" si="221"/>
        <v/>
      </c>
      <c r="T661" s="194" t="str">
        <f t="shared" si="208"/>
        <v/>
      </c>
      <c r="U661" s="192" t="str">
        <f t="shared" si="222"/>
        <v/>
      </c>
      <c r="V661" s="195" t="str">
        <f t="shared" si="209"/>
        <v/>
      </c>
      <c r="W661" s="195" t="str">
        <f t="shared" si="210"/>
        <v/>
      </c>
      <c r="X661" s="196" t="str">
        <f t="shared" si="223"/>
        <v/>
      </c>
      <c r="Y661" s="191" t="str">
        <f t="shared" si="224"/>
        <v/>
      </c>
      <c r="Z661" s="197" t="str">
        <f t="shared" si="211"/>
        <v/>
      </c>
      <c r="AA661" s="197" t="str">
        <f t="shared" si="212"/>
        <v/>
      </c>
      <c r="AB661" s="218"/>
      <c r="AC661" s="205"/>
    </row>
    <row r="662" spans="1:29">
      <c r="A662" s="219" t="str">
        <f t="shared" si="213"/>
        <v/>
      </c>
      <c r="B662" s="219"/>
      <c r="C662" s="184"/>
      <c r="D662" s="185"/>
      <c r="E662" s="185" t="str">
        <f>IF(OR(C662="",C662=Data!$B$3),"",IF(C662=Data!$B$2,"L","S"))</f>
        <v/>
      </c>
      <c r="F662" s="185" t="str">
        <f t="shared" si="214"/>
        <v/>
      </c>
      <c r="G662" s="186" t="str">
        <f t="shared" si="205"/>
        <v/>
      </c>
      <c r="H662" s="187"/>
      <c r="I662" s="188" t="str">
        <f t="shared" si="215"/>
        <v/>
      </c>
      <c r="J662" s="188" t="str">
        <f t="shared" si="216"/>
        <v/>
      </c>
      <c r="K662" s="189" t="str">
        <f t="shared" si="217"/>
        <v/>
      </c>
      <c r="L662" s="189" t="str">
        <f t="shared" si="218"/>
        <v/>
      </c>
      <c r="M662" s="190"/>
      <c r="N662" s="190"/>
      <c r="O662" s="188" t="str">
        <f t="shared" si="219"/>
        <v/>
      </c>
      <c r="P662" s="191" t="str">
        <f t="shared" si="206"/>
        <v/>
      </c>
      <c r="Q662" s="192" t="str">
        <f t="shared" si="220"/>
        <v/>
      </c>
      <c r="R662" s="191" t="str">
        <f t="shared" si="207"/>
        <v/>
      </c>
      <c r="S662" s="193" t="str">
        <f t="shared" si="221"/>
        <v/>
      </c>
      <c r="T662" s="194" t="str">
        <f t="shared" si="208"/>
        <v/>
      </c>
      <c r="U662" s="192" t="str">
        <f t="shared" si="222"/>
        <v/>
      </c>
      <c r="V662" s="195" t="str">
        <f t="shared" si="209"/>
        <v/>
      </c>
      <c r="W662" s="195" t="str">
        <f t="shared" si="210"/>
        <v/>
      </c>
      <c r="X662" s="196" t="str">
        <f t="shared" si="223"/>
        <v/>
      </c>
      <c r="Y662" s="191" t="str">
        <f t="shared" si="224"/>
        <v/>
      </c>
      <c r="Z662" s="197" t="str">
        <f t="shared" si="211"/>
        <v/>
      </c>
      <c r="AA662" s="197" t="str">
        <f t="shared" si="212"/>
        <v/>
      </c>
      <c r="AB662" s="218"/>
      <c r="AC662" s="205"/>
    </row>
    <row r="663" spans="1:29">
      <c r="A663" s="219" t="str">
        <f t="shared" si="213"/>
        <v/>
      </c>
      <c r="B663" s="219"/>
      <c r="C663" s="184"/>
      <c r="D663" s="185"/>
      <c r="E663" s="185" t="str">
        <f>IF(OR(C663="",C663=Data!$B$3),"",IF(C663=Data!$B$2,"L","S"))</f>
        <v/>
      </c>
      <c r="F663" s="185" t="str">
        <f t="shared" si="214"/>
        <v/>
      </c>
      <c r="G663" s="186" t="str">
        <f t="shared" si="205"/>
        <v/>
      </c>
      <c r="H663" s="187"/>
      <c r="I663" s="188" t="str">
        <f t="shared" si="215"/>
        <v/>
      </c>
      <c r="J663" s="188" t="str">
        <f t="shared" si="216"/>
        <v/>
      </c>
      <c r="K663" s="189" t="str">
        <f t="shared" si="217"/>
        <v/>
      </c>
      <c r="L663" s="189" t="str">
        <f t="shared" si="218"/>
        <v/>
      </c>
      <c r="M663" s="190"/>
      <c r="N663" s="190"/>
      <c r="O663" s="188" t="str">
        <f t="shared" si="219"/>
        <v/>
      </c>
      <c r="P663" s="191" t="str">
        <f t="shared" si="206"/>
        <v/>
      </c>
      <c r="Q663" s="192" t="str">
        <f t="shared" si="220"/>
        <v/>
      </c>
      <c r="R663" s="191" t="str">
        <f t="shared" si="207"/>
        <v/>
      </c>
      <c r="S663" s="193" t="str">
        <f t="shared" si="221"/>
        <v/>
      </c>
      <c r="T663" s="194" t="str">
        <f t="shared" si="208"/>
        <v/>
      </c>
      <c r="U663" s="192" t="str">
        <f t="shared" si="222"/>
        <v/>
      </c>
      <c r="V663" s="195" t="str">
        <f t="shared" si="209"/>
        <v/>
      </c>
      <c r="W663" s="195" t="str">
        <f t="shared" si="210"/>
        <v/>
      </c>
      <c r="X663" s="196" t="str">
        <f t="shared" si="223"/>
        <v/>
      </c>
      <c r="Y663" s="191" t="str">
        <f t="shared" si="224"/>
        <v/>
      </c>
      <c r="Z663" s="197" t="str">
        <f t="shared" si="211"/>
        <v/>
      </c>
      <c r="AA663" s="197" t="str">
        <f t="shared" si="212"/>
        <v/>
      </c>
      <c r="AB663" s="218"/>
      <c r="AC663" s="205"/>
    </row>
    <row r="664" spans="1:29">
      <c r="A664" s="219" t="str">
        <f t="shared" si="213"/>
        <v/>
      </c>
      <c r="B664" s="219"/>
      <c r="C664" s="184"/>
      <c r="D664" s="185"/>
      <c r="E664" s="185" t="str">
        <f>IF(OR(C664="",C664=Data!$B$3),"",IF(C664=Data!$B$2,"L","S"))</f>
        <v/>
      </c>
      <c r="F664" s="185" t="str">
        <f t="shared" si="214"/>
        <v/>
      </c>
      <c r="G664" s="186" t="str">
        <f t="shared" si="205"/>
        <v/>
      </c>
      <c r="H664" s="187"/>
      <c r="I664" s="188" t="str">
        <f t="shared" si="215"/>
        <v/>
      </c>
      <c r="J664" s="188" t="str">
        <f t="shared" si="216"/>
        <v/>
      </c>
      <c r="K664" s="189" t="str">
        <f t="shared" si="217"/>
        <v/>
      </c>
      <c r="L664" s="189" t="str">
        <f t="shared" si="218"/>
        <v/>
      </c>
      <c r="M664" s="190"/>
      <c r="N664" s="190"/>
      <c r="O664" s="188" t="str">
        <f t="shared" si="219"/>
        <v/>
      </c>
      <c r="P664" s="191" t="str">
        <f t="shared" si="206"/>
        <v/>
      </c>
      <c r="Q664" s="192" t="str">
        <f t="shared" si="220"/>
        <v/>
      </c>
      <c r="R664" s="191" t="str">
        <f t="shared" si="207"/>
        <v/>
      </c>
      <c r="S664" s="193" t="str">
        <f t="shared" si="221"/>
        <v/>
      </c>
      <c r="T664" s="194" t="str">
        <f t="shared" si="208"/>
        <v/>
      </c>
      <c r="U664" s="192" t="str">
        <f t="shared" si="222"/>
        <v/>
      </c>
      <c r="V664" s="195" t="str">
        <f t="shared" si="209"/>
        <v/>
      </c>
      <c r="W664" s="195" t="str">
        <f t="shared" si="210"/>
        <v/>
      </c>
      <c r="X664" s="196" t="str">
        <f t="shared" si="223"/>
        <v/>
      </c>
      <c r="Y664" s="191" t="str">
        <f t="shared" si="224"/>
        <v/>
      </c>
      <c r="Z664" s="197" t="str">
        <f t="shared" si="211"/>
        <v/>
      </c>
      <c r="AA664" s="197" t="str">
        <f t="shared" si="212"/>
        <v/>
      </c>
      <c r="AB664" s="218"/>
      <c r="AC664" s="205"/>
    </row>
    <row r="665" spans="1:29">
      <c r="A665" s="219" t="str">
        <f t="shared" si="213"/>
        <v/>
      </c>
      <c r="B665" s="219"/>
      <c r="C665" s="184"/>
      <c r="D665" s="185"/>
      <c r="E665" s="185" t="str">
        <f>IF(OR(C665="",C665=Data!$B$3),"",IF(C665=Data!$B$2,"L","S"))</f>
        <v/>
      </c>
      <c r="F665" s="185" t="str">
        <f t="shared" si="214"/>
        <v/>
      </c>
      <c r="G665" s="186" t="str">
        <f t="shared" si="205"/>
        <v/>
      </c>
      <c r="H665" s="187"/>
      <c r="I665" s="188" t="str">
        <f t="shared" si="215"/>
        <v/>
      </c>
      <c r="J665" s="188" t="str">
        <f t="shared" si="216"/>
        <v/>
      </c>
      <c r="K665" s="189" t="str">
        <f t="shared" si="217"/>
        <v/>
      </c>
      <c r="L665" s="189" t="str">
        <f t="shared" si="218"/>
        <v/>
      </c>
      <c r="M665" s="190"/>
      <c r="N665" s="190"/>
      <c r="O665" s="188" t="str">
        <f t="shared" si="219"/>
        <v/>
      </c>
      <c r="P665" s="191" t="str">
        <f t="shared" si="206"/>
        <v/>
      </c>
      <c r="Q665" s="192" t="str">
        <f t="shared" si="220"/>
        <v/>
      </c>
      <c r="R665" s="191" t="str">
        <f t="shared" si="207"/>
        <v/>
      </c>
      <c r="S665" s="193" t="str">
        <f t="shared" si="221"/>
        <v/>
      </c>
      <c r="T665" s="194" t="str">
        <f t="shared" si="208"/>
        <v/>
      </c>
      <c r="U665" s="192" t="str">
        <f t="shared" si="222"/>
        <v/>
      </c>
      <c r="V665" s="195" t="str">
        <f t="shared" si="209"/>
        <v/>
      </c>
      <c r="W665" s="195" t="str">
        <f t="shared" si="210"/>
        <v/>
      </c>
      <c r="X665" s="196" t="str">
        <f t="shared" si="223"/>
        <v/>
      </c>
      <c r="Y665" s="191" t="str">
        <f t="shared" si="224"/>
        <v/>
      </c>
      <c r="Z665" s="197" t="str">
        <f t="shared" si="211"/>
        <v/>
      </c>
      <c r="AA665" s="197" t="str">
        <f t="shared" si="212"/>
        <v/>
      </c>
      <c r="AB665" s="218"/>
      <c r="AC665" s="205"/>
    </row>
    <row r="666" spans="1:29">
      <c r="A666" s="219" t="str">
        <f t="shared" si="213"/>
        <v/>
      </c>
      <c r="B666" s="219"/>
      <c r="C666" s="184"/>
      <c r="D666" s="185"/>
      <c r="E666" s="185" t="str">
        <f>IF(OR(C666="",C666=Data!$B$3),"",IF(C666=Data!$B$2,"L","S"))</f>
        <v/>
      </c>
      <c r="F666" s="185" t="str">
        <f t="shared" si="214"/>
        <v/>
      </c>
      <c r="G666" s="186" t="str">
        <f t="shared" si="205"/>
        <v/>
      </c>
      <c r="H666" s="187"/>
      <c r="I666" s="188" t="str">
        <f t="shared" si="215"/>
        <v/>
      </c>
      <c r="J666" s="188" t="str">
        <f t="shared" si="216"/>
        <v/>
      </c>
      <c r="K666" s="189" t="str">
        <f t="shared" si="217"/>
        <v/>
      </c>
      <c r="L666" s="189" t="str">
        <f t="shared" si="218"/>
        <v/>
      </c>
      <c r="M666" s="190"/>
      <c r="N666" s="190"/>
      <c r="O666" s="188" t="str">
        <f t="shared" si="219"/>
        <v/>
      </c>
      <c r="P666" s="191" t="str">
        <f t="shared" si="206"/>
        <v/>
      </c>
      <c r="Q666" s="192" t="str">
        <f t="shared" si="220"/>
        <v/>
      </c>
      <c r="R666" s="191" t="str">
        <f t="shared" si="207"/>
        <v/>
      </c>
      <c r="S666" s="193" t="str">
        <f t="shared" si="221"/>
        <v/>
      </c>
      <c r="T666" s="194" t="str">
        <f t="shared" si="208"/>
        <v/>
      </c>
      <c r="U666" s="192" t="str">
        <f t="shared" si="222"/>
        <v/>
      </c>
      <c r="V666" s="195" t="str">
        <f t="shared" si="209"/>
        <v/>
      </c>
      <c r="W666" s="195" t="str">
        <f t="shared" si="210"/>
        <v/>
      </c>
      <c r="X666" s="196" t="str">
        <f t="shared" si="223"/>
        <v/>
      </c>
      <c r="Y666" s="191" t="str">
        <f t="shared" si="224"/>
        <v/>
      </c>
      <c r="Z666" s="197" t="str">
        <f t="shared" si="211"/>
        <v/>
      </c>
      <c r="AA666" s="197" t="str">
        <f t="shared" si="212"/>
        <v/>
      </c>
      <c r="AB666" s="218"/>
      <c r="AC666" s="205"/>
    </row>
    <row r="667" spans="1:29">
      <c r="A667" s="219" t="str">
        <f t="shared" si="213"/>
        <v/>
      </c>
      <c r="B667" s="219"/>
      <c r="C667" s="184"/>
      <c r="D667" s="185"/>
      <c r="E667" s="185" t="str">
        <f>IF(OR(C667="",C667=Data!$B$3),"",IF(C667=Data!$B$2,"L","S"))</f>
        <v/>
      </c>
      <c r="F667" s="185" t="str">
        <f t="shared" si="214"/>
        <v/>
      </c>
      <c r="G667" s="186" t="str">
        <f t="shared" si="205"/>
        <v/>
      </c>
      <c r="H667" s="187"/>
      <c r="I667" s="188" t="str">
        <f t="shared" si="215"/>
        <v/>
      </c>
      <c r="J667" s="188" t="str">
        <f t="shared" si="216"/>
        <v/>
      </c>
      <c r="K667" s="189" t="str">
        <f t="shared" si="217"/>
        <v/>
      </c>
      <c r="L667" s="189" t="str">
        <f t="shared" si="218"/>
        <v/>
      </c>
      <c r="M667" s="190"/>
      <c r="N667" s="190"/>
      <c r="O667" s="188" t="str">
        <f t="shared" si="219"/>
        <v/>
      </c>
      <c r="P667" s="191" t="str">
        <f t="shared" si="206"/>
        <v/>
      </c>
      <c r="Q667" s="192" t="str">
        <f t="shared" si="220"/>
        <v/>
      </c>
      <c r="R667" s="191" t="str">
        <f t="shared" si="207"/>
        <v/>
      </c>
      <c r="S667" s="193" t="str">
        <f t="shared" si="221"/>
        <v/>
      </c>
      <c r="T667" s="194" t="str">
        <f t="shared" si="208"/>
        <v/>
      </c>
      <c r="U667" s="192" t="str">
        <f t="shared" si="222"/>
        <v/>
      </c>
      <c r="V667" s="195" t="str">
        <f t="shared" si="209"/>
        <v/>
      </c>
      <c r="W667" s="195" t="str">
        <f t="shared" si="210"/>
        <v/>
      </c>
      <c r="X667" s="196" t="str">
        <f t="shared" si="223"/>
        <v/>
      </c>
      <c r="Y667" s="191" t="str">
        <f t="shared" si="224"/>
        <v/>
      </c>
      <c r="Z667" s="197" t="str">
        <f t="shared" si="211"/>
        <v/>
      </c>
      <c r="AA667" s="197" t="str">
        <f t="shared" si="212"/>
        <v/>
      </c>
      <c r="AB667" s="218"/>
      <c r="AC667" s="205"/>
    </row>
    <row r="668" spans="1:29">
      <c r="A668" s="219" t="str">
        <f t="shared" si="213"/>
        <v/>
      </c>
      <c r="B668" s="219"/>
      <c r="C668" s="184"/>
      <c r="D668" s="185"/>
      <c r="E668" s="185" t="str">
        <f>IF(OR(C668="",C668=Data!$B$3),"",IF(C668=Data!$B$2,"L","S"))</f>
        <v/>
      </c>
      <c r="F668" s="185" t="str">
        <f t="shared" si="214"/>
        <v/>
      </c>
      <c r="G668" s="186" t="str">
        <f t="shared" si="205"/>
        <v/>
      </c>
      <c r="H668" s="187"/>
      <c r="I668" s="188" t="str">
        <f t="shared" si="215"/>
        <v/>
      </c>
      <c r="J668" s="188" t="str">
        <f t="shared" si="216"/>
        <v/>
      </c>
      <c r="K668" s="189" t="str">
        <f t="shared" si="217"/>
        <v/>
      </c>
      <c r="L668" s="189" t="str">
        <f t="shared" si="218"/>
        <v/>
      </c>
      <c r="M668" s="190"/>
      <c r="N668" s="190"/>
      <c r="O668" s="188" t="str">
        <f t="shared" si="219"/>
        <v/>
      </c>
      <c r="P668" s="191" t="str">
        <f t="shared" si="206"/>
        <v/>
      </c>
      <c r="Q668" s="192" t="str">
        <f t="shared" si="220"/>
        <v/>
      </c>
      <c r="R668" s="191" t="str">
        <f t="shared" si="207"/>
        <v/>
      </c>
      <c r="S668" s="193" t="str">
        <f t="shared" si="221"/>
        <v/>
      </c>
      <c r="T668" s="194" t="str">
        <f t="shared" si="208"/>
        <v/>
      </c>
      <c r="U668" s="192" t="str">
        <f t="shared" si="222"/>
        <v/>
      </c>
      <c r="V668" s="195" t="str">
        <f t="shared" si="209"/>
        <v/>
      </c>
      <c r="W668" s="195" t="str">
        <f t="shared" si="210"/>
        <v/>
      </c>
      <c r="X668" s="196" t="str">
        <f t="shared" si="223"/>
        <v/>
      </c>
      <c r="Y668" s="191" t="str">
        <f t="shared" si="224"/>
        <v/>
      </c>
      <c r="Z668" s="197" t="str">
        <f t="shared" si="211"/>
        <v/>
      </c>
      <c r="AA668" s="197" t="str">
        <f t="shared" si="212"/>
        <v/>
      </c>
      <c r="AB668" s="218"/>
      <c r="AC668" s="205"/>
    </row>
    <row r="669" spans="1:29">
      <c r="A669" s="219" t="str">
        <f t="shared" si="213"/>
        <v/>
      </c>
      <c r="B669" s="219"/>
      <c r="C669" s="184"/>
      <c r="D669" s="185"/>
      <c r="E669" s="185" t="str">
        <f>IF(OR(C669="",C669=Data!$B$3),"",IF(C669=Data!$B$2,"L","S"))</f>
        <v/>
      </c>
      <c r="F669" s="185" t="str">
        <f t="shared" si="214"/>
        <v/>
      </c>
      <c r="G669" s="186" t="str">
        <f t="shared" si="205"/>
        <v/>
      </c>
      <c r="H669" s="187"/>
      <c r="I669" s="188" t="str">
        <f t="shared" si="215"/>
        <v/>
      </c>
      <c r="J669" s="188" t="str">
        <f t="shared" si="216"/>
        <v/>
      </c>
      <c r="K669" s="189" t="str">
        <f t="shared" si="217"/>
        <v/>
      </c>
      <c r="L669" s="189" t="str">
        <f t="shared" si="218"/>
        <v/>
      </c>
      <c r="M669" s="190"/>
      <c r="N669" s="190"/>
      <c r="O669" s="188" t="str">
        <f t="shared" si="219"/>
        <v/>
      </c>
      <c r="P669" s="191" t="str">
        <f t="shared" si="206"/>
        <v/>
      </c>
      <c r="Q669" s="192" t="str">
        <f t="shared" si="220"/>
        <v/>
      </c>
      <c r="R669" s="191" t="str">
        <f t="shared" si="207"/>
        <v/>
      </c>
      <c r="S669" s="193" t="str">
        <f t="shared" si="221"/>
        <v/>
      </c>
      <c r="T669" s="194" t="str">
        <f t="shared" si="208"/>
        <v/>
      </c>
      <c r="U669" s="192" t="str">
        <f t="shared" si="222"/>
        <v/>
      </c>
      <c r="V669" s="195" t="str">
        <f t="shared" si="209"/>
        <v/>
      </c>
      <c r="W669" s="195" t="str">
        <f t="shared" si="210"/>
        <v/>
      </c>
      <c r="X669" s="196" t="str">
        <f t="shared" si="223"/>
        <v/>
      </c>
      <c r="Y669" s="191" t="str">
        <f t="shared" si="224"/>
        <v/>
      </c>
      <c r="Z669" s="197" t="str">
        <f t="shared" si="211"/>
        <v/>
      </c>
      <c r="AA669" s="197" t="str">
        <f t="shared" si="212"/>
        <v/>
      </c>
      <c r="AB669" s="218"/>
      <c r="AC669" s="205"/>
    </row>
    <row r="670" spans="1:29">
      <c r="A670" s="219" t="str">
        <f t="shared" si="213"/>
        <v/>
      </c>
      <c r="B670" s="219"/>
      <c r="C670" s="184"/>
      <c r="D670" s="185"/>
      <c r="E670" s="185" t="str">
        <f>IF(OR(C670="",C670=Data!$B$3),"",IF(C670=Data!$B$2,"L","S"))</f>
        <v/>
      </c>
      <c r="F670" s="185" t="str">
        <f t="shared" si="214"/>
        <v/>
      </c>
      <c r="G670" s="186" t="str">
        <f t="shared" si="205"/>
        <v/>
      </c>
      <c r="H670" s="187"/>
      <c r="I670" s="188" t="str">
        <f t="shared" si="215"/>
        <v/>
      </c>
      <c r="J670" s="188" t="str">
        <f t="shared" si="216"/>
        <v/>
      </c>
      <c r="K670" s="189" t="str">
        <f t="shared" si="217"/>
        <v/>
      </c>
      <c r="L670" s="189" t="str">
        <f t="shared" si="218"/>
        <v/>
      </c>
      <c r="M670" s="190"/>
      <c r="N670" s="190"/>
      <c r="O670" s="188" t="str">
        <f t="shared" si="219"/>
        <v/>
      </c>
      <c r="P670" s="191" t="str">
        <f t="shared" si="206"/>
        <v/>
      </c>
      <c r="Q670" s="192" t="str">
        <f t="shared" si="220"/>
        <v/>
      </c>
      <c r="R670" s="191" t="str">
        <f t="shared" si="207"/>
        <v/>
      </c>
      <c r="S670" s="193" t="str">
        <f t="shared" si="221"/>
        <v/>
      </c>
      <c r="T670" s="194" t="str">
        <f t="shared" si="208"/>
        <v/>
      </c>
      <c r="U670" s="192" t="str">
        <f t="shared" si="222"/>
        <v/>
      </c>
      <c r="V670" s="195" t="str">
        <f t="shared" si="209"/>
        <v/>
      </c>
      <c r="W670" s="195" t="str">
        <f t="shared" si="210"/>
        <v/>
      </c>
      <c r="X670" s="196" t="str">
        <f t="shared" si="223"/>
        <v/>
      </c>
      <c r="Y670" s="191" t="str">
        <f t="shared" si="224"/>
        <v/>
      </c>
      <c r="Z670" s="197" t="str">
        <f t="shared" si="211"/>
        <v/>
      </c>
      <c r="AA670" s="197" t="str">
        <f t="shared" si="212"/>
        <v/>
      </c>
      <c r="AB670" s="218"/>
      <c r="AC670" s="205"/>
    </row>
    <row r="671" spans="1:29">
      <c r="A671" s="219" t="str">
        <f t="shared" si="213"/>
        <v/>
      </c>
      <c r="B671" s="219"/>
      <c r="C671" s="184"/>
      <c r="D671" s="185"/>
      <c r="E671" s="185" t="str">
        <f>IF(OR(C671="",C671=Data!$B$3),"",IF(C671=Data!$B$2,"L","S"))</f>
        <v/>
      </c>
      <c r="F671" s="185" t="str">
        <f t="shared" si="214"/>
        <v/>
      </c>
      <c r="G671" s="186" t="str">
        <f t="shared" si="205"/>
        <v/>
      </c>
      <c r="H671" s="187"/>
      <c r="I671" s="188" t="str">
        <f t="shared" si="215"/>
        <v/>
      </c>
      <c r="J671" s="188" t="str">
        <f t="shared" si="216"/>
        <v/>
      </c>
      <c r="K671" s="189" t="str">
        <f t="shared" si="217"/>
        <v/>
      </c>
      <c r="L671" s="189" t="str">
        <f t="shared" si="218"/>
        <v/>
      </c>
      <c r="M671" s="190"/>
      <c r="N671" s="190"/>
      <c r="O671" s="188" t="str">
        <f t="shared" si="219"/>
        <v/>
      </c>
      <c r="P671" s="191" t="str">
        <f t="shared" si="206"/>
        <v/>
      </c>
      <c r="Q671" s="192" t="str">
        <f t="shared" si="220"/>
        <v/>
      </c>
      <c r="R671" s="191" t="str">
        <f t="shared" si="207"/>
        <v/>
      </c>
      <c r="S671" s="193" t="str">
        <f t="shared" si="221"/>
        <v/>
      </c>
      <c r="T671" s="194" t="str">
        <f t="shared" si="208"/>
        <v/>
      </c>
      <c r="U671" s="192" t="str">
        <f t="shared" si="222"/>
        <v/>
      </c>
      <c r="V671" s="195" t="str">
        <f t="shared" si="209"/>
        <v/>
      </c>
      <c r="W671" s="195" t="str">
        <f t="shared" si="210"/>
        <v/>
      </c>
      <c r="X671" s="196" t="str">
        <f t="shared" si="223"/>
        <v/>
      </c>
      <c r="Y671" s="191" t="str">
        <f t="shared" si="224"/>
        <v/>
      </c>
      <c r="Z671" s="197" t="str">
        <f t="shared" si="211"/>
        <v/>
      </c>
      <c r="AA671" s="197" t="str">
        <f t="shared" si="212"/>
        <v/>
      </c>
      <c r="AB671" s="218"/>
      <c r="AC671" s="205"/>
    </row>
    <row r="672" spans="1:29">
      <c r="A672" s="219" t="str">
        <f t="shared" si="213"/>
        <v/>
      </c>
      <c r="B672" s="219"/>
      <c r="C672" s="184"/>
      <c r="D672" s="185"/>
      <c r="E672" s="185" t="str">
        <f>IF(OR(C672="",C672=Data!$B$3),"",IF(C672=Data!$B$2,"L","S"))</f>
        <v/>
      </c>
      <c r="F672" s="185" t="str">
        <f t="shared" si="214"/>
        <v/>
      </c>
      <c r="G672" s="186" t="str">
        <f t="shared" si="205"/>
        <v/>
      </c>
      <c r="H672" s="187"/>
      <c r="I672" s="188" t="str">
        <f t="shared" si="215"/>
        <v/>
      </c>
      <c r="J672" s="188" t="str">
        <f t="shared" si="216"/>
        <v/>
      </c>
      <c r="K672" s="189" t="str">
        <f t="shared" si="217"/>
        <v/>
      </c>
      <c r="L672" s="189" t="str">
        <f t="shared" si="218"/>
        <v/>
      </c>
      <c r="M672" s="190"/>
      <c r="N672" s="190"/>
      <c r="O672" s="188" t="str">
        <f t="shared" si="219"/>
        <v/>
      </c>
      <c r="P672" s="191" t="str">
        <f t="shared" si="206"/>
        <v/>
      </c>
      <c r="Q672" s="192" t="str">
        <f t="shared" si="220"/>
        <v/>
      </c>
      <c r="R672" s="191" t="str">
        <f t="shared" si="207"/>
        <v/>
      </c>
      <c r="S672" s="193" t="str">
        <f t="shared" si="221"/>
        <v/>
      </c>
      <c r="T672" s="194" t="str">
        <f t="shared" si="208"/>
        <v/>
      </c>
      <c r="U672" s="192" t="str">
        <f t="shared" si="222"/>
        <v/>
      </c>
      <c r="V672" s="195" t="str">
        <f t="shared" si="209"/>
        <v/>
      </c>
      <c r="W672" s="195" t="str">
        <f t="shared" si="210"/>
        <v/>
      </c>
      <c r="X672" s="196" t="str">
        <f t="shared" si="223"/>
        <v/>
      </c>
      <c r="Y672" s="191" t="str">
        <f t="shared" si="224"/>
        <v/>
      </c>
      <c r="Z672" s="197" t="str">
        <f t="shared" si="211"/>
        <v/>
      </c>
      <c r="AA672" s="197" t="str">
        <f t="shared" si="212"/>
        <v/>
      </c>
      <c r="AB672" s="218"/>
      <c r="AC672" s="205"/>
    </row>
    <row r="673" spans="1:29">
      <c r="A673" s="219" t="str">
        <f t="shared" si="213"/>
        <v/>
      </c>
      <c r="B673" s="219"/>
      <c r="C673" s="184"/>
      <c r="D673" s="185"/>
      <c r="E673" s="185" t="str">
        <f>IF(OR(C673="",C673=Data!$B$3),"",IF(C673=Data!$B$2,"L","S"))</f>
        <v/>
      </c>
      <c r="F673" s="185" t="str">
        <f t="shared" si="214"/>
        <v/>
      </c>
      <c r="G673" s="186" t="str">
        <f t="shared" si="205"/>
        <v/>
      </c>
      <c r="H673" s="187"/>
      <c r="I673" s="188" t="str">
        <f t="shared" si="215"/>
        <v/>
      </c>
      <c r="J673" s="188" t="str">
        <f t="shared" si="216"/>
        <v/>
      </c>
      <c r="K673" s="189" t="str">
        <f t="shared" si="217"/>
        <v/>
      </c>
      <c r="L673" s="189" t="str">
        <f t="shared" si="218"/>
        <v/>
      </c>
      <c r="M673" s="190"/>
      <c r="N673" s="190"/>
      <c r="O673" s="188" t="str">
        <f t="shared" si="219"/>
        <v/>
      </c>
      <c r="P673" s="191" t="str">
        <f t="shared" si="206"/>
        <v/>
      </c>
      <c r="Q673" s="192" t="str">
        <f t="shared" si="220"/>
        <v/>
      </c>
      <c r="R673" s="191" t="str">
        <f t="shared" si="207"/>
        <v/>
      </c>
      <c r="S673" s="193" t="str">
        <f t="shared" si="221"/>
        <v/>
      </c>
      <c r="T673" s="194" t="str">
        <f t="shared" si="208"/>
        <v/>
      </c>
      <c r="U673" s="192" t="str">
        <f t="shared" si="222"/>
        <v/>
      </c>
      <c r="V673" s="195" t="str">
        <f t="shared" si="209"/>
        <v/>
      </c>
      <c r="W673" s="195" t="str">
        <f t="shared" si="210"/>
        <v/>
      </c>
      <c r="X673" s="196" t="str">
        <f t="shared" si="223"/>
        <v/>
      </c>
      <c r="Y673" s="191" t="str">
        <f t="shared" si="224"/>
        <v/>
      </c>
      <c r="Z673" s="197" t="str">
        <f t="shared" si="211"/>
        <v/>
      </c>
      <c r="AA673" s="197" t="str">
        <f t="shared" si="212"/>
        <v/>
      </c>
      <c r="AB673" s="218"/>
      <c r="AC673" s="205"/>
    </row>
    <row r="674" spans="1:29">
      <c r="A674" s="219" t="str">
        <f t="shared" si="213"/>
        <v/>
      </c>
      <c r="B674" s="219"/>
      <c r="C674" s="184"/>
      <c r="D674" s="185"/>
      <c r="E674" s="185" t="str">
        <f>IF(OR(C674="",C674=Data!$B$3),"",IF(C674=Data!$B$2,"L","S"))</f>
        <v/>
      </c>
      <c r="F674" s="185" t="str">
        <f t="shared" si="214"/>
        <v/>
      </c>
      <c r="G674" s="186" t="str">
        <f t="shared" si="205"/>
        <v/>
      </c>
      <c r="H674" s="187"/>
      <c r="I674" s="188" t="str">
        <f t="shared" si="215"/>
        <v/>
      </c>
      <c r="J674" s="188" t="str">
        <f t="shared" si="216"/>
        <v/>
      </c>
      <c r="K674" s="189" t="str">
        <f t="shared" si="217"/>
        <v/>
      </c>
      <c r="L674" s="189" t="str">
        <f t="shared" si="218"/>
        <v/>
      </c>
      <c r="M674" s="190"/>
      <c r="N674" s="190"/>
      <c r="O674" s="188" t="str">
        <f t="shared" si="219"/>
        <v/>
      </c>
      <c r="P674" s="191" t="str">
        <f t="shared" si="206"/>
        <v/>
      </c>
      <c r="Q674" s="192" t="str">
        <f t="shared" si="220"/>
        <v/>
      </c>
      <c r="R674" s="191" t="str">
        <f t="shared" si="207"/>
        <v/>
      </c>
      <c r="S674" s="193" t="str">
        <f t="shared" si="221"/>
        <v/>
      </c>
      <c r="T674" s="194" t="str">
        <f t="shared" si="208"/>
        <v/>
      </c>
      <c r="U674" s="192" t="str">
        <f t="shared" si="222"/>
        <v/>
      </c>
      <c r="V674" s="195" t="str">
        <f t="shared" si="209"/>
        <v/>
      </c>
      <c r="W674" s="195" t="str">
        <f t="shared" si="210"/>
        <v/>
      </c>
      <c r="X674" s="196" t="str">
        <f t="shared" si="223"/>
        <v/>
      </c>
      <c r="Y674" s="191" t="str">
        <f t="shared" si="224"/>
        <v/>
      </c>
      <c r="Z674" s="197" t="str">
        <f t="shared" si="211"/>
        <v/>
      </c>
      <c r="AA674" s="197" t="str">
        <f t="shared" si="212"/>
        <v/>
      </c>
      <c r="AB674" s="218"/>
      <c r="AC674" s="205"/>
    </row>
    <row r="675" spans="1:29">
      <c r="A675" s="219" t="str">
        <f t="shared" si="213"/>
        <v/>
      </c>
      <c r="B675" s="219"/>
      <c r="C675" s="184"/>
      <c r="D675" s="185"/>
      <c r="E675" s="185" t="str">
        <f>IF(OR(C675="",C675=Data!$B$3),"",IF(C675=Data!$B$2,"L","S"))</f>
        <v/>
      </c>
      <c r="F675" s="185" t="str">
        <f t="shared" si="214"/>
        <v/>
      </c>
      <c r="G675" s="186" t="str">
        <f t="shared" si="205"/>
        <v/>
      </c>
      <c r="H675" s="187"/>
      <c r="I675" s="188" t="str">
        <f t="shared" si="215"/>
        <v/>
      </c>
      <c r="J675" s="188" t="str">
        <f t="shared" si="216"/>
        <v/>
      </c>
      <c r="K675" s="189" t="str">
        <f t="shared" si="217"/>
        <v/>
      </c>
      <c r="L675" s="189" t="str">
        <f t="shared" si="218"/>
        <v/>
      </c>
      <c r="M675" s="190"/>
      <c r="N675" s="190"/>
      <c r="O675" s="188" t="str">
        <f t="shared" si="219"/>
        <v/>
      </c>
      <c r="P675" s="191" t="str">
        <f t="shared" si="206"/>
        <v/>
      </c>
      <c r="Q675" s="192" t="str">
        <f t="shared" si="220"/>
        <v/>
      </c>
      <c r="R675" s="191" t="str">
        <f t="shared" si="207"/>
        <v/>
      </c>
      <c r="S675" s="193" t="str">
        <f t="shared" si="221"/>
        <v/>
      </c>
      <c r="T675" s="194" t="str">
        <f t="shared" si="208"/>
        <v/>
      </c>
      <c r="U675" s="192" t="str">
        <f t="shared" si="222"/>
        <v/>
      </c>
      <c r="V675" s="195" t="str">
        <f t="shared" si="209"/>
        <v/>
      </c>
      <c r="W675" s="195" t="str">
        <f t="shared" si="210"/>
        <v/>
      </c>
      <c r="X675" s="196" t="str">
        <f t="shared" si="223"/>
        <v/>
      </c>
      <c r="Y675" s="191" t="str">
        <f t="shared" si="224"/>
        <v/>
      </c>
      <c r="Z675" s="197" t="str">
        <f t="shared" si="211"/>
        <v/>
      </c>
      <c r="AA675" s="197" t="str">
        <f t="shared" si="212"/>
        <v/>
      </c>
      <c r="AB675" s="218"/>
      <c r="AC675" s="205"/>
    </row>
    <row r="676" spans="1:29">
      <c r="A676" s="219" t="str">
        <f t="shared" si="213"/>
        <v/>
      </c>
      <c r="B676" s="219"/>
      <c r="C676" s="184"/>
      <c r="D676" s="185"/>
      <c r="E676" s="185" t="str">
        <f>IF(OR(C676="",C676=Data!$B$3),"",IF(C676=Data!$B$2,"L","S"))</f>
        <v/>
      </c>
      <c r="F676" s="185" t="str">
        <f t="shared" si="214"/>
        <v/>
      </c>
      <c r="G676" s="186" t="str">
        <f t="shared" si="205"/>
        <v/>
      </c>
      <c r="H676" s="187"/>
      <c r="I676" s="188" t="str">
        <f t="shared" si="215"/>
        <v/>
      </c>
      <c r="J676" s="188" t="str">
        <f t="shared" si="216"/>
        <v/>
      </c>
      <c r="K676" s="189" t="str">
        <f t="shared" si="217"/>
        <v/>
      </c>
      <c r="L676" s="189" t="str">
        <f t="shared" si="218"/>
        <v/>
      </c>
      <c r="M676" s="190"/>
      <c r="N676" s="190"/>
      <c r="O676" s="188" t="str">
        <f t="shared" si="219"/>
        <v/>
      </c>
      <c r="P676" s="191" t="str">
        <f t="shared" si="206"/>
        <v/>
      </c>
      <c r="Q676" s="192" t="str">
        <f t="shared" si="220"/>
        <v/>
      </c>
      <c r="R676" s="191" t="str">
        <f t="shared" si="207"/>
        <v/>
      </c>
      <c r="S676" s="193" t="str">
        <f t="shared" si="221"/>
        <v/>
      </c>
      <c r="T676" s="194" t="str">
        <f t="shared" si="208"/>
        <v/>
      </c>
      <c r="U676" s="192" t="str">
        <f t="shared" si="222"/>
        <v/>
      </c>
      <c r="V676" s="195" t="str">
        <f t="shared" si="209"/>
        <v/>
      </c>
      <c r="W676" s="195" t="str">
        <f t="shared" si="210"/>
        <v/>
      </c>
      <c r="X676" s="196" t="str">
        <f t="shared" si="223"/>
        <v/>
      </c>
      <c r="Y676" s="191" t="str">
        <f t="shared" si="224"/>
        <v/>
      </c>
      <c r="Z676" s="197" t="str">
        <f t="shared" si="211"/>
        <v/>
      </c>
      <c r="AA676" s="197" t="str">
        <f t="shared" si="212"/>
        <v/>
      </c>
      <c r="AB676" s="218"/>
      <c r="AC676" s="205"/>
    </row>
    <row r="677" spans="1:29">
      <c r="A677" s="219" t="str">
        <f t="shared" si="213"/>
        <v/>
      </c>
      <c r="B677" s="219"/>
      <c r="C677" s="184"/>
      <c r="D677" s="185"/>
      <c r="E677" s="185" t="str">
        <f>IF(OR(C677="",C677=Data!$B$3),"",IF(C677=Data!$B$2,"L","S"))</f>
        <v/>
      </c>
      <c r="F677" s="185" t="str">
        <f t="shared" si="214"/>
        <v/>
      </c>
      <c r="G677" s="186" t="str">
        <f t="shared" si="205"/>
        <v/>
      </c>
      <c r="H677" s="187"/>
      <c r="I677" s="188" t="str">
        <f t="shared" si="215"/>
        <v/>
      </c>
      <c r="J677" s="188" t="str">
        <f t="shared" si="216"/>
        <v/>
      </c>
      <c r="K677" s="189" t="str">
        <f t="shared" si="217"/>
        <v/>
      </c>
      <c r="L677" s="189" t="str">
        <f t="shared" si="218"/>
        <v/>
      </c>
      <c r="M677" s="190"/>
      <c r="N677" s="190"/>
      <c r="O677" s="188" t="str">
        <f t="shared" si="219"/>
        <v/>
      </c>
      <c r="P677" s="191" t="str">
        <f t="shared" si="206"/>
        <v/>
      </c>
      <c r="Q677" s="192" t="str">
        <f t="shared" si="220"/>
        <v/>
      </c>
      <c r="R677" s="191" t="str">
        <f t="shared" si="207"/>
        <v/>
      </c>
      <c r="S677" s="193" t="str">
        <f t="shared" si="221"/>
        <v/>
      </c>
      <c r="T677" s="194" t="str">
        <f t="shared" si="208"/>
        <v/>
      </c>
      <c r="U677" s="192" t="str">
        <f t="shared" si="222"/>
        <v/>
      </c>
      <c r="V677" s="195" t="str">
        <f t="shared" si="209"/>
        <v/>
      </c>
      <c r="W677" s="195" t="str">
        <f t="shared" si="210"/>
        <v/>
      </c>
      <c r="X677" s="196" t="str">
        <f t="shared" si="223"/>
        <v/>
      </c>
      <c r="Y677" s="191" t="str">
        <f t="shared" si="224"/>
        <v/>
      </c>
      <c r="Z677" s="197" t="str">
        <f t="shared" si="211"/>
        <v/>
      </c>
      <c r="AA677" s="197" t="str">
        <f t="shared" si="212"/>
        <v/>
      </c>
      <c r="AB677" s="218"/>
      <c r="AC677" s="205"/>
    </row>
    <row r="678" spans="1:29">
      <c r="A678" s="219" t="str">
        <f t="shared" si="213"/>
        <v/>
      </c>
      <c r="B678" s="219"/>
      <c r="C678" s="184"/>
      <c r="D678" s="185"/>
      <c r="E678" s="185" t="str">
        <f>IF(OR(C678="",C678=Data!$B$3),"",IF(C678=Data!$B$2,"L","S"))</f>
        <v/>
      </c>
      <c r="F678" s="185" t="str">
        <f t="shared" si="214"/>
        <v/>
      </c>
      <c r="G678" s="186" t="str">
        <f t="shared" si="205"/>
        <v/>
      </c>
      <c r="H678" s="187"/>
      <c r="I678" s="188" t="str">
        <f t="shared" si="215"/>
        <v/>
      </c>
      <c r="J678" s="188" t="str">
        <f t="shared" si="216"/>
        <v/>
      </c>
      <c r="K678" s="189" t="str">
        <f t="shared" si="217"/>
        <v/>
      </c>
      <c r="L678" s="189" t="str">
        <f t="shared" si="218"/>
        <v/>
      </c>
      <c r="M678" s="190"/>
      <c r="N678" s="190"/>
      <c r="O678" s="188" t="str">
        <f t="shared" si="219"/>
        <v/>
      </c>
      <c r="P678" s="191" t="str">
        <f t="shared" si="206"/>
        <v/>
      </c>
      <c r="Q678" s="192" t="str">
        <f t="shared" si="220"/>
        <v/>
      </c>
      <c r="R678" s="191" t="str">
        <f t="shared" si="207"/>
        <v/>
      </c>
      <c r="S678" s="193" t="str">
        <f t="shared" si="221"/>
        <v/>
      </c>
      <c r="T678" s="194" t="str">
        <f t="shared" si="208"/>
        <v/>
      </c>
      <c r="U678" s="192" t="str">
        <f t="shared" si="222"/>
        <v/>
      </c>
      <c r="V678" s="195" t="str">
        <f t="shared" si="209"/>
        <v/>
      </c>
      <c r="W678" s="195" t="str">
        <f t="shared" si="210"/>
        <v/>
      </c>
      <c r="X678" s="196" t="str">
        <f t="shared" si="223"/>
        <v/>
      </c>
      <c r="Y678" s="191" t="str">
        <f t="shared" si="224"/>
        <v/>
      </c>
      <c r="Z678" s="197" t="str">
        <f t="shared" si="211"/>
        <v/>
      </c>
      <c r="AA678" s="197" t="str">
        <f t="shared" si="212"/>
        <v/>
      </c>
      <c r="AB678" s="218"/>
      <c r="AC678" s="205"/>
    </row>
    <row r="679" spans="1:29">
      <c r="A679" s="219" t="str">
        <f t="shared" si="213"/>
        <v/>
      </c>
      <c r="B679" s="219"/>
      <c r="C679" s="184"/>
      <c r="D679" s="185"/>
      <c r="E679" s="185" t="str">
        <f>IF(OR(C679="",C679=Data!$B$3),"",IF(C679=Data!$B$2,"L","S"))</f>
        <v/>
      </c>
      <c r="F679" s="185" t="str">
        <f t="shared" si="214"/>
        <v/>
      </c>
      <c r="G679" s="186" t="str">
        <f t="shared" si="205"/>
        <v/>
      </c>
      <c r="H679" s="187"/>
      <c r="I679" s="188" t="str">
        <f t="shared" si="215"/>
        <v/>
      </c>
      <c r="J679" s="188" t="str">
        <f t="shared" si="216"/>
        <v/>
      </c>
      <c r="K679" s="189" t="str">
        <f t="shared" si="217"/>
        <v/>
      </c>
      <c r="L679" s="189" t="str">
        <f t="shared" si="218"/>
        <v/>
      </c>
      <c r="M679" s="190"/>
      <c r="N679" s="190"/>
      <c r="O679" s="188" t="str">
        <f t="shared" si="219"/>
        <v/>
      </c>
      <c r="P679" s="191" t="str">
        <f t="shared" si="206"/>
        <v/>
      </c>
      <c r="Q679" s="192" t="str">
        <f t="shared" si="220"/>
        <v/>
      </c>
      <c r="R679" s="191" t="str">
        <f t="shared" si="207"/>
        <v/>
      </c>
      <c r="S679" s="193" t="str">
        <f t="shared" si="221"/>
        <v/>
      </c>
      <c r="T679" s="194" t="str">
        <f t="shared" si="208"/>
        <v/>
      </c>
      <c r="U679" s="192" t="str">
        <f t="shared" si="222"/>
        <v/>
      </c>
      <c r="V679" s="195" t="str">
        <f t="shared" si="209"/>
        <v/>
      </c>
      <c r="W679" s="195" t="str">
        <f t="shared" si="210"/>
        <v/>
      </c>
      <c r="X679" s="196" t="str">
        <f t="shared" si="223"/>
        <v/>
      </c>
      <c r="Y679" s="191" t="str">
        <f t="shared" si="224"/>
        <v/>
      </c>
      <c r="Z679" s="197" t="str">
        <f t="shared" si="211"/>
        <v/>
      </c>
      <c r="AA679" s="197" t="str">
        <f t="shared" si="212"/>
        <v/>
      </c>
      <c r="AB679" s="218"/>
      <c r="AC679" s="205"/>
    </row>
    <row r="680" spans="1:29">
      <c r="A680" s="219" t="str">
        <f t="shared" si="213"/>
        <v/>
      </c>
      <c r="B680" s="219"/>
      <c r="C680" s="184"/>
      <c r="D680" s="185"/>
      <c r="E680" s="185" t="str">
        <f>IF(OR(C680="",C680=Data!$B$3),"",IF(C680=Data!$B$2,"L","S"))</f>
        <v/>
      </c>
      <c r="F680" s="185" t="str">
        <f t="shared" si="214"/>
        <v/>
      </c>
      <c r="G680" s="186" t="str">
        <f t="shared" si="205"/>
        <v/>
      </c>
      <c r="H680" s="187"/>
      <c r="I680" s="188" t="str">
        <f t="shared" si="215"/>
        <v/>
      </c>
      <c r="J680" s="188" t="str">
        <f t="shared" si="216"/>
        <v/>
      </c>
      <c r="K680" s="189" t="str">
        <f t="shared" si="217"/>
        <v/>
      </c>
      <c r="L680" s="189" t="str">
        <f t="shared" si="218"/>
        <v/>
      </c>
      <c r="M680" s="190"/>
      <c r="N680" s="190"/>
      <c r="O680" s="188" t="str">
        <f t="shared" si="219"/>
        <v/>
      </c>
      <c r="P680" s="191" t="str">
        <f t="shared" si="206"/>
        <v/>
      </c>
      <c r="Q680" s="192" t="str">
        <f t="shared" si="220"/>
        <v/>
      </c>
      <c r="R680" s="191" t="str">
        <f t="shared" si="207"/>
        <v/>
      </c>
      <c r="S680" s="193" t="str">
        <f t="shared" si="221"/>
        <v/>
      </c>
      <c r="T680" s="194" t="str">
        <f t="shared" si="208"/>
        <v/>
      </c>
      <c r="U680" s="192" t="str">
        <f t="shared" si="222"/>
        <v/>
      </c>
      <c r="V680" s="195" t="str">
        <f t="shared" si="209"/>
        <v/>
      </c>
      <c r="W680" s="195" t="str">
        <f t="shared" si="210"/>
        <v/>
      </c>
      <c r="X680" s="196" t="str">
        <f t="shared" si="223"/>
        <v/>
      </c>
      <c r="Y680" s="191" t="str">
        <f t="shared" si="224"/>
        <v/>
      </c>
      <c r="Z680" s="197" t="str">
        <f t="shared" si="211"/>
        <v/>
      </c>
      <c r="AA680" s="197" t="str">
        <f t="shared" si="212"/>
        <v/>
      </c>
      <c r="AB680" s="218"/>
      <c r="AC680" s="205"/>
    </row>
    <row r="681" spans="1:29">
      <c r="A681" s="219" t="str">
        <f t="shared" si="213"/>
        <v/>
      </c>
      <c r="B681" s="219"/>
      <c r="C681" s="184"/>
      <c r="D681" s="185"/>
      <c r="E681" s="185" t="str">
        <f>IF(OR(C681="",C681=Data!$B$3),"",IF(C681=Data!$B$2,"L","S"))</f>
        <v/>
      </c>
      <c r="F681" s="185" t="str">
        <f t="shared" si="214"/>
        <v/>
      </c>
      <c r="G681" s="186" t="str">
        <f t="shared" si="205"/>
        <v/>
      </c>
      <c r="H681" s="187"/>
      <c r="I681" s="188" t="str">
        <f t="shared" si="215"/>
        <v/>
      </c>
      <c r="J681" s="188" t="str">
        <f t="shared" si="216"/>
        <v/>
      </c>
      <c r="K681" s="189" t="str">
        <f t="shared" si="217"/>
        <v/>
      </c>
      <c r="L681" s="189" t="str">
        <f t="shared" si="218"/>
        <v/>
      </c>
      <c r="M681" s="190"/>
      <c r="N681" s="190"/>
      <c r="O681" s="188" t="str">
        <f t="shared" si="219"/>
        <v/>
      </c>
      <c r="P681" s="191" t="str">
        <f t="shared" si="206"/>
        <v/>
      </c>
      <c r="Q681" s="192" t="str">
        <f t="shared" si="220"/>
        <v/>
      </c>
      <c r="R681" s="191" t="str">
        <f t="shared" si="207"/>
        <v/>
      </c>
      <c r="S681" s="193" t="str">
        <f t="shared" si="221"/>
        <v/>
      </c>
      <c r="T681" s="194" t="str">
        <f t="shared" si="208"/>
        <v/>
      </c>
      <c r="U681" s="192" t="str">
        <f t="shared" si="222"/>
        <v/>
      </c>
      <c r="V681" s="195" t="str">
        <f t="shared" si="209"/>
        <v/>
      </c>
      <c r="W681" s="195" t="str">
        <f t="shared" si="210"/>
        <v/>
      </c>
      <c r="X681" s="196" t="str">
        <f t="shared" si="223"/>
        <v/>
      </c>
      <c r="Y681" s="191" t="str">
        <f t="shared" si="224"/>
        <v/>
      </c>
      <c r="Z681" s="197" t="str">
        <f t="shared" si="211"/>
        <v/>
      </c>
      <c r="AA681" s="197" t="str">
        <f t="shared" si="212"/>
        <v/>
      </c>
      <c r="AB681" s="218"/>
      <c r="AC681" s="205"/>
    </row>
    <row r="682" spans="1:29">
      <c r="A682" s="219" t="str">
        <f t="shared" si="213"/>
        <v/>
      </c>
      <c r="B682" s="219"/>
      <c r="C682" s="184"/>
      <c r="D682" s="185"/>
      <c r="E682" s="185" t="str">
        <f>IF(OR(C682="",C682=Data!$B$3),"",IF(C682=Data!$B$2,"L","S"))</f>
        <v/>
      </c>
      <c r="F682" s="185" t="str">
        <f t="shared" si="214"/>
        <v/>
      </c>
      <c r="G682" s="186" t="str">
        <f t="shared" si="205"/>
        <v/>
      </c>
      <c r="H682" s="187"/>
      <c r="I682" s="188" t="str">
        <f t="shared" si="215"/>
        <v/>
      </c>
      <c r="J682" s="188" t="str">
        <f t="shared" si="216"/>
        <v/>
      </c>
      <c r="K682" s="189" t="str">
        <f t="shared" si="217"/>
        <v/>
      </c>
      <c r="L682" s="189" t="str">
        <f t="shared" si="218"/>
        <v/>
      </c>
      <c r="M682" s="190"/>
      <c r="N682" s="190"/>
      <c r="O682" s="188" t="str">
        <f t="shared" si="219"/>
        <v/>
      </c>
      <c r="P682" s="191" t="str">
        <f t="shared" si="206"/>
        <v/>
      </c>
      <c r="Q682" s="192" t="str">
        <f t="shared" si="220"/>
        <v/>
      </c>
      <c r="R682" s="191" t="str">
        <f t="shared" si="207"/>
        <v/>
      </c>
      <c r="S682" s="193" t="str">
        <f t="shared" si="221"/>
        <v/>
      </c>
      <c r="T682" s="194" t="str">
        <f t="shared" si="208"/>
        <v/>
      </c>
      <c r="U682" s="192" t="str">
        <f t="shared" si="222"/>
        <v/>
      </c>
      <c r="V682" s="195" t="str">
        <f t="shared" si="209"/>
        <v/>
      </c>
      <c r="W682" s="195" t="str">
        <f t="shared" si="210"/>
        <v/>
      </c>
      <c r="X682" s="196" t="str">
        <f t="shared" si="223"/>
        <v/>
      </c>
      <c r="Y682" s="191" t="str">
        <f t="shared" si="224"/>
        <v/>
      </c>
      <c r="Z682" s="197" t="str">
        <f t="shared" si="211"/>
        <v/>
      </c>
      <c r="AA682" s="197" t="str">
        <f t="shared" si="212"/>
        <v/>
      </c>
      <c r="AB682" s="218"/>
      <c r="AC682" s="205"/>
    </row>
    <row r="683" spans="1:29">
      <c r="A683" s="219" t="str">
        <f t="shared" si="213"/>
        <v/>
      </c>
      <c r="B683" s="219"/>
      <c r="C683" s="184"/>
      <c r="D683" s="185"/>
      <c r="E683" s="185" t="str">
        <f>IF(OR(C683="",C683=Data!$B$3),"",IF(C683=Data!$B$2,"L","S"))</f>
        <v/>
      </c>
      <c r="F683" s="185" t="str">
        <f t="shared" si="214"/>
        <v/>
      </c>
      <c r="G683" s="186" t="str">
        <f t="shared" si="205"/>
        <v/>
      </c>
      <c r="H683" s="187"/>
      <c r="I683" s="188" t="str">
        <f t="shared" si="215"/>
        <v/>
      </c>
      <c r="J683" s="188" t="str">
        <f t="shared" si="216"/>
        <v/>
      </c>
      <c r="K683" s="189" t="str">
        <f t="shared" si="217"/>
        <v/>
      </c>
      <c r="L683" s="189" t="str">
        <f t="shared" si="218"/>
        <v/>
      </c>
      <c r="M683" s="190"/>
      <c r="N683" s="190"/>
      <c r="O683" s="188" t="str">
        <f t="shared" si="219"/>
        <v/>
      </c>
      <c r="P683" s="191" t="str">
        <f t="shared" si="206"/>
        <v/>
      </c>
      <c r="Q683" s="192" t="str">
        <f t="shared" si="220"/>
        <v/>
      </c>
      <c r="R683" s="191" t="str">
        <f t="shared" si="207"/>
        <v/>
      </c>
      <c r="S683" s="193" t="str">
        <f t="shared" si="221"/>
        <v/>
      </c>
      <c r="T683" s="194" t="str">
        <f t="shared" si="208"/>
        <v/>
      </c>
      <c r="U683" s="192" t="str">
        <f t="shared" si="222"/>
        <v/>
      </c>
      <c r="V683" s="195" t="str">
        <f t="shared" si="209"/>
        <v/>
      </c>
      <c r="W683" s="195" t="str">
        <f t="shared" si="210"/>
        <v/>
      </c>
      <c r="X683" s="196" t="str">
        <f t="shared" si="223"/>
        <v/>
      </c>
      <c r="Y683" s="191" t="str">
        <f t="shared" si="224"/>
        <v/>
      </c>
      <c r="Z683" s="197" t="str">
        <f t="shared" si="211"/>
        <v/>
      </c>
      <c r="AA683" s="197" t="str">
        <f t="shared" si="212"/>
        <v/>
      </c>
      <c r="AB683" s="218"/>
      <c r="AC683" s="205"/>
    </row>
    <row r="684" spans="1:29">
      <c r="A684" s="219" t="str">
        <f t="shared" si="213"/>
        <v/>
      </c>
      <c r="B684" s="219"/>
      <c r="C684" s="184"/>
      <c r="D684" s="185"/>
      <c r="E684" s="185" t="str">
        <f>IF(OR(C684="",C684=Data!$B$3),"",IF(C684=Data!$B$2,"L","S"))</f>
        <v/>
      </c>
      <c r="F684" s="185" t="str">
        <f t="shared" si="214"/>
        <v/>
      </c>
      <c r="G684" s="186" t="str">
        <f t="shared" si="205"/>
        <v/>
      </c>
      <c r="H684" s="187"/>
      <c r="I684" s="188" t="str">
        <f t="shared" si="215"/>
        <v/>
      </c>
      <c r="J684" s="188" t="str">
        <f t="shared" si="216"/>
        <v/>
      </c>
      <c r="K684" s="189" t="str">
        <f t="shared" si="217"/>
        <v/>
      </c>
      <c r="L684" s="189" t="str">
        <f t="shared" si="218"/>
        <v/>
      </c>
      <c r="M684" s="190"/>
      <c r="N684" s="190"/>
      <c r="O684" s="188" t="str">
        <f t="shared" si="219"/>
        <v/>
      </c>
      <c r="P684" s="191" t="str">
        <f t="shared" si="206"/>
        <v/>
      </c>
      <c r="Q684" s="192" t="str">
        <f t="shared" si="220"/>
        <v/>
      </c>
      <c r="R684" s="191" t="str">
        <f t="shared" si="207"/>
        <v/>
      </c>
      <c r="S684" s="193" t="str">
        <f t="shared" si="221"/>
        <v/>
      </c>
      <c r="T684" s="194" t="str">
        <f t="shared" si="208"/>
        <v/>
      </c>
      <c r="U684" s="192" t="str">
        <f t="shared" si="222"/>
        <v/>
      </c>
      <c r="V684" s="195" t="str">
        <f t="shared" si="209"/>
        <v/>
      </c>
      <c r="W684" s="195" t="str">
        <f t="shared" si="210"/>
        <v/>
      </c>
      <c r="X684" s="196" t="str">
        <f t="shared" si="223"/>
        <v/>
      </c>
      <c r="Y684" s="191" t="str">
        <f t="shared" si="224"/>
        <v/>
      </c>
      <c r="Z684" s="197" t="str">
        <f t="shared" si="211"/>
        <v/>
      </c>
      <c r="AA684" s="197" t="str">
        <f t="shared" si="212"/>
        <v/>
      </c>
      <c r="AB684" s="218"/>
      <c r="AC684" s="205"/>
    </row>
    <row r="685" spans="1:29">
      <c r="A685" s="219" t="str">
        <f t="shared" si="213"/>
        <v/>
      </c>
      <c r="B685" s="219"/>
      <c r="C685" s="184"/>
      <c r="D685" s="185"/>
      <c r="E685" s="185" t="str">
        <f>IF(OR(C685="",C685=Data!$B$3),"",IF(C685=Data!$B$2,"L","S"))</f>
        <v/>
      </c>
      <c r="F685" s="185" t="str">
        <f t="shared" si="214"/>
        <v/>
      </c>
      <c r="G685" s="186" t="str">
        <f t="shared" si="205"/>
        <v/>
      </c>
      <c r="H685" s="187"/>
      <c r="I685" s="188" t="str">
        <f t="shared" si="215"/>
        <v/>
      </c>
      <c r="J685" s="188" t="str">
        <f t="shared" si="216"/>
        <v/>
      </c>
      <c r="K685" s="189" t="str">
        <f t="shared" si="217"/>
        <v/>
      </c>
      <c r="L685" s="189" t="str">
        <f t="shared" si="218"/>
        <v/>
      </c>
      <c r="M685" s="190"/>
      <c r="N685" s="190"/>
      <c r="O685" s="188" t="str">
        <f t="shared" si="219"/>
        <v/>
      </c>
      <c r="P685" s="191" t="str">
        <f t="shared" si="206"/>
        <v/>
      </c>
      <c r="Q685" s="192" t="str">
        <f t="shared" si="220"/>
        <v/>
      </c>
      <c r="R685" s="191" t="str">
        <f t="shared" si="207"/>
        <v/>
      </c>
      <c r="S685" s="193" t="str">
        <f t="shared" si="221"/>
        <v/>
      </c>
      <c r="T685" s="194" t="str">
        <f t="shared" si="208"/>
        <v/>
      </c>
      <c r="U685" s="192" t="str">
        <f t="shared" si="222"/>
        <v/>
      </c>
      <c r="V685" s="195" t="str">
        <f t="shared" si="209"/>
        <v/>
      </c>
      <c r="W685" s="195" t="str">
        <f t="shared" si="210"/>
        <v/>
      </c>
      <c r="X685" s="196" t="str">
        <f t="shared" si="223"/>
        <v/>
      </c>
      <c r="Y685" s="191" t="str">
        <f t="shared" si="224"/>
        <v/>
      </c>
      <c r="Z685" s="197" t="str">
        <f t="shared" si="211"/>
        <v/>
      </c>
      <c r="AA685" s="197" t="str">
        <f t="shared" si="212"/>
        <v/>
      </c>
      <c r="AB685" s="218"/>
      <c r="AC685" s="205"/>
    </row>
    <row r="686" spans="1:29">
      <c r="A686" s="219" t="str">
        <f t="shared" si="213"/>
        <v/>
      </c>
      <c r="B686" s="219"/>
      <c r="C686" s="184"/>
      <c r="D686" s="185"/>
      <c r="E686" s="185" t="str">
        <f>IF(OR(C686="",C686=Data!$B$3),"",IF(C686=Data!$B$2,"L","S"))</f>
        <v/>
      </c>
      <c r="F686" s="185" t="str">
        <f t="shared" si="214"/>
        <v/>
      </c>
      <c r="G686" s="186" t="str">
        <f t="shared" si="205"/>
        <v/>
      </c>
      <c r="H686" s="187"/>
      <c r="I686" s="188" t="str">
        <f t="shared" si="215"/>
        <v/>
      </c>
      <c r="J686" s="188" t="str">
        <f t="shared" si="216"/>
        <v/>
      </c>
      <c r="K686" s="189" t="str">
        <f t="shared" si="217"/>
        <v/>
      </c>
      <c r="L686" s="189" t="str">
        <f t="shared" si="218"/>
        <v/>
      </c>
      <c r="M686" s="190"/>
      <c r="N686" s="190"/>
      <c r="O686" s="188" t="str">
        <f t="shared" si="219"/>
        <v/>
      </c>
      <c r="P686" s="191" t="str">
        <f t="shared" si="206"/>
        <v/>
      </c>
      <c r="Q686" s="192" t="str">
        <f t="shared" si="220"/>
        <v/>
      </c>
      <c r="R686" s="191" t="str">
        <f t="shared" si="207"/>
        <v/>
      </c>
      <c r="S686" s="193" t="str">
        <f t="shared" si="221"/>
        <v/>
      </c>
      <c r="T686" s="194" t="str">
        <f t="shared" si="208"/>
        <v/>
      </c>
      <c r="U686" s="192" t="str">
        <f t="shared" si="222"/>
        <v/>
      </c>
      <c r="V686" s="195" t="str">
        <f t="shared" si="209"/>
        <v/>
      </c>
      <c r="W686" s="195" t="str">
        <f t="shared" si="210"/>
        <v/>
      </c>
      <c r="X686" s="196" t="str">
        <f t="shared" si="223"/>
        <v/>
      </c>
      <c r="Y686" s="191" t="str">
        <f t="shared" si="224"/>
        <v/>
      </c>
      <c r="Z686" s="197" t="str">
        <f t="shared" si="211"/>
        <v/>
      </c>
      <c r="AA686" s="197" t="str">
        <f t="shared" si="212"/>
        <v/>
      </c>
      <c r="AB686" s="218"/>
      <c r="AC686" s="205"/>
    </row>
    <row r="687" spans="1:29">
      <c r="A687" s="219" t="str">
        <f t="shared" si="213"/>
        <v/>
      </c>
      <c r="B687" s="219"/>
      <c r="C687" s="184"/>
      <c r="D687" s="185"/>
      <c r="E687" s="185" t="str">
        <f>IF(OR(C687="",C687=Data!$B$3),"",IF(C687=Data!$B$2,"L","S"))</f>
        <v/>
      </c>
      <c r="F687" s="185" t="str">
        <f t="shared" si="214"/>
        <v/>
      </c>
      <c r="G687" s="186" t="str">
        <f t="shared" si="205"/>
        <v/>
      </c>
      <c r="H687" s="187"/>
      <c r="I687" s="188" t="str">
        <f t="shared" si="215"/>
        <v/>
      </c>
      <c r="J687" s="188" t="str">
        <f t="shared" si="216"/>
        <v/>
      </c>
      <c r="K687" s="189" t="str">
        <f t="shared" si="217"/>
        <v/>
      </c>
      <c r="L687" s="189" t="str">
        <f t="shared" si="218"/>
        <v/>
      </c>
      <c r="M687" s="190"/>
      <c r="N687" s="190"/>
      <c r="O687" s="188" t="str">
        <f t="shared" si="219"/>
        <v/>
      </c>
      <c r="P687" s="191" t="str">
        <f t="shared" si="206"/>
        <v/>
      </c>
      <c r="Q687" s="192" t="str">
        <f t="shared" si="220"/>
        <v/>
      </c>
      <c r="R687" s="191" t="str">
        <f t="shared" si="207"/>
        <v/>
      </c>
      <c r="S687" s="193" t="str">
        <f t="shared" si="221"/>
        <v/>
      </c>
      <c r="T687" s="194" t="str">
        <f t="shared" si="208"/>
        <v/>
      </c>
      <c r="U687" s="192" t="str">
        <f t="shared" si="222"/>
        <v/>
      </c>
      <c r="V687" s="195" t="str">
        <f t="shared" si="209"/>
        <v/>
      </c>
      <c r="W687" s="195" t="str">
        <f t="shared" si="210"/>
        <v/>
      </c>
      <c r="X687" s="196" t="str">
        <f t="shared" si="223"/>
        <v/>
      </c>
      <c r="Y687" s="191" t="str">
        <f t="shared" si="224"/>
        <v/>
      </c>
      <c r="Z687" s="197" t="str">
        <f t="shared" si="211"/>
        <v/>
      </c>
      <c r="AA687" s="197" t="str">
        <f t="shared" si="212"/>
        <v/>
      </c>
      <c r="AB687" s="218"/>
      <c r="AC687" s="205"/>
    </row>
    <row r="688" spans="1:29">
      <c r="A688" s="219" t="str">
        <f t="shared" si="213"/>
        <v/>
      </c>
      <c r="B688" s="219"/>
      <c r="C688" s="184"/>
      <c r="D688" s="185"/>
      <c r="E688" s="185" t="str">
        <f>IF(OR(C688="",C688=Data!$B$3),"",IF(C688=Data!$B$2,"L","S"))</f>
        <v/>
      </c>
      <c r="F688" s="185" t="str">
        <f t="shared" si="214"/>
        <v/>
      </c>
      <c r="G688" s="186" t="str">
        <f t="shared" si="205"/>
        <v/>
      </c>
      <c r="H688" s="187"/>
      <c r="I688" s="188" t="str">
        <f t="shared" si="215"/>
        <v/>
      </c>
      <c r="J688" s="188" t="str">
        <f t="shared" si="216"/>
        <v/>
      </c>
      <c r="K688" s="189" t="str">
        <f t="shared" si="217"/>
        <v/>
      </c>
      <c r="L688" s="189" t="str">
        <f t="shared" si="218"/>
        <v/>
      </c>
      <c r="M688" s="190"/>
      <c r="N688" s="190"/>
      <c r="O688" s="188" t="str">
        <f t="shared" si="219"/>
        <v/>
      </c>
      <c r="P688" s="191" t="str">
        <f t="shared" si="206"/>
        <v/>
      </c>
      <c r="Q688" s="192" t="str">
        <f t="shared" si="220"/>
        <v/>
      </c>
      <c r="R688" s="191" t="str">
        <f t="shared" si="207"/>
        <v/>
      </c>
      <c r="S688" s="193" t="str">
        <f t="shared" si="221"/>
        <v/>
      </c>
      <c r="T688" s="194" t="str">
        <f t="shared" si="208"/>
        <v/>
      </c>
      <c r="U688" s="192" t="str">
        <f t="shared" si="222"/>
        <v/>
      </c>
      <c r="V688" s="195" t="str">
        <f t="shared" si="209"/>
        <v/>
      </c>
      <c r="W688" s="195" t="str">
        <f t="shared" si="210"/>
        <v/>
      </c>
      <c r="X688" s="196" t="str">
        <f t="shared" si="223"/>
        <v/>
      </c>
      <c r="Y688" s="191" t="str">
        <f t="shared" si="224"/>
        <v/>
      </c>
      <c r="Z688" s="197" t="str">
        <f t="shared" si="211"/>
        <v/>
      </c>
      <c r="AA688" s="197" t="str">
        <f t="shared" si="212"/>
        <v/>
      </c>
      <c r="AB688" s="218"/>
      <c r="AC688" s="205"/>
    </row>
    <row r="689" spans="1:29">
      <c r="A689" s="219" t="str">
        <f t="shared" si="213"/>
        <v/>
      </c>
      <c r="B689" s="219"/>
      <c r="C689" s="184"/>
      <c r="D689" s="185"/>
      <c r="E689" s="185" t="str">
        <f>IF(OR(C689="",C689=Data!$B$3),"",IF(C689=Data!$B$2,"L","S"))</f>
        <v/>
      </c>
      <c r="F689" s="185" t="str">
        <f t="shared" si="214"/>
        <v/>
      </c>
      <c r="G689" s="186" t="str">
        <f t="shared" si="205"/>
        <v/>
      </c>
      <c r="H689" s="187"/>
      <c r="I689" s="188" t="str">
        <f t="shared" si="215"/>
        <v/>
      </c>
      <c r="J689" s="188" t="str">
        <f t="shared" si="216"/>
        <v/>
      </c>
      <c r="K689" s="189" t="str">
        <f t="shared" si="217"/>
        <v/>
      </c>
      <c r="L689" s="189" t="str">
        <f t="shared" si="218"/>
        <v/>
      </c>
      <c r="M689" s="190"/>
      <c r="N689" s="190"/>
      <c r="O689" s="188" t="str">
        <f t="shared" si="219"/>
        <v/>
      </c>
      <c r="P689" s="191" t="str">
        <f t="shared" si="206"/>
        <v/>
      </c>
      <c r="Q689" s="192" t="str">
        <f t="shared" si="220"/>
        <v/>
      </c>
      <c r="R689" s="191" t="str">
        <f t="shared" si="207"/>
        <v/>
      </c>
      <c r="S689" s="193" t="str">
        <f t="shared" si="221"/>
        <v/>
      </c>
      <c r="T689" s="194" t="str">
        <f t="shared" si="208"/>
        <v/>
      </c>
      <c r="U689" s="192" t="str">
        <f t="shared" si="222"/>
        <v/>
      </c>
      <c r="V689" s="195" t="str">
        <f t="shared" si="209"/>
        <v/>
      </c>
      <c r="W689" s="195" t="str">
        <f t="shared" si="210"/>
        <v/>
      </c>
      <c r="X689" s="196" t="str">
        <f t="shared" si="223"/>
        <v/>
      </c>
      <c r="Y689" s="191" t="str">
        <f t="shared" si="224"/>
        <v/>
      </c>
      <c r="Z689" s="197" t="str">
        <f t="shared" si="211"/>
        <v/>
      </c>
      <c r="AA689" s="197" t="str">
        <f t="shared" si="212"/>
        <v/>
      </c>
      <c r="AB689" s="218"/>
      <c r="AC689" s="205"/>
    </row>
    <row r="690" spans="1:29">
      <c r="A690" s="219" t="str">
        <f t="shared" si="213"/>
        <v/>
      </c>
      <c r="B690" s="219"/>
      <c r="C690" s="184"/>
      <c r="D690" s="185"/>
      <c r="E690" s="185" t="str">
        <f>IF(OR(C690="",C690=Data!$B$3),"",IF(C690=Data!$B$2,"L","S"))</f>
        <v/>
      </c>
      <c r="F690" s="185" t="str">
        <f t="shared" si="214"/>
        <v/>
      </c>
      <c r="G690" s="186" t="str">
        <f t="shared" si="205"/>
        <v/>
      </c>
      <c r="H690" s="187"/>
      <c r="I690" s="188" t="str">
        <f t="shared" si="215"/>
        <v/>
      </c>
      <c r="J690" s="188" t="str">
        <f t="shared" si="216"/>
        <v/>
      </c>
      <c r="K690" s="189" t="str">
        <f t="shared" si="217"/>
        <v/>
      </c>
      <c r="L690" s="189" t="str">
        <f t="shared" si="218"/>
        <v/>
      </c>
      <c r="M690" s="190"/>
      <c r="N690" s="190"/>
      <c r="O690" s="188" t="str">
        <f t="shared" si="219"/>
        <v/>
      </c>
      <c r="P690" s="191" t="str">
        <f t="shared" si="206"/>
        <v/>
      </c>
      <c r="Q690" s="192" t="str">
        <f t="shared" si="220"/>
        <v/>
      </c>
      <c r="R690" s="191" t="str">
        <f t="shared" si="207"/>
        <v/>
      </c>
      <c r="S690" s="193" t="str">
        <f t="shared" si="221"/>
        <v/>
      </c>
      <c r="T690" s="194" t="str">
        <f t="shared" si="208"/>
        <v/>
      </c>
      <c r="U690" s="192" t="str">
        <f t="shared" si="222"/>
        <v/>
      </c>
      <c r="V690" s="195" t="str">
        <f t="shared" si="209"/>
        <v/>
      </c>
      <c r="W690" s="195" t="str">
        <f t="shared" si="210"/>
        <v/>
      </c>
      <c r="X690" s="196" t="str">
        <f t="shared" si="223"/>
        <v/>
      </c>
      <c r="Y690" s="191" t="str">
        <f t="shared" si="224"/>
        <v/>
      </c>
      <c r="Z690" s="197" t="str">
        <f t="shared" si="211"/>
        <v/>
      </c>
      <c r="AA690" s="197" t="str">
        <f t="shared" si="212"/>
        <v/>
      </c>
      <c r="AB690" s="218"/>
      <c r="AC690" s="205"/>
    </row>
    <row r="691" spans="1:29">
      <c r="A691" s="219" t="str">
        <f t="shared" si="213"/>
        <v/>
      </c>
      <c r="B691" s="219"/>
      <c r="C691" s="184"/>
      <c r="D691" s="185"/>
      <c r="E691" s="185" t="str">
        <f>IF(OR(C691="",C691=Data!$B$3),"",IF(C691=Data!$B$2,"L","S"))</f>
        <v/>
      </c>
      <c r="F691" s="185" t="str">
        <f t="shared" si="214"/>
        <v/>
      </c>
      <c r="G691" s="186" t="str">
        <f t="shared" si="205"/>
        <v/>
      </c>
      <c r="H691" s="187"/>
      <c r="I691" s="188" t="str">
        <f t="shared" si="215"/>
        <v/>
      </c>
      <c r="J691" s="188" t="str">
        <f t="shared" si="216"/>
        <v/>
      </c>
      <c r="K691" s="189" t="str">
        <f t="shared" si="217"/>
        <v/>
      </c>
      <c r="L691" s="189" t="str">
        <f t="shared" si="218"/>
        <v/>
      </c>
      <c r="M691" s="190"/>
      <c r="N691" s="190"/>
      <c r="O691" s="188" t="str">
        <f t="shared" si="219"/>
        <v/>
      </c>
      <c r="P691" s="191" t="str">
        <f t="shared" si="206"/>
        <v/>
      </c>
      <c r="Q691" s="192" t="str">
        <f t="shared" si="220"/>
        <v/>
      </c>
      <c r="R691" s="191" t="str">
        <f t="shared" si="207"/>
        <v/>
      </c>
      <c r="S691" s="193" t="str">
        <f t="shared" si="221"/>
        <v/>
      </c>
      <c r="T691" s="194" t="str">
        <f t="shared" si="208"/>
        <v/>
      </c>
      <c r="U691" s="192" t="str">
        <f t="shared" si="222"/>
        <v/>
      </c>
      <c r="V691" s="195" t="str">
        <f t="shared" si="209"/>
        <v/>
      </c>
      <c r="W691" s="195" t="str">
        <f t="shared" si="210"/>
        <v/>
      </c>
      <c r="X691" s="196" t="str">
        <f t="shared" si="223"/>
        <v/>
      </c>
      <c r="Y691" s="191" t="str">
        <f t="shared" si="224"/>
        <v/>
      </c>
      <c r="Z691" s="197" t="str">
        <f t="shared" si="211"/>
        <v/>
      </c>
      <c r="AA691" s="197" t="str">
        <f t="shared" si="212"/>
        <v/>
      </c>
      <c r="AB691" s="218"/>
      <c r="AC691" s="205"/>
    </row>
    <row r="692" spans="1:29">
      <c r="A692" s="219" t="str">
        <f t="shared" si="213"/>
        <v/>
      </c>
      <c r="B692" s="219"/>
      <c r="C692" s="184"/>
      <c r="D692" s="185"/>
      <c r="E692" s="185" t="str">
        <f>IF(OR(C692="",C692=Data!$B$3),"",IF(C692=Data!$B$2,"L","S"))</f>
        <v/>
      </c>
      <c r="F692" s="185" t="str">
        <f t="shared" si="214"/>
        <v/>
      </c>
      <c r="G692" s="186" t="str">
        <f t="shared" si="205"/>
        <v/>
      </c>
      <c r="H692" s="187"/>
      <c r="I692" s="188" t="str">
        <f t="shared" si="215"/>
        <v/>
      </c>
      <c r="J692" s="188" t="str">
        <f t="shared" si="216"/>
        <v/>
      </c>
      <c r="K692" s="189" t="str">
        <f t="shared" si="217"/>
        <v/>
      </c>
      <c r="L692" s="189" t="str">
        <f t="shared" si="218"/>
        <v/>
      </c>
      <c r="M692" s="190"/>
      <c r="N692" s="190"/>
      <c r="O692" s="188" t="str">
        <f t="shared" si="219"/>
        <v/>
      </c>
      <c r="P692" s="191" t="str">
        <f t="shared" si="206"/>
        <v/>
      </c>
      <c r="Q692" s="192" t="str">
        <f t="shared" si="220"/>
        <v/>
      </c>
      <c r="R692" s="191" t="str">
        <f t="shared" si="207"/>
        <v/>
      </c>
      <c r="S692" s="193" t="str">
        <f t="shared" si="221"/>
        <v/>
      </c>
      <c r="T692" s="194" t="str">
        <f t="shared" si="208"/>
        <v/>
      </c>
      <c r="U692" s="192" t="str">
        <f t="shared" si="222"/>
        <v/>
      </c>
      <c r="V692" s="195" t="str">
        <f t="shared" si="209"/>
        <v/>
      </c>
      <c r="W692" s="195" t="str">
        <f t="shared" si="210"/>
        <v/>
      </c>
      <c r="X692" s="196" t="str">
        <f t="shared" si="223"/>
        <v/>
      </c>
      <c r="Y692" s="191" t="str">
        <f t="shared" si="224"/>
        <v/>
      </c>
      <c r="Z692" s="197" t="str">
        <f t="shared" si="211"/>
        <v/>
      </c>
      <c r="AA692" s="197" t="str">
        <f t="shared" si="212"/>
        <v/>
      </c>
      <c r="AB692" s="218"/>
      <c r="AC692" s="205"/>
    </row>
    <row r="693" spans="1:29">
      <c r="A693" s="219" t="str">
        <f t="shared" si="213"/>
        <v/>
      </c>
      <c r="B693" s="219"/>
      <c r="C693" s="184"/>
      <c r="D693" s="185"/>
      <c r="E693" s="185" t="str">
        <f>IF(OR(C693="",C693=Data!$B$3),"",IF(C693=Data!$B$2,"L","S"))</f>
        <v/>
      </c>
      <c r="F693" s="185" t="str">
        <f t="shared" si="214"/>
        <v/>
      </c>
      <c r="G693" s="186" t="str">
        <f t="shared" si="205"/>
        <v/>
      </c>
      <c r="H693" s="187"/>
      <c r="I693" s="188" t="str">
        <f t="shared" si="215"/>
        <v/>
      </c>
      <c r="J693" s="188" t="str">
        <f t="shared" si="216"/>
        <v/>
      </c>
      <c r="K693" s="189" t="str">
        <f t="shared" si="217"/>
        <v/>
      </c>
      <c r="L693" s="189" t="str">
        <f t="shared" si="218"/>
        <v/>
      </c>
      <c r="M693" s="190"/>
      <c r="N693" s="190"/>
      <c r="O693" s="188" t="str">
        <f t="shared" si="219"/>
        <v/>
      </c>
      <c r="P693" s="191" t="str">
        <f t="shared" si="206"/>
        <v/>
      </c>
      <c r="Q693" s="192" t="str">
        <f t="shared" si="220"/>
        <v/>
      </c>
      <c r="R693" s="191" t="str">
        <f t="shared" si="207"/>
        <v/>
      </c>
      <c r="S693" s="193" t="str">
        <f t="shared" si="221"/>
        <v/>
      </c>
      <c r="T693" s="194" t="str">
        <f t="shared" si="208"/>
        <v/>
      </c>
      <c r="U693" s="192" t="str">
        <f t="shared" si="222"/>
        <v/>
      </c>
      <c r="V693" s="195" t="str">
        <f t="shared" si="209"/>
        <v/>
      </c>
      <c r="W693" s="195" t="str">
        <f t="shared" si="210"/>
        <v/>
      </c>
      <c r="X693" s="196" t="str">
        <f t="shared" si="223"/>
        <v/>
      </c>
      <c r="Y693" s="191" t="str">
        <f t="shared" si="224"/>
        <v/>
      </c>
      <c r="Z693" s="197" t="str">
        <f t="shared" si="211"/>
        <v/>
      </c>
      <c r="AA693" s="197" t="str">
        <f t="shared" si="212"/>
        <v/>
      </c>
      <c r="AB693" s="218"/>
      <c r="AC693" s="205"/>
    </row>
    <row r="694" spans="1:29">
      <c r="A694" s="219" t="str">
        <f t="shared" si="213"/>
        <v/>
      </c>
      <c r="B694" s="219"/>
      <c r="C694" s="184"/>
      <c r="D694" s="185"/>
      <c r="E694" s="185" t="str">
        <f>IF(OR(C694="",C694=Data!$B$3),"",IF(C694=Data!$B$2,"L","S"))</f>
        <v/>
      </c>
      <c r="F694" s="185" t="str">
        <f t="shared" si="214"/>
        <v/>
      </c>
      <c r="G694" s="186" t="str">
        <f t="shared" si="205"/>
        <v/>
      </c>
      <c r="H694" s="187"/>
      <c r="I694" s="188" t="str">
        <f t="shared" si="215"/>
        <v/>
      </c>
      <c r="J694" s="188" t="str">
        <f t="shared" si="216"/>
        <v/>
      </c>
      <c r="K694" s="189" t="str">
        <f t="shared" si="217"/>
        <v/>
      </c>
      <c r="L694" s="189" t="str">
        <f t="shared" si="218"/>
        <v/>
      </c>
      <c r="M694" s="190"/>
      <c r="N694" s="190"/>
      <c r="O694" s="188" t="str">
        <f t="shared" si="219"/>
        <v/>
      </c>
      <c r="P694" s="191" t="str">
        <f t="shared" si="206"/>
        <v/>
      </c>
      <c r="Q694" s="192" t="str">
        <f t="shared" si="220"/>
        <v/>
      </c>
      <c r="R694" s="191" t="str">
        <f t="shared" si="207"/>
        <v/>
      </c>
      <c r="S694" s="193" t="str">
        <f t="shared" si="221"/>
        <v/>
      </c>
      <c r="T694" s="194" t="str">
        <f t="shared" si="208"/>
        <v/>
      </c>
      <c r="U694" s="192" t="str">
        <f t="shared" si="222"/>
        <v/>
      </c>
      <c r="V694" s="195" t="str">
        <f t="shared" si="209"/>
        <v/>
      </c>
      <c r="W694" s="195" t="str">
        <f t="shared" si="210"/>
        <v/>
      </c>
      <c r="X694" s="196" t="str">
        <f t="shared" si="223"/>
        <v/>
      </c>
      <c r="Y694" s="191" t="str">
        <f t="shared" si="224"/>
        <v/>
      </c>
      <c r="Z694" s="197" t="str">
        <f t="shared" si="211"/>
        <v/>
      </c>
      <c r="AA694" s="197" t="str">
        <f t="shared" si="212"/>
        <v/>
      </c>
      <c r="AB694" s="218"/>
      <c r="AC694" s="205"/>
    </row>
    <row r="695" spans="1:29">
      <c r="A695" s="219" t="str">
        <f t="shared" si="213"/>
        <v/>
      </c>
      <c r="B695" s="219"/>
      <c r="C695" s="184"/>
      <c r="D695" s="185"/>
      <c r="E695" s="185" t="str">
        <f>IF(OR(C695="",C695=Data!$B$3),"",IF(C695=Data!$B$2,"L","S"))</f>
        <v/>
      </c>
      <c r="F695" s="185" t="str">
        <f t="shared" si="214"/>
        <v/>
      </c>
      <c r="G695" s="186" t="str">
        <f t="shared" si="205"/>
        <v/>
      </c>
      <c r="H695" s="187"/>
      <c r="I695" s="188" t="str">
        <f t="shared" si="215"/>
        <v/>
      </c>
      <c r="J695" s="188" t="str">
        <f t="shared" si="216"/>
        <v/>
      </c>
      <c r="K695" s="189" t="str">
        <f t="shared" si="217"/>
        <v/>
      </c>
      <c r="L695" s="189" t="str">
        <f t="shared" si="218"/>
        <v/>
      </c>
      <c r="M695" s="190"/>
      <c r="N695" s="190"/>
      <c r="O695" s="188" t="str">
        <f t="shared" si="219"/>
        <v/>
      </c>
      <c r="P695" s="191" t="str">
        <f t="shared" si="206"/>
        <v/>
      </c>
      <c r="Q695" s="192" t="str">
        <f t="shared" si="220"/>
        <v/>
      </c>
      <c r="R695" s="191" t="str">
        <f t="shared" si="207"/>
        <v/>
      </c>
      <c r="S695" s="193" t="str">
        <f t="shared" si="221"/>
        <v/>
      </c>
      <c r="T695" s="194" t="str">
        <f t="shared" si="208"/>
        <v/>
      </c>
      <c r="U695" s="192" t="str">
        <f t="shared" si="222"/>
        <v/>
      </c>
      <c r="V695" s="195" t="str">
        <f t="shared" si="209"/>
        <v/>
      </c>
      <c r="W695" s="195" t="str">
        <f t="shared" si="210"/>
        <v/>
      </c>
      <c r="X695" s="196" t="str">
        <f t="shared" si="223"/>
        <v/>
      </c>
      <c r="Y695" s="191" t="str">
        <f t="shared" si="224"/>
        <v/>
      </c>
      <c r="Z695" s="197" t="str">
        <f t="shared" si="211"/>
        <v/>
      </c>
      <c r="AA695" s="197" t="str">
        <f t="shared" si="212"/>
        <v/>
      </c>
      <c r="AB695" s="218"/>
      <c r="AC695" s="205"/>
    </row>
    <row r="696" spans="1:29">
      <c r="A696" s="219" t="str">
        <f t="shared" si="213"/>
        <v/>
      </c>
      <c r="B696" s="219"/>
      <c r="C696" s="184"/>
      <c r="D696" s="185"/>
      <c r="E696" s="185" t="str">
        <f>IF(OR(C696="",C696=Data!$B$3),"",IF(C696=Data!$B$2,"L","S"))</f>
        <v/>
      </c>
      <c r="F696" s="185" t="str">
        <f t="shared" si="214"/>
        <v/>
      </c>
      <c r="G696" s="186" t="str">
        <f t="shared" si="205"/>
        <v/>
      </c>
      <c r="H696" s="187"/>
      <c r="I696" s="188" t="str">
        <f t="shared" si="215"/>
        <v/>
      </c>
      <c r="J696" s="188" t="str">
        <f t="shared" si="216"/>
        <v/>
      </c>
      <c r="K696" s="189" t="str">
        <f t="shared" si="217"/>
        <v/>
      </c>
      <c r="L696" s="189" t="str">
        <f t="shared" si="218"/>
        <v/>
      </c>
      <c r="M696" s="190"/>
      <c r="N696" s="190"/>
      <c r="O696" s="188" t="str">
        <f t="shared" si="219"/>
        <v/>
      </c>
      <c r="P696" s="191" t="str">
        <f t="shared" si="206"/>
        <v/>
      </c>
      <c r="Q696" s="192" t="str">
        <f t="shared" si="220"/>
        <v/>
      </c>
      <c r="R696" s="191" t="str">
        <f t="shared" si="207"/>
        <v/>
      </c>
      <c r="S696" s="193" t="str">
        <f t="shared" si="221"/>
        <v/>
      </c>
      <c r="T696" s="194" t="str">
        <f t="shared" si="208"/>
        <v/>
      </c>
      <c r="U696" s="192" t="str">
        <f t="shared" si="222"/>
        <v/>
      </c>
      <c r="V696" s="195" t="str">
        <f t="shared" si="209"/>
        <v/>
      </c>
      <c r="W696" s="195" t="str">
        <f t="shared" si="210"/>
        <v/>
      </c>
      <c r="X696" s="196" t="str">
        <f t="shared" si="223"/>
        <v/>
      </c>
      <c r="Y696" s="191" t="str">
        <f t="shared" si="224"/>
        <v/>
      </c>
      <c r="Z696" s="197" t="str">
        <f t="shared" si="211"/>
        <v/>
      </c>
      <c r="AA696" s="197" t="str">
        <f t="shared" si="212"/>
        <v/>
      </c>
      <c r="AB696" s="218"/>
      <c r="AC696" s="205"/>
    </row>
    <row r="697" spans="1:29">
      <c r="A697" s="219" t="str">
        <f t="shared" si="213"/>
        <v/>
      </c>
      <c r="B697" s="219"/>
      <c r="C697" s="184"/>
      <c r="D697" s="185"/>
      <c r="E697" s="185" t="str">
        <f>IF(OR(C697="",C697=Data!$B$3),"",IF(C697=Data!$B$2,"L","S"))</f>
        <v/>
      </c>
      <c r="F697" s="185" t="str">
        <f t="shared" si="214"/>
        <v/>
      </c>
      <c r="G697" s="186" t="str">
        <f t="shared" si="205"/>
        <v/>
      </c>
      <c r="H697" s="187"/>
      <c r="I697" s="188" t="str">
        <f t="shared" si="215"/>
        <v/>
      </c>
      <c r="J697" s="188" t="str">
        <f t="shared" si="216"/>
        <v/>
      </c>
      <c r="K697" s="189" t="str">
        <f t="shared" si="217"/>
        <v/>
      </c>
      <c r="L697" s="189" t="str">
        <f t="shared" si="218"/>
        <v/>
      </c>
      <c r="M697" s="190"/>
      <c r="N697" s="190"/>
      <c r="O697" s="188" t="str">
        <f t="shared" si="219"/>
        <v/>
      </c>
      <c r="P697" s="191" t="str">
        <f t="shared" si="206"/>
        <v/>
      </c>
      <c r="Q697" s="192" t="str">
        <f t="shared" si="220"/>
        <v/>
      </c>
      <c r="R697" s="191" t="str">
        <f t="shared" si="207"/>
        <v/>
      </c>
      <c r="S697" s="193" t="str">
        <f t="shared" si="221"/>
        <v/>
      </c>
      <c r="T697" s="194" t="str">
        <f t="shared" si="208"/>
        <v/>
      </c>
      <c r="U697" s="192" t="str">
        <f t="shared" si="222"/>
        <v/>
      </c>
      <c r="V697" s="195" t="str">
        <f t="shared" si="209"/>
        <v/>
      </c>
      <c r="W697" s="195" t="str">
        <f t="shared" si="210"/>
        <v/>
      </c>
      <c r="X697" s="196" t="str">
        <f t="shared" si="223"/>
        <v/>
      </c>
      <c r="Y697" s="191" t="str">
        <f t="shared" si="224"/>
        <v/>
      </c>
      <c r="Z697" s="197" t="str">
        <f t="shared" si="211"/>
        <v/>
      </c>
      <c r="AA697" s="197" t="str">
        <f t="shared" si="212"/>
        <v/>
      </c>
      <c r="AB697" s="218"/>
      <c r="AC697" s="205"/>
    </row>
    <row r="698" spans="1:29">
      <c r="A698" s="219" t="str">
        <f t="shared" si="213"/>
        <v/>
      </c>
      <c r="B698" s="219"/>
      <c r="C698" s="184"/>
      <c r="D698" s="185"/>
      <c r="E698" s="185" t="str">
        <f>IF(OR(C698="",C698=Data!$B$3),"",IF(C698=Data!$B$2,"L","S"))</f>
        <v/>
      </c>
      <c r="F698" s="185" t="str">
        <f t="shared" si="214"/>
        <v/>
      </c>
      <c r="G698" s="186" t="str">
        <f t="shared" si="205"/>
        <v/>
      </c>
      <c r="H698" s="187"/>
      <c r="I698" s="188" t="str">
        <f t="shared" si="215"/>
        <v/>
      </c>
      <c r="J698" s="188" t="str">
        <f t="shared" si="216"/>
        <v/>
      </c>
      <c r="K698" s="189" t="str">
        <f t="shared" si="217"/>
        <v/>
      </c>
      <c r="L698" s="189" t="str">
        <f t="shared" si="218"/>
        <v/>
      </c>
      <c r="M698" s="190"/>
      <c r="N698" s="190"/>
      <c r="O698" s="188" t="str">
        <f t="shared" si="219"/>
        <v/>
      </c>
      <c r="P698" s="191" t="str">
        <f t="shared" si="206"/>
        <v/>
      </c>
      <c r="Q698" s="192" t="str">
        <f t="shared" si="220"/>
        <v/>
      </c>
      <c r="R698" s="191" t="str">
        <f t="shared" si="207"/>
        <v/>
      </c>
      <c r="S698" s="193" t="str">
        <f t="shared" si="221"/>
        <v/>
      </c>
      <c r="T698" s="194" t="str">
        <f t="shared" si="208"/>
        <v/>
      </c>
      <c r="U698" s="192" t="str">
        <f t="shared" si="222"/>
        <v/>
      </c>
      <c r="V698" s="195" t="str">
        <f t="shared" si="209"/>
        <v/>
      </c>
      <c r="W698" s="195" t="str">
        <f t="shared" si="210"/>
        <v/>
      </c>
      <c r="X698" s="196" t="str">
        <f t="shared" si="223"/>
        <v/>
      </c>
      <c r="Y698" s="191" t="str">
        <f t="shared" si="224"/>
        <v/>
      </c>
      <c r="Z698" s="197" t="str">
        <f t="shared" si="211"/>
        <v/>
      </c>
      <c r="AA698" s="197" t="str">
        <f t="shared" si="212"/>
        <v/>
      </c>
      <c r="AB698" s="218"/>
      <c r="AC698" s="205"/>
    </row>
    <row r="699" spans="1:29">
      <c r="A699" s="219" t="str">
        <f t="shared" si="213"/>
        <v/>
      </c>
      <c r="B699" s="219"/>
      <c r="C699" s="184"/>
      <c r="D699" s="185"/>
      <c r="E699" s="185" t="str">
        <f>IF(OR(C699="",C699=Data!$B$3),"",IF(C699=Data!$B$2,"L","S"))</f>
        <v/>
      </c>
      <c r="F699" s="185" t="str">
        <f t="shared" si="214"/>
        <v/>
      </c>
      <c r="G699" s="186" t="str">
        <f t="shared" si="205"/>
        <v/>
      </c>
      <c r="H699" s="187"/>
      <c r="I699" s="188" t="str">
        <f t="shared" si="215"/>
        <v/>
      </c>
      <c r="J699" s="188" t="str">
        <f t="shared" si="216"/>
        <v/>
      </c>
      <c r="K699" s="189" t="str">
        <f t="shared" si="217"/>
        <v/>
      </c>
      <c r="L699" s="189" t="str">
        <f t="shared" si="218"/>
        <v/>
      </c>
      <c r="M699" s="190"/>
      <c r="N699" s="190"/>
      <c r="O699" s="188" t="str">
        <f t="shared" si="219"/>
        <v/>
      </c>
      <c r="P699" s="191" t="str">
        <f t="shared" si="206"/>
        <v/>
      </c>
      <c r="Q699" s="192" t="str">
        <f t="shared" si="220"/>
        <v/>
      </c>
      <c r="R699" s="191" t="str">
        <f t="shared" si="207"/>
        <v/>
      </c>
      <c r="S699" s="193" t="str">
        <f t="shared" si="221"/>
        <v/>
      </c>
      <c r="T699" s="194" t="str">
        <f t="shared" si="208"/>
        <v/>
      </c>
      <c r="U699" s="192" t="str">
        <f t="shared" si="222"/>
        <v/>
      </c>
      <c r="V699" s="195" t="str">
        <f t="shared" si="209"/>
        <v/>
      </c>
      <c r="W699" s="195" t="str">
        <f t="shared" si="210"/>
        <v/>
      </c>
      <c r="X699" s="196" t="str">
        <f t="shared" si="223"/>
        <v/>
      </c>
      <c r="Y699" s="191" t="str">
        <f t="shared" si="224"/>
        <v/>
      </c>
      <c r="Z699" s="197" t="str">
        <f t="shared" si="211"/>
        <v/>
      </c>
      <c r="AA699" s="197" t="str">
        <f t="shared" si="212"/>
        <v/>
      </c>
      <c r="AB699" s="218"/>
      <c r="AC699" s="205"/>
    </row>
    <row r="700" spans="1:29">
      <c r="A700" s="219" t="str">
        <f t="shared" si="213"/>
        <v/>
      </c>
      <c r="B700" s="219"/>
      <c r="C700" s="184"/>
      <c r="D700" s="185"/>
      <c r="E700" s="185" t="str">
        <f>IF(OR(C700="",C700=Data!$B$3),"",IF(C700=Data!$B$2,"L","S"))</f>
        <v/>
      </c>
      <c r="F700" s="185" t="str">
        <f t="shared" si="214"/>
        <v/>
      </c>
      <c r="G700" s="186" t="str">
        <f t="shared" si="205"/>
        <v/>
      </c>
      <c r="H700" s="187"/>
      <c r="I700" s="188" t="str">
        <f t="shared" si="215"/>
        <v/>
      </c>
      <c r="J700" s="188" t="str">
        <f t="shared" si="216"/>
        <v/>
      </c>
      <c r="K700" s="189" t="str">
        <f t="shared" si="217"/>
        <v/>
      </c>
      <c r="L700" s="189" t="str">
        <f t="shared" si="218"/>
        <v/>
      </c>
      <c r="M700" s="190"/>
      <c r="N700" s="190"/>
      <c r="O700" s="188" t="str">
        <f t="shared" si="219"/>
        <v/>
      </c>
      <c r="P700" s="191" t="str">
        <f t="shared" si="206"/>
        <v/>
      </c>
      <c r="Q700" s="192" t="str">
        <f t="shared" si="220"/>
        <v/>
      </c>
      <c r="R700" s="191" t="str">
        <f t="shared" si="207"/>
        <v/>
      </c>
      <c r="S700" s="193" t="str">
        <f t="shared" si="221"/>
        <v/>
      </c>
      <c r="T700" s="194" t="str">
        <f t="shared" si="208"/>
        <v/>
      </c>
      <c r="U700" s="192" t="str">
        <f t="shared" si="222"/>
        <v/>
      </c>
      <c r="V700" s="195" t="str">
        <f t="shared" si="209"/>
        <v/>
      </c>
      <c r="W700" s="195" t="str">
        <f t="shared" si="210"/>
        <v/>
      </c>
      <c r="X700" s="196" t="str">
        <f t="shared" si="223"/>
        <v/>
      </c>
      <c r="Y700" s="191" t="str">
        <f t="shared" si="224"/>
        <v/>
      </c>
      <c r="Z700" s="197" t="str">
        <f t="shared" si="211"/>
        <v/>
      </c>
      <c r="AA700" s="197" t="str">
        <f t="shared" si="212"/>
        <v/>
      </c>
      <c r="AB700" s="218"/>
      <c r="AC700" s="205"/>
    </row>
    <row r="701" spans="1:29">
      <c r="A701" s="219" t="str">
        <f t="shared" si="213"/>
        <v/>
      </c>
      <c r="B701" s="219"/>
      <c r="C701" s="184"/>
      <c r="D701" s="185"/>
      <c r="E701" s="185" t="str">
        <f>IF(OR(C701="",C701=Data!$B$3),"",IF(C701=Data!$B$2,"L","S"))</f>
        <v/>
      </c>
      <c r="F701" s="185" t="str">
        <f t="shared" si="214"/>
        <v/>
      </c>
      <c r="G701" s="186" t="str">
        <f t="shared" si="205"/>
        <v/>
      </c>
      <c r="H701" s="187"/>
      <c r="I701" s="188" t="str">
        <f t="shared" si="215"/>
        <v/>
      </c>
      <c r="J701" s="188" t="str">
        <f t="shared" si="216"/>
        <v/>
      </c>
      <c r="K701" s="189" t="str">
        <f t="shared" si="217"/>
        <v/>
      </c>
      <c r="L701" s="189" t="str">
        <f t="shared" si="218"/>
        <v/>
      </c>
      <c r="M701" s="190"/>
      <c r="N701" s="190"/>
      <c r="O701" s="188" t="str">
        <f t="shared" si="219"/>
        <v/>
      </c>
      <c r="P701" s="191" t="str">
        <f t="shared" si="206"/>
        <v/>
      </c>
      <c r="Q701" s="192" t="str">
        <f t="shared" si="220"/>
        <v/>
      </c>
      <c r="R701" s="191" t="str">
        <f t="shared" si="207"/>
        <v/>
      </c>
      <c r="S701" s="193" t="str">
        <f t="shared" si="221"/>
        <v/>
      </c>
      <c r="T701" s="194" t="str">
        <f t="shared" si="208"/>
        <v/>
      </c>
      <c r="U701" s="192" t="str">
        <f t="shared" si="222"/>
        <v/>
      </c>
      <c r="V701" s="195" t="str">
        <f t="shared" si="209"/>
        <v/>
      </c>
      <c r="W701" s="195" t="str">
        <f t="shared" si="210"/>
        <v/>
      </c>
      <c r="X701" s="196" t="str">
        <f t="shared" si="223"/>
        <v/>
      </c>
      <c r="Y701" s="191" t="str">
        <f t="shared" si="224"/>
        <v/>
      </c>
      <c r="Z701" s="197" t="str">
        <f t="shared" si="211"/>
        <v/>
      </c>
      <c r="AA701" s="197" t="str">
        <f t="shared" si="212"/>
        <v/>
      </c>
      <c r="AB701" s="218"/>
      <c r="AC701" s="205"/>
    </row>
    <row r="702" spans="1:29">
      <c r="A702" s="219" t="str">
        <f t="shared" si="213"/>
        <v/>
      </c>
      <c r="B702" s="219"/>
      <c r="C702" s="184"/>
      <c r="D702" s="185"/>
      <c r="E702" s="185" t="str">
        <f>IF(OR(C702="",C702=Data!$B$3),"",IF(C702=Data!$B$2,"L","S"))</f>
        <v/>
      </c>
      <c r="F702" s="185" t="str">
        <f t="shared" si="214"/>
        <v/>
      </c>
      <c r="G702" s="186" t="str">
        <f t="shared" si="205"/>
        <v/>
      </c>
      <c r="H702" s="187"/>
      <c r="I702" s="188" t="str">
        <f t="shared" si="215"/>
        <v/>
      </c>
      <c r="J702" s="188" t="str">
        <f t="shared" si="216"/>
        <v/>
      </c>
      <c r="K702" s="189" t="str">
        <f t="shared" si="217"/>
        <v/>
      </c>
      <c r="L702" s="189" t="str">
        <f t="shared" si="218"/>
        <v/>
      </c>
      <c r="M702" s="190"/>
      <c r="N702" s="190"/>
      <c r="O702" s="188" t="str">
        <f t="shared" si="219"/>
        <v/>
      </c>
      <c r="P702" s="191" t="str">
        <f t="shared" si="206"/>
        <v/>
      </c>
      <c r="Q702" s="192" t="str">
        <f t="shared" si="220"/>
        <v/>
      </c>
      <c r="R702" s="191" t="str">
        <f t="shared" si="207"/>
        <v/>
      </c>
      <c r="S702" s="193" t="str">
        <f t="shared" si="221"/>
        <v/>
      </c>
      <c r="T702" s="194" t="str">
        <f t="shared" si="208"/>
        <v/>
      </c>
      <c r="U702" s="192" t="str">
        <f t="shared" si="222"/>
        <v/>
      </c>
      <c r="V702" s="195" t="str">
        <f t="shared" si="209"/>
        <v/>
      </c>
      <c r="W702" s="195" t="str">
        <f t="shared" si="210"/>
        <v/>
      </c>
      <c r="X702" s="196" t="str">
        <f t="shared" si="223"/>
        <v/>
      </c>
      <c r="Y702" s="191" t="str">
        <f t="shared" si="224"/>
        <v/>
      </c>
      <c r="Z702" s="197" t="str">
        <f t="shared" si="211"/>
        <v/>
      </c>
      <c r="AA702" s="197" t="str">
        <f t="shared" si="212"/>
        <v/>
      </c>
      <c r="AB702" s="218"/>
      <c r="AC702" s="205"/>
    </row>
    <row r="703" spans="1:29">
      <c r="A703" s="219" t="str">
        <f t="shared" si="213"/>
        <v/>
      </c>
      <c r="B703" s="219"/>
      <c r="C703" s="184"/>
      <c r="D703" s="185"/>
      <c r="E703" s="185" t="str">
        <f>IF(OR(C703="",C703=Data!$B$3),"",IF(C703=Data!$B$2,"L","S"))</f>
        <v/>
      </c>
      <c r="F703" s="185" t="str">
        <f t="shared" si="214"/>
        <v/>
      </c>
      <c r="G703" s="186" t="str">
        <f t="shared" si="205"/>
        <v/>
      </c>
      <c r="H703" s="187"/>
      <c r="I703" s="188" t="str">
        <f t="shared" si="215"/>
        <v/>
      </c>
      <c r="J703" s="188" t="str">
        <f t="shared" si="216"/>
        <v/>
      </c>
      <c r="K703" s="189" t="str">
        <f t="shared" si="217"/>
        <v/>
      </c>
      <c r="L703" s="189" t="str">
        <f t="shared" si="218"/>
        <v/>
      </c>
      <c r="M703" s="190"/>
      <c r="N703" s="190"/>
      <c r="O703" s="188" t="str">
        <f t="shared" si="219"/>
        <v/>
      </c>
      <c r="P703" s="191" t="str">
        <f t="shared" si="206"/>
        <v/>
      </c>
      <c r="Q703" s="192" t="str">
        <f t="shared" si="220"/>
        <v/>
      </c>
      <c r="R703" s="191" t="str">
        <f t="shared" si="207"/>
        <v/>
      </c>
      <c r="S703" s="193" t="str">
        <f t="shared" si="221"/>
        <v/>
      </c>
      <c r="T703" s="194" t="str">
        <f t="shared" si="208"/>
        <v/>
      </c>
      <c r="U703" s="192" t="str">
        <f t="shared" si="222"/>
        <v/>
      </c>
      <c r="V703" s="195" t="str">
        <f t="shared" si="209"/>
        <v/>
      </c>
      <c r="W703" s="195" t="str">
        <f t="shared" si="210"/>
        <v/>
      </c>
      <c r="X703" s="196" t="str">
        <f t="shared" si="223"/>
        <v/>
      </c>
      <c r="Y703" s="191" t="str">
        <f t="shared" si="224"/>
        <v/>
      </c>
      <c r="Z703" s="197" t="str">
        <f t="shared" si="211"/>
        <v/>
      </c>
      <c r="AA703" s="197" t="str">
        <f t="shared" si="212"/>
        <v/>
      </c>
      <c r="AB703" s="218"/>
      <c r="AC703" s="205"/>
    </row>
    <row r="704" spans="1:29">
      <c r="A704" s="219" t="str">
        <f t="shared" si="213"/>
        <v/>
      </c>
      <c r="B704" s="219"/>
      <c r="C704" s="184"/>
      <c r="D704" s="185"/>
      <c r="E704" s="185" t="str">
        <f>IF(OR(C704="",C704=Data!$B$3),"",IF(C704=Data!$B$2,"L","S"))</f>
        <v/>
      </c>
      <c r="F704" s="185" t="str">
        <f t="shared" si="214"/>
        <v/>
      </c>
      <c r="G704" s="186" t="str">
        <f t="shared" si="205"/>
        <v/>
      </c>
      <c r="H704" s="187"/>
      <c r="I704" s="188" t="str">
        <f t="shared" si="215"/>
        <v/>
      </c>
      <c r="J704" s="188" t="str">
        <f t="shared" si="216"/>
        <v/>
      </c>
      <c r="K704" s="189" t="str">
        <f t="shared" si="217"/>
        <v/>
      </c>
      <c r="L704" s="189" t="str">
        <f t="shared" si="218"/>
        <v/>
      </c>
      <c r="M704" s="190"/>
      <c r="N704" s="190"/>
      <c r="O704" s="188" t="str">
        <f t="shared" si="219"/>
        <v/>
      </c>
      <c r="P704" s="191" t="str">
        <f t="shared" si="206"/>
        <v/>
      </c>
      <c r="Q704" s="192" t="str">
        <f t="shared" si="220"/>
        <v/>
      </c>
      <c r="R704" s="191" t="str">
        <f t="shared" si="207"/>
        <v/>
      </c>
      <c r="S704" s="193" t="str">
        <f t="shared" si="221"/>
        <v/>
      </c>
      <c r="T704" s="194" t="str">
        <f t="shared" si="208"/>
        <v/>
      </c>
      <c r="U704" s="192" t="str">
        <f t="shared" si="222"/>
        <v/>
      </c>
      <c r="V704" s="195" t="str">
        <f t="shared" si="209"/>
        <v/>
      </c>
      <c r="W704" s="195" t="str">
        <f t="shared" si="210"/>
        <v/>
      </c>
      <c r="X704" s="196" t="str">
        <f t="shared" si="223"/>
        <v/>
      </c>
      <c r="Y704" s="191" t="str">
        <f t="shared" si="224"/>
        <v/>
      </c>
      <c r="Z704" s="197" t="str">
        <f t="shared" si="211"/>
        <v/>
      </c>
      <c r="AA704" s="197" t="str">
        <f t="shared" si="212"/>
        <v/>
      </c>
      <c r="AB704" s="218"/>
      <c r="AC704" s="205"/>
    </row>
    <row r="705" spans="1:29">
      <c r="A705" s="219" t="str">
        <f t="shared" si="213"/>
        <v/>
      </c>
      <c r="B705" s="219"/>
      <c r="C705" s="184"/>
      <c r="D705" s="185"/>
      <c r="E705" s="185" t="str">
        <f>IF(OR(C705="",C705=Data!$B$3),"",IF(C705=Data!$B$2,"L","S"))</f>
        <v/>
      </c>
      <c r="F705" s="185" t="str">
        <f t="shared" si="214"/>
        <v/>
      </c>
      <c r="G705" s="186" t="str">
        <f t="shared" si="205"/>
        <v/>
      </c>
      <c r="H705" s="187"/>
      <c r="I705" s="188" t="str">
        <f t="shared" si="215"/>
        <v/>
      </c>
      <c r="J705" s="188" t="str">
        <f t="shared" si="216"/>
        <v/>
      </c>
      <c r="K705" s="189" t="str">
        <f t="shared" si="217"/>
        <v/>
      </c>
      <c r="L705" s="189" t="str">
        <f t="shared" si="218"/>
        <v/>
      </c>
      <c r="M705" s="190"/>
      <c r="N705" s="190"/>
      <c r="O705" s="188" t="str">
        <f t="shared" si="219"/>
        <v/>
      </c>
      <c r="P705" s="191" t="str">
        <f t="shared" si="206"/>
        <v/>
      </c>
      <c r="Q705" s="192" t="str">
        <f t="shared" si="220"/>
        <v/>
      </c>
      <c r="R705" s="191" t="str">
        <f t="shared" si="207"/>
        <v/>
      </c>
      <c r="S705" s="193" t="str">
        <f t="shared" si="221"/>
        <v/>
      </c>
      <c r="T705" s="194" t="str">
        <f t="shared" si="208"/>
        <v/>
      </c>
      <c r="U705" s="192" t="str">
        <f t="shared" si="222"/>
        <v/>
      </c>
      <c r="V705" s="195" t="str">
        <f t="shared" si="209"/>
        <v/>
      </c>
      <c r="W705" s="195" t="str">
        <f t="shared" si="210"/>
        <v/>
      </c>
      <c r="X705" s="196" t="str">
        <f t="shared" si="223"/>
        <v/>
      </c>
      <c r="Y705" s="191" t="str">
        <f t="shared" si="224"/>
        <v/>
      </c>
      <c r="Z705" s="197" t="str">
        <f t="shared" si="211"/>
        <v/>
      </c>
      <c r="AA705" s="197" t="str">
        <f t="shared" si="212"/>
        <v/>
      </c>
      <c r="AB705" s="218"/>
      <c r="AC705" s="205"/>
    </row>
    <row r="706" spans="1:29">
      <c r="A706" s="219" t="str">
        <f t="shared" si="213"/>
        <v/>
      </c>
      <c r="B706" s="219"/>
      <c r="C706" s="184"/>
      <c r="D706" s="185"/>
      <c r="E706" s="185" t="str">
        <f>IF(OR(C706="",C706=Data!$B$3),"",IF(C706=Data!$B$2,"L","S"))</f>
        <v/>
      </c>
      <c r="F706" s="185" t="str">
        <f t="shared" si="214"/>
        <v/>
      </c>
      <c r="G706" s="186" t="str">
        <f t="shared" si="205"/>
        <v/>
      </c>
      <c r="H706" s="187"/>
      <c r="I706" s="188" t="str">
        <f t="shared" si="215"/>
        <v/>
      </c>
      <c r="J706" s="188" t="str">
        <f t="shared" si="216"/>
        <v/>
      </c>
      <c r="K706" s="189" t="str">
        <f t="shared" si="217"/>
        <v/>
      </c>
      <c r="L706" s="189" t="str">
        <f t="shared" si="218"/>
        <v/>
      </c>
      <c r="M706" s="190"/>
      <c r="N706" s="190"/>
      <c r="O706" s="188" t="str">
        <f t="shared" si="219"/>
        <v/>
      </c>
      <c r="P706" s="191" t="str">
        <f t="shared" si="206"/>
        <v/>
      </c>
      <c r="Q706" s="192" t="str">
        <f t="shared" si="220"/>
        <v/>
      </c>
      <c r="R706" s="191" t="str">
        <f t="shared" si="207"/>
        <v/>
      </c>
      <c r="S706" s="193" t="str">
        <f t="shared" si="221"/>
        <v/>
      </c>
      <c r="T706" s="194" t="str">
        <f t="shared" si="208"/>
        <v/>
      </c>
      <c r="U706" s="192" t="str">
        <f t="shared" si="222"/>
        <v/>
      </c>
      <c r="V706" s="195" t="str">
        <f t="shared" si="209"/>
        <v/>
      </c>
      <c r="W706" s="195" t="str">
        <f t="shared" si="210"/>
        <v/>
      </c>
      <c r="X706" s="196" t="str">
        <f t="shared" si="223"/>
        <v/>
      </c>
      <c r="Y706" s="191" t="str">
        <f t="shared" si="224"/>
        <v/>
      </c>
      <c r="Z706" s="197" t="str">
        <f t="shared" si="211"/>
        <v/>
      </c>
      <c r="AA706" s="197" t="str">
        <f t="shared" si="212"/>
        <v/>
      </c>
      <c r="AB706" s="218"/>
      <c r="AC706" s="205"/>
    </row>
    <row r="707" spans="1:29">
      <c r="A707" s="219" t="str">
        <f t="shared" si="213"/>
        <v/>
      </c>
      <c r="B707" s="219"/>
      <c r="C707" s="184"/>
      <c r="D707" s="185"/>
      <c r="E707" s="185" t="str">
        <f>IF(OR(C707="",C707=Data!$B$3),"",IF(C707=Data!$B$2,"L","S"))</f>
        <v/>
      </c>
      <c r="F707" s="185" t="str">
        <f t="shared" si="214"/>
        <v/>
      </c>
      <c r="G707" s="186" t="str">
        <f t="shared" si="205"/>
        <v/>
      </c>
      <c r="H707" s="187"/>
      <c r="I707" s="188" t="str">
        <f t="shared" si="215"/>
        <v/>
      </c>
      <c r="J707" s="188" t="str">
        <f t="shared" si="216"/>
        <v/>
      </c>
      <c r="K707" s="189" t="str">
        <f t="shared" si="217"/>
        <v/>
      </c>
      <c r="L707" s="189" t="str">
        <f t="shared" si="218"/>
        <v/>
      </c>
      <c r="M707" s="190"/>
      <c r="N707" s="190"/>
      <c r="O707" s="188" t="str">
        <f t="shared" si="219"/>
        <v/>
      </c>
      <c r="P707" s="191" t="str">
        <f t="shared" si="206"/>
        <v/>
      </c>
      <c r="Q707" s="192" t="str">
        <f t="shared" si="220"/>
        <v/>
      </c>
      <c r="R707" s="191" t="str">
        <f t="shared" si="207"/>
        <v/>
      </c>
      <c r="S707" s="193" t="str">
        <f t="shared" si="221"/>
        <v/>
      </c>
      <c r="T707" s="194" t="str">
        <f t="shared" si="208"/>
        <v/>
      </c>
      <c r="U707" s="192" t="str">
        <f t="shared" si="222"/>
        <v/>
      </c>
      <c r="V707" s="195" t="str">
        <f t="shared" si="209"/>
        <v/>
      </c>
      <c r="W707" s="195" t="str">
        <f t="shared" si="210"/>
        <v/>
      </c>
      <c r="X707" s="196" t="str">
        <f t="shared" si="223"/>
        <v/>
      </c>
      <c r="Y707" s="191" t="str">
        <f t="shared" si="224"/>
        <v/>
      </c>
      <c r="Z707" s="197" t="str">
        <f t="shared" si="211"/>
        <v/>
      </c>
      <c r="AA707" s="197" t="str">
        <f t="shared" si="212"/>
        <v/>
      </c>
      <c r="AB707" s="218"/>
      <c r="AC707" s="205"/>
    </row>
    <row r="708" spans="1:29">
      <c r="A708" s="219" t="str">
        <f t="shared" si="213"/>
        <v/>
      </c>
      <c r="B708" s="219"/>
      <c r="C708" s="184"/>
      <c r="D708" s="185"/>
      <c r="E708" s="185" t="str">
        <f>IF(OR(C708="",C708=Data!$B$3),"",IF(C708=Data!$B$2,"L","S"))</f>
        <v/>
      </c>
      <c r="F708" s="185" t="str">
        <f t="shared" si="214"/>
        <v/>
      </c>
      <c r="G708" s="186" t="str">
        <f t="shared" si="205"/>
        <v/>
      </c>
      <c r="H708" s="187"/>
      <c r="I708" s="188" t="str">
        <f t="shared" si="215"/>
        <v/>
      </c>
      <c r="J708" s="188" t="str">
        <f t="shared" si="216"/>
        <v/>
      </c>
      <c r="K708" s="189" t="str">
        <f t="shared" si="217"/>
        <v/>
      </c>
      <c r="L708" s="189" t="str">
        <f t="shared" si="218"/>
        <v/>
      </c>
      <c r="M708" s="190"/>
      <c r="N708" s="190"/>
      <c r="O708" s="188" t="str">
        <f t="shared" si="219"/>
        <v/>
      </c>
      <c r="P708" s="191" t="str">
        <f t="shared" si="206"/>
        <v/>
      </c>
      <c r="Q708" s="192" t="str">
        <f t="shared" si="220"/>
        <v/>
      </c>
      <c r="R708" s="191" t="str">
        <f t="shared" si="207"/>
        <v/>
      </c>
      <c r="S708" s="193" t="str">
        <f t="shared" si="221"/>
        <v/>
      </c>
      <c r="T708" s="194" t="str">
        <f t="shared" si="208"/>
        <v/>
      </c>
      <c r="U708" s="192" t="str">
        <f t="shared" si="222"/>
        <v/>
      </c>
      <c r="V708" s="195" t="str">
        <f t="shared" si="209"/>
        <v/>
      </c>
      <c r="W708" s="195" t="str">
        <f t="shared" si="210"/>
        <v/>
      </c>
      <c r="X708" s="196" t="str">
        <f t="shared" si="223"/>
        <v/>
      </c>
      <c r="Y708" s="191" t="str">
        <f t="shared" si="224"/>
        <v/>
      </c>
      <c r="Z708" s="197" t="str">
        <f t="shared" si="211"/>
        <v/>
      </c>
      <c r="AA708" s="197" t="str">
        <f t="shared" si="212"/>
        <v/>
      </c>
      <c r="AB708" s="218"/>
      <c r="AC708" s="205"/>
    </row>
    <row r="709" spans="1:29">
      <c r="A709" s="219" t="str">
        <f t="shared" si="213"/>
        <v/>
      </c>
      <c r="B709" s="219"/>
      <c r="C709" s="184"/>
      <c r="D709" s="185"/>
      <c r="E709" s="185" t="str">
        <f>IF(OR(C709="",C709=Data!$B$3),"",IF(C709=Data!$B$2,"L","S"))</f>
        <v/>
      </c>
      <c r="F709" s="185" t="str">
        <f t="shared" si="214"/>
        <v/>
      </c>
      <c r="G709" s="186" t="str">
        <f t="shared" si="205"/>
        <v/>
      </c>
      <c r="H709" s="187"/>
      <c r="I709" s="188" t="str">
        <f t="shared" si="215"/>
        <v/>
      </c>
      <c r="J709" s="188" t="str">
        <f t="shared" si="216"/>
        <v/>
      </c>
      <c r="K709" s="189" t="str">
        <f t="shared" si="217"/>
        <v/>
      </c>
      <c r="L709" s="189" t="str">
        <f t="shared" si="218"/>
        <v/>
      </c>
      <c r="M709" s="190"/>
      <c r="N709" s="190"/>
      <c r="O709" s="188" t="str">
        <f t="shared" si="219"/>
        <v/>
      </c>
      <c r="P709" s="191" t="str">
        <f t="shared" si="206"/>
        <v/>
      </c>
      <c r="Q709" s="192" t="str">
        <f t="shared" si="220"/>
        <v/>
      </c>
      <c r="R709" s="191" t="str">
        <f t="shared" si="207"/>
        <v/>
      </c>
      <c r="S709" s="193" t="str">
        <f t="shared" si="221"/>
        <v/>
      </c>
      <c r="T709" s="194" t="str">
        <f t="shared" si="208"/>
        <v/>
      </c>
      <c r="U709" s="192" t="str">
        <f t="shared" si="222"/>
        <v/>
      </c>
      <c r="V709" s="195" t="str">
        <f t="shared" si="209"/>
        <v/>
      </c>
      <c r="W709" s="195" t="str">
        <f t="shared" si="210"/>
        <v/>
      </c>
      <c r="X709" s="196" t="str">
        <f t="shared" si="223"/>
        <v/>
      </c>
      <c r="Y709" s="191" t="str">
        <f t="shared" si="224"/>
        <v/>
      </c>
      <c r="Z709" s="197" t="str">
        <f t="shared" si="211"/>
        <v/>
      </c>
      <c r="AA709" s="197" t="str">
        <f t="shared" si="212"/>
        <v/>
      </c>
      <c r="AB709" s="218"/>
      <c r="AC709" s="205"/>
    </row>
    <row r="710" spans="1:29">
      <c r="A710" s="219" t="str">
        <f t="shared" si="213"/>
        <v/>
      </c>
      <c r="B710" s="219"/>
      <c r="C710" s="184"/>
      <c r="D710" s="185"/>
      <c r="E710" s="185" t="str">
        <f>IF(OR(C710="",C710=Data!$B$3),"",IF(C710=Data!$B$2,"L","S"))</f>
        <v/>
      </c>
      <c r="F710" s="185" t="str">
        <f t="shared" si="214"/>
        <v/>
      </c>
      <c r="G710" s="186" t="str">
        <f t="shared" si="205"/>
        <v/>
      </c>
      <c r="H710" s="187"/>
      <c r="I710" s="188" t="str">
        <f t="shared" si="215"/>
        <v/>
      </c>
      <c r="J710" s="188" t="str">
        <f t="shared" si="216"/>
        <v/>
      </c>
      <c r="K710" s="189" t="str">
        <f t="shared" si="217"/>
        <v/>
      </c>
      <c r="L710" s="189" t="str">
        <f t="shared" si="218"/>
        <v/>
      </c>
      <c r="M710" s="190"/>
      <c r="N710" s="190"/>
      <c r="O710" s="188" t="str">
        <f t="shared" si="219"/>
        <v/>
      </c>
      <c r="P710" s="191" t="str">
        <f t="shared" si="206"/>
        <v/>
      </c>
      <c r="Q710" s="192" t="str">
        <f t="shared" si="220"/>
        <v/>
      </c>
      <c r="R710" s="191" t="str">
        <f t="shared" si="207"/>
        <v/>
      </c>
      <c r="S710" s="193" t="str">
        <f t="shared" si="221"/>
        <v/>
      </c>
      <c r="T710" s="194" t="str">
        <f t="shared" si="208"/>
        <v/>
      </c>
      <c r="U710" s="192" t="str">
        <f t="shared" si="222"/>
        <v/>
      </c>
      <c r="V710" s="195" t="str">
        <f t="shared" si="209"/>
        <v/>
      </c>
      <c r="W710" s="195" t="str">
        <f t="shared" si="210"/>
        <v/>
      </c>
      <c r="X710" s="196" t="str">
        <f t="shared" si="223"/>
        <v/>
      </c>
      <c r="Y710" s="191" t="str">
        <f t="shared" si="224"/>
        <v/>
      </c>
      <c r="Z710" s="197" t="str">
        <f t="shared" si="211"/>
        <v/>
      </c>
      <c r="AA710" s="197" t="str">
        <f t="shared" si="212"/>
        <v/>
      </c>
      <c r="AB710" s="218"/>
      <c r="AC710" s="205"/>
    </row>
    <row r="711" spans="1:29">
      <c r="A711" s="219" t="str">
        <f t="shared" si="213"/>
        <v/>
      </c>
      <c r="B711" s="219"/>
      <c r="C711" s="184"/>
      <c r="D711" s="185"/>
      <c r="E711" s="185" t="str">
        <f>IF(OR(C711="",C711=Data!$B$3),"",IF(C711=Data!$B$2,"L","S"))</f>
        <v/>
      </c>
      <c r="F711" s="185" t="str">
        <f t="shared" si="214"/>
        <v/>
      </c>
      <c r="G711" s="186" t="str">
        <f t="shared" si="205"/>
        <v/>
      </c>
      <c r="H711" s="187"/>
      <c r="I711" s="188" t="str">
        <f t="shared" si="215"/>
        <v/>
      </c>
      <c r="J711" s="188" t="str">
        <f t="shared" si="216"/>
        <v/>
      </c>
      <c r="K711" s="189" t="str">
        <f t="shared" si="217"/>
        <v/>
      </c>
      <c r="L711" s="189" t="str">
        <f t="shared" si="218"/>
        <v/>
      </c>
      <c r="M711" s="190"/>
      <c r="N711" s="190"/>
      <c r="O711" s="188" t="str">
        <f t="shared" si="219"/>
        <v/>
      </c>
      <c r="P711" s="191" t="str">
        <f t="shared" si="206"/>
        <v/>
      </c>
      <c r="Q711" s="192" t="str">
        <f t="shared" si="220"/>
        <v/>
      </c>
      <c r="R711" s="191" t="str">
        <f t="shared" si="207"/>
        <v/>
      </c>
      <c r="S711" s="193" t="str">
        <f t="shared" si="221"/>
        <v/>
      </c>
      <c r="T711" s="194" t="str">
        <f t="shared" si="208"/>
        <v/>
      </c>
      <c r="U711" s="192" t="str">
        <f t="shared" si="222"/>
        <v/>
      </c>
      <c r="V711" s="195" t="str">
        <f t="shared" si="209"/>
        <v/>
      </c>
      <c r="W711" s="195" t="str">
        <f t="shared" si="210"/>
        <v/>
      </c>
      <c r="X711" s="196" t="str">
        <f t="shared" si="223"/>
        <v/>
      </c>
      <c r="Y711" s="191" t="str">
        <f t="shared" si="224"/>
        <v/>
      </c>
      <c r="Z711" s="197" t="str">
        <f t="shared" si="211"/>
        <v/>
      </c>
      <c r="AA711" s="197" t="str">
        <f t="shared" si="212"/>
        <v/>
      </c>
      <c r="AB711" s="218"/>
      <c r="AC711" s="205"/>
    </row>
    <row r="712" spans="1:29">
      <c r="A712" s="219" t="str">
        <f t="shared" si="213"/>
        <v/>
      </c>
      <c r="B712" s="219"/>
      <c r="C712" s="184"/>
      <c r="D712" s="185"/>
      <c r="E712" s="185" t="str">
        <f>IF(OR(C712="",C712=Data!$B$3),"",IF(C712=Data!$B$2,"L","S"))</f>
        <v/>
      </c>
      <c r="F712" s="185" t="str">
        <f t="shared" si="214"/>
        <v/>
      </c>
      <c r="G712" s="186" t="str">
        <f t="shared" si="205"/>
        <v/>
      </c>
      <c r="H712" s="187"/>
      <c r="I712" s="188" t="str">
        <f t="shared" si="215"/>
        <v/>
      </c>
      <c r="J712" s="188" t="str">
        <f t="shared" si="216"/>
        <v/>
      </c>
      <c r="K712" s="189" t="str">
        <f t="shared" si="217"/>
        <v/>
      </c>
      <c r="L712" s="189" t="str">
        <f t="shared" si="218"/>
        <v/>
      </c>
      <c r="M712" s="190"/>
      <c r="N712" s="190"/>
      <c r="O712" s="188" t="str">
        <f t="shared" si="219"/>
        <v/>
      </c>
      <c r="P712" s="191" t="str">
        <f t="shared" si="206"/>
        <v/>
      </c>
      <c r="Q712" s="192" t="str">
        <f t="shared" si="220"/>
        <v/>
      </c>
      <c r="R712" s="191" t="str">
        <f t="shared" si="207"/>
        <v/>
      </c>
      <c r="S712" s="193" t="str">
        <f t="shared" si="221"/>
        <v/>
      </c>
      <c r="T712" s="194" t="str">
        <f t="shared" si="208"/>
        <v/>
      </c>
      <c r="U712" s="192" t="str">
        <f t="shared" si="222"/>
        <v/>
      </c>
      <c r="V712" s="195" t="str">
        <f t="shared" si="209"/>
        <v/>
      </c>
      <c r="W712" s="195" t="str">
        <f t="shared" si="210"/>
        <v/>
      </c>
      <c r="X712" s="196" t="str">
        <f t="shared" si="223"/>
        <v/>
      </c>
      <c r="Y712" s="191" t="str">
        <f t="shared" si="224"/>
        <v/>
      </c>
      <c r="Z712" s="197" t="str">
        <f t="shared" si="211"/>
        <v/>
      </c>
      <c r="AA712" s="197" t="str">
        <f t="shared" si="212"/>
        <v/>
      </c>
      <c r="AB712" s="218"/>
      <c r="AC712" s="205"/>
    </row>
    <row r="713" spans="1:29">
      <c r="A713" s="219" t="str">
        <f t="shared" si="213"/>
        <v/>
      </c>
      <c r="B713" s="219"/>
      <c r="C713" s="184"/>
      <c r="D713" s="185"/>
      <c r="E713" s="185" t="str">
        <f>IF(OR(C713="",C713=Data!$B$3),"",IF(C713=Data!$B$2,"L","S"))</f>
        <v/>
      </c>
      <c r="F713" s="185" t="str">
        <f t="shared" si="214"/>
        <v/>
      </c>
      <c r="G713" s="186" t="str">
        <f t="shared" si="205"/>
        <v/>
      </c>
      <c r="H713" s="187"/>
      <c r="I713" s="188" t="str">
        <f t="shared" si="215"/>
        <v/>
      </c>
      <c r="J713" s="188" t="str">
        <f t="shared" si="216"/>
        <v/>
      </c>
      <c r="K713" s="189" t="str">
        <f t="shared" si="217"/>
        <v/>
      </c>
      <c r="L713" s="189" t="str">
        <f t="shared" si="218"/>
        <v/>
      </c>
      <c r="M713" s="190"/>
      <c r="N713" s="190"/>
      <c r="O713" s="188" t="str">
        <f t="shared" si="219"/>
        <v/>
      </c>
      <c r="P713" s="191" t="str">
        <f t="shared" si="206"/>
        <v/>
      </c>
      <c r="Q713" s="192" t="str">
        <f t="shared" si="220"/>
        <v/>
      </c>
      <c r="R713" s="191" t="str">
        <f t="shared" si="207"/>
        <v/>
      </c>
      <c r="S713" s="193" t="str">
        <f t="shared" si="221"/>
        <v/>
      </c>
      <c r="T713" s="194" t="str">
        <f t="shared" si="208"/>
        <v/>
      </c>
      <c r="U713" s="192" t="str">
        <f t="shared" si="222"/>
        <v/>
      </c>
      <c r="V713" s="195" t="str">
        <f t="shared" si="209"/>
        <v/>
      </c>
      <c r="W713" s="195" t="str">
        <f t="shared" si="210"/>
        <v/>
      </c>
      <c r="X713" s="196" t="str">
        <f t="shared" si="223"/>
        <v/>
      </c>
      <c r="Y713" s="191" t="str">
        <f t="shared" si="224"/>
        <v/>
      </c>
      <c r="Z713" s="197" t="str">
        <f t="shared" si="211"/>
        <v/>
      </c>
      <c r="AA713" s="197" t="str">
        <f t="shared" si="212"/>
        <v/>
      </c>
      <c r="AB713" s="218"/>
      <c r="AC713" s="205"/>
    </row>
    <row r="714" spans="1:29">
      <c r="A714" s="219" t="str">
        <f t="shared" si="213"/>
        <v/>
      </c>
      <c r="B714" s="219"/>
      <c r="C714" s="184"/>
      <c r="D714" s="185"/>
      <c r="E714" s="185" t="str">
        <f>IF(OR(C714="",C714=Data!$B$3),"",IF(C714=Data!$B$2,"L","S"))</f>
        <v/>
      </c>
      <c r="F714" s="185" t="str">
        <f t="shared" si="214"/>
        <v/>
      </c>
      <c r="G714" s="186" t="str">
        <f t="shared" si="205"/>
        <v/>
      </c>
      <c r="H714" s="187"/>
      <c r="I714" s="188" t="str">
        <f t="shared" si="215"/>
        <v/>
      </c>
      <c r="J714" s="188" t="str">
        <f t="shared" si="216"/>
        <v/>
      </c>
      <c r="K714" s="189" t="str">
        <f t="shared" si="217"/>
        <v/>
      </c>
      <c r="L714" s="189" t="str">
        <f t="shared" si="218"/>
        <v/>
      </c>
      <c r="M714" s="190"/>
      <c r="N714" s="190"/>
      <c r="O714" s="188" t="str">
        <f t="shared" si="219"/>
        <v/>
      </c>
      <c r="P714" s="191" t="str">
        <f t="shared" si="206"/>
        <v/>
      </c>
      <c r="Q714" s="192" t="str">
        <f t="shared" si="220"/>
        <v/>
      </c>
      <c r="R714" s="191" t="str">
        <f t="shared" si="207"/>
        <v/>
      </c>
      <c r="S714" s="193" t="str">
        <f t="shared" si="221"/>
        <v/>
      </c>
      <c r="T714" s="194" t="str">
        <f t="shared" si="208"/>
        <v/>
      </c>
      <c r="U714" s="192" t="str">
        <f t="shared" si="222"/>
        <v/>
      </c>
      <c r="V714" s="195" t="str">
        <f t="shared" si="209"/>
        <v/>
      </c>
      <c r="W714" s="195" t="str">
        <f t="shared" si="210"/>
        <v/>
      </c>
      <c r="X714" s="196" t="str">
        <f t="shared" si="223"/>
        <v/>
      </c>
      <c r="Y714" s="191" t="str">
        <f t="shared" si="224"/>
        <v/>
      </c>
      <c r="Z714" s="197" t="str">
        <f t="shared" si="211"/>
        <v/>
      </c>
      <c r="AA714" s="197" t="str">
        <f t="shared" si="212"/>
        <v/>
      </c>
      <c r="AB714" s="218"/>
      <c r="AC714" s="205"/>
    </row>
    <row r="715" spans="1:29">
      <c r="A715" s="219" t="str">
        <f t="shared" si="213"/>
        <v/>
      </c>
      <c r="B715" s="219"/>
      <c r="C715" s="184"/>
      <c r="D715" s="185"/>
      <c r="E715" s="185" t="str">
        <f>IF(OR(C715="",C715=Data!$B$3),"",IF(C715=Data!$B$2,"L","S"))</f>
        <v/>
      </c>
      <c r="F715" s="185" t="str">
        <f t="shared" si="214"/>
        <v/>
      </c>
      <c r="G715" s="186" t="str">
        <f t="shared" si="205"/>
        <v/>
      </c>
      <c r="H715" s="187"/>
      <c r="I715" s="188" t="str">
        <f t="shared" si="215"/>
        <v/>
      </c>
      <c r="J715" s="188" t="str">
        <f t="shared" si="216"/>
        <v/>
      </c>
      <c r="K715" s="189" t="str">
        <f t="shared" si="217"/>
        <v/>
      </c>
      <c r="L715" s="189" t="str">
        <f t="shared" si="218"/>
        <v/>
      </c>
      <c r="M715" s="190"/>
      <c r="N715" s="190"/>
      <c r="O715" s="188" t="str">
        <f t="shared" si="219"/>
        <v/>
      </c>
      <c r="P715" s="191" t="str">
        <f t="shared" si="206"/>
        <v/>
      </c>
      <c r="Q715" s="192" t="str">
        <f t="shared" si="220"/>
        <v/>
      </c>
      <c r="R715" s="191" t="str">
        <f t="shared" si="207"/>
        <v/>
      </c>
      <c r="S715" s="193" t="str">
        <f t="shared" si="221"/>
        <v/>
      </c>
      <c r="T715" s="194" t="str">
        <f t="shared" si="208"/>
        <v/>
      </c>
      <c r="U715" s="192" t="str">
        <f t="shared" si="222"/>
        <v/>
      </c>
      <c r="V715" s="195" t="str">
        <f t="shared" si="209"/>
        <v/>
      </c>
      <c r="W715" s="195" t="str">
        <f t="shared" si="210"/>
        <v/>
      </c>
      <c r="X715" s="196" t="str">
        <f t="shared" si="223"/>
        <v/>
      </c>
      <c r="Y715" s="191" t="str">
        <f t="shared" si="224"/>
        <v/>
      </c>
      <c r="Z715" s="197" t="str">
        <f t="shared" si="211"/>
        <v/>
      </c>
      <c r="AA715" s="197" t="str">
        <f t="shared" si="212"/>
        <v/>
      </c>
      <c r="AB715" s="218"/>
      <c r="AC715" s="205"/>
    </row>
    <row r="716" spans="1:29">
      <c r="A716" s="219" t="str">
        <f t="shared" si="213"/>
        <v/>
      </c>
      <c r="B716" s="219"/>
      <c r="C716" s="184"/>
      <c r="D716" s="185"/>
      <c r="E716" s="185" t="str">
        <f>IF(OR(C716="",C716=Data!$B$3),"",IF(C716=Data!$B$2,"L","S"))</f>
        <v/>
      </c>
      <c r="F716" s="185" t="str">
        <f t="shared" si="214"/>
        <v/>
      </c>
      <c r="G716" s="186" t="str">
        <f t="shared" ref="G716:G779" si="225">IF(A716="","",$D$3)</f>
        <v/>
      </c>
      <c r="H716" s="187"/>
      <c r="I716" s="188" t="str">
        <f t="shared" si="215"/>
        <v/>
      </c>
      <c r="J716" s="188" t="str">
        <f t="shared" si="216"/>
        <v/>
      </c>
      <c r="K716" s="189" t="str">
        <f t="shared" si="217"/>
        <v/>
      </c>
      <c r="L716" s="189" t="str">
        <f t="shared" si="218"/>
        <v/>
      </c>
      <c r="M716" s="190"/>
      <c r="N716" s="190"/>
      <c r="O716" s="188" t="str">
        <f t="shared" si="219"/>
        <v/>
      </c>
      <c r="P716" s="191" t="str">
        <f t="shared" ref="P716:P779" si="226">IF(O716="","",IF(L716*F716*G716=0,0,L716*F716*G716))</f>
        <v/>
      </c>
      <c r="Q716" s="192" t="str">
        <f t="shared" si="220"/>
        <v/>
      </c>
      <c r="R716" s="191" t="str">
        <f t="shared" ref="R716:R779" si="227">IF(O716&lt;&gt;"",IF(K716*F716*G716=0,"",K716*F716*G716),"")</f>
        <v/>
      </c>
      <c r="S716" s="193" t="str">
        <f t="shared" si="221"/>
        <v/>
      </c>
      <c r="T716" s="194" t="str">
        <f t="shared" ref="T716:T779" si="228">IF(X716="","",X716*F716*G716)</f>
        <v/>
      </c>
      <c r="U716" s="192" t="str">
        <f t="shared" si="222"/>
        <v/>
      </c>
      <c r="V716" s="195" t="str">
        <f t="shared" ref="V716:V779" si="229">IF(O716="","",IF(AND(O716&gt;I716,E716="L"),1, IF(AND(I716&gt;O716,E716="S"),1,0)))</f>
        <v/>
      </c>
      <c r="W716" s="195" t="str">
        <f t="shared" ref="W716:W779" si="230">IF(O716="","",IF(AND(O716&lt;I716,E716="L"),1, IF(AND(I716&lt;O716,E716="S"),1,0)))</f>
        <v/>
      </c>
      <c r="X716" s="196" t="str">
        <f t="shared" si="223"/>
        <v/>
      </c>
      <c r="Y716" s="191" t="str">
        <f t="shared" si="224"/>
        <v/>
      </c>
      <c r="Z716" s="197" t="str">
        <f t="shared" ref="Z716:Z779" si="231">IF(M716="","",MONTH(M716))</f>
        <v/>
      </c>
      <c r="AA716" s="197" t="str">
        <f t="shared" ref="AA716:AA779" si="232">IF(M716="","",YEAR(M716))</f>
        <v/>
      </c>
      <c r="AB716" s="218"/>
      <c r="AC716" s="205"/>
    </row>
    <row r="717" spans="1:29">
      <c r="A717" s="219" t="str">
        <f t="shared" ref="A717:A780" si="233">IF(C717="","",1)</f>
        <v/>
      </c>
      <c r="B717" s="219"/>
      <c r="C717" s="184"/>
      <c r="D717" s="185"/>
      <c r="E717" s="185" t="str">
        <f>IF(OR(C717="",C717=Data!$B$3),"",IF(C717=Data!$B$2,"L","S"))</f>
        <v/>
      </c>
      <c r="F717" s="185" t="str">
        <f t="shared" ref="F717:F780" si="234">IF(A717&lt;&gt;"",$D$2,"")</f>
        <v/>
      </c>
      <c r="G717" s="186" t="str">
        <f t="shared" si="225"/>
        <v/>
      </c>
      <c r="H717" s="187"/>
      <c r="I717" s="188" t="str">
        <f t="shared" ref="I717:I780" si="235">IF(H717="","",IF(E717="L",H717+$D$4*0.0001,H717-$D$4*0.0001))</f>
        <v/>
      </c>
      <c r="J717" s="188" t="str">
        <f t="shared" ref="J717:J780" si="236">IF(AND(H717&lt;&gt;"",I717&lt;&gt;""),IF(E717="L",I717+(I717-H717)*3,I717-(H717-I717)*3),"")</f>
        <v/>
      </c>
      <c r="K717" s="189" t="str">
        <f t="shared" ref="K717:K780" si="237">IF(AND(E717&lt;&gt;"",AND(I717&lt;&gt;"",J717&lt;&gt;"")),IF(E717="L",(J717-I717)*IF(I717&gt;10,IF(SEARCH("JPY",D717),10,100),10000),(I717-J717)*IF(I717&gt;10,IF(SEARCH("JPY",D717),10,100),10000)),"")</f>
        <v/>
      </c>
      <c r="L717" s="189" t="str">
        <f t="shared" ref="L717:L780" si="238">IF(AND(E717&lt;&gt;"",AND(H717&lt;&gt;"",I717&lt;&gt;"")),IF(E717="L",(I717-H717)*IF(I717&gt;10,IF(SEARCH("JPY",D717),10,100),10000),(H717-I717)*IF(I717&gt;10,IF(SEARCH("JPY",D717),10,100),10000)),"")</f>
        <v/>
      </c>
      <c r="M717" s="190"/>
      <c r="N717" s="190"/>
      <c r="O717" s="188" t="str">
        <f t="shared" ref="O717:O780" si="239">J717</f>
        <v/>
      </c>
      <c r="P717" s="191" t="str">
        <f t="shared" si="226"/>
        <v/>
      </c>
      <c r="Q717" s="192" t="str">
        <f t="shared" ref="Q717:Q780" si="240">IF(P717="","",IF(P717=0,0,P717/$I$4))</f>
        <v/>
      </c>
      <c r="R717" s="191" t="str">
        <f t="shared" si="227"/>
        <v/>
      </c>
      <c r="S717" s="193" t="str">
        <f t="shared" ref="S717:S780" si="241">IF(P717="","",IF(P717=0,0,R717/P717))</f>
        <v/>
      </c>
      <c r="T717" s="194" t="str">
        <f t="shared" si="228"/>
        <v/>
      </c>
      <c r="U717" s="192" t="str">
        <f t="shared" ref="U717:U780" si="242">IF(T717="","",IF($I$4="","",T717/$I$4))</f>
        <v/>
      </c>
      <c r="V717" s="195" t="str">
        <f t="shared" si="229"/>
        <v/>
      </c>
      <c r="W717" s="195" t="str">
        <f t="shared" si="230"/>
        <v/>
      </c>
      <c r="X717" s="196" t="str">
        <f t="shared" ref="X717:X780" si="243">IF((O717=""),"",IF(E717="L",1,-1)*(O717-I717)*IF(O717&gt;10,IF(SEARCH("JPY",D717),10,100),10000))</f>
        <v/>
      </c>
      <c r="Y717" s="191" t="str">
        <f t="shared" si="224"/>
        <v/>
      </c>
      <c r="Z717" s="197" t="str">
        <f t="shared" si="231"/>
        <v/>
      </c>
      <c r="AA717" s="197" t="str">
        <f t="shared" si="232"/>
        <v/>
      </c>
      <c r="AB717" s="218"/>
      <c r="AC717" s="205"/>
    </row>
    <row r="718" spans="1:29">
      <c r="A718" s="219" t="str">
        <f t="shared" si="233"/>
        <v/>
      </c>
      <c r="B718" s="219"/>
      <c r="C718" s="184"/>
      <c r="D718" s="185"/>
      <c r="E718" s="185" t="str">
        <f>IF(OR(C718="",C718=Data!$B$3),"",IF(C718=Data!$B$2,"L","S"))</f>
        <v/>
      </c>
      <c r="F718" s="185" t="str">
        <f t="shared" si="234"/>
        <v/>
      </c>
      <c r="G718" s="186" t="str">
        <f t="shared" si="225"/>
        <v/>
      </c>
      <c r="H718" s="187"/>
      <c r="I718" s="188" t="str">
        <f t="shared" si="235"/>
        <v/>
      </c>
      <c r="J718" s="188" t="str">
        <f t="shared" si="236"/>
        <v/>
      </c>
      <c r="K718" s="189" t="str">
        <f t="shared" si="237"/>
        <v/>
      </c>
      <c r="L718" s="189" t="str">
        <f t="shared" si="238"/>
        <v/>
      </c>
      <c r="M718" s="190"/>
      <c r="N718" s="190"/>
      <c r="O718" s="188" t="str">
        <f t="shared" si="239"/>
        <v/>
      </c>
      <c r="P718" s="191" t="str">
        <f t="shared" si="226"/>
        <v/>
      </c>
      <c r="Q718" s="192" t="str">
        <f t="shared" si="240"/>
        <v/>
      </c>
      <c r="R718" s="191" t="str">
        <f t="shared" si="227"/>
        <v/>
      </c>
      <c r="S718" s="193" t="str">
        <f t="shared" si="241"/>
        <v/>
      </c>
      <c r="T718" s="194" t="str">
        <f t="shared" si="228"/>
        <v/>
      </c>
      <c r="U718" s="192" t="str">
        <f t="shared" si="242"/>
        <v/>
      </c>
      <c r="V718" s="195" t="str">
        <f t="shared" si="229"/>
        <v/>
      </c>
      <c r="W718" s="195" t="str">
        <f t="shared" si="230"/>
        <v/>
      </c>
      <c r="X718" s="196" t="str">
        <f t="shared" si="243"/>
        <v/>
      </c>
      <c r="Y718" s="191" t="str">
        <f t="shared" si="224"/>
        <v/>
      </c>
      <c r="Z718" s="197" t="str">
        <f t="shared" si="231"/>
        <v/>
      </c>
      <c r="AA718" s="197" t="str">
        <f t="shared" si="232"/>
        <v/>
      </c>
      <c r="AB718" s="218"/>
      <c r="AC718" s="205"/>
    </row>
    <row r="719" spans="1:29">
      <c r="A719" s="219" t="str">
        <f t="shared" si="233"/>
        <v/>
      </c>
      <c r="B719" s="219"/>
      <c r="C719" s="184"/>
      <c r="D719" s="185"/>
      <c r="E719" s="185" t="str">
        <f>IF(OR(C719="",C719=Data!$B$3),"",IF(C719=Data!$B$2,"L","S"))</f>
        <v/>
      </c>
      <c r="F719" s="185" t="str">
        <f t="shared" si="234"/>
        <v/>
      </c>
      <c r="G719" s="186" t="str">
        <f t="shared" si="225"/>
        <v/>
      </c>
      <c r="H719" s="187"/>
      <c r="I719" s="188" t="str">
        <f t="shared" si="235"/>
        <v/>
      </c>
      <c r="J719" s="188" t="str">
        <f t="shared" si="236"/>
        <v/>
      </c>
      <c r="K719" s="189" t="str">
        <f t="shared" si="237"/>
        <v/>
      </c>
      <c r="L719" s="189" t="str">
        <f t="shared" si="238"/>
        <v/>
      </c>
      <c r="M719" s="190"/>
      <c r="N719" s="190"/>
      <c r="O719" s="188" t="str">
        <f t="shared" si="239"/>
        <v/>
      </c>
      <c r="P719" s="191" t="str">
        <f t="shared" si="226"/>
        <v/>
      </c>
      <c r="Q719" s="192" t="str">
        <f t="shared" si="240"/>
        <v/>
      </c>
      <c r="R719" s="191" t="str">
        <f t="shared" si="227"/>
        <v/>
      </c>
      <c r="S719" s="193" t="str">
        <f t="shared" si="241"/>
        <v/>
      </c>
      <c r="T719" s="194" t="str">
        <f t="shared" si="228"/>
        <v/>
      </c>
      <c r="U719" s="192" t="str">
        <f t="shared" si="242"/>
        <v/>
      </c>
      <c r="V719" s="195" t="str">
        <f t="shared" si="229"/>
        <v/>
      </c>
      <c r="W719" s="195" t="str">
        <f t="shared" si="230"/>
        <v/>
      </c>
      <c r="X719" s="196" t="str">
        <f t="shared" si="243"/>
        <v/>
      </c>
      <c r="Y719" s="191" t="str">
        <f t="shared" si="224"/>
        <v/>
      </c>
      <c r="Z719" s="197" t="str">
        <f t="shared" si="231"/>
        <v/>
      </c>
      <c r="AA719" s="197" t="str">
        <f t="shared" si="232"/>
        <v/>
      </c>
      <c r="AB719" s="218"/>
      <c r="AC719" s="205"/>
    </row>
    <row r="720" spans="1:29">
      <c r="A720" s="219" t="str">
        <f t="shared" si="233"/>
        <v/>
      </c>
      <c r="B720" s="219"/>
      <c r="C720" s="184"/>
      <c r="D720" s="185"/>
      <c r="E720" s="185" t="str">
        <f>IF(OR(C720="",C720=Data!$B$3),"",IF(C720=Data!$B$2,"L","S"))</f>
        <v/>
      </c>
      <c r="F720" s="185" t="str">
        <f t="shared" si="234"/>
        <v/>
      </c>
      <c r="G720" s="186" t="str">
        <f t="shared" si="225"/>
        <v/>
      </c>
      <c r="H720" s="187"/>
      <c r="I720" s="188" t="str">
        <f t="shared" si="235"/>
        <v/>
      </c>
      <c r="J720" s="188" t="str">
        <f t="shared" si="236"/>
        <v/>
      </c>
      <c r="K720" s="189" t="str">
        <f t="shared" si="237"/>
        <v/>
      </c>
      <c r="L720" s="189" t="str">
        <f t="shared" si="238"/>
        <v/>
      </c>
      <c r="M720" s="190"/>
      <c r="N720" s="190"/>
      <c r="O720" s="188" t="str">
        <f t="shared" si="239"/>
        <v/>
      </c>
      <c r="P720" s="191" t="str">
        <f t="shared" si="226"/>
        <v/>
      </c>
      <c r="Q720" s="192" t="str">
        <f t="shared" si="240"/>
        <v/>
      </c>
      <c r="R720" s="191" t="str">
        <f t="shared" si="227"/>
        <v/>
      </c>
      <c r="S720" s="193" t="str">
        <f t="shared" si="241"/>
        <v/>
      </c>
      <c r="T720" s="194" t="str">
        <f t="shared" si="228"/>
        <v/>
      </c>
      <c r="U720" s="192" t="str">
        <f t="shared" si="242"/>
        <v/>
      </c>
      <c r="V720" s="195" t="str">
        <f t="shared" si="229"/>
        <v/>
      </c>
      <c r="W720" s="195" t="str">
        <f t="shared" si="230"/>
        <v/>
      </c>
      <c r="X720" s="196" t="str">
        <f t="shared" si="243"/>
        <v/>
      </c>
      <c r="Y720" s="191" t="str">
        <f t="shared" si="224"/>
        <v/>
      </c>
      <c r="Z720" s="197" t="str">
        <f t="shared" si="231"/>
        <v/>
      </c>
      <c r="AA720" s="197" t="str">
        <f t="shared" si="232"/>
        <v/>
      </c>
      <c r="AB720" s="218"/>
      <c r="AC720" s="205"/>
    </row>
    <row r="721" spans="1:29">
      <c r="A721" s="219" t="str">
        <f t="shared" si="233"/>
        <v/>
      </c>
      <c r="B721" s="219"/>
      <c r="C721" s="184"/>
      <c r="D721" s="185"/>
      <c r="E721" s="185" t="str">
        <f>IF(OR(C721="",C721=Data!$B$3),"",IF(C721=Data!$B$2,"L","S"))</f>
        <v/>
      </c>
      <c r="F721" s="185" t="str">
        <f t="shared" si="234"/>
        <v/>
      </c>
      <c r="G721" s="186" t="str">
        <f t="shared" si="225"/>
        <v/>
      </c>
      <c r="H721" s="187"/>
      <c r="I721" s="188" t="str">
        <f t="shared" si="235"/>
        <v/>
      </c>
      <c r="J721" s="188" t="str">
        <f t="shared" si="236"/>
        <v/>
      </c>
      <c r="K721" s="189" t="str">
        <f t="shared" si="237"/>
        <v/>
      </c>
      <c r="L721" s="189" t="str">
        <f t="shared" si="238"/>
        <v/>
      </c>
      <c r="M721" s="190"/>
      <c r="N721" s="190"/>
      <c r="O721" s="188" t="str">
        <f t="shared" si="239"/>
        <v/>
      </c>
      <c r="P721" s="191" t="str">
        <f t="shared" si="226"/>
        <v/>
      </c>
      <c r="Q721" s="192" t="str">
        <f t="shared" si="240"/>
        <v/>
      </c>
      <c r="R721" s="191" t="str">
        <f t="shared" si="227"/>
        <v/>
      </c>
      <c r="S721" s="193" t="str">
        <f t="shared" si="241"/>
        <v/>
      </c>
      <c r="T721" s="194" t="str">
        <f t="shared" si="228"/>
        <v/>
      </c>
      <c r="U721" s="192" t="str">
        <f t="shared" si="242"/>
        <v/>
      </c>
      <c r="V721" s="195" t="str">
        <f t="shared" si="229"/>
        <v/>
      </c>
      <c r="W721" s="195" t="str">
        <f t="shared" si="230"/>
        <v/>
      </c>
      <c r="X721" s="196" t="str">
        <f t="shared" si="243"/>
        <v/>
      </c>
      <c r="Y721" s="191" t="str">
        <f t="shared" si="224"/>
        <v/>
      </c>
      <c r="Z721" s="197" t="str">
        <f t="shared" si="231"/>
        <v/>
      </c>
      <c r="AA721" s="197" t="str">
        <f t="shared" si="232"/>
        <v/>
      </c>
      <c r="AB721" s="218"/>
      <c r="AC721" s="205"/>
    </row>
    <row r="722" spans="1:29">
      <c r="A722" s="219" t="str">
        <f t="shared" si="233"/>
        <v/>
      </c>
      <c r="B722" s="219"/>
      <c r="C722" s="184"/>
      <c r="D722" s="185"/>
      <c r="E722" s="185" t="str">
        <f>IF(OR(C722="",C722=Data!$B$3),"",IF(C722=Data!$B$2,"L","S"))</f>
        <v/>
      </c>
      <c r="F722" s="185" t="str">
        <f t="shared" si="234"/>
        <v/>
      </c>
      <c r="G722" s="186" t="str">
        <f t="shared" si="225"/>
        <v/>
      </c>
      <c r="H722" s="187"/>
      <c r="I722" s="188" t="str">
        <f t="shared" si="235"/>
        <v/>
      </c>
      <c r="J722" s="188" t="str">
        <f t="shared" si="236"/>
        <v/>
      </c>
      <c r="K722" s="189" t="str">
        <f t="shared" si="237"/>
        <v/>
      </c>
      <c r="L722" s="189" t="str">
        <f t="shared" si="238"/>
        <v/>
      </c>
      <c r="M722" s="190"/>
      <c r="N722" s="190"/>
      <c r="O722" s="188" t="str">
        <f t="shared" si="239"/>
        <v/>
      </c>
      <c r="P722" s="191" t="str">
        <f t="shared" si="226"/>
        <v/>
      </c>
      <c r="Q722" s="192" t="str">
        <f t="shared" si="240"/>
        <v/>
      </c>
      <c r="R722" s="191" t="str">
        <f t="shared" si="227"/>
        <v/>
      </c>
      <c r="S722" s="193" t="str">
        <f t="shared" si="241"/>
        <v/>
      </c>
      <c r="T722" s="194" t="str">
        <f t="shared" si="228"/>
        <v/>
      </c>
      <c r="U722" s="192" t="str">
        <f t="shared" si="242"/>
        <v/>
      </c>
      <c r="V722" s="195" t="str">
        <f t="shared" si="229"/>
        <v/>
      </c>
      <c r="W722" s="195" t="str">
        <f t="shared" si="230"/>
        <v/>
      </c>
      <c r="X722" s="196" t="str">
        <f t="shared" si="243"/>
        <v/>
      </c>
      <c r="Y722" s="191" t="str">
        <f t="shared" si="224"/>
        <v/>
      </c>
      <c r="Z722" s="197" t="str">
        <f t="shared" si="231"/>
        <v/>
      </c>
      <c r="AA722" s="197" t="str">
        <f t="shared" si="232"/>
        <v/>
      </c>
      <c r="AB722" s="218"/>
      <c r="AC722" s="205"/>
    </row>
    <row r="723" spans="1:29">
      <c r="A723" s="219" t="str">
        <f t="shared" si="233"/>
        <v/>
      </c>
      <c r="B723" s="219"/>
      <c r="C723" s="184"/>
      <c r="D723" s="185"/>
      <c r="E723" s="185" t="str">
        <f>IF(OR(C723="",C723=Data!$B$3),"",IF(C723=Data!$B$2,"L","S"))</f>
        <v/>
      </c>
      <c r="F723" s="185" t="str">
        <f t="shared" si="234"/>
        <v/>
      </c>
      <c r="G723" s="186" t="str">
        <f t="shared" si="225"/>
        <v/>
      </c>
      <c r="H723" s="187"/>
      <c r="I723" s="188" t="str">
        <f t="shared" si="235"/>
        <v/>
      </c>
      <c r="J723" s="188" t="str">
        <f t="shared" si="236"/>
        <v/>
      </c>
      <c r="K723" s="189" t="str">
        <f t="shared" si="237"/>
        <v/>
      </c>
      <c r="L723" s="189" t="str">
        <f t="shared" si="238"/>
        <v/>
      </c>
      <c r="M723" s="190"/>
      <c r="N723" s="190"/>
      <c r="O723" s="188" t="str">
        <f t="shared" si="239"/>
        <v/>
      </c>
      <c r="P723" s="191" t="str">
        <f t="shared" si="226"/>
        <v/>
      </c>
      <c r="Q723" s="192" t="str">
        <f t="shared" si="240"/>
        <v/>
      </c>
      <c r="R723" s="191" t="str">
        <f t="shared" si="227"/>
        <v/>
      </c>
      <c r="S723" s="193" t="str">
        <f t="shared" si="241"/>
        <v/>
      </c>
      <c r="T723" s="194" t="str">
        <f t="shared" si="228"/>
        <v/>
      </c>
      <c r="U723" s="192" t="str">
        <f t="shared" si="242"/>
        <v/>
      </c>
      <c r="V723" s="195" t="str">
        <f t="shared" si="229"/>
        <v/>
      </c>
      <c r="W723" s="195" t="str">
        <f t="shared" si="230"/>
        <v/>
      </c>
      <c r="X723" s="196" t="str">
        <f t="shared" si="243"/>
        <v/>
      </c>
      <c r="Y723" s="191" t="str">
        <f t="shared" si="224"/>
        <v/>
      </c>
      <c r="Z723" s="197" t="str">
        <f t="shared" si="231"/>
        <v/>
      </c>
      <c r="AA723" s="197" t="str">
        <f t="shared" si="232"/>
        <v/>
      </c>
      <c r="AB723" s="218"/>
      <c r="AC723" s="205"/>
    </row>
    <row r="724" spans="1:29">
      <c r="A724" s="219" t="str">
        <f t="shared" si="233"/>
        <v/>
      </c>
      <c r="B724" s="219"/>
      <c r="C724" s="184"/>
      <c r="D724" s="185"/>
      <c r="E724" s="185" t="str">
        <f>IF(OR(C724="",C724=Data!$B$3),"",IF(C724=Data!$B$2,"L","S"))</f>
        <v/>
      </c>
      <c r="F724" s="185" t="str">
        <f t="shared" si="234"/>
        <v/>
      </c>
      <c r="G724" s="186" t="str">
        <f t="shared" si="225"/>
        <v/>
      </c>
      <c r="H724" s="187"/>
      <c r="I724" s="188" t="str">
        <f t="shared" si="235"/>
        <v/>
      </c>
      <c r="J724" s="188" t="str">
        <f t="shared" si="236"/>
        <v/>
      </c>
      <c r="K724" s="189" t="str">
        <f t="shared" si="237"/>
        <v/>
      </c>
      <c r="L724" s="189" t="str">
        <f t="shared" si="238"/>
        <v/>
      </c>
      <c r="M724" s="190"/>
      <c r="N724" s="190"/>
      <c r="O724" s="188" t="str">
        <f t="shared" si="239"/>
        <v/>
      </c>
      <c r="P724" s="191" t="str">
        <f t="shared" si="226"/>
        <v/>
      </c>
      <c r="Q724" s="192" t="str">
        <f t="shared" si="240"/>
        <v/>
      </c>
      <c r="R724" s="191" t="str">
        <f t="shared" si="227"/>
        <v/>
      </c>
      <c r="S724" s="193" t="str">
        <f t="shared" si="241"/>
        <v/>
      </c>
      <c r="T724" s="194" t="str">
        <f t="shared" si="228"/>
        <v/>
      </c>
      <c r="U724" s="192" t="str">
        <f t="shared" si="242"/>
        <v/>
      </c>
      <c r="V724" s="195" t="str">
        <f t="shared" si="229"/>
        <v/>
      </c>
      <c r="W724" s="195" t="str">
        <f t="shared" si="230"/>
        <v/>
      </c>
      <c r="X724" s="196" t="str">
        <f t="shared" si="243"/>
        <v/>
      </c>
      <c r="Y724" s="191" t="str">
        <f t="shared" ref="Y724:Y787" si="244">IF(Y723="","",IF(T724="","",Y723+T724))</f>
        <v/>
      </c>
      <c r="Z724" s="197" t="str">
        <f t="shared" si="231"/>
        <v/>
      </c>
      <c r="AA724" s="197" t="str">
        <f t="shared" si="232"/>
        <v/>
      </c>
      <c r="AB724" s="218"/>
      <c r="AC724" s="205"/>
    </row>
    <row r="725" spans="1:29">
      <c r="A725" s="219" t="str">
        <f t="shared" si="233"/>
        <v/>
      </c>
      <c r="B725" s="219"/>
      <c r="C725" s="184"/>
      <c r="D725" s="185"/>
      <c r="E725" s="185" t="str">
        <f>IF(OR(C725="",C725=Data!$B$3),"",IF(C725=Data!$B$2,"L","S"))</f>
        <v/>
      </c>
      <c r="F725" s="185" t="str">
        <f t="shared" si="234"/>
        <v/>
      </c>
      <c r="G725" s="186" t="str">
        <f t="shared" si="225"/>
        <v/>
      </c>
      <c r="H725" s="187"/>
      <c r="I725" s="188" t="str">
        <f t="shared" si="235"/>
        <v/>
      </c>
      <c r="J725" s="188" t="str">
        <f t="shared" si="236"/>
        <v/>
      </c>
      <c r="K725" s="189" t="str">
        <f t="shared" si="237"/>
        <v/>
      </c>
      <c r="L725" s="189" t="str">
        <f t="shared" si="238"/>
        <v/>
      </c>
      <c r="M725" s="190"/>
      <c r="N725" s="190"/>
      <c r="O725" s="188" t="str">
        <f t="shared" si="239"/>
        <v/>
      </c>
      <c r="P725" s="191" t="str">
        <f t="shared" si="226"/>
        <v/>
      </c>
      <c r="Q725" s="192" t="str">
        <f t="shared" si="240"/>
        <v/>
      </c>
      <c r="R725" s="191" t="str">
        <f t="shared" si="227"/>
        <v/>
      </c>
      <c r="S725" s="193" t="str">
        <f t="shared" si="241"/>
        <v/>
      </c>
      <c r="T725" s="194" t="str">
        <f t="shared" si="228"/>
        <v/>
      </c>
      <c r="U725" s="192" t="str">
        <f t="shared" si="242"/>
        <v/>
      </c>
      <c r="V725" s="195" t="str">
        <f t="shared" si="229"/>
        <v/>
      </c>
      <c r="W725" s="195" t="str">
        <f t="shared" si="230"/>
        <v/>
      </c>
      <c r="X725" s="196" t="str">
        <f t="shared" si="243"/>
        <v/>
      </c>
      <c r="Y725" s="191" t="str">
        <f t="shared" si="244"/>
        <v/>
      </c>
      <c r="Z725" s="197" t="str">
        <f t="shared" si="231"/>
        <v/>
      </c>
      <c r="AA725" s="197" t="str">
        <f t="shared" si="232"/>
        <v/>
      </c>
      <c r="AB725" s="218"/>
      <c r="AC725" s="205"/>
    </row>
    <row r="726" spans="1:29">
      <c r="A726" s="219" t="str">
        <f t="shared" si="233"/>
        <v/>
      </c>
      <c r="B726" s="219"/>
      <c r="C726" s="184"/>
      <c r="D726" s="185"/>
      <c r="E726" s="185" t="str">
        <f>IF(OR(C726="",C726=Data!$B$3),"",IF(C726=Data!$B$2,"L","S"))</f>
        <v/>
      </c>
      <c r="F726" s="185" t="str">
        <f t="shared" si="234"/>
        <v/>
      </c>
      <c r="G726" s="186" t="str">
        <f t="shared" si="225"/>
        <v/>
      </c>
      <c r="H726" s="187"/>
      <c r="I726" s="188" t="str">
        <f t="shared" si="235"/>
        <v/>
      </c>
      <c r="J726" s="188" t="str">
        <f t="shared" si="236"/>
        <v/>
      </c>
      <c r="K726" s="189" t="str">
        <f t="shared" si="237"/>
        <v/>
      </c>
      <c r="L726" s="189" t="str">
        <f t="shared" si="238"/>
        <v/>
      </c>
      <c r="M726" s="190"/>
      <c r="N726" s="190"/>
      <c r="O726" s="188" t="str">
        <f t="shared" si="239"/>
        <v/>
      </c>
      <c r="P726" s="191" t="str">
        <f t="shared" si="226"/>
        <v/>
      </c>
      <c r="Q726" s="192" t="str">
        <f t="shared" si="240"/>
        <v/>
      </c>
      <c r="R726" s="191" t="str">
        <f t="shared" si="227"/>
        <v/>
      </c>
      <c r="S726" s="193" t="str">
        <f t="shared" si="241"/>
        <v/>
      </c>
      <c r="T726" s="194" t="str">
        <f t="shared" si="228"/>
        <v/>
      </c>
      <c r="U726" s="192" t="str">
        <f t="shared" si="242"/>
        <v/>
      </c>
      <c r="V726" s="195" t="str">
        <f t="shared" si="229"/>
        <v/>
      </c>
      <c r="W726" s="195" t="str">
        <f t="shared" si="230"/>
        <v/>
      </c>
      <c r="X726" s="196" t="str">
        <f t="shared" si="243"/>
        <v/>
      </c>
      <c r="Y726" s="191" t="str">
        <f t="shared" si="244"/>
        <v/>
      </c>
      <c r="Z726" s="197" t="str">
        <f t="shared" si="231"/>
        <v/>
      </c>
      <c r="AA726" s="197" t="str">
        <f t="shared" si="232"/>
        <v/>
      </c>
      <c r="AB726" s="218"/>
      <c r="AC726" s="205"/>
    </row>
    <row r="727" spans="1:29">
      <c r="A727" s="219" t="str">
        <f t="shared" si="233"/>
        <v/>
      </c>
      <c r="B727" s="219"/>
      <c r="C727" s="184"/>
      <c r="D727" s="185"/>
      <c r="E727" s="185" t="str">
        <f>IF(OR(C727="",C727=Data!$B$3),"",IF(C727=Data!$B$2,"L","S"))</f>
        <v/>
      </c>
      <c r="F727" s="185" t="str">
        <f t="shared" si="234"/>
        <v/>
      </c>
      <c r="G727" s="186" t="str">
        <f t="shared" si="225"/>
        <v/>
      </c>
      <c r="H727" s="187"/>
      <c r="I727" s="188" t="str">
        <f t="shared" si="235"/>
        <v/>
      </c>
      <c r="J727" s="188" t="str">
        <f t="shared" si="236"/>
        <v/>
      </c>
      <c r="K727" s="189" t="str">
        <f t="shared" si="237"/>
        <v/>
      </c>
      <c r="L727" s="189" t="str">
        <f t="shared" si="238"/>
        <v/>
      </c>
      <c r="M727" s="190"/>
      <c r="N727" s="190"/>
      <c r="O727" s="188" t="str">
        <f t="shared" si="239"/>
        <v/>
      </c>
      <c r="P727" s="191" t="str">
        <f t="shared" si="226"/>
        <v/>
      </c>
      <c r="Q727" s="192" t="str">
        <f t="shared" si="240"/>
        <v/>
      </c>
      <c r="R727" s="191" t="str">
        <f t="shared" si="227"/>
        <v/>
      </c>
      <c r="S727" s="193" t="str">
        <f t="shared" si="241"/>
        <v/>
      </c>
      <c r="T727" s="194" t="str">
        <f t="shared" si="228"/>
        <v/>
      </c>
      <c r="U727" s="192" t="str">
        <f t="shared" si="242"/>
        <v/>
      </c>
      <c r="V727" s="195" t="str">
        <f t="shared" si="229"/>
        <v/>
      </c>
      <c r="W727" s="195" t="str">
        <f t="shared" si="230"/>
        <v/>
      </c>
      <c r="X727" s="196" t="str">
        <f t="shared" si="243"/>
        <v/>
      </c>
      <c r="Y727" s="191" t="str">
        <f t="shared" si="244"/>
        <v/>
      </c>
      <c r="Z727" s="197" t="str">
        <f t="shared" si="231"/>
        <v/>
      </c>
      <c r="AA727" s="197" t="str">
        <f t="shared" si="232"/>
        <v/>
      </c>
      <c r="AB727" s="218"/>
      <c r="AC727" s="205"/>
    </row>
    <row r="728" spans="1:29">
      <c r="A728" s="219" t="str">
        <f t="shared" si="233"/>
        <v/>
      </c>
      <c r="B728" s="219"/>
      <c r="C728" s="184"/>
      <c r="D728" s="185"/>
      <c r="E728" s="185" t="str">
        <f>IF(OR(C728="",C728=Data!$B$3),"",IF(C728=Data!$B$2,"L","S"))</f>
        <v/>
      </c>
      <c r="F728" s="185" t="str">
        <f t="shared" si="234"/>
        <v/>
      </c>
      <c r="G728" s="186" t="str">
        <f t="shared" si="225"/>
        <v/>
      </c>
      <c r="H728" s="187"/>
      <c r="I728" s="188" t="str">
        <f t="shared" si="235"/>
        <v/>
      </c>
      <c r="J728" s="188" t="str">
        <f t="shared" si="236"/>
        <v/>
      </c>
      <c r="K728" s="189" t="str">
        <f t="shared" si="237"/>
        <v/>
      </c>
      <c r="L728" s="189" t="str">
        <f t="shared" si="238"/>
        <v/>
      </c>
      <c r="M728" s="190"/>
      <c r="N728" s="190"/>
      <c r="O728" s="188" t="str">
        <f t="shared" si="239"/>
        <v/>
      </c>
      <c r="P728" s="191" t="str">
        <f t="shared" si="226"/>
        <v/>
      </c>
      <c r="Q728" s="192" t="str">
        <f t="shared" si="240"/>
        <v/>
      </c>
      <c r="R728" s="191" t="str">
        <f t="shared" si="227"/>
        <v/>
      </c>
      <c r="S728" s="193" t="str">
        <f t="shared" si="241"/>
        <v/>
      </c>
      <c r="T728" s="194" t="str">
        <f t="shared" si="228"/>
        <v/>
      </c>
      <c r="U728" s="192" t="str">
        <f t="shared" si="242"/>
        <v/>
      </c>
      <c r="V728" s="195" t="str">
        <f t="shared" si="229"/>
        <v/>
      </c>
      <c r="W728" s="195" t="str">
        <f t="shared" si="230"/>
        <v/>
      </c>
      <c r="X728" s="196" t="str">
        <f t="shared" si="243"/>
        <v/>
      </c>
      <c r="Y728" s="191" t="str">
        <f t="shared" si="244"/>
        <v/>
      </c>
      <c r="Z728" s="197" t="str">
        <f t="shared" si="231"/>
        <v/>
      </c>
      <c r="AA728" s="197" t="str">
        <f t="shared" si="232"/>
        <v/>
      </c>
      <c r="AB728" s="218"/>
      <c r="AC728" s="205"/>
    </row>
    <row r="729" spans="1:29">
      <c r="A729" s="219" t="str">
        <f t="shared" si="233"/>
        <v/>
      </c>
      <c r="B729" s="219"/>
      <c r="C729" s="184"/>
      <c r="D729" s="185"/>
      <c r="E729" s="185" t="str">
        <f>IF(OR(C729="",C729=Data!$B$3),"",IF(C729=Data!$B$2,"L","S"))</f>
        <v/>
      </c>
      <c r="F729" s="185" t="str">
        <f t="shared" si="234"/>
        <v/>
      </c>
      <c r="G729" s="186" t="str">
        <f t="shared" si="225"/>
        <v/>
      </c>
      <c r="H729" s="187"/>
      <c r="I729" s="188" t="str">
        <f t="shared" si="235"/>
        <v/>
      </c>
      <c r="J729" s="188" t="str">
        <f t="shared" si="236"/>
        <v/>
      </c>
      <c r="K729" s="189" t="str">
        <f t="shared" si="237"/>
        <v/>
      </c>
      <c r="L729" s="189" t="str">
        <f t="shared" si="238"/>
        <v/>
      </c>
      <c r="M729" s="190"/>
      <c r="N729" s="190"/>
      <c r="O729" s="188" t="str">
        <f t="shared" si="239"/>
        <v/>
      </c>
      <c r="P729" s="191" t="str">
        <f t="shared" si="226"/>
        <v/>
      </c>
      <c r="Q729" s="192" t="str">
        <f t="shared" si="240"/>
        <v/>
      </c>
      <c r="R729" s="191" t="str">
        <f t="shared" si="227"/>
        <v/>
      </c>
      <c r="S729" s="193" t="str">
        <f t="shared" si="241"/>
        <v/>
      </c>
      <c r="T729" s="194" t="str">
        <f t="shared" si="228"/>
        <v/>
      </c>
      <c r="U729" s="192" t="str">
        <f t="shared" si="242"/>
        <v/>
      </c>
      <c r="V729" s="195" t="str">
        <f t="shared" si="229"/>
        <v/>
      </c>
      <c r="W729" s="195" t="str">
        <f t="shared" si="230"/>
        <v/>
      </c>
      <c r="X729" s="196" t="str">
        <f t="shared" si="243"/>
        <v/>
      </c>
      <c r="Y729" s="191" t="str">
        <f t="shared" si="244"/>
        <v/>
      </c>
      <c r="Z729" s="197" t="str">
        <f t="shared" si="231"/>
        <v/>
      </c>
      <c r="AA729" s="197" t="str">
        <f t="shared" si="232"/>
        <v/>
      </c>
      <c r="AB729" s="218"/>
      <c r="AC729" s="205"/>
    </row>
    <row r="730" spans="1:29">
      <c r="A730" s="219" t="str">
        <f t="shared" si="233"/>
        <v/>
      </c>
      <c r="B730" s="219"/>
      <c r="C730" s="184"/>
      <c r="D730" s="185"/>
      <c r="E730" s="185" t="str">
        <f>IF(OR(C730="",C730=Data!$B$3),"",IF(C730=Data!$B$2,"L","S"))</f>
        <v/>
      </c>
      <c r="F730" s="185" t="str">
        <f t="shared" si="234"/>
        <v/>
      </c>
      <c r="G730" s="186" t="str">
        <f t="shared" si="225"/>
        <v/>
      </c>
      <c r="H730" s="187"/>
      <c r="I730" s="188" t="str">
        <f t="shared" si="235"/>
        <v/>
      </c>
      <c r="J730" s="188" t="str">
        <f t="shared" si="236"/>
        <v/>
      </c>
      <c r="K730" s="189" t="str">
        <f t="shared" si="237"/>
        <v/>
      </c>
      <c r="L730" s="189" t="str">
        <f t="shared" si="238"/>
        <v/>
      </c>
      <c r="M730" s="190"/>
      <c r="N730" s="190"/>
      <c r="O730" s="188" t="str">
        <f t="shared" si="239"/>
        <v/>
      </c>
      <c r="P730" s="191" t="str">
        <f t="shared" si="226"/>
        <v/>
      </c>
      <c r="Q730" s="192" t="str">
        <f t="shared" si="240"/>
        <v/>
      </c>
      <c r="R730" s="191" t="str">
        <f t="shared" si="227"/>
        <v/>
      </c>
      <c r="S730" s="193" t="str">
        <f t="shared" si="241"/>
        <v/>
      </c>
      <c r="T730" s="194" t="str">
        <f t="shared" si="228"/>
        <v/>
      </c>
      <c r="U730" s="192" t="str">
        <f t="shared" si="242"/>
        <v/>
      </c>
      <c r="V730" s="195" t="str">
        <f t="shared" si="229"/>
        <v/>
      </c>
      <c r="W730" s="195" t="str">
        <f t="shared" si="230"/>
        <v/>
      </c>
      <c r="X730" s="196" t="str">
        <f t="shared" si="243"/>
        <v/>
      </c>
      <c r="Y730" s="191" t="str">
        <f t="shared" si="244"/>
        <v/>
      </c>
      <c r="Z730" s="197" t="str">
        <f t="shared" si="231"/>
        <v/>
      </c>
      <c r="AA730" s="197" t="str">
        <f t="shared" si="232"/>
        <v/>
      </c>
      <c r="AB730" s="218"/>
      <c r="AC730" s="205"/>
    </row>
    <row r="731" spans="1:29">
      <c r="A731" s="219" t="str">
        <f t="shared" si="233"/>
        <v/>
      </c>
      <c r="B731" s="219"/>
      <c r="C731" s="184"/>
      <c r="D731" s="185"/>
      <c r="E731" s="185" t="str">
        <f>IF(OR(C731="",C731=Data!$B$3),"",IF(C731=Data!$B$2,"L","S"))</f>
        <v/>
      </c>
      <c r="F731" s="185" t="str">
        <f t="shared" si="234"/>
        <v/>
      </c>
      <c r="G731" s="186" t="str">
        <f t="shared" si="225"/>
        <v/>
      </c>
      <c r="H731" s="187"/>
      <c r="I731" s="188" t="str">
        <f t="shared" si="235"/>
        <v/>
      </c>
      <c r="J731" s="188" t="str">
        <f t="shared" si="236"/>
        <v/>
      </c>
      <c r="K731" s="189" t="str">
        <f t="shared" si="237"/>
        <v/>
      </c>
      <c r="L731" s="189" t="str">
        <f t="shared" si="238"/>
        <v/>
      </c>
      <c r="M731" s="190"/>
      <c r="N731" s="190"/>
      <c r="O731" s="188" t="str">
        <f t="shared" si="239"/>
        <v/>
      </c>
      <c r="P731" s="191" t="str">
        <f t="shared" si="226"/>
        <v/>
      </c>
      <c r="Q731" s="192" t="str">
        <f t="shared" si="240"/>
        <v/>
      </c>
      <c r="R731" s="191" t="str">
        <f t="shared" si="227"/>
        <v/>
      </c>
      <c r="S731" s="193" t="str">
        <f t="shared" si="241"/>
        <v/>
      </c>
      <c r="T731" s="194" t="str">
        <f t="shared" si="228"/>
        <v/>
      </c>
      <c r="U731" s="192" t="str">
        <f t="shared" si="242"/>
        <v/>
      </c>
      <c r="V731" s="195" t="str">
        <f t="shared" si="229"/>
        <v/>
      </c>
      <c r="W731" s="195" t="str">
        <f t="shared" si="230"/>
        <v/>
      </c>
      <c r="X731" s="196" t="str">
        <f t="shared" si="243"/>
        <v/>
      </c>
      <c r="Y731" s="191" t="str">
        <f t="shared" si="244"/>
        <v/>
      </c>
      <c r="Z731" s="197" t="str">
        <f t="shared" si="231"/>
        <v/>
      </c>
      <c r="AA731" s="197" t="str">
        <f t="shared" si="232"/>
        <v/>
      </c>
      <c r="AB731" s="218"/>
      <c r="AC731" s="205"/>
    </row>
    <row r="732" spans="1:29">
      <c r="A732" s="219" t="str">
        <f t="shared" si="233"/>
        <v/>
      </c>
      <c r="B732" s="219"/>
      <c r="C732" s="184"/>
      <c r="D732" s="185"/>
      <c r="E732" s="185" t="str">
        <f>IF(OR(C732="",C732=Data!$B$3),"",IF(C732=Data!$B$2,"L","S"))</f>
        <v/>
      </c>
      <c r="F732" s="185" t="str">
        <f t="shared" si="234"/>
        <v/>
      </c>
      <c r="G732" s="186" t="str">
        <f t="shared" si="225"/>
        <v/>
      </c>
      <c r="H732" s="187"/>
      <c r="I732" s="188" t="str">
        <f t="shared" si="235"/>
        <v/>
      </c>
      <c r="J732" s="188" t="str">
        <f t="shared" si="236"/>
        <v/>
      </c>
      <c r="K732" s="189" t="str">
        <f t="shared" si="237"/>
        <v/>
      </c>
      <c r="L732" s="189" t="str">
        <f t="shared" si="238"/>
        <v/>
      </c>
      <c r="M732" s="190"/>
      <c r="N732" s="190"/>
      <c r="O732" s="188" t="str">
        <f t="shared" si="239"/>
        <v/>
      </c>
      <c r="P732" s="191" t="str">
        <f t="shared" si="226"/>
        <v/>
      </c>
      <c r="Q732" s="192" t="str">
        <f t="shared" si="240"/>
        <v/>
      </c>
      <c r="R732" s="191" t="str">
        <f t="shared" si="227"/>
        <v/>
      </c>
      <c r="S732" s="193" t="str">
        <f t="shared" si="241"/>
        <v/>
      </c>
      <c r="T732" s="194" t="str">
        <f t="shared" si="228"/>
        <v/>
      </c>
      <c r="U732" s="192" t="str">
        <f t="shared" si="242"/>
        <v/>
      </c>
      <c r="V732" s="195" t="str">
        <f t="shared" si="229"/>
        <v/>
      </c>
      <c r="W732" s="195" t="str">
        <f t="shared" si="230"/>
        <v/>
      </c>
      <c r="X732" s="196" t="str">
        <f t="shared" si="243"/>
        <v/>
      </c>
      <c r="Y732" s="191" t="str">
        <f t="shared" si="244"/>
        <v/>
      </c>
      <c r="Z732" s="197" t="str">
        <f t="shared" si="231"/>
        <v/>
      </c>
      <c r="AA732" s="197" t="str">
        <f t="shared" si="232"/>
        <v/>
      </c>
      <c r="AB732" s="218"/>
      <c r="AC732" s="205"/>
    </row>
    <row r="733" spans="1:29">
      <c r="A733" s="219" t="str">
        <f t="shared" si="233"/>
        <v/>
      </c>
      <c r="B733" s="219"/>
      <c r="C733" s="184"/>
      <c r="D733" s="185"/>
      <c r="E733" s="185" t="str">
        <f>IF(OR(C733="",C733=Data!$B$3),"",IF(C733=Data!$B$2,"L","S"))</f>
        <v/>
      </c>
      <c r="F733" s="185" t="str">
        <f t="shared" si="234"/>
        <v/>
      </c>
      <c r="G733" s="186" t="str">
        <f t="shared" si="225"/>
        <v/>
      </c>
      <c r="H733" s="187"/>
      <c r="I733" s="188" t="str">
        <f t="shared" si="235"/>
        <v/>
      </c>
      <c r="J733" s="188" t="str">
        <f t="shared" si="236"/>
        <v/>
      </c>
      <c r="K733" s="189" t="str">
        <f t="shared" si="237"/>
        <v/>
      </c>
      <c r="L733" s="189" t="str">
        <f t="shared" si="238"/>
        <v/>
      </c>
      <c r="M733" s="190"/>
      <c r="N733" s="190"/>
      <c r="O733" s="188" t="str">
        <f t="shared" si="239"/>
        <v/>
      </c>
      <c r="P733" s="191" t="str">
        <f t="shared" si="226"/>
        <v/>
      </c>
      <c r="Q733" s="192" t="str">
        <f t="shared" si="240"/>
        <v/>
      </c>
      <c r="R733" s="191" t="str">
        <f t="shared" si="227"/>
        <v/>
      </c>
      <c r="S733" s="193" t="str">
        <f t="shared" si="241"/>
        <v/>
      </c>
      <c r="T733" s="194" t="str">
        <f t="shared" si="228"/>
        <v/>
      </c>
      <c r="U733" s="192" t="str">
        <f t="shared" si="242"/>
        <v/>
      </c>
      <c r="V733" s="195" t="str">
        <f t="shared" si="229"/>
        <v/>
      </c>
      <c r="W733" s="195" t="str">
        <f t="shared" si="230"/>
        <v/>
      </c>
      <c r="X733" s="196" t="str">
        <f t="shared" si="243"/>
        <v/>
      </c>
      <c r="Y733" s="191" t="str">
        <f t="shared" si="244"/>
        <v/>
      </c>
      <c r="Z733" s="197" t="str">
        <f t="shared" si="231"/>
        <v/>
      </c>
      <c r="AA733" s="197" t="str">
        <f t="shared" si="232"/>
        <v/>
      </c>
      <c r="AB733" s="218"/>
      <c r="AC733" s="205"/>
    </row>
    <row r="734" spans="1:29">
      <c r="A734" s="219" t="str">
        <f t="shared" si="233"/>
        <v/>
      </c>
      <c r="B734" s="219"/>
      <c r="C734" s="184"/>
      <c r="D734" s="185"/>
      <c r="E734" s="185" t="str">
        <f>IF(OR(C734="",C734=Data!$B$3),"",IF(C734=Data!$B$2,"L","S"))</f>
        <v/>
      </c>
      <c r="F734" s="185" t="str">
        <f t="shared" si="234"/>
        <v/>
      </c>
      <c r="G734" s="186" t="str">
        <f t="shared" si="225"/>
        <v/>
      </c>
      <c r="H734" s="187"/>
      <c r="I734" s="188" t="str">
        <f t="shared" si="235"/>
        <v/>
      </c>
      <c r="J734" s="188" t="str">
        <f t="shared" si="236"/>
        <v/>
      </c>
      <c r="K734" s="189" t="str">
        <f t="shared" si="237"/>
        <v/>
      </c>
      <c r="L734" s="189" t="str">
        <f t="shared" si="238"/>
        <v/>
      </c>
      <c r="M734" s="190"/>
      <c r="N734" s="190"/>
      <c r="O734" s="188" t="str">
        <f t="shared" si="239"/>
        <v/>
      </c>
      <c r="P734" s="191" t="str">
        <f t="shared" si="226"/>
        <v/>
      </c>
      <c r="Q734" s="192" t="str">
        <f t="shared" si="240"/>
        <v/>
      </c>
      <c r="R734" s="191" t="str">
        <f t="shared" si="227"/>
        <v/>
      </c>
      <c r="S734" s="193" t="str">
        <f t="shared" si="241"/>
        <v/>
      </c>
      <c r="T734" s="194" t="str">
        <f t="shared" si="228"/>
        <v/>
      </c>
      <c r="U734" s="192" t="str">
        <f t="shared" si="242"/>
        <v/>
      </c>
      <c r="V734" s="195" t="str">
        <f t="shared" si="229"/>
        <v/>
      </c>
      <c r="W734" s="195" t="str">
        <f t="shared" si="230"/>
        <v/>
      </c>
      <c r="X734" s="196" t="str">
        <f t="shared" si="243"/>
        <v/>
      </c>
      <c r="Y734" s="191" t="str">
        <f t="shared" si="244"/>
        <v/>
      </c>
      <c r="Z734" s="197" t="str">
        <f t="shared" si="231"/>
        <v/>
      </c>
      <c r="AA734" s="197" t="str">
        <f t="shared" si="232"/>
        <v/>
      </c>
      <c r="AB734" s="218"/>
      <c r="AC734" s="205"/>
    </row>
    <row r="735" spans="1:29">
      <c r="A735" s="219" t="str">
        <f t="shared" si="233"/>
        <v/>
      </c>
      <c r="B735" s="219"/>
      <c r="C735" s="184"/>
      <c r="D735" s="185"/>
      <c r="E735" s="185" t="str">
        <f>IF(OR(C735="",C735=Data!$B$3),"",IF(C735=Data!$B$2,"L","S"))</f>
        <v/>
      </c>
      <c r="F735" s="185" t="str">
        <f t="shared" si="234"/>
        <v/>
      </c>
      <c r="G735" s="186" t="str">
        <f t="shared" si="225"/>
        <v/>
      </c>
      <c r="H735" s="187"/>
      <c r="I735" s="188" t="str">
        <f t="shared" si="235"/>
        <v/>
      </c>
      <c r="J735" s="188" t="str">
        <f t="shared" si="236"/>
        <v/>
      </c>
      <c r="K735" s="189" t="str">
        <f t="shared" si="237"/>
        <v/>
      </c>
      <c r="L735" s="189" t="str">
        <f t="shared" si="238"/>
        <v/>
      </c>
      <c r="M735" s="190"/>
      <c r="N735" s="190"/>
      <c r="O735" s="188" t="str">
        <f t="shared" si="239"/>
        <v/>
      </c>
      <c r="P735" s="191" t="str">
        <f t="shared" si="226"/>
        <v/>
      </c>
      <c r="Q735" s="192" t="str">
        <f t="shared" si="240"/>
        <v/>
      </c>
      <c r="R735" s="191" t="str">
        <f t="shared" si="227"/>
        <v/>
      </c>
      <c r="S735" s="193" t="str">
        <f t="shared" si="241"/>
        <v/>
      </c>
      <c r="T735" s="194" t="str">
        <f t="shared" si="228"/>
        <v/>
      </c>
      <c r="U735" s="192" t="str">
        <f t="shared" si="242"/>
        <v/>
      </c>
      <c r="V735" s="195" t="str">
        <f t="shared" si="229"/>
        <v/>
      </c>
      <c r="W735" s="195" t="str">
        <f t="shared" si="230"/>
        <v/>
      </c>
      <c r="X735" s="196" t="str">
        <f t="shared" si="243"/>
        <v/>
      </c>
      <c r="Y735" s="191" t="str">
        <f t="shared" si="244"/>
        <v/>
      </c>
      <c r="Z735" s="197" t="str">
        <f t="shared" si="231"/>
        <v/>
      </c>
      <c r="AA735" s="197" t="str">
        <f t="shared" si="232"/>
        <v/>
      </c>
      <c r="AB735" s="218"/>
      <c r="AC735" s="205"/>
    </row>
    <row r="736" spans="1:29">
      <c r="A736" s="219" t="str">
        <f t="shared" si="233"/>
        <v/>
      </c>
      <c r="B736" s="219"/>
      <c r="C736" s="184"/>
      <c r="D736" s="185"/>
      <c r="E736" s="185" t="str">
        <f>IF(OR(C736="",C736=Data!$B$3),"",IF(C736=Data!$B$2,"L","S"))</f>
        <v/>
      </c>
      <c r="F736" s="185" t="str">
        <f t="shared" si="234"/>
        <v/>
      </c>
      <c r="G736" s="186" t="str">
        <f t="shared" si="225"/>
        <v/>
      </c>
      <c r="H736" s="187"/>
      <c r="I736" s="188" t="str">
        <f t="shared" si="235"/>
        <v/>
      </c>
      <c r="J736" s="188" t="str">
        <f t="shared" si="236"/>
        <v/>
      </c>
      <c r="K736" s="189" t="str">
        <f t="shared" si="237"/>
        <v/>
      </c>
      <c r="L736" s="189" t="str">
        <f t="shared" si="238"/>
        <v/>
      </c>
      <c r="M736" s="190"/>
      <c r="N736" s="190"/>
      <c r="O736" s="188" t="str">
        <f t="shared" si="239"/>
        <v/>
      </c>
      <c r="P736" s="191" t="str">
        <f t="shared" si="226"/>
        <v/>
      </c>
      <c r="Q736" s="192" t="str">
        <f t="shared" si="240"/>
        <v/>
      </c>
      <c r="R736" s="191" t="str">
        <f t="shared" si="227"/>
        <v/>
      </c>
      <c r="S736" s="193" t="str">
        <f t="shared" si="241"/>
        <v/>
      </c>
      <c r="T736" s="194" t="str">
        <f t="shared" si="228"/>
        <v/>
      </c>
      <c r="U736" s="192" t="str">
        <f t="shared" si="242"/>
        <v/>
      </c>
      <c r="V736" s="195" t="str">
        <f t="shared" si="229"/>
        <v/>
      </c>
      <c r="W736" s="195" t="str">
        <f t="shared" si="230"/>
        <v/>
      </c>
      <c r="X736" s="196" t="str">
        <f t="shared" si="243"/>
        <v/>
      </c>
      <c r="Y736" s="191" t="str">
        <f t="shared" si="244"/>
        <v/>
      </c>
      <c r="Z736" s="197" t="str">
        <f t="shared" si="231"/>
        <v/>
      </c>
      <c r="AA736" s="197" t="str">
        <f t="shared" si="232"/>
        <v/>
      </c>
      <c r="AB736" s="218"/>
      <c r="AC736" s="205"/>
    </row>
    <row r="737" spans="1:29">
      <c r="A737" s="219" t="str">
        <f t="shared" si="233"/>
        <v/>
      </c>
      <c r="B737" s="219"/>
      <c r="C737" s="184"/>
      <c r="D737" s="185"/>
      <c r="E737" s="185" t="str">
        <f>IF(OR(C737="",C737=Data!$B$3),"",IF(C737=Data!$B$2,"L","S"))</f>
        <v/>
      </c>
      <c r="F737" s="185" t="str">
        <f t="shared" si="234"/>
        <v/>
      </c>
      <c r="G737" s="186" t="str">
        <f t="shared" si="225"/>
        <v/>
      </c>
      <c r="H737" s="187"/>
      <c r="I737" s="188" t="str">
        <f t="shared" si="235"/>
        <v/>
      </c>
      <c r="J737" s="188" t="str">
        <f t="shared" si="236"/>
        <v/>
      </c>
      <c r="K737" s="189" t="str">
        <f t="shared" si="237"/>
        <v/>
      </c>
      <c r="L737" s="189" t="str">
        <f t="shared" si="238"/>
        <v/>
      </c>
      <c r="M737" s="190"/>
      <c r="N737" s="190"/>
      <c r="O737" s="188" t="str">
        <f t="shared" si="239"/>
        <v/>
      </c>
      <c r="P737" s="191" t="str">
        <f t="shared" si="226"/>
        <v/>
      </c>
      <c r="Q737" s="192" t="str">
        <f t="shared" si="240"/>
        <v/>
      </c>
      <c r="R737" s="191" t="str">
        <f t="shared" si="227"/>
        <v/>
      </c>
      <c r="S737" s="193" t="str">
        <f t="shared" si="241"/>
        <v/>
      </c>
      <c r="T737" s="194" t="str">
        <f t="shared" si="228"/>
        <v/>
      </c>
      <c r="U737" s="192" t="str">
        <f t="shared" si="242"/>
        <v/>
      </c>
      <c r="V737" s="195" t="str">
        <f t="shared" si="229"/>
        <v/>
      </c>
      <c r="W737" s="195" t="str">
        <f t="shared" si="230"/>
        <v/>
      </c>
      <c r="X737" s="196" t="str">
        <f t="shared" si="243"/>
        <v/>
      </c>
      <c r="Y737" s="191" t="str">
        <f t="shared" si="244"/>
        <v/>
      </c>
      <c r="Z737" s="197" t="str">
        <f t="shared" si="231"/>
        <v/>
      </c>
      <c r="AA737" s="197" t="str">
        <f t="shared" si="232"/>
        <v/>
      </c>
      <c r="AB737" s="218"/>
      <c r="AC737" s="205"/>
    </row>
    <row r="738" spans="1:29">
      <c r="A738" s="219" t="str">
        <f t="shared" si="233"/>
        <v/>
      </c>
      <c r="B738" s="219"/>
      <c r="C738" s="184"/>
      <c r="D738" s="185"/>
      <c r="E738" s="185" t="str">
        <f>IF(OR(C738="",C738=Data!$B$3),"",IF(C738=Data!$B$2,"L","S"))</f>
        <v/>
      </c>
      <c r="F738" s="185" t="str">
        <f t="shared" si="234"/>
        <v/>
      </c>
      <c r="G738" s="186" t="str">
        <f t="shared" si="225"/>
        <v/>
      </c>
      <c r="H738" s="187"/>
      <c r="I738" s="188" t="str">
        <f t="shared" si="235"/>
        <v/>
      </c>
      <c r="J738" s="188" t="str">
        <f t="shared" si="236"/>
        <v/>
      </c>
      <c r="K738" s="189" t="str">
        <f t="shared" si="237"/>
        <v/>
      </c>
      <c r="L738" s="189" t="str">
        <f t="shared" si="238"/>
        <v/>
      </c>
      <c r="M738" s="190"/>
      <c r="N738" s="190"/>
      <c r="O738" s="188" t="str">
        <f t="shared" si="239"/>
        <v/>
      </c>
      <c r="P738" s="191" t="str">
        <f t="shared" si="226"/>
        <v/>
      </c>
      <c r="Q738" s="192" t="str">
        <f t="shared" si="240"/>
        <v/>
      </c>
      <c r="R738" s="191" t="str">
        <f t="shared" si="227"/>
        <v/>
      </c>
      <c r="S738" s="193" t="str">
        <f t="shared" si="241"/>
        <v/>
      </c>
      <c r="T738" s="194" t="str">
        <f t="shared" si="228"/>
        <v/>
      </c>
      <c r="U738" s="192" t="str">
        <f t="shared" si="242"/>
        <v/>
      </c>
      <c r="V738" s="195" t="str">
        <f t="shared" si="229"/>
        <v/>
      </c>
      <c r="W738" s="195" t="str">
        <f t="shared" si="230"/>
        <v/>
      </c>
      <c r="X738" s="196" t="str">
        <f t="shared" si="243"/>
        <v/>
      </c>
      <c r="Y738" s="191" t="str">
        <f t="shared" si="244"/>
        <v/>
      </c>
      <c r="Z738" s="197" t="str">
        <f t="shared" si="231"/>
        <v/>
      </c>
      <c r="AA738" s="197" t="str">
        <f t="shared" si="232"/>
        <v/>
      </c>
      <c r="AB738" s="218"/>
      <c r="AC738" s="205"/>
    </row>
    <row r="739" spans="1:29">
      <c r="A739" s="219" t="str">
        <f t="shared" si="233"/>
        <v/>
      </c>
      <c r="B739" s="219"/>
      <c r="C739" s="184"/>
      <c r="D739" s="185"/>
      <c r="E739" s="185" t="str">
        <f>IF(OR(C739="",C739=Data!$B$3),"",IF(C739=Data!$B$2,"L","S"))</f>
        <v/>
      </c>
      <c r="F739" s="185" t="str">
        <f t="shared" si="234"/>
        <v/>
      </c>
      <c r="G739" s="186" t="str">
        <f t="shared" si="225"/>
        <v/>
      </c>
      <c r="H739" s="187"/>
      <c r="I739" s="188" t="str">
        <f t="shared" si="235"/>
        <v/>
      </c>
      <c r="J739" s="188" t="str">
        <f t="shared" si="236"/>
        <v/>
      </c>
      <c r="K739" s="189" t="str">
        <f t="shared" si="237"/>
        <v/>
      </c>
      <c r="L739" s="189" t="str">
        <f t="shared" si="238"/>
        <v/>
      </c>
      <c r="M739" s="190"/>
      <c r="N739" s="190"/>
      <c r="O739" s="188" t="str">
        <f t="shared" si="239"/>
        <v/>
      </c>
      <c r="P739" s="191" t="str">
        <f t="shared" si="226"/>
        <v/>
      </c>
      <c r="Q739" s="192" t="str">
        <f t="shared" si="240"/>
        <v/>
      </c>
      <c r="R739" s="191" t="str">
        <f t="shared" si="227"/>
        <v/>
      </c>
      <c r="S739" s="193" t="str">
        <f t="shared" si="241"/>
        <v/>
      </c>
      <c r="T739" s="194" t="str">
        <f t="shared" si="228"/>
        <v/>
      </c>
      <c r="U739" s="192" t="str">
        <f t="shared" si="242"/>
        <v/>
      </c>
      <c r="V739" s="195" t="str">
        <f t="shared" si="229"/>
        <v/>
      </c>
      <c r="W739" s="195" t="str">
        <f t="shared" si="230"/>
        <v/>
      </c>
      <c r="X739" s="196" t="str">
        <f t="shared" si="243"/>
        <v/>
      </c>
      <c r="Y739" s="191" t="str">
        <f t="shared" si="244"/>
        <v/>
      </c>
      <c r="Z739" s="197" t="str">
        <f t="shared" si="231"/>
        <v/>
      </c>
      <c r="AA739" s="197" t="str">
        <f t="shared" si="232"/>
        <v/>
      </c>
      <c r="AB739" s="218"/>
      <c r="AC739" s="205"/>
    </row>
    <row r="740" spans="1:29">
      <c r="A740" s="219" t="str">
        <f t="shared" si="233"/>
        <v/>
      </c>
      <c r="B740" s="219"/>
      <c r="C740" s="184"/>
      <c r="D740" s="185"/>
      <c r="E740" s="185" t="str">
        <f>IF(OR(C740="",C740=Data!$B$3),"",IF(C740=Data!$B$2,"L","S"))</f>
        <v/>
      </c>
      <c r="F740" s="185" t="str">
        <f t="shared" si="234"/>
        <v/>
      </c>
      <c r="G740" s="186" t="str">
        <f t="shared" si="225"/>
        <v/>
      </c>
      <c r="H740" s="187"/>
      <c r="I740" s="188" t="str">
        <f t="shared" si="235"/>
        <v/>
      </c>
      <c r="J740" s="188" t="str">
        <f t="shared" si="236"/>
        <v/>
      </c>
      <c r="K740" s="189" t="str">
        <f t="shared" si="237"/>
        <v/>
      </c>
      <c r="L740" s="189" t="str">
        <f t="shared" si="238"/>
        <v/>
      </c>
      <c r="M740" s="190"/>
      <c r="N740" s="190"/>
      <c r="O740" s="188" t="str">
        <f t="shared" si="239"/>
        <v/>
      </c>
      <c r="P740" s="191" t="str">
        <f t="shared" si="226"/>
        <v/>
      </c>
      <c r="Q740" s="192" t="str">
        <f t="shared" si="240"/>
        <v/>
      </c>
      <c r="R740" s="191" t="str">
        <f t="shared" si="227"/>
        <v/>
      </c>
      <c r="S740" s="193" t="str">
        <f t="shared" si="241"/>
        <v/>
      </c>
      <c r="T740" s="194" t="str">
        <f t="shared" si="228"/>
        <v/>
      </c>
      <c r="U740" s="192" t="str">
        <f t="shared" si="242"/>
        <v/>
      </c>
      <c r="V740" s="195" t="str">
        <f t="shared" si="229"/>
        <v/>
      </c>
      <c r="W740" s="195" t="str">
        <f t="shared" si="230"/>
        <v/>
      </c>
      <c r="X740" s="196" t="str">
        <f t="shared" si="243"/>
        <v/>
      </c>
      <c r="Y740" s="191" t="str">
        <f t="shared" si="244"/>
        <v/>
      </c>
      <c r="Z740" s="197" t="str">
        <f t="shared" si="231"/>
        <v/>
      </c>
      <c r="AA740" s="197" t="str">
        <f t="shared" si="232"/>
        <v/>
      </c>
      <c r="AB740" s="218"/>
      <c r="AC740" s="205"/>
    </row>
    <row r="741" spans="1:29">
      <c r="A741" s="219" t="str">
        <f t="shared" si="233"/>
        <v/>
      </c>
      <c r="B741" s="219"/>
      <c r="C741" s="184"/>
      <c r="D741" s="185"/>
      <c r="E741" s="185" t="str">
        <f>IF(OR(C741="",C741=Data!$B$3),"",IF(C741=Data!$B$2,"L","S"))</f>
        <v/>
      </c>
      <c r="F741" s="185" t="str">
        <f t="shared" si="234"/>
        <v/>
      </c>
      <c r="G741" s="186" t="str">
        <f t="shared" si="225"/>
        <v/>
      </c>
      <c r="H741" s="187"/>
      <c r="I741" s="188" t="str">
        <f t="shared" si="235"/>
        <v/>
      </c>
      <c r="J741" s="188" t="str">
        <f t="shared" si="236"/>
        <v/>
      </c>
      <c r="K741" s="189" t="str">
        <f t="shared" si="237"/>
        <v/>
      </c>
      <c r="L741" s="189" t="str">
        <f t="shared" si="238"/>
        <v/>
      </c>
      <c r="M741" s="190"/>
      <c r="N741" s="190"/>
      <c r="O741" s="188" t="str">
        <f t="shared" si="239"/>
        <v/>
      </c>
      <c r="P741" s="191" t="str">
        <f t="shared" si="226"/>
        <v/>
      </c>
      <c r="Q741" s="192" t="str">
        <f t="shared" si="240"/>
        <v/>
      </c>
      <c r="R741" s="191" t="str">
        <f t="shared" si="227"/>
        <v/>
      </c>
      <c r="S741" s="193" t="str">
        <f t="shared" si="241"/>
        <v/>
      </c>
      <c r="T741" s="194" t="str">
        <f t="shared" si="228"/>
        <v/>
      </c>
      <c r="U741" s="192" t="str">
        <f t="shared" si="242"/>
        <v/>
      </c>
      <c r="V741" s="195" t="str">
        <f t="shared" si="229"/>
        <v/>
      </c>
      <c r="W741" s="195" t="str">
        <f t="shared" si="230"/>
        <v/>
      </c>
      <c r="X741" s="196" t="str">
        <f t="shared" si="243"/>
        <v/>
      </c>
      <c r="Y741" s="191" t="str">
        <f t="shared" si="244"/>
        <v/>
      </c>
      <c r="Z741" s="197" t="str">
        <f t="shared" si="231"/>
        <v/>
      </c>
      <c r="AA741" s="197" t="str">
        <f t="shared" si="232"/>
        <v/>
      </c>
      <c r="AB741" s="218"/>
      <c r="AC741" s="205"/>
    </row>
    <row r="742" spans="1:29">
      <c r="A742" s="219" t="str">
        <f t="shared" si="233"/>
        <v/>
      </c>
      <c r="B742" s="219"/>
      <c r="C742" s="184"/>
      <c r="D742" s="185"/>
      <c r="E742" s="185" t="str">
        <f>IF(OR(C742="",C742=Data!$B$3),"",IF(C742=Data!$B$2,"L","S"))</f>
        <v/>
      </c>
      <c r="F742" s="185" t="str">
        <f t="shared" si="234"/>
        <v/>
      </c>
      <c r="G742" s="186" t="str">
        <f t="shared" si="225"/>
        <v/>
      </c>
      <c r="H742" s="187"/>
      <c r="I742" s="188" t="str">
        <f t="shared" si="235"/>
        <v/>
      </c>
      <c r="J742" s="188" t="str">
        <f t="shared" si="236"/>
        <v/>
      </c>
      <c r="K742" s="189" t="str">
        <f t="shared" si="237"/>
        <v/>
      </c>
      <c r="L742" s="189" t="str">
        <f t="shared" si="238"/>
        <v/>
      </c>
      <c r="M742" s="190"/>
      <c r="N742" s="190"/>
      <c r="O742" s="188" t="str">
        <f t="shared" si="239"/>
        <v/>
      </c>
      <c r="P742" s="191" t="str">
        <f t="shared" si="226"/>
        <v/>
      </c>
      <c r="Q742" s="192" t="str">
        <f t="shared" si="240"/>
        <v/>
      </c>
      <c r="R742" s="191" t="str">
        <f t="shared" si="227"/>
        <v/>
      </c>
      <c r="S742" s="193" t="str">
        <f t="shared" si="241"/>
        <v/>
      </c>
      <c r="T742" s="194" t="str">
        <f t="shared" si="228"/>
        <v/>
      </c>
      <c r="U742" s="192" t="str">
        <f t="shared" si="242"/>
        <v/>
      </c>
      <c r="V742" s="195" t="str">
        <f t="shared" si="229"/>
        <v/>
      </c>
      <c r="W742" s="195" t="str">
        <f t="shared" si="230"/>
        <v/>
      </c>
      <c r="X742" s="196" t="str">
        <f t="shared" si="243"/>
        <v/>
      </c>
      <c r="Y742" s="191" t="str">
        <f t="shared" si="244"/>
        <v/>
      </c>
      <c r="Z742" s="197" t="str">
        <f t="shared" si="231"/>
        <v/>
      </c>
      <c r="AA742" s="197" t="str">
        <f t="shared" si="232"/>
        <v/>
      </c>
      <c r="AB742" s="218"/>
      <c r="AC742" s="205"/>
    </row>
    <row r="743" spans="1:29">
      <c r="A743" s="219" t="str">
        <f t="shared" si="233"/>
        <v/>
      </c>
      <c r="B743" s="219"/>
      <c r="C743" s="184"/>
      <c r="D743" s="185"/>
      <c r="E743" s="185" t="str">
        <f>IF(OR(C743="",C743=Data!$B$3),"",IF(C743=Data!$B$2,"L","S"))</f>
        <v/>
      </c>
      <c r="F743" s="185" t="str">
        <f t="shared" si="234"/>
        <v/>
      </c>
      <c r="G743" s="186" t="str">
        <f t="shared" si="225"/>
        <v/>
      </c>
      <c r="H743" s="187"/>
      <c r="I743" s="188" t="str">
        <f t="shared" si="235"/>
        <v/>
      </c>
      <c r="J743" s="188" t="str">
        <f t="shared" si="236"/>
        <v/>
      </c>
      <c r="K743" s="189" t="str">
        <f t="shared" si="237"/>
        <v/>
      </c>
      <c r="L743" s="189" t="str">
        <f t="shared" si="238"/>
        <v/>
      </c>
      <c r="M743" s="190"/>
      <c r="N743" s="190"/>
      <c r="O743" s="188" t="str">
        <f t="shared" si="239"/>
        <v/>
      </c>
      <c r="P743" s="191" t="str">
        <f t="shared" si="226"/>
        <v/>
      </c>
      <c r="Q743" s="192" t="str">
        <f t="shared" si="240"/>
        <v/>
      </c>
      <c r="R743" s="191" t="str">
        <f t="shared" si="227"/>
        <v/>
      </c>
      <c r="S743" s="193" t="str">
        <f t="shared" si="241"/>
        <v/>
      </c>
      <c r="T743" s="194" t="str">
        <f t="shared" si="228"/>
        <v/>
      </c>
      <c r="U743" s="192" t="str">
        <f t="shared" si="242"/>
        <v/>
      </c>
      <c r="V743" s="195" t="str">
        <f t="shared" si="229"/>
        <v/>
      </c>
      <c r="W743" s="195" t="str">
        <f t="shared" si="230"/>
        <v/>
      </c>
      <c r="X743" s="196" t="str">
        <f t="shared" si="243"/>
        <v/>
      </c>
      <c r="Y743" s="191" t="str">
        <f t="shared" si="244"/>
        <v/>
      </c>
      <c r="Z743" s="197" t="str">
        <f t="shared" si="231"/>
        <v/>
      </c>
      <c r="AA743" s="197" t="str">
        <f t="shared" si="232"/>
        <v/>
      </c>
      <c r="AB743" s="218"/>
      <c r="AC743" s="205"/>
    </row>
    <row r="744" spans="1:29">
      <c r="A744" s="219" t="str">
        <f t="shared" si="233"/>
        <v/>
      </c>
      <c r="B744" s="219"/>
      <c r="C744" s="184"/>
      <c r="D744" s="185"/>
      <c r="E744" s="185" t="str">
        <f>IF(OR(C744="",C744=Data!$B$3),"",IF(C744=Data!$B$2,"L","S"))</f>
        <v/>
      </c>
      <c r="F744" s="185" t="str">
        <f t="shared" si="234"/>
        <v/>
      </c>
      <c r="G744" s="186" t="str">
        <f t="shared" si="225"/>
        <v/>
      </c>
      <c r="H744" s="187"/>
      <c r="I744" s="188" t="str">
        <f t="shared" si="235"/>
        <v/>
      </c>
      <c r="J744" s="188" t="str">
        <f t="shared" si="236"/>
        <v/>
      </c>
      <c r="K744" s="189" t="str">
        <f t="shared" si="237"/>
        <v/>
      </c>
      <c r="L744" s="189" t="str">
        <f t="shared" si="238"/>
        <v/>
      </c>
      <c r="M744" s="190"/>
      <c r="N744" s="190"/>
      <c r="O744" s="188" t="str">
        <f t="shared" si="239"/>
        <v/>
      </c>
      <c r="P744" s="191" t="str">
        <f t="shared" si="226"/>
        <v/>
      </c>
      <c r="Q744" s="192" t="str">
        <f t="shared" si="240"/>
        <v/>
      </c>
      <c r="R744" s="191" t="str">
        <f t="shared" si="227"/>
        <v/>
      </c>
      <c r="S744" s="193" t="str">
        <f t="shared" si="241"/>
        <v/>
      </c>
      <c r="T744" s="194" t="str">
        <f t="shared" si="228"/>
        <v/>
      </c>
      <c r="U744" s="192" t="str">
        <f t="shared" si="242"/>
        <v/>
      </c>
      <c r="V744" s="195" t="str">
        <f t="shared" si="229"/>
        <v/>
      </c>
      <c r="W744" s="195" t="str">
        <f t="shared" si="230"/>
        <v/>
      </c>
      <c r="X744" s="196" t="str">
        <f t="shared" si="243"/>
        <v/>
      </c>
      <c r="Y744" s="191" t="str">
        <f t="shared" si="244"/>
        <v/>
      </c>
      <c r="Z744" s="197" t="str">
        <f t="shared" si="231"/>
        <v/>
      </c>
      <c r="AA744" s="197" t="str">
        <f t="shared" si="232"/>
        <v/>
      </c>
      <c r="AB744" s="218"/>
      <c r="AC744" s="205"/>
    </row>
    <row r="745" spans="1:29">
      <c r="A745" s="219" t="str">
        <f t="shared" si="233"/>
        <v/>
      </c>
      <c r="B745" s="219"/>
      <c r="C745" s="184"/>
      <c r="D745" s="185"/>
      <c r="E745" s="185" t="str">
        <f>IF(OR(C745="",C745=Data!$B$3),"",IF(C745=Data!$B$2,"L","S"))</f>
        <v/>
      </c>
      <c r="F745" s="185" t="str">
        <f t="shared" si="234"/>
        <v/>
      </c>
      <c r="G745" s="186" t="str">
        <f t="shared" si="225"/>
        <v/>
      </c>
      <c r="H745" s="187"/>
      <c r="I745" s="188" t="str">
        <f t="shared" si="235"/>
        <v/>
      </c>
      <c r="J745" s="188" t="str">
        <f t="shared" si="236"/>
        <v/>
      </c>
      <c r="K745" s="189" t="str">
        <f t="shared" si="237"/>
        <v/>
      </c>
      <c r="L745" s="189" t="str">
        <f t="shared" si="238"/>
        <v/>
      </c>
      <c r="M745" s="190"/>
      <c r="N745" s="190"/>
      <c r="O745" s="188" t="str">
        <f t="shared" si="239"/>
        <v/>
      </c>
      <c r="P745" s="191" t="str">
        <f t="shared" si="226"/>
        <v/>
      </c>
      <c r="Q745" s="192" t="str">
        <f t="shared" si="240"/>
        <v/>
      </c>
      <c r="R745" s="191" t="str">
        <f t="shared" si="227"/>
        <v/>
      </c>
      <c r="S745" s="193" t="str">
        <f t="shared" si="241"/>
        <v/>
      </c>
      <c r="T745" s="194" t="str">
        <f t="shared" si="228"/>
        <v/>
      </c>
      <c r="U745" s="192" t="str">
        <f t="shared" si="242"/>
        <v/>
      </c>
      <c r="V745" s="195" t="str">
        <f t="shared" si="229"/>
        <v/>
      </c>
      <c r="W745" s="195" t="str">
        <f t="shared" si="230"/>
        <v/>
      </c>
      <c r="X745" s="196" t="str">
        <f t="shared" si="243"/>
        <v/>
      </c>
      <c r="Y745" s="191" t="str">
        <f t="shared" si="244"/>
        <v/>
      </c>
      <c r="Z745" s="197" t="str">
        <f t="shared" si="231"/>
        <v/>
      </c>
      <c r="AA745" s="197" t="str">
        <f t="shared" si="232"/>
        <v/>
      </c>
      <c r="AB745" s="218"/>
      <c r="AC745" s="205"/>
    </row>
    <row r="746" spans="1:29">
      <c r="A746" s="219" t="str">
        <f t="shared" si="233"/>
        <v/>
      </c>
      <c r="B746" s="219"/>
      <c r="C746" s="184"/>
      <c r="D746" s="185"/>
      <c r="E746" s="185" t="str">
        <f>IF(OR(C746="",C746=Data!$B$3),"",IF(C746=Data!$B$2,"L","S"))</f>
        <v/>
      </c>
      <c r="F746" s="185" t="str">
        <f t="shared" si="234"/>
        <v/>
      </c>
      <c r="G746" s="186" t="str">
        <f t="shared" si="225"/>
        <v/>
      </c>
      <c r="H746" s="187"/>
      <c r="I746" s="188" t="str">
        <f t="shared" si="235"/>
        <v/>
      </c>
      <c r="J746" s="188" t="str">
        <f t="shared" si="236"/>
        <v/>
      </c>
      <c r="K746" s="189" t="str">
        <f t="shared" si="237"/>
        <v/>
      </c>
      <c r="L746" s="189" t="str">
        <f t="shared" si="238"/>
        <v/>
      </c>
      <c r="M746" s="190"/>
      <c r="N746" s="190"/>
      <c r="O746" s="188" t="str">
        <f t="shared" si="239"/>
        <v/>
      </c>
      <c r="P746" s="191" t="str">
        <f t="shared" si="226"/>
        <v/>
      </c>
      <c r="Q746" s="192" t="str">
        <f t="shared" si="240"/>
        <v/>
      </c>
      <c r="R746" s="191" t="str">
        <f t="shared" si="227"/>
        <v/>
      </c>
      <c r="S746" s="193" t="str">
        <f t="shared" si="241"/>
        <v/>
      </c>
      <c r="T746" s="194" t="str">
        <f t="shared" si="228"/>
        <v/>
      </c>
      <c r="U746" s="192" t="str">
        <f t="shared" si="242"/>
        <v/>
      </c>
      <c r="V746" s="195" t="str">
        <f t="shared" si="229"/>
        <v/>
      </c>
      <c r="W746" s="195" t="str">
        <f t="shared" si="230"/>
        <v/>
      </c>
      <c r="X746" s="196" t="str">
        <f t="shared" si="243"/>
        <v/>
      </c>
      <c r="Y746" s="191" t="str">
        <f t="shared" si="244"/>
        <v/>
      </c>
      <c r="Z746" s="197" t="str">
        <f t="shared" si="231"/>
        <v/>
      </c>
      <c r="AA746" s="197" t="str">
        <f t="shared" si="232"/>
        <v/>
      </c>
      <c r="AB746" s="218"/>
      <c r="AC746" s="205"/>
    </row>
    <row r="747" spans="1:29">
      <c r="A747" s="219" t="str">
        <f t="shared" si="233"/>
        <v/>
      </c>
      <c r="B747" s="219"/>
      <c r="C747" s="184"/>
      <c r="D747" s="185"/>
      <c r="E747" s="185" t="str">
        <f>IF(OR(C747="",C747=Data!$B$3),"",IF(C747=Data!$B$2,"L","S"))</f>
        <v/>
      </c>
      <c r="F747" s="185" t="str">
        <f t="shared" si="234"/>
        <v/>
      </c>
      <c r="G747" s="186" t="str">
        <f t="shared" si="225"/>
        <v/>
      </c>
      <c r="H747" s="187"/>
      <c r="I747" s="188" t="str">
        <f t="shared" si="235"/>
        <v/>
      </c>
      <c r="J747" s="188" t="str">
        <f t="shared" si="236"/>
        <v/>
      </c>
      <c r="K747" s="189" t="str">
        <f t="shared" si="237"/>
        <v/>
      </c>
      <c r="L747" s="189" t="str">
        <f t="shared" si="238"/>
        <v/>
      </c>
      <c r="M747" s="190"/>
      <c r="N747" s="190"/>
      <c r="O747" s="188" t="str">
        <f t="shared" si="239"/>
        <v/>
      </c>
      <c r="P747" s="191" t="str">
        <f t="shared" si="226"/>
        <v/>
      </c>
      <c r="Q747" s="192" t="str">
        <f t="shared" si="240"/>
        <v/>
      </c>
      <c r="R747" s="191" t="str">
        <f t="shared" si="227"/>
        <v/>
      </c>
      <c r="S747" s="193" t="str">
        <f t="shared" si="241"/>
        <v/>
      </c>
      <c r="T747" s="194" t="str">
        <f t="shared" si="228"/>
        <v/>
      </c>
      <c r="U747" s="192" t="str">
        <f t="shared" si="242"/>
        <v/>
      </c>
      <c r="V747" s="195" t="str">
        <f t="shared" si="229"/>
        <v/>
      </c>
      <c r="W747" s="195" t="str">
        <f t="shared" si="230"/>
        <v/>
      </c>
      <c r="X747" s="196" t="str">
        <f t="shared" si="243"/>
        <v/>
      </c>
      <c r="Y747" s="191" t="str">
        <f t="shared" si="244"/>
        <v/>
      </c>
      <c r="Z747" s="197" t="str">
        <f t="shared" si="231"/>
        <v/>
      </c>
      <c r="AA747" s="197" t="str">
        <f t="shared" si="232"/>
        <v/>
      </c>
      <c r="AB747" s="218"/>
      <c r="AC747" s="205"/>
    </row>
    <row r="748" spans="1:29">
      <c r="A748" s="219" t="str">
        <f t="shared" si="233"/>
        <v/>
      </c>
      <c r="B748" s="219"/>
      <c r="C748" s="184"/>
      <c r="D748" s="185"/>
      <c r="E748" s="185" t="str">
        <f>IF(OR(C748="",C748=Data!$B$3),"",IF(C748=Data!$B$2,"L","S"))</f>
        <v/>
      </c>
      <c r="F748" s="185" t="str">
        <f t="shared" si="234"/>
        <v/>
      </c>
      <c r="G748" s="186" t="str">
        <f t="shared" si="225"/>
        <v/>
      </c>
      <c r="H748" s="187"/>
      <c r="I748" s="188" t="str">
        <f t="shared" si="235"/>
        <v/>
      </c>
      <c r="J748" s="188" t="str">
        <f t="shared" si="236"/>
        <v/>
      </c>
      <c r="K748" s="189" t="str">
        <f t="shared" si="237"/>
        <v/>
      </c>
      <c r="L748" s="189" t="str">
        <f t="shared" si="238"/>
        <v/>
      </c>
      <c r="M748" s="190"/>
      <c r="N748" s="190"/>
      <c r="O748" s="188" t="str">
        <f t="shared" si="239"/>
        <v/>
      </c>
      <c r="P748" s="191" t="str">
        <f t="shared" si="226"/>
        <v/>
      </c>
      <c r="Q748" s="192" t="str">
        <f t="shared" si="240"/>
        <v/>
      </c>
      <c r="R748" s="191" t="str">
        <f t="shared" si="227"/>
        <v/>
      </c>
      <c r="S748" s="193" t="str">
        <f t="shared" si="241"/>
        <v/>
      </c>
      <c r="T748" s="194" t="str">
        <f t="shared" si="228"/>
        <v/>
      </c>
      <c r="U748" s="192" t="str">
        <f t="shared" si="242"/>
        <v/>
      </c>
      <c r="V748" s="195" t="str">
        <f t="shared" si="229"/>
        <v/>
      </c>
      <c r="W748" s="195" t="str">
        <f t="shared" si="230"/>
        <v/>
      </c>
      <c r="X748" s="196" t="str">
        <f t="shared" si="243"/>
        <v/>
      </c>
      <c r="Y748" s="191" t="str">
        <f t="shared" si="244"/>
        <v/>
      </c>
      <c r="Z748" s="197" t="str">
        <f t="shared" si="231"/>
        <v/>
      </c>
      <c r="AA748" s="197" t="str">
        <f t="shared" si="232"/>
        <v/>
      </c>
      <c r="AB748" s="218"/>
      <c r="AC748" s="205"/>
    </row>
    <row r="749" spans="1:29">
      <c r="A749" s="219" t="str">
        <f t="shared" si="233"/>
        <v/>
      </c>
      <c r="B749" s="219"/>
      <c r="C749" s="184"/>
      <c r="D749" s="185"/>
      <c r="E749" s="185" t="str">
        <f>IF(OR(C749="",C749=Data!$B$3),"",IF(C749=Data!$B$2,"L","S"))</f>
        <v/>
      </c>
      <c r="F749" s="185" t="str">
        <f t="shared" si="234"/>
        <v/>
      </c>
      <c r="G749" s="186" t="str">
        <f t="shared" si="225"/>
        <v/>
      </c>
      <c r="H749" s="187"/>
      <c r="I749" s="188" t="str">
        <f t="shared" si="235"/>
        <v/>
      </c>
      <c r="J749" s="188" t="str">
        <f t="shared" si="236"/>
        <v/>
      </c>
      <c r="K749" s="189" t="str">
        <f t="shared" si="237"/>
        <v/>
      </c>
      <c r="L749" s="189" t="str">
        <f t="shared" si="238"/>
        <v/>
      </c>
      <c r="M749" s="190"/>
      <c r="N749" s="190"/>
      <c r="O749" s="188" t="str">
        <f t="shared" si="239"/>
        <v/>
      </c>
      <c r="P749" s="191" t="str">
        <f t="shared" si="226"/>
        <v/>
      </c>
      <c r="Q749" s="192" t="str">
        <f t="shared" si="240"/>
        <v/>
      </c>
      <c r="R749" s="191" t="str">
        <f t="shared" si="227"/>
        <v/>
      </c>
      <c r="S749" s="193" t="str">
        <f t="shared" si="241"/>
        <v/>
      </c>
      <c r="T749" s="194" t="str">
        <f t="shared" si="228"/>
        <v/>
      </c>
      <c r="U749" s="192" t="str">
        <f t="shared" si="242"/>
        <v/>
      </c>
      <c r="V749" s="195" t="str">
        <f t="shared" si="229"/>
        <v/>
      </c>
      <c r="W749" s="195" t="str">
        <f t="shared" si="230"/>
        <v/>
      </c>
      <c r="X749" s="196" t="str">
        <f t="shared" si="243"/>
        <v/>
      </c>
      <c r="Y749" s="191" t="str">
        <f t="shared" si="244"/>
        <v/>
      </c>
      <c r="Z749" s="197" t="str">
        <f t="shared" si="231"/>
        <v/>
      </c>
      <c r="AA749" s="197" t="str">
        <f t="shared" si="232"/>
        <v/>
      </c>
      <c r="AB749" s="218"/>
      <c r="AC749" s="205"/>
    </row>
    <row r="750" spans="1:29">
      <c r="A750" s="219" t="str">
        <f t="shared" si="233"/>
        <v/>
      </c>
      <c r="B750" s="219"/>
      <c r="C750" s="184"/>
      <c r="D750" s="185"/>
      <c r="E750" s="185" t="str">
        <f>IF(OR(C750="",C750=Data!$B$3),"",IF(C750=Data!$B$2,"L","S"))</f>
        <v/>
      </c>
      <c r="F750" s="185" t="str">
        <f t="shared" si="234"/>
        <v/>
      </c>
      <c r="G750" s="186" t="str">
        <f t="shared" si="225"/>
        <v/>
      </c>
      <c r="H750" s="187"/>
      <c r="I750" s="188" t="str">
        <f t="shared" si="235"/>
        <v/>
      </c>
      <c r="J750" s="188" t="str">
        <f t="shared" si="236"/>
        <v/>
      </c>
      <c r="K750" s="189" t="str">
        <f t="shared" si="237"/>
        <v/>
      </c>
      <c r="L750" s="189" t="str">
        <f t="shared" si="238"/>
        <v/>
      </c>
      <c r="M750" s="190"/>
      <c r="N750" s="190"/>
      <c r="O750" s="188" t="str">
        <f t="shared" si="239"/>
        <v/>
      </c>
      <c r="P750" s="191" t="str">
        <f t="shared" si="226"/>
        <v/>
      </c>
      <c r="Q750" s="192" t="str">
        <f t="shared" si="240"/>
        <v/>
      </c>
      <c r="R750" s="191" t="str">
        <f t="shared" si="227"/>
        <v/>
      </c>
      <c r="S750" s="193" t="str">
        <f t="shared" si="241"/>
        <v/>
      </c>
      <c r="T750" s="194" t="str">
        <f t="shared" si="228"/>
        <v/>
      </c>
      <c r="U750" s="192" t="str">
        <f t="shared" si="242"/>
        <v/>
      </c>
      <c r="V750" s="195" t="str">
        <f t="shared" si="229"/>
        <v/>
      </c>
      <c r="W750" s="195" t="str">
        <f t="shared" si="230"/>
        <v/>
      </c>
      <c r="X750" s="196" t="str">
        <f t="shared" si="243"/>
        <v/>
      </c>
      <c r="Y750" s="191" t="str">
        <f t="shared" si="244"/>
        <v/>
      </c>
      <c r="Z750" s="197" t="str">
        <f t="shared" si="231"/>
        <v/>
      </c>
      <c r="AA750" s="197" t="str">
        <f t="shared" si="232"/>
        <v/>
      </c>
      <c r="AB750" s="218"/>
      <c r="AC750" s="205"/>
    </row>
    <row r="751" spans="1:29">
      <c r="A751" s="219" t="str">
        <f t="shared" si="233"/>
        <v/>
      </c>
      <c r="B751" s="219"/>
      <c r="C751" s="184"/>
      <c r="D751" s="185"/>
      <c r="E751" s="185" t="str">
        <f>IF(OR(C751="",C751=Data!$B$3),"",IF(C751=Data!$B$2,"L","S"))</f>
        <v/>
      </c>
      <c r="F751" s="185" t="str">
        <f t="shared" si="234"/>
        <v/>
      </c>
      <c r="G751" s="186" t="str">
        <f t="shared" si="225"/>
        <v/>
      </c>
      <c r="H751" s="187"/>
      <c r="I751" s="188" t="str">
        <f t="shared" si="235"/>
        <v/>
      </c>
      <c r="J751" s="188" t="str">
        <f t="shared" si="236"/>
        <v/>
      </c>
      <c r="K751" s="189" t="str">
        <f t="shared" si="237"/>
        <v/>
      </c>
      <c r="L751" s="189" t="str">
        <f t="shared" si="238"/>
        <v/>
      </c>
      <c r="M751" s="190"/>
      <c r="N751" s="190"/>
      <c r="O751" s="188" t="str">
        <f t="shared" si="239"/>
        <v/>
      </c>
      <c r="P751" s="191" t="str">
        <f t="shared" si="226"/>
        <v/>
      </c>
      <c r="Q751" s="192" t="str">
        <f t="shared" si="240"/>
        <v/>
      </c>
      <c r="R751" s="191" t="str">
        <f t="shared" si="227"/>
        <v/>
      </c>
      <c r="S751" s="193" t="str">
        <f t="shared" si="241"/>
        <v/>
      </c>
      <c r="T751" s="194" t="str">
        <f t="shared" si="228"/>
        <v/>
      </c>
      <c r="U751" s="192" t="str">
        <f t="shared" si="242"/>
        <v/>
      </c>
      <c r="V751" s="195" t="str">
        <f t="shared" si="229"/>
        <v/>
      </c>
      <c r="W751" s="195" t="str">
        <f t="shared" si="230"/>
        <v/>
      </c>
      <c r="X751" s="196" t="str">
        <f t="shared" si="243"/>
        <v/>
      </c>
      <c r="Y751" s="191" t="str">
        <f t="shared" si="244"/>
        <v/>
      </c>
      <c r="Z751" s="197" t="str">
        <f t="shared" si="231"/>
        <v/>
      </c>
      <c r="AA751" s="197" t="str">
        <f t="shared" si="232"/>
        <v/>
      </c>
      <c r="AB751" s="218"/>
      <c r="AC751" s="205"/>
    </row>
    <row r="752" spans="1:29">
      <c r="A752" s="219" t="str">
        <f t="shared" si="233"/>
        <v/>
      </c>
      <c r="B752" s="219"/>
      <c r="C752" s="184"/>
      <c r="D752" s="185"/>
      <c r="E752" s="185" t="str">
        <f>IF(OR(C752="",C752=Data!$B$3),"",IF(C752=Data!$B$2,"L","S"))</f>
        <v/>
      </c>
      <c r="F752" s="185" t="str">
        <f t="shared" si="234"/>
        <v/>
      </c>
      <c r="G752" s="186" t="str">
        <f t="shared" si="225"/>
        <v/>
      </c>
      <c r="H752" s="187"/>
      <c r="I752" s="188" t="str">
        <f t="shared" si="235"/>
        <v/>
      </c>
      <c r="J752" s="188" t="str">
        <f t="shared" si="236"/>
        <v/>
      </c>
      <c r="K752" s="189" t="str">
        <f t="shared" si="237"/>
        <v/>
      </c>
      <c r="L752" s="189" t="str">
        <f t="shared" si="238"/>
        <v/>
      </c>
      <c r="M752" s="190"/>
      <c r="N752" s="190"/>
      <c r="O752" s="188" t="str">
        <f t="shared" si="239"/>
        <v/>
      </c>
      <c r="P752" s="191" t="str">
        <f t="shared" si="226"/>
        <v/>
      </c>
      <c r="Q752" s="192" t="str">
        <f t="shared" si="240"/>
        <v/>
      </c>
      <c r="R752" s="191" t="str">
        <f t="shared" si="227"/>
        <v/>
      </c>
      <c r="S752" s="193" t="str">
        <f t="shared" si="241"/>
        <v/>
      </c>
      <c r="T752" s="194" t="str">
        <f t="shared" si="228"/>
        <v/>
      </c>
      <c r="U752" s="192" t="str">
        <f t="shared" si="242"/>
        <v/>
      </c>
      <c r="V752" s="195" t="str">
        <f t="shared" si="229"/>
        <v/>
      </c>
      <c r="W752" s="195" t="str">
        <f t="shared" si="230"/>
        <v/>
      </c>
      <c r="X752" s="196" t="str">
        <f t="shared" si="243"/>
        <v/>
      </c>
      <c r="Y752" s="191" t="str">
        <f t="shared" si="244"/>
        <v/>
      </c>
      <c r="Z752" s="197" t="str">
        <f t="shared" si="231"/>
        <v/>
      </c>
      <c r="AA752" s="197" t="str">
        <f t="shared" si="232"/>
        <v/>
      </c>
      <c r="AB752" s="218"/>
      <c r="AC752" s="205"/>
    </row>
    <row r="753" spans="1:29">
      <c r="A753" s="219" t="str">
        <f t="shared" si="233"/>
        <v/>
      </c>
      <c r="B753" s="219"/>
      <c r="C753" s="184"/>
      <c r="D753" s="185"/>
      <c r="E753" s="185" t="str">
        <f>IF(OR(C753="",C753=Data!$B$3),"",IF(C753=Data!$B$2,"L","S"))</f>
        <v/>
      </c>
      <c r="F753" s="185" t="str">
        <f t="shared" si="234"/>
        <v/>
      </c>
      <c r="G753" s="186" t="str">
        <f t="shared" si="225"/>
        <v/>
      </c>
      <c r="H753" s="187"/>
      <c r="I753" s="188" t="str">
        <f t="shared" si="235"/>
        <v/>
      </c>
      <c r="J753" s="188" t="str">
        <f t="shared" si="236"/>
        <v/>
      </c>
      <c r="K753" s="189" t="str">
        <f t="shared" si="237"/>
        <v/>
      </c>
      <c r="L753" s="189" t="str">
        <f t="shared" si="238"/>
        <v/>
      </c>
      <c r="M753" s="190"/>
      <c r="N753" s="190"/>
      <c r="O753" s="188" t="str">
        <f t="shared" si="239"/>
        <v/>
      </c>
      <c r="P753" s="191" t="str">
        <f t="shared" si="226"/>
        <v/>
      </c>
      <c r="Q753" s="192" t="str">
        <f t="shared" si="240"/>
        <v/>
      </c>
      <c r="R753" s="191" t="str">
        <f t="shared" si="227"/>
        <v/>
      </c>
      <c r="S753" s="193" t="str">
        <f t="shared" si="241"/>
        <v/>
      </c>
      <c r="T753" s="194" t="str">
        <f t="shared" si="228"/>
        <v/>
      </c>
      <c r="U753" s="192" t="str">
        <f t="shared" si="242"/>
        <v/>
      </c>
      <c r="V753" s="195" t="str">
        <f t="shared" si="229"/>
        <v/>
      </c>
      <c r="W753" s="195" t="str">
        <f t="shared" si="230"/>
        <v/>
      </c>
      <c r="X753" s="196" t="str">
        <f t="shared" si="243"/>
        <v/>
      </c>
      <c r="Y753" s="191" t="str">
        <f t="shared" si="244"/>
        <v/>
      </c>
      <c r="Z753" s="197" t="str">
        <f t="shared" si="231"/>
        <v/>
      </c>
      <c r="AA753" s="197" t="str">
        <f t="shared" si="232"/>
        <v/>
      </c>
      <c r="AB753" s="218"/>
      <c r="AC753" s="205"/>
    </row>
    <row r="754" spans="1:29">
      <c r="A754" s="219" t="str">
        <f t="shared" si="233"/>
        <v/>
      </c>
      <c r="B754" s="219"/>
      <c r="C754" s="184"/>
      <c r="D754" s="185"/>
      <c r="E754" s="185" t="str">
        <f>IF(OR(C754="",C754=Data!$B$3),"",IF(C754=Data!$B$2,"L","S"))</f>
        <v/>
      </c>
      <c r="F754" s="185" t="str">
        <f t="shared" si="234"/>
        <v/>
      </c>
      <c r="G754" s="186" t="str">
        <f t="shared" si="225"/>
        <v/>
      </c>
      <c r="H754" s="187"/>
      <c r="I754" s="188" t="str">
        <f t="shared" si="235"/>
        <v/>
      </c>
      <c r="J754" s="188" t="str">
        <f t="shared" si="236"/>
        <v/>
      </c>
      <c r="K754" s="189" t="str">
        <f t="shared" si="237"/>
        <v/>
      </c>
      <c r="L754" s="189" t="str">
        <f t="shared" si="238"/>
        <v/>
      </c>
      <c r="M754" s="190"/>
      <c r="N754" s="190"/>
      <c r="O754" s="188" t="str">
        <f t="shared" si="239"/>
        <v/>
      </c>
      <c r="P754" s="191" t="str">
        <f t="shared" si="226"/>
        <v/>
      </c>
      <c r="Q754" s="192" t="str">
        <f t="shared" si="240"/>
        <v/>
      </c>
      <c r="R754" s="191" t="str">
        <f t="shared" si="227"/>
        <v/>
      </c>
      <c r="S754" s="193" t="str">
        <f t="shared" si="241"/>
        <v/>
      </c>
      <c r="T754" s="194" t="str">
        <f t="shared" si="228"/>
        <v/>
      </c>
      <c r="U754" s="192" t="str">
        <f t="shared" si="242"/>
        <v/>
      </c>
      <c r="V754" s="195" t="str">
        <f t="shared" si="229"/>
        <v/>
      </c>
      <c r="W754" s="195" t="str">
        <f t="shared" si="230"/>
        <v/>
      </c>
      <c r="X754" s="196" t="str">
        <f t="shared" si="243"/>
        <v/>
      </c>
      <c r="Y754" s="191" t="str">
        <f t="shared" si="244"/>
        <v/>
      </c>
      <c r="Z754" s="197" t="str">
        <f t="shared" si="231"/>
        <v/>
      </c>
      <c r="AA754" s="197" t="str">
        <f t="shared" si="232"/>
        <v/>
      </c>
      <c r="AB754" s="218"/>
      <c r="AC754" s="205"/>
    </row>
    <row r="755" spans="1:29">
      <c r="A755" s="219" t="str">
        <f t="shared" si="233"/>
        <v/>
      </c>
      <c r="B755" s="219"/>
      <c r="C755" s="184"/>
      <c r="D755" s="185"/>
      <c r="E755" s="185" t="str">
        <f>IF(OR(C755="",C755=Data!$B$3),"",IF(C755=Data!$B$2,"L","S"))</f>
        <v/>
      </c>
      <c r="F755" s="185" t="str">
        <f t="shared" si="234"/>
        <v/>
      </c>
      <c r="G755" s="186" t="str">
        <f t="shared" si="225"/>
        <v/>
      </c>
      <c r="H755" s="187"/>
      <c r="I755" s="188" t="str">
        <f t="shared" si="235"/>
        <v/>
      </c>
      <c r="J755" s="188" t="str">
        <f t="shared" si="236"/>
        <v/>
      </c>
      <c r="K755" s="189" t="str">
        <f t="shared" si="237"/>
        <v/>
      </c>
      <c r="L755" s="189" t="str">
        <f t="shared" si="238"/>
        <v/>
      </c>
      <c r="M755" s="190"/>
      <c r="N755" s="190"/>
      <c r="O755" s="188" t="str">
        <f t="shared" si="239"/>
        <v/>
      </c>
      <c r="P755" s="191" t="str">
        <f t="shared" si="226"/>
        <v/>
      </c>
      <c r="Q755" s="192" t="str">
        <f t="shared" si="240"/>
        <v/>
      </c>
      <c r="R755" s="191" t="str">
        <f t="shared" si="227"/>
        <v/>
      </c>
      <c r="S755" s="193" t="str">
        <f t="shared" si="241"/>
        <v/>
      </c>
      <c r="T755" s="194" t="str">
        <f t="shared" si="228"/>
        <v/>
      </c>
      <c r="U755" s="192" t="str">
        <f t="shared" si="242"/>
        <v/>
      </c>
      <c r="V755" s="195" t="str">
        <f t="shared" si="229"/>
        <v/>
      </c>
      <c r="W755" s="195" t="str">
        <f t="shared" si="230"/>
        <v/>
      </c>
      <c r="X755" s="196" t="str">
        <f t="shared" si="243"/>
        <v/>
      </c>
      <c r="Y755" s="191" t="str">
        <f t="shared" si="244"/>
        <v/>
      </c>
      <c r="Z755" s="197" t="str">
        <f t="shared" si="231"/>
        <v/>
      </c>
      <c r="AA755" s="197" t="str">
        <f t="shared" si="232"/>
        <v/>
      </c>
      <c r="AB755" s="218"/>
      <c r="AC755" s="205"/>
    </row>
    <row r="756" spans="1:29">
      <c r="A756" s="219" t="str">
        <f t="shared" si="233"/>
        <v/>
      </c>
      <c r="B756" s="219"/>
      <c r="C756" s="184"/>
      <c r="D756" s="185"/>
      <c r="E756" s="185" t="str">
        <f>IF(OR(C756="",C756=Data!$B$3),"",IF(C756=Data!$B$2,"L","S"))</f>
        <v/>
      </c>
      <c r="F756" s="185" t="str">
        <f t="shared" si="234"/>
        <v/>
      </c>
      <c r="G756" s="186" t="str">
        <f t="shared" si="225"/>
        <v/>
      </c>
      <c r="H756" s="187"/>
      <c r="I756" s="188" t="str">
        <f t="shared" si="235"/>
        <v/>
      </c>
      <c r="J756" s="188" t="str">
        <f t="shared" si="236"/>
        <v/>
      </c>
      <c r="K756" s="189" t="str">
        <f t="shared" si="237"/>
        <v/>
      </c>
      <c r="L756" s="189" t="str">
        <f t="shared" si="238"/>
        <v/>
      </c>
      <c r="M756" s="190"/>
      <c r="N756" s="190"/>
      <c r="O756" s="188" t="str">
        <f t="shared" si="239"/>
        <v/>
      </c>
      <c r="P756" s="191" t="str">
        <f t="shared" si="226"/>
        <v/>
      </c>
      <c r="Q756" s="192" t="str">
        <f t="shared" si="240"/>
        <v/>
      </c>
      <c r="R756" s="191" t="str">
        <f t="shared" si="227"/>
        <v/>
      </c>
      <c r="S756" s="193" t="str">
        <f t="shared" si="241"/>
        <v/>
      </c>
      <c r="T756" s="194" t="str">
        <f t="shared" si="228"/>
        <v/>
      </c>
      <c r="U756" s="192" t="str">
        <f t="shared" si="242"/>
        <v/>
      </c>
      <c r="V756" s="195" t="str">
        <f t="shared" si="229"/>
        <v/>
      </c>
      <c r="W756" s="195" t="str">
        <f t="shared" si="230"/>
        <v/>
      </c>
      <c r="X756" s="196" t="str">
        <f t="shared" si="243"/>
        <v/>
      </c>
      <c r="Y756" s="191" t="str">
        <f t="shared" si="244"/>
        <v/>
      </c>
      <c r="Z756" s="197" t="str">
        <f t="shared" si="231"/>
        <v/>
      </c>
      <c r="AA756" s="197" t="str">
        <f t="shared" si="232"/>
        <v/>
      </c>
      <c r="AB756" s="218"/>
      <c r="AC756" s="205"/>
    </row>
    <row r="757" spans="1:29">
      <c r="A757" s="219" t="str">
        <f t="shared" si="233"/>
        <v/>
      </c>
      <c r="B757" s="219"/>
      <c r="C757" s="184"/>
      <c r="D757" s="185"/>
      <c r="E757" s="185" t="str">
        <f>IF(OR(C757="",C757=Data!$B$3),"",IF(C757=Data!$B$2,"L","S"))</f>
        <v/>
      </c>
      <c r="F757" s="185" t="str">
        <f t="shared" si="234"/>
        <v/>
      </c>
      <c r="G757" s="186" t="str">
        <f t="shared" si="225"/>
        <v/>
      </c>
      <c r="H757" s="187"/>
      <c r="I757" s="188" t="str">
        <f t="shared" si="235"/>
        <v/>
      </c>
      <c r="J757" s="188" t="str">
        <f t="shared" si="236"/>
        <v/>
      </c>
      <c r="K757" s="189" t="str">
        <f t="shared" si="237"/>
        <v/>
      </c>
      <c r="L757" s="189" t="str">
        <f t="shared" si="238"/>
        <v/>
      </c>
      <c r="M757" s="190"/>
      <c r="N757" s="190"/>
      <c r="O757" s="188" t="str">
        <f t="shared" si="239"/>
        <v/>
      </c>
      <c r="P757" s="191" t="str">
        <f t="shared" si="226"/>
        <v/>
      </c>
      <c r="Q757" s="192" t="str">
        <f t="shared" si="240"/>
        <v/>
      </c>
      <c r="R757" s="191" t="str">
        <f t="shared" si="227"/>
        <v/>
      </c>
      <c r="S757" s="193" t="str">
        <f t="shared" si="241"/>
        <v/>
      </c>
      <c r="T757" s="194" t="str">
        <f t="shared" si="228"/>
        <v/>
      </c>
      <c r="U757" s="192" t="str">
        <f t="shared" si="242"/>
        <v/>
      </c>
      <c r="V757" s="195" t="str">
        <f t="shared" si="229"/>
        <v/>
      </c>
      <c r="W757" s="195" t="str">
        <f t="shared" si="230"/>
        <v/>
      </c>
      <c r="X757" s="196" t="str">
        <f t="shared" si="243"/>
        <v/>
      </c>
      <c r="Y757" s="191" t="str">
        <f t="shared" si="244"/>
        <v/>
      </c>
      <c r="Z757" s="197" t="str">
        <f t="shared" si="231"/>
        <v/>
      </c>
      <c r="AA757" s="197" t="str">
        <f t="shared" si="232"/>
        <v/>
      </c>
      <c r="AB757" s="218"/>
      <c r="AC757" s="205"/>
    </row>
    <row r="758" spans="1:29">
      <c r="A758" s="219" t="str">
        <f t="shared" si="233"/>
        <v/>
      </c>
      <c r="B758" s="219"/>
      <c r="C758" s="184"/>
      <c r="D758" s="185"/>
      <c r="E758" s="185" t="str">
        <f>IF(OR(C758="",C758=Data!$B$3),"",IF(C758=Data!$B$2,"L","S"))</f>
        <v/>
      </c>
      <c r="F758" s="185" t="str">
        <f t="shared" si="234"/>
        <v/>
      </c>
      <c r="G758" s="186" t="str">
        <f t="shared" si="225"/>
        <v/>
      </c>
      <c r="H758" s="187"/>
      <c r="I758" s="188" t="str">
        <f t="shared" si="235"/>
        <v/>
      </c>
      <c r="J758" s="188" t="str">
        <f t="shared" si="236"/>
        <v/>
      </c>
      <c r="K758" s="189" t="str">
        <f t="shared" si="237"/>
        <v/>
      </c>
      <c r="L758" s="189" t="str">
        <f t="shared" si="238"/>
        <v/>
      </c>
      <c r="M758" s="190"/>
      <c r="N758" s="190"/>
      <c r="O758" s="188" t="str">
        <f t="shared" si="239"/>
        <v/>
      </c>
      <c r="P758" s="191" t="str">
        <f t="shared" si="226"/>
        <v/>
      </c>
      <c r="Q758" s="192" t="str">
        <f t="shared" si="240"/>
        <v/>
      </c>
      <c r="R758" s="191" t="str">
        <f t="shared" si="227"/>
        <v/>
      </c>
      <c r="S758" s="193" t="str">
        <f t="shared" si="241"/>
        <v/>
      </c>
      <c r="T758" s="194" t="str">
        <f t="shared" si="228"/>
        <v/>
      </c>
      <c r="U758" s="192" t="str">
        <f t="shared" si="242"/>
        <v/>
      </c>
      <c r="V758" s="195" t="str">
        <f t="shared" si="229"/>
        <v/>
      </c>
      <c r="W758" s="195" t="str">
        <f t="shared" si="230"/>
        <v/>
      </c>
      <c r="X758" s="196" t="str">
        <f t="shared" si="243"/>
        <v/>
      </c>
      <c r="Y758" s="191" t="str">
        <f t="shared" si="244"/>
        <v/>
      </c>
      <c r="Z758" s="197" t="str">
        <f t="shared" si="231"/>
        <v/>
      </c>
      <c r="AA758" s="197" t="str">
        <f t="shared" si="232"/>
        <v/>
      </c>
      <c r="AB758" s="218"/>
      <c r="AC758" s="205"/>
    </row>
    <row r="759" spans="1:29">
      <c r="A759" s="219" t="str">
        <f t="shared" si="233"/>
        <v/>
      </c>
      <c r="B759" s="219"/>
      <c r="C759" s="184"/>
      <c r="D759" s="185"/>
      <c r="E759" s="185" t="str">
        <f>IF(OR(C759="",C759=Data!$B$3),"",IF(C759=Data!$B$2,"L","S"))</f>
        <v/>
      </c>
      <c r="F759" s="185" t="str">
        <f t="shared" si="234"/>
        <v/>
      </c>
      <c r="G759" s="186" t="str">
        <f t="shared" si="225"/>
        <v/>
      </c>
      <c r="H759" s="187"/>
      <c r="I759" s="188" t="str">
        <f t="shared" si="235"/>
        <v/>
      </c>
      <c r="J759" s="188" t="str">
        <f t="shared" si="236"/>
        <v/>
      </c>
      <c r="K759" s="189" t="str">
        <f t="shared" si="237"/>
        <v/>
      </c>
      <c r="L759" s="189" t="str">
        <f t="shared" si="238"/>
        <v/>
      </c>
      <c r="M759" s="190"/>
      <c r="N759" s="190"/>
      <c r="O759" s="188" t="str">
        <f t="shared" si="239"/>
        <v/>
      </c>
      <c r="P759" s="191" t="str">
        <f t="shared" si="226"/>
        <v/>
      </c>
      <c r="Q759" s="192" t="str">
        <f t="shared" si="240"/>
        <v/>
      </c>
      <c r="R759" s="191" t="str">
        <f t="shared" si="227"/>
        <v/>
      </c>
      <c r="S759" s="193" t="str">
        <f t="shared" si="241"/>
        <v/>
      </c>
      <c r="T759" s="194" t="str">
        <f t="shared" si="228"/>
        <v/>
      </c>
      <c r="U759" s="192" t="str">
        <f t="shared" si="242"/>
        <v/>
      </c>
      <c r="V759" s="195" t="str">
        <f t="shared" si="229"/>
        <v/>
      </c>
      <c r="W759" s="195" t="str">
        <f t="shared" si="230"/>
        <v/>
      </c>
      <c r="X759" s="196" t="str">
        <f t="shared" si="243"/>
        <v/>
      </c>
      <c r="Y759" s="191" t="str">
        <f t="shared" si="244"/>
        <v/>
      </c>
      <c r="Z759" s="197" t="str">
        <f t="shared" si="231"/>
        <v/>
      </c>
      <c r="AA759" s="197" t="str">
        <f t="shared" si="232"/>
        <v/>
      </c>
      <c r="AB759" s="218"/>
      <c r="AC759" s="205"/>
    </row>
    <row r="760" spans="1:29">
      <c r="A760" s="219" t="str">
        <f t="shared" si="233"/>
        <v/>
      </c>
      <c r="B760" s="219"/>
      <c r="C760" s="184"/>
      <c r="D760" s="185"/>
      <c r="E760" s="185" t="str">
        <f>IF(OR(C760="",C760=Data!$B$3),"",IF(C760=Data!$B$2,"L","S"))</f>
        <v/>
      </c>
      <c r="F760" s="185" t="str">
        <f t="shared" si="234"/>
        <v/>
      </c>
      <c r="G760" s="186" t="str">
        <f t="shared" si="225"/>
        <v/>
      </c>
      <c r="H760" s="187"/>
      <c r="I760" s="188" t="str">
        <f t="shared" si="235"/>
        <v/>
      </c>
      <c r="J760" s="188" t="str">
        <f t="shared" si="236"/>
        <v/>
      </c>
      <c r="K760" s="189" t="str">
        <f t="shared" si="237"/>
        <v/>
      </c>
      <c r="L760" s="189" t="str">
        <f t="shared" si="238"/>
        <v/>
      </c>
      <c r="M760" s="190"/>
      <c r="N760" s="190"/>
      <c r="O760" s="188" t="str">
        <f t="shared" si="239"/>
        <v/>
      </c>
      <c r="P760" s="191" t="str">
        <f t="shared" si="226"/>
        <v/>
      </c>
      <c r="Q760" s="192" t="str">
        <f t="shared" si="240"/>
        <v/>
      </c>
      <c r="R760" s="191" t="str">
        <f t="shared" si="227"/>
        <v/>
      </c>
      <c r="S760" s="193" t="str">
        <f t="shared" si="241"/>
        <v/>
      </c>
      <c r="T760" s="194" t="str">
        <f t="shared" si="228"/>
        <v/>
      </c>
      <c r="U760" s="192" t="str">
        <f t="shared" si="242"/>
        <v/>
      </c>
      <c r="V760" s="195" t="str">
        <f t="shared" si="229"/>
        <v/>
      </c>
      <c r="W760" s="195" t="str">
        <f t="shared" si="230"/>
        <v/>
      </c>
      <c r="X760" s="196" t="str">
        <f t="shared" si="243"/>
        <v/>
      </c>
      <c r="Y760" s="191" t="str">
        <f t="shared" si="244"/>
        <v/>
      </c>
      <c r="Z760" s="197" t="str">
        <f t="shared" si="231"/>
        <v/>
      </c>
      <c r="AA760" s="197" t="str">
        <f t="shared" si="232"/>
        <v/>
      </c>
      <c r="AB760" s="218"/>
      <c r="AC760" s="205"/>
    </row>
    <row r="761" spans="1:29">
      <c r="A761" s="219" t="str">
        <f t="shared" si="233"/>
        <v/>
      </c>
      <c r="B761" s="219"/>
      <c r="C761" s="184"/>
      <c r="D761" s="185"/>
      <c r="E761" s="185" t="str">
        <f>IF(OR(C761="",C761=Data!$B$3),"",IF(C761=Data!$B$2,"L","S"))</f>
        <v/>
      </c>
      <c r="F761" s="185" t="str">
        <f t="shared" si="234"/>
        <v/>
      </c>
      <c r="G761" s="186" t="str">
        <f t="shared" si="225"/>
        <v/>
      </c>
      <c r="H761" s="187"/>
      <c r="I761" s="188" t="str">
        <f t="shared" si="235"/>
        <v/>
      </c>
      <c r="J761" s="188" t="str">
        <f t="shared" si="236"/>
        <v/>
      </c>
      <c r="K761" s="189" t="str">
        <f t="shared" si="237"/>
        <v/>
      </c>
      <c r="L761" s="189" t="str">
        <f t="shared" si="238"/>
        <v/>
      </c>
      <c r="M761" s="190"/>
      <c r="N761" s="190"/>
      <c r="O761" s="188" t="str">
        <f t="shared" si="239"/>
        <v/>
      </c>
      <c r="P761" s="191" t="str">
        <f t="shared" si="226"/>
        <v/>
      </c>
      <c r="Q761" s="192" t="str">
        <f t="shared" si="240"/>
        <v/>
      </c>
      <c r="R761" s="191" t="str">
        <f t="shared" si="227"/>
        <v/>
      </c>
      <c r="S761" s="193" t="str">
        <f t="shared" si="241"/>
        <v/>
      </c>
      <c r="T761" s="194" t="str">
        <f t="shared" si="228"/>
        <v/>
      </c>
      <c r="U761" s="192" t="str">
        <f t="shared" si="242"/>
        <v/>
      </c>
      <c r="V761" s="195" t="str">
        <f t="shared" si="229"/>
        <v/>
      </c>
      <c r="W761" s="195" t="str">
        <f t="shared" si="230"/>
        <v/>
      </c>
      <c r="X761" s="196" t="str">
        <f t="shared" si="243"/>
        <v/>
      </c>
      <c r="Y761" s="191" t="str">
        <f t="shared" si="244"/>
        <v/>
      </c>
      <c r="Z761" s="197" t="str">
        <f t="shared" si="231"/>
        <v/>
      </c>
      <c r="AA761" s="197" t="str">
        <f t="shared" si="232"/>
        <v/>
      </c>
      <c r="AB761" s="218"/>
      <c r="AC761" s="205"/>
    </row>
    <row r="762" spans="1:29">
      <c r="A762" s="219" t="str">
        <f t="shared" si="233"/>
        <v/>
      </c>
      <c r="B762" s="219"/>
      <c r="C762" s="184"/>
      <c r="D762" s="185"/>
      <c r="E762" s="185" t="str">
        <f>IF(OR(C762="",C762=Data!$B$3),"",IF(C762=Data!$B$2,"L","S"))</f>
        <v/>
      </c>
      <c r="F762" s="185" t="str">
        <f t="shared" si="234"/>
        <v/>
      </c>
      <c r="G762" s="186" t="str">
        <f t="shared" si="225"/>
        <v/>
      </c>
      <c r="H762" s="187"/>
      <c r="I762" s="188" t="str">
        <f t="shared" si="235"/>
        <v/>
      </c>
      <c r="J762" s="188" t="str">
        <f t="shared" si="236"/>
        <v/>
      </c>
      <c r="K762" s="189" t="str">
        <f t="shared" si="237"/>
        <v/>
      </c>
      <c r="L762" s="189" t="str">
        <f t="shared" si="238"/>
        <v/>
      </c>
      <c r="M762" s="190"/>
      <c r="N762" s="190"/>
      <c r="O762" s="188" t="str">
        <f t="shared" si="239"/>
        <v/>
      </c>
      <c r="P762" s="191" t="str">
        <f t="shared" si="226"/>
        <v/>
      </c>
      <c r="Q762" s="192" t="str">
        <f t="shared" si="240"/>
        <v/>
      </c>
      <c r="R762" s="191" t="str">
        <f t="shared" si="227"/>
        <v/>
      </c>
      <c r="S762" s="193" t="str">
        <f t="shared" si="241"/>
        <v/>
      </c>
      <c r="T762" s="194" t="str">
        <f t="shared" si="228"/>
        <v/>
      </c>
      <c r="U762" s="192" t="str">
        <f t="shared" si="242"/>
        <v/>
      </c>
      <c r="V762" s="195" t="str">
        <f t="shared" si="229"/>
        <v/>
      </c>
      <c r="W762" s="195" t="str">
        <f t="shared" si="230"/>
        <v/>
      </c>
      <c r="X762" s="196" t="str">
        <f t="shared" si="243"/>
        <v/>
      </c>
      <c r="Y762" s="191" t="str">
        <f t="shared" si="244"/>
        <v/>
      </c>
      <c r="Z762" s="197" t="str">
        <f t="shared" si="231"/>
        <v/>
      </c>
      <c r="AA762" s="197" t="str">
        <f t="shared" si="232"/>
        <v/>
      </c>
      <c r="AB762" s="218"/>
      <c r="AC762" s="205"/>
    </row>
    <row r="763" spans="1:29">
      <c r="A763" s="219" t="str">
        <f t="shared" si="233"/>
        <v/>
      </c>
      <c r="B763" s="219"/>
      <c r="C763" s="184"/>
      <c r="D763" s="185"/>
      <c r="E763" s="185" t="str">
        <f>IF(OR(C763="",C763=Data!$B$3),"",IF(C763=Data!$B$2,"L","S"))</f>
        <v/>
      </c>
      <c r="F763" s="185" t="str">
        <f t="shared" si="234"/>
        <v/>
      </c>
      <c r="G763" s="186" t="str">
        <f t="shared" si="225"/>
        <v/>
      </c>
      <c r="H763" s="187"/>
      <c r="I763" s="188" t="str">
        <f t="shared" si="235"/>
        <v/>
      </c>
      <c r="J763" s="188" t="str">
        <f t="shared" si="236"/>
        <v/>
      </c>
      <c r="K763" s="189" t="str">
        <f t="shared" si="237"/>
        <v/>
      </c>
      <c r="L763" s="189" t="str">
        <f t="shared" si="238"/>
        <v/>
      </c>
      <c r="M763" s="190"/>
      <c r="N763" s="190"/>
      <c r="O763" s="188" t="str">
        <f t="shared" si="239"/>
        <v/>
      </c>
      <c r="P763" s="191" t="str">
        <f t="shared" si="226"/>
        <v/>
      </c>
      <c r="Q763" s="192" t="str">
        <f t="shared" si="240"/>
        <v/>
      </c>
      <c r="R763" s="191" t="str">
        <f t="shared" si="227"/>
        <v/>
      </c>
      <c r="S763" s="193" t="str">
        <f t="shared" si="241"/>
        <v/>
      </c>
      <c r="T763" s="194" t="str">
        <f t="shared" si="228"/>
        <v/>
      </c>
      <c r="U763" s="192" t="str">
        <f t="shared" si="242"/>
        <v/>
      </c>
      <c r="V763" s="195" t="str">
        <f t="shared" si="229"/>
        <v/>
      </c>
      <c r="W763" s="195" t="str">
        <f t="shared" si="230"/>
        <v/>
      </c>
      <c r="X763" s="196" t="str">
        <f t="shared" si="243"/>
        <v/>
      </c>
      <c r="Y763" s="191" t="str">
        <f t="shared" si="244"/>
        <v/>
      </c>
      <c r="Z763" s="197" t="str">
        <f t="shared" si="231"/>
        <v/>
      </c>
      <c r="AA763" s="197" t="str">
        <f t="shared" si="232"/>
        <v/>
      </c>
      <c r="AB763" s="218"/>
      <c r="AC763" s="205"/>
    </row>
    <row r="764" spans="1:29">
      <c r="A764" s="219" t="str">
        <f t="shared" si="233"/>
        <v/>
      </c>
      <c r="B764" s="219"/>
      <c r="C764" s="184"/>
      <c r="D764" s="185"/>
      <c r="E764" s="185" t="str">
        <f>IF(OR(C764="",C764=Data!$B$3),"",IF(C764=Data!$B$2,"L","S"))</f>
        <v/>
      </c>
      <c r="F764" s="185" t="str">
        <f t="shared" si="234"/>
        <v/>
      </c>
      <c r="G764" s="186" t="str">
        <f t="shared" si="225"/>
        <v/>
      </c>
      <c r="H764" s="187"/>
      <c r="I764" s="188" t="str">
        <f t="shared" si="235"/>
        <v/>
      </c>
      <c r="J764" s="188" t="str">
        <f t="shared" si="236"/>
        <v/>
      </c>
      <c r="K764" s="189" t="str">
        <f t="shared" si="237"/>
        <v/>
      </c>
      <c r="L764" s="189" t="str">
        <f t="shared" si="238"/>
        <v/>
      </c>
      <c r="M764" s="190"/>
      <c r="N764" s="190"/>
      <c r="O764" s="188" t="str">
        <f t="shared" si="239"/>
        <v/>
      </c>
      <c r="P764" s="191" t="str">
        <f t="shared" si="226"/>
        <v/>
      </c>
      <c r="Q764" s="192" t="str">
        <f t="shared" si="240"/>
        <v/>
      </c>
      <c r="R764" s="191" t="str">
        <f t="shared" si="227"/>
        <v/>
      </c>
      <c r="S764" s="193" t="str">
        <f t="shared" si="241"/>
        <v/>
      </c>
      <c r="T764" s="194" t="str">
        <f t="shared" si="228"/>
        <v/>
      </c>
      <c r="U764" s="192" t="str">
        <f t="shared" si="242"/>
        <v/>
      </c>
      <c r="V764" s="195" t="str">
        <f t="shared" si="229"/>
        <v/>
      </c>
      <c r="W764" s="195" t="str">
        <f t="shared" si="230"/>
        <v/>
      </c>
      <c r="X764" s="196" t="str">
        <f t="shared" si="243"/>
        <v/>
      </c>
      <c r="Y764" s="191" t="str">
        <f t="shared" si="244"/>
        <v/>
      </c>
      <c r="Z764" s="197" t="str">
        <f t="shared" si="231"/>
        <v/>
      </c>
      <c r="AA764" s="197" t="str">
        <f t="shared" si="232"/>
        <v/>
      </c>
      <c r="AB764" s="218"/>
      <c r="AC764" s="205"/>
    </row>
    <row r="765" spans="1:29">
      <c r="A765" s="219" t="str">
        <f t="shared" si="233"/>
        <v/>
      </c>
      <c r="B765" s="219"/>
      <c r="C765" s="184"/>
      <c r="D765" s="185"/>
      <c r="E765" s="185" t="str">
        <f>IF(OR(C765="",C765=Data!$B$3),"",IF(C765=Data!$B$2,"L","S"))</f>
        <v/>
      </c>
      <c r="F765" s="185" t="str">
        <f t="shared" si="234"/>
        <v/>
      </c>
      <c r="G765" s="186" t="str">
        <f t="shared" si="225"/>
        <v/>
      </c>
      <c r="H765" s="187"/>
      <c r="I765" s="188" t="str">
        <f t="shared" si="235"/>
        <v/>
      </c>
      <c r="J765" s="188" t="str">
        <f t="shared" si="236"/>
        <v/>
      </c>
      <c r="K765" s="189" t="str">
        <f t="shared" si="237"/>
        <v/>
      </c>
      <c r="L765" s="189" t="str">
        <f t="shared" si="238"/>
        <v/>
      </c>
      <c r="M765" s="190"/>
      <c r="N765" s="190"/>
      <c r="O765" s="188" t="str">
        <f t="shared" si="239"/>
        <v/>
      </c>
      <c r="P765" s="191" t="str">
        <f t="shared" si="226"/>
        <v/>
      </c>
      <c r="Q765" s="192" t="str">
        <f t="shared" si="240"/>
        <v/>
      </c>
      <c r="R765" s="191" t="str">
        <f t="shared" si="227"/>
        <v/>
      </c>
      <c r="S765" s="193" t="str">
        <f t="shared" si="241"/>
        <v/>
      </c>
      <c r="T765" s="194" t="str">
        <f t="shared" si="228"/>
        <v/>
      </c>
      <c r="U765" s="192" t="str">
        <f t="shared" si="242"/>
        <v/>
      </c>
      <c r="V765" s="195" t="str">
        <f t="shared" si="229"/>
        <v/>
      </c>
      <c r="W765" s="195" t="str">
        <f t="shared" si="230"/>
        <v/>
      </c>
      <c r="X765" s="196" t="str">
        <f t="shared" si="243"/>
        <v/>
      </c>
      <c r="Y765" s="191" t="str">
        <f t="shared" si="244"/>
        <v/>
      </c>
      <c r="Z765" s="197" t="str">
        <f t="shared" si="231"/>
        <v/>
      </c>
      <c r="AA765" s="197" t="str">
        <f t="shared" si="232"/>
        <v/>
      </c>
      <c r="AB765" s="218"/>
      <c r="AC765" s="205"/>
    </row>
    <row r="766" spans="1:29">
      <c r="A766" s="219" t="str">
        <f t="shared" si="233"/>
        <v/>
      </c>
      <c r="B766" s="219"/>
      <c r="C766" s="184"/>
      <c r="D766" s="185"/>
      <c r="E766" s="185" t="str">
        <f>IF(OR(C766="",C766=Data!$B$3),"",IF(C766=Data!$B$2,"L","S"))</f>
        <v/>
      </c>
      <c r="F766" s="185" t="str">
        <f t="shared" si="234"/>
        <v/>
      </c>
      <c r="G766" s="186" t="str">
        <f t="shared" si="225"/>
        <v/>
      </c>
      <c r="H766" s="187"/>
      <c r="I766" s="188" t="str">
        <f t="shared" si="235"/>
        <v/>
      </c>
      <c r="J766" s="188" t="str">
        <f t="shared" si="236"/>
        <v/>
      </c>
      <c r="K766" s="189" t="str">
        <f t="shared" si="237"/>
        <v/>
      </c>
      <c r="L766" s="189" t="str">
        <f t="shared" si="238"/>
        <v/>
      </c>
      <c r="M766" s="190"/>
      <c r="N766" s="190"/>
      <c r="O766" s="188" t="str">
        <f t="shared" si="239"/>
        <v/>
      </c>
      <c r="P766" s="191" t="str">
        <f t="shared" si="226"/>
        <v/>
      </c>
      <c r="Q766" s="192" t="str">
        <f t="shared" si="240"/>
        <v/>
      </c>
      <c r="R766" s="191" t="str">
        <f t="shared" si="227"/>
        <v/>
      </c>
      <c r="S766" s="193" t="str">
        <f t="shared" si="241"/>
        <v/>
      </c>
      <c r="T766" s="194" t="str">
        <f t="shared" si="228"/>
        <v/>
      </c>
      <c r="U766" s="192" t="str">
        <f t="shared" si="242"/>
        <v/>
      </c>
      <c r="V766" s="195" t="str">
        <f t="shared" si="229"/>
        <v/>
      </c>
      <c r="W766" s="195" t="str">
        <f t="shared" si="230"/>
        <v/>
      </c>
      <c r="X766" s="196" t="str">
        <f t="shared" si="243"/>
        <v/>
      </c>
      <c r="Y766" s="191" t="str">
        <f t="shared" si="244"/>
        <v/>
      </c>
      <c r="Z766" s="197" t="str">
        <f t="shared" si="231"/>
        <v/>
      </c>
      <c r="AA766" s="197" t="str">
        <f t="shared" si="232"/>
        <v/>
      </c>
      <c r="AB766" s="218"/>
      <c r="AC766" s="205"/>
    </row>
    <row r="767" spans="1:29">
      <c r="A767" s="219" t="str">
        <f t="shared" si="233"/>
        <v/>
      </c>
      <c r="B767" s="219"/>
      <c r="C767" s="184"/>
      <c r="D767" s="185"/>
      <c r="E767" s="185" t="str">
        <f>IF(OR(C767="",C767=Data!$B$3),"",IF(C767=Data!$B$2,"L","S"))</f>
        <v/>
      </c>
      <c r="F767" s="185" t="str">
        <f t="shared" si="234"/>
        <v/>
      </c>
      <c r="G767" s="186" t="str">
        <f t="shared" si="225"/>
        <v/>
      </c>
      <c r="H767" s="187"/>
      <c r="I767" s="188" t="str">
        <f t="shared" si="235"/>
        <v/>
      </c>
      <c r="J767" s="188" t="str">
        <f t="shared" si="236"/>
        <v/>
      </c>
      <c r="K767" s="189" t="str">
        <f t="shared" si="237"/>
        <v/>
      </c>
      <c r="L767" s="189" t="str">
        <f t="shared" si="238"/>
        <v/>
      </c>
      <c r="M767" s="190"/>
      <c r="N767" s="190"/>
      <c r="O767" s="188" t="str">
        <f t="shared" si="239"/>
        <v/>
      </c>
      <c r="P767" s="191" t="str">
        <f t="shared" si="226"/>
        <v/>
      </c>
      <c r="Q767" s="192" t="str">
        <f t="shared" si="240"/>
        <v/>
      </c>
      <c r="R767" s="191" t="str">
        <f t="shared" si="227"/>
        <v/>
      </c>
      <c r="S767" s="193" t="str">
        <f t="shared" si="241"/>
        <v/>
      </c>
      <c r="T767" s="194" t="str">
        <f t="shared" si="228"/>
        <v/>
      </c>
      <c r="U767" s="192" t="str">
        <f t="shared" si="242"/>
        <v/>
      </c>
      <c r="V767" s="195" t="str">
        <f t="shared" si="229"/>
        <v/>
      </c>
      <c r="W767" s="195" t="str">
        <f t="shared" si="230"/>
        <v/>
      </c>
      <c r="X767" s="196" t="str">
        <f t="shared" si="243"/>
        <v/>
      </c>
      <c r="Y767" s="191" t="str">
        <f t="shared" si="244"/>
        <v/>
      </c>
      <c r="Z767" s="197" t="str">
        <f t="shared" si="231"/>
        <v/>
      </c>
      <c r="AA767" s="197" t="str">
        <f t="shared" si="232"/>
        <v/>
      </c>
      <c r="AB767" s="218"/>
      <c r="AC767" s="205"/>
    </row>
    <row r="768" spans="1:29">
      <c r="A768" s="219" t="str">
        <f t="shared" si="233"/>
        <v/>
      </c>
      <c r="B768" s="219"/>
      <c r="C768" s="184"/>
      <c r="D768" s="185"/>
      <c r="E768" s="185" t="str">
        <f>IF(OR(C768="",C768=Data!$B$3),"",IF(C768=Data!$B$2,"L","S"))</f>
        <v/>
      </c>
      <c r="F768" s="185" t="str">
        <f t="shared" si="234"/>
        <v/>
      </c>
      <c r="G768" s="186" t="str">
        <f t="shared" si="225"/>
        <v/>
      </c>
      <c r="H768" s="187"/>
      <c r="I768" s="188" t="str">
        <f t="shared" si="235"/>
        <v/>
      </c>
      <c r="J768" s="188" t="str">
        <f t="shared" si="236"/>
        <v/>
      </c>
      <c r="K768" s="189" t="str">
        <f t="shared" si="237"/>
        <v/>
      </c>
      <c r="L768" s="189" t="str">
        <f t="shared" si="238"/>
        <v/>
      </c>
      <c r="M768" s="190"/>
      <c r="N768" s="190"/>
      <c r="O768" s="188" t="str">
        <f t="shared" si="239"/>
        <v/>
      </c>
      <c r="P768" s="191" t="str">
        <f t="shared" si="226"/>
        <v/>
      </c>
      <c r="Q768" s="192" t="str">
        <f t="shared" si="240"/>
        <v/>
      </c>
      <c r="R768" s="191" t="str">
        <f t="shared" si="227"/>
        <v/>
      </c>
      <c r="S768" s="193" t="str">
        <f t="shared" si="241"/>
        <v/>
      </c>
      <c r="T768" s="194" t="str">
        <f t="shared" si="228"/>
        <v/>
      </c>
      <c r="U768" s="192" t="str">
        <f t="shared" si="242"/>
        <v/>
      </c>
      <c r="V768" s="195" t="str">
        <f t="shared" si="229"/>
        <v/>
      </c>
      <c r="W768" s="195" t="str">
        <f t="shared" si="230"/>
        <v/>
      </c>
      <c r="X768" s="196" t="str">
        <f t="shared" si="243"/>
        <v/>
      </c>
      <c r="Y768" s="191" t="str">
        <f t="shared" si="244"/>
        <v/>
      </c>
      <c r="Z768" s="197" t="str">
        <f t="shared" si="231"/>
        <v/>
      </c>
      <c r="AA768" s="197" t="str">
        <f t="shared" si="232"/>
        <v/>
      </c>
      <c r="AB768" s="218"/>
      <c r="AC768" s="205"/>
    </row>
    <row r="769" spans="1:29">
      <c r="A769" s="219" t="str">
        <f t="shared" si="233"/>
        <v/>
      </c>
      <c r="B769" s="219"/>
      <c r="C769" s="184"/>
      <c r="D769" s="185"/>
      <c r="E769" s="185" t="str">
        <f>IF(OR(C769="",C769=Data!$B$3),"",IF(C769=Data!$B$2,"L","S"))</f>
        <v/>
      </c>
      <c r="F769" s="185" t="str">
        <f t="shared" si="234"/>
        <v/>
      </c>
      <c r="G769" s="186" t="str">
        <f t="shared" si="225"/>
        <v/>
      </c>
      <c r="H769" s="187"/>
      <c r="I769" s="188" t="str">
        <f t="shared" si="235"/>
        <v/>
      </c>
      <c r="J769" s="188" t="str">
        <f t="shared" si="236"/>
        <v/>
      </c>
      <c r="K769" s="189" t="str">
        <f t="shared" si="237"/>
        <v/>
      </c>
      <c r="L769" s="189" t="str">
        <f t="shared" si="238"/>
        <v/>
      </c>
      <c r="M769" s="190"/>
      <c r="N769" s="190"/>
      <c r="O769" s="188" t="str">
        <f t="shared" si="239"/>
        <v/>
      </c>
      <c r="P769" s="191" t="str">
        <f t="shared" si="226"/>
        <v/>
      </c>
      <c r="Q769" s="192" t="str">
        <f t="shared" si="240"/>
        <v/>
      </c>
      <c r="R769" s="191" t="str">
        <f t="shared" si="227"/>
        <v/>
      </c>
      <c r="S769" s="193" t="str">
        <f t="shared" si="241"/>
        <v/>
      </c>
      <c r="T769" s="194" t="str">
        <f t="shared" si="228"/>
        <v/>
      </c>
      <c r="U769" s="192" t="str">
        <f t="shared" si="242"/>
        <v/>
      </c>
      <c r="V769" s="195" t="str">
        <f t="shared" si="229"/>
        <v/>
      </c>
      <c r="W769" s="195" t="str">
        <f t="shared" si="230"/>
        <v/>
      </c>
      <c r="X769" s="196" t="str">
        <f t="shared" si="243"/>
        <v/>
      </c>
      <c r="Y769" s="191" t="str">
        <f t="shared" si="244"/>
        <v/>
      </c>
      <c r="Z769" s="197" t="str">
        <f t="shared" si="231"/>
        <v/>
      </c>
      <c r="AA769" s="197" t="str">
        <f t="shared" si="232"/>
        <v/>
      </c>
      <c r="AB769" s="218"/>
      <c r="AC769" s="205"/>
    </row>
    <row r="770" spans="1:29">
      <c r="A770" s="219" t="str">
        <f t="shared" si="233"/>
        <v/>
      </c>
      <c r="B770" s="219"/>
      <c r="C770" s="184"/>
      <c r="D770" s="185"/>
      <c r="E770" s="185" t="str">
        <f>IF(OR(C770="",C770=Data!$B$3),"",IF(C770=Data!$B$2,"L","S"))</f>
        <v/>
      </c>
      <c r="F770" s="185" t="str">
        <f t="shared" si="234"/>
        <v/>
      </c>
      <c r="G770" s="186" t="str">
        <f t="shared" si="225"/>
        <v/>
      </c>
      <c r="H770" s="187"/>
      <c r="I770" s="188" t="str">
        <f t="shared" si="235"/>
        <v/>
      </c>
      <c r="J770" s="188" t="str">
        <f t="shared" si="236"/>
        <v/>
      </c>
      <c r="K770" s="189" t="str">
        <f t="shared" si="237"/>
        <v/>
      </c>
      <c r="L770" s="189" t="str">
        <f t="shared" si="238"/>
        <v/>
      </c>
      <c r="M770" s="190"/>
      <c r="N770" s="190"/>
      <c r="O770" s="188" t="str">
        <f t="shared" si="239"/>
        <v/>
      </c>
      <c r="P770" s="191" t="str">
        <f t="shared" si="226"/>
        <v/>
      </c>
      <c r="Q770" s="192" t="str">
        <f t="shared" si="240"/>
        <v/>
      </c>
      <c r="R770" s="191" t="str">
        <f t="shared" si="227"/>
        <v/>
      </c>
      <c r="S770" s="193" t="str">
        <f t="shared" si="241"/>
        <v/>
      </c>
      <c r="T770" s="194" t="str">
        <f t="shared" si="228"/>
        <v/>
      </c>
      <c r="U770" s="192" t="str">
        <f t="shared" si="242"/>
        <v/>
      </c>
      <c r="V770" s="195" t="str">
        <f t="shared" si="229"/>
        <v/>
      </c>
      <c r="W770" s="195" t="str">
        <f t="shared" si="230"/>
        <v/>
      </c>
      <c r="X770" s="196" t="str">
        <f t="shared" si="243"/>
        <v/>
      </c>
      <c r="Y770" s="191" t="str">
        <f t="shared" si="244"/>
        <v/>
      </c>
      <c r="Z770" s="197" t="str">
        <f t="shared" si="231"/>
        <v/>
      </c>
      <c r="AA770" s="197" t="str">
        <f t="shared" si="232"/>
        <v/>
      </c>
      <c r="AB770" s="218"/>
      <c r="AC770" s="205"/>
    </row>
    <row r="771" spans="1:29">
      <c r="A771" s="219" t="str">
        <f t="shared" si="233"/>
        <v/>
      </c>
      <c r="B771" s="219"/>
      <c r="C771" s="184"/>
      <c r="D771" s="185"/>
      <c r="E771" s="185" t="str">
        <f>IF(OR(C771="",C771=Data!$B$3),"",IF(C771=Data!$B$2,"L","S"))</f>
        <v/>
      </c>
      <c r="F771" s="185" t="str">
        <f t="shared" si="234"/>
        <v/>
      </c>
      <c r="G771" s="186" t="str">
        <f t="shared" si="225"/>
        <v/>
      </c>
      <c r="H771" s="187"/>
      <c r="I771" s="188" t="str">
        <f t="shared" si="235"/>
        <v/>
      </c>
      <c r="J771" s="188" t="str">
        <f t="shared" si="236"/>
        <v/>
      </c>
      <c r="K771" s="189" t="str">
        <f t="shared" si="237"/>
        <v/>
      </c>
      <c r="L771" s="189" t="str">
        <f t="shared" si="238"/>
        <v/>
      </c>
      <c r="M771" s="190"/>
      <c r="N771" s="190"/>
      <c r="O771" s="188" t="str">
        <f t="shared" si="239"/>
        <v/>
      </c>
      <c r="P771" s="191" t="str">
        <f t="shared" si="226"/>
        <v/>
      </c>
      <c r="Q771" s="192" t="str">
        <f t="shared" si="240"/>
        <v/>
      </c>
      <c r="R771" s="191" t="str">
        <f t="shared" si="227"/>
        <v/>
      </c>
      <c r="S771" s="193" t="str">
        <f t="shared" si="241"/>
        <v/>
      </c>
      <c r="T771" s="194" t="str">
        <f t="shared" si="228"/>
        <v/>
      </c>
      <c r="U771" s="192" t="str">
        <f t="shared" si="242"/>
        <v/>
      </c>
      <c r="V771" s="195" t="str">
        <f t="shared" si="229"/>
        <v/>
      </c>
      <c r="W771" s="195" t="str">
        <f t="shared" si="230"/>
        <v/>
      </c>
      <c r="X771" s="196" t="str">
        <f t="shared" si="243"/>
        <v/>
      </c>
      <c r="Y771" s="191" t="str">
        <f t="shared" si="244"/>
        <v/>
      </c>
      <c r="Z771" s="197" t="str">
        <f t="shared" si="231"/>
        <v/>
      </c>
      <c r="AA771" s="197" t="str">
        <f t="shared" si="232"/>
        <v/>
      </c>
      <c r="AB771" s="218"/>
      <c r="AC771" s="205"/>
    </row>
    <row r="772" spans="1:29">
      <c r="A772" s="219" t="str">
        <f t="shared" si="233"/>
        <v/>
      </c>
      <c r="B772" s="219"/>
      <c r="C772" s="184"/>
      <c r="D772" s="185"/>
      <c r="E772" s="185" t="str">
        <f>IF(OR(C772="",C772=Data!$B$3),"",IF(C772=Data!$B$2,"L","S"))</f>
        <v/>
      </c>
      <c r="F772" s="185" t="str">
        <f t="shared" si="234"/>
        <v/>
      </c>
      <c r="G772" s="186" t="str">
        <f t="shared" si="225"/>
        <v/>
      </c>
      <c r="H772" s="187"/>
      <c r="I772" s="188" t="str">
        <f t="shared" si="235"/>
        <v/>
      </c>
      <c r="J772" s="188" t="str">
        <f t="shared" si="236"/>
        <v/>
      </c>
      <c r="K772" s="189" t="str">
        <f t="shared" si="237"/>
        <v/>
      </c>
      <c r="L772" s="189" t="str">
        <f t="shared" si="238"/>
        <v/>
      </c>
      <c r="M772" s="190"/>
      <c r="N772" s="190"/>
      <c r="O772" s="188" t="str">
        <f t="shared" si="239"/>
        <v/>
      </c>
      <c r="P772" s="191" t="str">
        <f t="shared" si="226"/>
        <v/>
      </c>
      <c r="Q772" s="192" t="str">
        <f t="shared" si="240"/>
        <v/>
      </c>
      <c r="R772" s="191" t="str">
        <f t="shared" si="227"/>
        <v/>
      </c>
      <c r="S772" s="193" t="str">
        <f t="shared" si="241"/>
        <v/>
      </c>
      <c r="T772" s="194" t="str">
        <f t="shared" si="228"/>
        <v/>
      </c>
      <c r="U772" s="192" t="str">
        <f t="shared" si="242"/>
        <v/>
      </c>
      <c r="V772" s="195" t="str">
        <f t="shared" si="229"/>
        <v/>
      </c>
      <c r="W772" s="195" t="str">
        <f t="shared" si="230"/>
        <v/>
      </c>
      <c r="X772" s="196" t="str">
        <f t="shared" si="243"/>
        <v/>
      </c>
      <c r="Y772" s="191" t="str">
        <f t="shared" si="244"/>
        <v/>
      </c>
      <c r="Z772" s="197" t="str">
        <f t="shared" si="231"/>
        <v/>
      </c>
      <c r="AA772" s="197" t="str">
        <f t="shared" si="232"/>
        <v/>
      </c>
      <c r="AB772" s="218"/>
      <c r="AC772" s="205"/>
    </row>
    <row r="773" spans="1:29">
      <c r="A773" s="219" t="str">
        <f t="shared" si="233"/>
        <v/>
      </c>
      <c r="B773" s="219"/>
      <c r="C773" s="184"/>
      <c r="D773" s="185"/>
      <c r="E773" s="185" t="str">
        <f>IF(OR(C773="",C773=Data!$B$3),"",IF(C773=Data!$B$2,"L","S"))</f>
        <v/>
      </c>
      <c r="F773" s="185" t="str">
        <f t="shared" si="234"/>
        <v/>
      </c>
      <c r="G773" s="186" t="str">
        <f t="shared" si="225"/>
        <v/>
      </c>
      <c r="H773" s="187"/>
      <c r="I773" s="188" t="str">
        <f t="shared" si="235"/>
        <v/>
      </c>
      <c r="J773" s="188" t="str">
        <f t="shared" si="236"/>
        <v/>
      </c>
      <c r="K773" s="189" t="str">
        <f t="shared" si="237"/>
        <v/>
      </c>
      <c r="L773" s="189" t="str">
        <f t="shared" si="238"/>
        <v/>
      </c>
      <c r="M773" s="190"/>
      <c r="N773" s="190"/>
      <c r="O773" s="188" t="str">
        <f t="shared" si="239"/>
        <v/>
      </c>
      <c r="P773" s="191" t="str">
        <f t="shared" si="226"/>
        <v/>
      </c>
      <c r="Q773" s="192" t="str">
        <f t="shared" si="240"/>
        <v/>
      </c>
      <c r="R773" s="191" t="str">
        <f t="shared" si="227"/>
        <v/>
      </c>
      <c r="S773" s="193" t="str">
        <f t="shared" si="241"/>
        <v/>
      </c>
      <c r="T773" s="194" t="str">
        <f t="shared" si="228"/>
        <v/>
      </c>
      <c r="U773" s="192" t="str">
        <f t="shared" si="242"/>
        <v/>
      </c>
      <c r="V773" s="195" t="str">
        <f t="shared" si="229"/>
        <v/>
      </c>
      <c r="W773" s="195" t="str">
        <f t="shared" si="230"/>
        <v/>
      </c>
      <c r="X773" s="196" t="str">
        <f t="shared" si="243"/>
        <v/>
      </c>
      <c r="Y773" s="191" t="str">
        <f t="shared" si="244"/>
        <v/>
      </c>
      <c r="Z773" s="197" t="str">
        <f t="shared" si="231"/>
        <v/>
      </c>
      <c r="AA773" s="197" t="str">
        <f t="shared" si="232"/>
        <v/>
      </c>
      <c r="AB773" s="218"/>
      <c r="AC773" s="205"/>
    </row>
    <row r="774" spans="1:29">
      <c r="A774" s="219" t="str">
        <f t="shared" si="233"/>
        <v/>
      </c>
      <c r="B774" s="219"/>
      <c r="C774" s="184"/>
      <c r="D774" s="185"/>
      <c r="E774" s="185" t="str">
        <f>IF(OR(C774="",C774=Data!$B$3),"",IF(C774=Data!$B$2,"L","S"))</f>
        <v/>
      </c>
      <c r="F774" s="185" t="str">
        <f t="shared" si="234"/>
        <v/>
      </c>
      <c r="G774" s="186" t="str">
        <f t="shared" si="225"/>
        <v/>
      </c>
      <c r="H774" s="187"/>
      <c r="I774" s="188" t="str">
        <f t="shared" si="235"/>
        <v/>
      </c>
      <c r="J774" s="188" t="str">
        <f t="shared" si="236"/>
        <v/>
      </c>
      <c r="K774" s="189" t="str">
        <f t="shared" si="237"/>
        <v/>
      </c>
      <c r="L774" s="189" t="str">
        <f t="shared" si="238"/>
        <v/>
      </c>
      <c r="M774" s="190"/>
      <c r="N774" s="190"/>
      <c r="O774" s="188" t="str">
        <f t="shared" si="239"/>
        <v/>
      </c>
      <c r="P774" s="191" t="str">
        <f t="shared" si="226"/>
        <v/>
      </c>
      <c r="Q774" s="192" t="str">
        <f t="shared" si="240"/>
        <v/>
      </c>
      <c r="R774" s="191" t="str">
        <f t="shared" si="227"/>
        <v/>
      </c>
      <c r="S774" s="193" t="str">
        <f t="shared" si="241"/>
        <v/>
      </c>
      <c r="T774" s="194" t="str">
        <f t="shared" si="228"/>
        <v/>
      </c>
      <c r="U774" s="192" t="str">
        <f t="shared" si="242"/>
        <v/>
      </c>
      <c r="V774" s="195" t="str">
        <f t="shared" si="229"/>
        <v/>
      </c>
      <c r="W774" s="195" t="str">
        <f t="shared" si="230"/>
        <v/>
      </c>
      <c r="X774" s="196" t="str">
        <f t="shared" si="243"/>
        <v/>
      </c>
      <c r="Y774" s="191" t="str">
        <f t="shared" si="244"/>
        <v/>
      </c>
      <c r="Z774" s="197" t="str">
        <f t="shared" si="231"/>
        <v/>
      </c>
      <c r="AA774" s="197" t="str">
        <f t="shared" si="232"/>
        <v/>
      </c>
      <c r="AB774" s="218"/>
      <c r="AC774" s="205"/>
    </row>
    <row r="775" spans="1:29">
      <c r="A775" s="219" t="str">
        <f t="shared" si="233"/>
        <v/>
      </c>
      <c r="B775" s="219"/>
      <c r="C775" s="184"/>
      <c r="D775" s="185"/>
      <c r="E775" s="185" t="str">
        <f>IF(OR(C775="",C775=Data!$B$3),"",IF(C775=Data!$B$2,"L","S"))</f>
        <v/>
      </c>
      <c r="F775" s="185" t="str">
        <f t="shared" si="234"/>
        <v/>
      </c>
      <c r="G775" s="186" t="str">
        <f t="shared" si="225"/>
        <v/>
      </c>
      <c r="H775" s="187"/>
      <c r="I775" s="188" t="str">
        <f t="shared" si="235"/>
        <v/>
      </c>
      <c r="J775" s="188" t="str">
        <f t="shared" si="236"/>
        <v/>
      </c>
      <c r="K775" s="189" t="str">
        <f t="shared" si="237"/>
        <v/>
      </c>
      <c r="L775" s="189" t="str">
        <f t="shared" si="238"/>
        <v/>
      </c>
      <c r="M775" s="190"/>
      <c r="N775" s="190"/>
      <c r="O775" s="188" t="str">
        <f t="shared" si="239"/>
        <v/>
      </c>
      <c r="P775" s="191" t="str">
        <f t="shared" si="226"/>
        <v/>
      </c>
      <c r="Q775" s="192" t="str">
        <f t="shared" si="240"/>
        <v/>
      </c>
      <c r="R775" s="191" t="str">
        <f t="shared" si="227"/>
        <v/>
      </c>
      <c r="S775" s="193" t="str">
        <f t="shared" si="241"/>
        <v/>
      </c>
      <c r="T775" s="194" t="str">
        <f t="shared" si="228"/>
        <v/>
      </c>
      <c r="U775" s="192" t="str">
        <f t="shared" si="242"/>
        <v/>
      </c>
      <c r="V775" s="195" t="str">
        <f t="shared" si="229"/>
        <v/>
      </c>
      <c r="W775" s="195" t="str">
        <f t="shared" si="230"/>
        <v/>
      </c>
      <c r="X775" s="196" t="str">
        <f t="shared" si="243"/>
        <v/>
      </c>
      <c r="Y775" s="191" t="str">
        <f t="shared" si="244"/>
        <v/>
      </c>
      <c r="Z775" s="197" t="str">
        <f t="shared" si="231"/>
        <v/>
      </c>
      <c r="AA775" s="197" t="str">
        <f t="shared" si="232"/>
        <v/>
      </c>
      <c r="AB775" s="218"/>
      <c r="AC775" s="205"/>
    </row>
    <row r="776" spans="1:29">
      <c r="A776" s="219" t="str">
        <f t="shared" si="233"/>
        <v/>
      </c>
      <c r="B776" s="219"/>
      <c r="C776" s="184"/>
      <c r="D776" s="185"/>
      <c r="E776" s="185" t="str">
        <f>IF(OR(C776="",C776=Data!$B$3),"",IF(C776=Data!$B$2,"L","S"))</f>
        <v/>
      </c>
      <c r="F776" s="185" t="str">
        <f t="shared" si="234"/>
        <v/>
      </c>
      <c r="G776" s="186" t="str">
        <f t="shared" si="225"/>
        <v/>
      </c>
      <c r="H776" s="187"/>
      <c r="I776" s="188" t="str">
        <f t="shared" si="235"/>
        <v/>
      </c>
      <c r="J776" s="188" t="str">
        <f t="shared" si="236"/>
        <v/>
      </c>
      <c r="K776" s="189" t="str">
        <f t="shared" si="237"/>
        <v/>
      </c>
      <c r="L776" s="189" t="str">
        <f t="shared" si="238"/>
        <v/>
      </c>
      <c r="M776" s="190"/>
      <c r="N776" s="190"/>
      <c r="O776" s="188" t="str">
        <f t="shared" si="239"/>
        <v/>
      </c>
      <c r="P776" s="191" t="str">
        <f t="shared" si="226"/>
        <v/>
      </c>
      <c r="Q776" s="192" t="str">
        <f t="shared" si="240"/>
        <v/>
      </c>
      <c r="R776" s="191" t="str">
        <f t="shared" si="227"/>
        <v/>
      </c>
      <c r="S776" s="193" t="str">
        <f t="shared" si="241"/>
        <v/>
      </c>
      <c r="T776" s="194" t="str">
        <f t="shared" si="228"/>
        <v/>
      </c>
      <c r="U776" s="192" t="str">
        <f t="shared" si="242"/>
        <v/>
      </c>
      <c r="V776" s="195" t="str">
        <f t="shared" si="229"/>
        <v/>
      </c>
      <c r="W776" s="195" t="str">
        <f t="shared" si="230"/>
        <v/>
      </c>
      <c r="X776" s="196" t="str">
        <f t="shared" si="243"/>
        <v/>
      </c>
      <c r="Y776" s="191" t="str">
        <f t="shared" si="244"/>
        <v/>
      </c>
      <c r="Z776" s="197" t="str">
        <f t="shared" si="231"/>
        <v/>
      </c>
      <c r="AA776" s="197" t="str">
        <f t="shared" si="232"/>
        <v/>
      </c>
      <c r="AB776" s="218"/>
      <c r="AC776" s="205"/>
    </row>
    <row r="777" spans="1:29">
      <c r="A777" s="219" t="str">
        <f t="shared" si="233"/>
        <v/>
      </c>
      <c r="B777" s="219"/>
      <c r="C777" s="184"/>
      <c r="D777" s="185"/>
      <c r="E777" s="185" t="str">
        <f>IF(OR(C777="",C777=Data!$B$3),"",IF(C777=Data!$B$2,"L","S"))</f>
        <v/>
      </c>
      <c r="F777" s="185" t="str">
        <f t="shared" si="234"/>
        <v/>
      </c>
      <c r="G777" s="186" t="str">
        <f t="shared" si="225"/>
        <v/>
      </c>
      <c r="H777" s="187"/>
      <c r="I777" s="188" t="str">
        <f t="shared" si="235"/>
        <v/>
      </c>
      <c r="J777" s="188" t="str">
        <f t="shared" si="236"/>
        <v/>
      </c>
      <c r="K777" s="189" t="str">
        <f t="shared" si="237"/>
        <v/>
      </c>
      <c r="L777" s="189" t="str">
        <f t="shared" si="238"/>
        <v/>
      </c>
      <c r="M777" s="190"/>
      <c r="N777" s="190"/>
      <c r="O777" s="188" t="str">
        <f t="shared" si="239"/>
        <v/>
      </c>
      <c r="P777" s="191" t="str">
        <f t="shared" si="226"/>
        <v/>
      </c>
      <c r="Q777" s="192" t="str">
        <f t="shared" si="240"/>
        <v/>
      </c>
      <c r="R777" s="191" t="str">
        <f t="shared" si="227"/>
        <v/>
      </c>
      <c r="S777" s="193" t="str">
        <f t="shared" si="241"/>
        <v/>
      </c>
      <c r="T777" s="194" t="str">
        <f t="shared" si="228"/>
        <v/>
      </c>
      <c r="U777" s="192" t="str">
        <f t="shared" si="242"/>
        <v/>
      </c>
      <c r="V777" s="195" t="str">
        <f t="shared" si="229"/>
        <v/>
      </c>
      <c r="W777" s="195" t="str">
        <f t="shared" si="230"/>
        <v/>
      </c>
      <c r="X777" s="196" t="str">
        <f t="shared" si="243"/>
        <v/>
      </c>
      <c r="Y777" s="191" t="str">
        <f t="shared" si="244"/>
        <v/>
      </c>
      <c r="Z777" s="197" t="str">
        <f t="shared" si="231"/>
        <v/>
      </c>
      <c r="AA777" s="197" t="str">
        <f t="shared" si="232"/>
        <v/>
      </c>
      <c r="AB777" s="218"/>
      <c r="AC777" s="205"/>
    </row>
    <row r="778" spans="1:29">
      <c r="A778" s="219" t="str">
        <f t="shared" si="233"/>
        <v/>
      </c>
      <c r="B778" s="219"/>
      <c r="C778" s="184"/>
      <c r="D778" s="185"/>
      <c r="E778" s="185" t="str">
        <f>IF(OR(C778="",C778=Data!$B$3),"",IF(C778=Data!$B$2,"L","S"))</f>
        <v/>
      </c>
      <c r="F778" s="185" t="str">
        <f t="shared" si="234"/>
        <v/>
      </c>
      <c r="G778" s="186" t="str">
        <f t="shared" si="225"/>
        <v/>
      </c>
      <c r="H778" s="187"/>
      <c r="I778" s="188" t="str">
        <f t="shared" si="235"/>
        <v/>
      </c>
      <c r="J778" s="188" t="str">
        <f t="shared" si="236"/>
        <v/>
      </c>
      <c r="K778" s="189" t="str">
        <f t="shared" si="237"/>
        <v/>
      </c>
      <c r="L778" s="189" t="str">
        <f t="shared" si="238"/>
        <v/>
      </c>
      <c r="M778" s="190"/>
      <c r="N778" s="190"/>
      <c r="O778" s="188" t="str">
        <f t="shared" si="239"/>
        <v/>
      </c>
      <c r="P778" s="191" t="str">
        <f t="shared" si="226"/>
        <v/>
      </c>
      <c r="Q778" s="192" t="str">
        <f t="shared" si="240"/>
        <v/>
      </c>
      <c r="R778" s="191" t="str">
        <f t="shared" si="227"/>
        <v/>
      </c>
      <c r="S778" s="193" t="str">
        <f t="shared" si="241"/>
        <v/>
      </c>
      <c r="T778" s="194" t="str">
        <f t="shared" si="228"/>
        <v/>
      </c>
      <c r="U778" s="192" t="str">
        <f t="shared" si="242"/>
        <v/>
      </c>
      <c r="V778" s="195" t="str">
        <f t="shared" si="229"/>
        <v/>
      </c>
      <c r="W778" s="195" t="str">
        <f t="shared" si="230"/>
        <v/>
      </c>
      <c r="X778" s="196" t="str">
        <f t="shared" si="243"/>
        <v/>
      </c>
      <c r="Y778" s="191" t="str">
        <f t="shared" si="244"/>
        <v/>
      </c>
      <c r="Z778" s="197" t="str">
        <f t="shared" si="231"/>
        <v/>
      </c>
      <c r="AA778" s="197" t="str">
        <f t="shared" si="232"/>
        <v/>
      </c>
      <c r="AB778" s="218"/>
      <c r="AC778" s="205"/>
    </row>
    <row r="779" spans="1:29">
      <c r="A779" s="219" t="str">
        <f t="shared" si="233"/>
        <v/>
      </c>
      <c r="B779" s="219"/>
      <c r="C779" s="184"/>
      <c r="D779" s="185"/>
      <c r="E779" s="185" t="str">
        <f>IF(OR(C779="",C779=Data!$B$3),"",IF(C779=Data!$B$2,"L","S"))</f>
        <v/>
      </c>
      <c r="F779" s="185" t="str">
        <f t="shared" si="234"/>
        <v/>
      </c>
      <c r="G779" s="186" t="str">
        <f t="shared" si="225"/>
        <v/>
      </c>
      <c r="H779" s="187"/>
      <c r="I779" s="188" t="str">
        <f t="shared" si="235"/>
        <v/>
      </c>
      <c r="J779" s="188" t="str">
        <f t="shared" si="236"/>
        <v/>
      </c>
      <c r="K779" s="189" t="str">
        <f t="shared" si="237"/>
        <v/>
      </c>
      <c r="L779" s="189" t="str">
        <f t="shared" si="238"/>
        <v/>
      </c>
      <c r="M779" s="190"/>
      <c r="N779" s="190"/>
      <c r="O779" s="188" t="str">
        <f t="shared" si="239"/>
        <v/>
      </c>
      <c r="P779" s="191" t="str">
        <f t="shared" si="226"/>
        <v/>
      </c>
      <c r="Q779" s="192" t="str">
        <f t="shared" si="240"/>
        <v/>
      </c>
      <c r="R779" s="191" t="str">
        <f t="shared" si="227"/>
        <v/>
      </c>
      <c r="S779" s="193" t="str">
        <f t="shared" si="241"/>
        <v/>
      </c>
      <c r="T779" s="194" t="str">
        <f t="shared" si="228"/>
        <v/>
      </c>
      <c r="U779" s="192" t="str">
        <f t="shared" si="242"/>
        <v/>
      </c>
      <c r="V779" s="195" t="str">
        <f t="shared" si="229"/>
        <v/>
      </c>
      <c r="W779" s="195" t="str">
        <f t="shared" si="230"/>
        <v/>
      </c>
      <c r="X779" s="196" t="str">
        <f t="shared" si="243"/>
        <v/>
      </c>
      <c r="Y779" s="191" t="str">
        <f t="shared" si="244"/>
        <v/>
      </c>
      <c r="Z779" s="197" t="str">
        <f t="shared" si="231"/>
        <v/>
      </c>
      <c r="AA779" s="197" t="str">
        <f t="shared" si="232"/>
        <v/>
      </c>
      <c r="AB779" s="218"/>
      <c r="AC779" s="205"/>
    </row>
    <row r="780" spans="1:29">
      <c r="A780" s="219" t="str">
        <f t="shared" si="233"/>
        <v/>
      </c>
      <c r="B780" s="219"/>
      <c r="C780" s="184"/>
      <c r="D780" s="185"/>
      <c r="E780" s="185" t="str">
        <f>IF(OR(C780="",C780=Data!$B$3),"",IF(C780=Data!$B$2,"L","S"))</f>
        <v/>
      </c>
      <c r="F780" s="185" t="str">
        <f t="shared" si="234"/>
        <v/>
      </c>
      <c r="G780" s="186" t="str">
        <f t="shared" ref="G780:G843" si="245">IF(A780="","",$D$3)</f>
        <v/>
      </c>
      <c r="H780" s="187"/>
      <c r="I780" s="188" t="str">
        <f t="shared" si="235"/>
        <v/>
      </c>
      <c r="J780" s="188" t="str">
        <f t="shared" si="236"/>
        <v/>
      </c>
      <c r="K780" s="189" t="str">
        <f t="shared" si="237"/>
        <v/>
      </c>
      <c r="L780" s="189" t="str">
        <f t="shared" si="238"/>
        <v/>
      </c>
      <c r="M780" s="190"/>
      <c r="N780" s="190"/>
      <c r="O780" s="188" t="str">
        <f t="shared" si="239"/>
        <v/>
      </c>
      <c r="P780" s="191" t="str">
        <f t="shared" ref="P780:P843" si="246">IF(O780="","",IF(L780*F780*G780=0,0,L780*F780*G780))</f>
        <v/>
      </c>
      <c r="Q780" s="192" t="str">
        <f t="shared" si="240"/>
        <v/>
      </c>
      <c r="R780" s="191" t="str">
        <f t="shared" ref="R780:R843" si="247">IF(O780&lt;&gt;"",IF(K780*F780*G780=0,"",K780*F780*G780),"")</f>
        <v/>
      </c>
      <c r="S780" s="193" t="str">
        <f t="shared" si="241"/>
        <v/>
      </c>
      <c r="T780" s="194" t="str">
        <f t="shared" ref="T780:T843" si="248">IF(X780="","",X780*F780*G780)</f>
        <v/>
      </c>
      <c r="U780" s="192" t="str">
        <f t="shared" si="242"/>
        <v/>
      </c>
      <c r="V780" s="195" t="str">
        <f t="shared" ref="V780:V843" si="249">IF(O780="","",IF(AND(O780&gt;I780,E780="L"),1, IF(AND(I780&gt;O780,E780="S"),1,0)))</f>
        <v/>
      </c>
      <c r="W780" s="195" t="str">
        <f t="shared" ref="W780:W843" si="250">IF(O780="","",IF(AND(O780&lt;I780,E780="L"),1, IF(AND(I780&lt;O780,E780="S"),1,0)))</f>
        <v/>
      </c>
      <c r="X780" s="196" t="str">
        <f t="shared" si="243"/>
        <v/>
      </c>
      <c r="Y780" s="191" t="str">
        <f t="shared" si="244"/>
        <v/>
      </c>
      <c r="Z780" s="197" t="str">
        <f t="shared" ref="Z780:Z843" si="251">IF(M780="","",MONTH(M780))</f>
        <v/>
      </c>
      <c r="AA780" s="197" t="str">
        <f t="shared" ref="AA780:AA843" si="252">IF(M780="","",YEAR(M780))</f>
        <v/>
      </c>
      <c r="AB780" s="218"/>
      <c r="AC780" s="205"/>
    </row>
    <row r="781" spans="1:29">
      <c r="A781" s="219" t="str">
        <f t="shared" ref="A781:A844" si="253">IF(C781="","",1)</f>
        <v/>
      </c>
      <c r="B781" s="219"/>
      <c r="C781" s="184"/>
      <c r="D781" s="185"/>
      <c r="E781" s="185" t="str">
        <f>IF(OR(C781="",C781=Data!$B$3),"",IF(C781=Data!$B$2,"L","S"))</f>
        <v/>
      </c>
      <c r="F781" s="185" t="str">
        <f t="shared" ref="F781:F844" si="254">IF(A781&lt;&gt;"",$D$2,"")</f>
        <v/>
      </c>
      <c r="G781" s="186" t="str">
        <f t="shared" si="245"/>
        <v/>
      </c>
      <c r="H781" s="187"/>
      <c r="I781" s="188" t="str">
        <f t="shared" ref="I781:I844" si="255">IF(H781="","",IF(E781="L",H781+$D$4*0.0001,H781-$D$4*0.0001))</f>
        <v/>
      </c>
      <c r="J781" s="188" t="str">
        <f t="shared" ref="J781:J844" si="256">IF(AND(H781&lt;&gt;"",I781&lt;&gt;""),IF(E781="L",I781+(I781-H781)*3,I781-(H781-I781)*3),"")</f>
        <v/>
      </c>
      <c r="K781" s="189" t="str">
        <f t="shared" ref="K781:K844" si="257">IF(AND(E781&lt;&gt;"",AND(I781&lt;&gt;"",J781&lt;&gt;"")),IF(E781="L",(J781-I781)*IF(I781&gt;10,IF(SEARCH("JPY",D781),10,100),10000),(I781-J781)*IF(I781&gt;10,IF(SEARCH("JPY",D781),10,100),10000)),"")</f>
        <v/>
      </c>
      <c r="L781" s="189" t="str">
        <f t="shared" ref="L781:L844" si="258">IF(AND(E781&lt;&gt;"",AND(H781&lt;&gt;"",I781&lt;&gt;"")),IF(E781="L",(I781-H781)*IF(I781&gt;10,IF(SEARCH("JPY",D781),10,100),10000),(H781-I781)*IF(I781&gt;10,IF(SEARCH("JPY",D781),10,100),10000)),"")</f>
        <v/>
      </c>
      <c r="M781" s="190"/>
      <c r="N781" s="190"/>
      <c r="O781" s="188" t="str">
        <f t="shared" ref="O781:O844" si="259">J781</f>
        <v/>
      </c>
      <c r="P781" s="191" t="str">
        <f t="shared" si="246"/>
        <v/>
      </c>
      <c r="Q781" s="192" t="str">
        <f t="shared" ref="Q781:Q844" si="260">IF(P781="","",IF(P781=0,0,P781/$I$4))</f>
        <v/>
      </c>
      <c r="R781" s="191" t="str">
        <f t="shared" si="247"/>
        <v/>
      </c>
      <c r="S781" s="193" t="str">
        <f t="shared" ref="S781:S844" si="261">IF(P781="","",IF(P781=0,0,R781/P781))</f>
        <v/>
      </c>
      <c r="T781" s="194" t="str">
        <f t="shared" si="248"/>
        <v/>
      </c>
      <c r="U781" s="192" t="str">
        <f t="shared" ref="U781:U844" si="262">IF(T781="","",IF($I$4="","",T781/$I$4))</f>
        <v/>
      </c>
      <c r="V781" s="195" t="str">
        <f t="shared" si="249"/>
        <v/>
      </c>
      <c r="W781" s="195" t="str">
        <f t="shared" si="250"/>
        <v/>
      </c>
      <c r="X781" s="196" t="str">
        <f t="shared" ref="X781:X844" si="263">IF((O781=""),"",IF(E781="L",1,-1)*(O781-I781)*IF(O781&gt;10,IF(SEARCH("JPY",D781),10,100),10000))</f>
        <v/>
      </c>
      <c r="Y781" s="191" t="str">
        <f t="shared" si="244"/>
        <v/>
      </c>
      <c r="Z781" s="197" t="str">
        <f t="shared" si="251"/>
        <v/>
      </c>
      <c r="AA781" s="197" t="str">
        <f t="shared" si="252"/>
        <v/>
      </c>
      <c r="AB781" s="218"/>
      <c r="AC781" s="205"/>
    </row>
    <row r="782" spans="1:29">
      <c r="A782" s="219" t="str">
        <f t="shared" si="253"/>
        <v/>
      </c>
      <c r="B782" s="219"/>
      <c r="C782" s="184"/>
      <c r="D782" s="185"/>
      <c r="E782" s="185" t="str">
        <f>IF(OR(C782="",C782=Data!$B$3),"",IF(C782=Data!$B$2,"L","S"))</f>
        <v/>
      </c>
      <c r="F782" s="185" t="str">
        <f t="shared" si="254"/>
        <v/>
      </c>
      <c r="G782" s="186" t="str">
        <f t="shared" si="245"/>
        <v/>
      </c>
      <c r="H782" s="187"/>
      <c r="I782" s="188" t="str">
        <f t="shared" si="255"/>
        <v/>
      </c>
      <c r="J782" s="188" t="str">
        <f t="shared" si="256"/>
        <v/>
      </c>
      <c r="K782" s="189" t="str">
        <f t="shared" si="257"/>
        <v/>
      </c>
      <c r="L782" s="189" t="str">
        <f t="shared" si="258"/>
        <v/>
      </c>
      <c r="M782" s="190"/>
      <c r="N782" s="190"/>
      <c r="O782" s="188" t="str">
        <f t="shared" si="259"/>
        <v/>
      </c>
      <c r="P782" s="191" t="str">
        <f t="shared" si="246"/>
        <v/>
      </c>
      <c r="Q782" s="192" t="str">
        <f t="shared" si="260"/>
        <v/>
      </c>
      <c r="R782" s="191" t="str">
        <f t="shared" si="247"/>
        <v/>
      </c>
      <c r="S782" s="193" t="str">
        <f t="shared" si="261"/>
        <v/>
      </c>
      <c r="T782" s="194" t="str">
        <f t="shared" si="248"/>
        <v/>
      </c>
      <c r="U782" s="192" t="str">
        <f t="shared" si="262"/>
        <v/>
      </c>
      <c r="V782" s="195" t="str">
        <f t="shared" si="249"/>
        <v/>
      </c>
      <c r="W782" s="195" t="str">
        <f t="shared" si="250"/>
        <v/>
      </c>
      <c r="X782" s="196" t="str">
        <f t="shared" si="263"/>
        <v/>
      </c>
      <c r="Y782" s="191" t="str">
        <f t="shared" si="244"/>
        <v/>
      </c>
      <c r="Z782" s="197" t="str">
        <f t="shared" si="251"/>
        <v/>
      </c>
      <c r="AA782" s="197" t="str">
        <f t="shared" si="252"/>
        <v/>
      </c>
      <c r="AB782" s="218"/>
      <c r="AC782" s="205"/>
    </row>
    <row r="783" spans="1:29">
      <c r="A783" s="219" t="str">
        <f t="shared" si="253"/>
        <v/>
      </c>
      <c r="B783" s="219"/>
      <c r="C783" s="184"/>
      <c r="D783" s="185"/>
      <c r="E783" s="185" t="str">
        <f>IF(OR(C783="",C783=Data!$B$3),"",IF(C783=Data!$B$2,"L","S"))</f>
        <v/>
      </c>
      <c r="F783" s="185" t="str">
        <f t="shared" si="254"/>
        <v/>
      </c>
      <c r="G783" s="186" t="str">
        <f t="shared" si="245"/>
        <v/>
      </c>
      <c r="H783" s="187"/>
      <c r="I783" s="188" t="str">
        <f t="shared" si="255"/>
        <v/>
      </c>
      <c r="J783" s="188" t="str">
        <f t="shared" si="256"/>
        <v/>
      </c>
      <c r="K783" s="189" t="str">
        <f t="shared" si="257"/>
        <v/>
      </c>
      <c r="L783" s="189" t="str">
        <f t="shared" si="258"/>
        <v/>
      </c>
      <c r="M783" s="190"/>
      <c r="N783" s="190"/>
      <c r="O783" s="188" t="str">
        <f t="shared" si="259"/>
        <v/>
      </c>
      <c r="P783" s="191" t="str">
        <f t="shared" si="246"/>
        <v/>
      </c>
      <c r="Q783" s="192" t="str">
        <f t="shared" si="260"/>
        <v/>
      </c>
      <c r="R783" s="191" t="str">
        <f t="shared" si="247"/>
        <v/>
      </c>
      <c r="S783" s="193" t="str">
        <f t="shared" si="261"/>
        <v/>
      </c>
      <c r="T783" s="194" t="str">
        <f t="shared" si="248"/>
        <v/>
      </c>
      <c r="U783" s="192" t="str">
        <f t="shared" si="262"/>
        <v/>
      </c>
      <c r="V783" s="195" t="str">
        <f t="shared" si="249"/>
        <v/>
      </c>
      <c r="W783" s="195" t="str">
        <f t="shared" si="250"/>
        <v/>
      </c>
      <c r="X783" s="196" t="str">
        <f t="shared" si="263"/>
        <v/>
      </c>
      <c r="Y783" s="191" t="str">
        <f t="shared" si="244"/>
        <v/>
      </c>
      <c r="Z783" s="197" t="str">
        <f t="shared" si="251"/>
        <v/>
      </c>
      <c r="AA783" s="197" t="str">
        <f t="shared" si="252"/>
        <v/>
      </c>
      <c r="AB783" s="218"/>
      <c r="AC783" s="205"/>
    </row>
    <row r="784" spans="1:29">
      <c r="A784" s="219" t="str">
        <f t="shared" si="253"/>
        <v/>
      </c>
      <c r="B784" s="219"/>
      <c r="C784" s="184"/>
      <c r="D784" s="185"/>
      <c r="E784" s="185" t="str">
        <f>IF(OR(C784="",C784=Data!$B$3),"",IF(C784=Data!$B$2,"L","S"))</f>
        <v/>
      </c>
      <c r="F784" s="185" t="str">
        <f t="shared" si="254"/>
        <v/>
      </c>
      <c r="G784" s="186" t="str">
        <f t="shared" si="245"/>
        <v/>
      </c>
      <c r="H784" s="187"/>
      <c r="I784" s="188" t="str">
        <f t="shared" si="255"/>
        <v/>
      </c>
      <c r="J784" s="188" t="str">
        <f t="shared" si="256"/>
        <v/>
      </c>
      <c r="K784" s="189" t="str">
        <f t="shared" si="257"/>
        <v/>
      </c>
      <c r="L784" s="189" t="str">
        <f t="shared" si="258"/>
        <v/>
      </c>
      <c r="M784" s="190"/>
      <c r="N784" s="190"/>
      <c r="O784" s="188" t="str">
        <f t="shared" si="259"/>
        <v/>
      </c>
      <c r="P784" s="191" t="str">
        <f t="shared" si="246"/>
        <v/>
      </c>
      <c r="Q784" s="192" t="str">
        <f t="shared" si="260"/>
        <v/>
      </c>
      <c r="R784" s="191" t="str">
        <f t="shared" si="247"/>
        <v/>
      </c>
      <c r="S784" s="193" t="str">
        <f t="shared" si="261"/>
        <v/>
      </c>
      <c r="T784" s="194" t="str">
        <f t="shared" si="248"/>
        <v/>
      </c>
      <c r="U784" s="192" t="str">
        <f t="shared" si="262"/>
        <v/>
      </c>
      <c r="V784" s="195" t="str">
        <f t="shared" si="249"/>
        <v/>
      </c>
      <c r="W784" s="195" t="str">
        <f t="shared" si="250"/>
        <v/>
      </c>
      <c r="X784" s="196" t="str">
        <f t="shared" si="263"/>
        <v/>
      </c>
      <c r="Y784" s="191" t="str">
        <f t="shared" si="244"/>
        <v/>
      </c>
      <c r="Z784" s="197" t="str">
        <f t="shared" si="251"/>
        <v/>
      </c>
      <c r="AA784" s="197" t="str">
        <f t="shared" si="252"/>
        <v/>
      </c>
      <c r="AB784" s="218"/>
      <c r="AC784" s="205"/>
    </row>
    <row r="785" spans="1:29">
      <c r="A785" s="219" t="str">
        <f t="shared" si="253"/>
        <v/>
      </c>
      <c r="B785" s="219"/>
      <c r="C785" s="184"/>
      <c r="D785" s="185"/>
      <c r="E785" s="185" t="str">
        <f>IF(OR(C785="",C785=Data!$B$3),"",IF(C785=Data!$B$2,"L","S"))</f>
        <v/>
      </c>
      <c r="F785" s="185" t="str">
        <f t="shared" si="254"/>
        <v/>
      </c>
      <c r="G785" s="186" t="str">
        <f t="shared" si="245"/>
        <v/>
      </c>
      <c r="H785" s="187"/>
      <c r="I785" s="188" t="str">
        <f t="shared" si="255"/>
        <v/>
      </c>
      <c r="J785" s="188" t="str">
        <f t="shared" si="256"/>
        <v/>
      </c>
      <c r="K785" s="189" t="str">
        <f t="shared" si="257"/>
        <v/>
      </c>
      <c r="L785" s="189" t="str">
        <f t="shared" si="258"/>
        <v/>
      </c>
      <c r="M785" s="190"/>
      <c r="N785" s="190"/>
      <c r="O785" s="188" t="str">
        <f t="shared" si="259"/>
        <v/>
      </c>
      <c r="P785" s="191" t="str">
        <f t="shared" si="246"/>
        <v/>
      </c>
      <c r="Q785" s="192" t="str">
        <f t="shared" si="260"/>
        <v/>
      </c>
      <c r="R785" s="191" t="str">
        <f t="shared" si="247"/>
        <v/>
      </c>
      <c r="S785" s="193" t="str">
        <f t="shared" si="261"/>
        <v/>
      </c>
      <c r="T785" s="194" t="str">
        <f t="shared" si="248"/>
        <v/>
      </c>
      <c r="U785" s="192" t="str">
        <f t="shared" si="262"/>
        <v/>
      </c>
      <c r="V785" s="195" t="str">
        <f t="shared" si="249"/>
        <v/>
      </c>
      <c r="W785" s="195" t="str">
        <f t="shared" si="250"/>
        <v/>
      </c>
      <c r="X785" s="196" t="str">
        <f t="shared" si="263"/>
        <v/>
      </c>
      <c r="Y785" s="191" t="str">
        <f t="shared" si="244"/>
        <v/>
      </c>
      <c r="Z785" s="197" t="str">
        <f t="shared" si="251"/>
        <v/>
      </c>
      <c r="AA785" s="197" t="str">
        <f t="shared" si="252"/>
        <v/>
      </c>
      <c r="AB785" s="218"/>
      <c r="AC785" s="205"/>
    </row>
    <row r="786" spans="1:29">
      <c r="A786" s="219" t="str">
        <f t="shared" si="253"/>
        <v/>
      </c>
      <c r="B786" s="219"/>
      <c r="C786" s="184"/>
      <c r="D786" s="185"/>
      <c r="E786" s="185" t="str">
        <f>IF(OR(C786="",C786=Data!$B$3),"",IF(C786=Data!$B$2,"L","S"))</f>
        <v/>
      </c>
      <c r="F786" s="185" t="str">
        <f t="shared" si="254"/>
        <v/>
      </c>
      <c r="G786" s="186" t="str">
        <f t="shared" si="245"/>
        <v/>
      </c>
      <c r="H786" s="187"/>
      <c r="I786" s="188" t="str">
        <f t="shared" si="255"/>
        <v/>
      </c>
      <c r="J786" s="188" t="str">
        <f t="shared" si="256"/>
        <v/>
      </c>
      <c r="K786" s="189" t="str">
        <f t="shared" si="257"/>
        <v/>
      </c>
      <c r="L786" s="189" t="str">
        <f t="shared" si="258"/>
        <v/>
      </c>
      <c r="M786" s="190"/>
      <c r="N786" s="190"/>
      <c r="O786" s="188" t="str">
        <f t="shared" si="259"/>
        <v/>
      </c>
      <c r="P786" s="191" t="str">
        <f t="shared" si="246"/>
        <v/>
      </c>
      <c r="Q786" s="192" t="str">
        <f t="shared" si="260"/>
        <v/>
      </c>
      <c r="R786" s="191" t="str">
        <f t="shared" si="247"/>
        <v/>
      </c>
      <c r="S786" s="193" t="str">
        <f t="shared" si="261"/>
        <v/>
      </c>
      <c r="T786" s="194" t="str">
        <f t="shared" si="248"/>
        <v/>
      </c>
      <c r="U786" s="192" t="str">
        <f t="shared" si="262"/>
        <v/>
      </c>
      <c r="V786" s="195" t="str">
        <f t="shared" si="249"/>
        <v/>
      </c>
      <c r="W786" s="195" t="str">
        <f t="shared" si="250"/>
        <v/>
      </c>
      <c r="X786" s="196" t="str">
        <f t="shared" si="263"/>
        <v/>
      </c>
      <c r="Y786" s="191" t="str">
        <f t="shared" si="244"/>
        <v/>
      </c>
      <c r="Z786" s="197" t="str">
        <f t="shared" si="251"/>
        <v/>
      </c>
      <c r="AA786" s="197" t="str">
        <f t="shared" si="252"/>
        <v/>
      </c>
      <c r="AB786" s="218"/>
      <c r="AC786" s="205"/>
    </row>
    <row r="787" spans="1:29">
      <c r="A787" s="219" t="str">
        <f t="shared" si="253"/>
        <v/>
      </c>
      <c r="B787" s="219"/>
      <c r="C787" s="184"/>
      <c r="D787" s="185"/>
      <c r="E787" s="185" t="str">
        <f>IF(OR(C787="",C787=Data!$B$3),"",IF(C787=Data!$B$2,"L","S"))</f>
        <v/>
      </c>
      <c r="F787" s="185" t="str">
        <f t="shared" si="254"/>
        <v/>
      </c>
      <c r="G787" s="186" t="str">
        <f t="shared" si="245"/>
        <v/>
      </c>
      <c r="H787" s="187"/>
      <c r="I787" s="188" t="str">
        <f t="shared" si="255"/>
        <v/>
      </c>
      <c r="J787" s="188" t="str">
        <f t="shared" si="256"/>
        <v/>
      </c>
      <c r="K787" s="189" t="str">
        <f t="shared" si="257"/>
        <v/>
      </c>
      <c r="L787" s="189" t="str">
        <f t="shared" si="258"/>
        <v/>
      </c>
      <c r="M787" s="190"/>
      <c r="N787" s="190"/>
      <c r="O787" s="188" t="str">
        <f t="shared" si="259"/>
        <v/>
      </c>
      <c r="P787" s="191" t="str">
        <f t="shared" si="246"/>
        <v/>
      </c>
      <c r="Q787" s="192" t="str">
        <f t="shared" si="260"/>
        <v/>
      </c>
      <c r="R787" s="191" t="str">
        <f t="shared" si="247"/>
        <v/>
      </c>
      <c r="S787" s="193" t="str">
        <f t="shared" si="261"/>
        <v/>
      </c>
      <c r="T787" s="194" t="str">
        <f t="shared" si="248"/>
        <v/>
      </c>
      <c r="U787" s="192" t="str">
        <f t="shared" si="262"/>
        <v/>
      </c>
      <c r="V787" s="195" t="str">
        <f t="shared" si="249"/>
        <v/>
      </c>
      <c r="W787" s="195" t="str">
        <f t="shared" si="250"/>
        <v/>
      </c>
      <c r="X787" s="196" t="str">
        <f t="shared" si="263"/>
        <v/>
      </c>
      <c r="Y787" s="191" t="str">
        <f t="shared" si="244"/>
        <v/>
      </c>
      <c r="Z787" s="197" t="str">
        <f t="shared" si="251"/>
        <v/>
      </c>
      <c r="AA787" s="197" t="str">
        <f t="shared" si="252"/>
        <v/>
      </c>
      <c r="AB787" s="218"/>
      <c r="AC787" s="205"/>
    </row>
    <row r="788" spans="1:29">
      <c r="A788" s="219" t="str">
        <f t="shared" si="253"/>
        <v/>
      </c>
      <c r="B788" s="219"/>
      <c r="C788" s="184"/>
      <c r="D788" s="185"/>
      <c r="E788" s="185" t="str">
        <f>IF(OR(C788="",C788=Data!$B$3),"",IF(C788=Data!$B$2,"L","S"))</f>
        <v/>
      </c>
      <c r="F788" s="185" t="str">
        <f t="shared" si="254"/>
        <v/>
      </c>
      <c r="G788" s="186" t="str">
        <f t="shared" si="245"/>
        <v/>
      </c>
      <c r="H788" s="187"/>
      <c r="I788" s="188" t="str">
        <f t="shared" si="255"/>
        <v/>
      </c>
      <c r="J788" s="188" t="str">
        <f t="shared" si="256"/>
        <v/>
      </c>
      <c r="K788" s="189" t="str">
        <f t="shared" si="257"/>
        <v/>
      </c>
      <c r="L788" s="189" t="str">
        <f t="shared" si="258"/>
        <v/>
      </c>
      <c r="M788" s="190"/>
      <c r="N788" s="190"/>
      <c r="O788" s="188" t="str">
        <f t="shared" si="259"/>
        <v/>
      </c>
      <c r="P788" s="191" t="str">
        <f t="shared" si="246"/>
        <v/>
      </c>
      <c r="Q788" s="192" t="str">
        <f t="shared" si="260"/>
        <v/>
      </c>
      <c r="R788" s="191" t="str">
        <f t="shared" si="247"/>
        <v/>
      </c>
      <c r="S788" s="193" t="str">
        <f t="shared" si="261"/>
        <v/>
      </c>
      <c r="T788" s="194" t="str">
        <f t="shared" si="248"/>
        <v/>
      </c>
      <c r="U788" s="192" t="str">
        <f t="shared" si="262"/>
        <v/>
      </c>
      <c r="V788" s="195" t="str">
        <f t="shared" si="249"/>
        <v/>
      </c>
      <c r="W788" s="195" t="str">
        <f t="shared" si="250"/>
        <v/>
      </c>
      <c r="X788" s="196" t="str">
        <f t="shared" si="263"/>
        <v/>
      </c>
      <c r="Y788" s="191" t="str">
        <f t="shared" ref="Y788:Y851" si="264">IF(Y787="","",IF(T788="","",Y787+T788))</f>
        <v/>
      </c>
      <c r="Z788" s="197" t="str">
        <f t="shared" si="251"/>
        <v/>
      </c>
      <c r="AA788" s="197" t="str">
        <f t="shared" si="252"/>
        <v/>
      </c>
      <c r="AB788" s="218"/>
      <c r="AC788" s="205"/>
    </row>
    <row r="789" spans="1:29">
      <c r="A789" s="219" t="str">
        <f t="shared" si="253"/>
        <v/>
      </c>
      <c r="B789" s="219"/>
      <c r="C789" s="184"/>
      <c r="D789" s="185"/>
      <c r="E789" s="185" t="str">
        <f>IF(OR(C789="",C789=Data!$B$3),"",IF(C789=Data!$B$2,"L","S"))</f>
        <v/>
      </c>
      <c r="F789" s="185" t="str">
        <f t="shared" si="254"/>
        <v/>
      </c>
      <c r="G789" s="186" t="str">
        <f t="shared" si="245"/>
        <v/>
      </c>
      <c r="H789" s="187"/>
      <c r="I789" s="188" t="str">
        <f t="shared" si="255"/>
        <v/>
      </c>
      <c r="J789" s="188" t="str">
        <f t="shared" si="256"/>
        <v/>
      </c>
      <c r="K789" s="189" t="str">
        <f t="shared" si="257"/>
        <v/>
      </c>
      <c r="L789" s="189" t="str">
        <f t="shared" si="258"/>
        <v/>
      </c>
      <c r="M789" s="190"/>
      <c r="N789" s="190"/>
      <c r="O789" s="188" t="str">
        <f t="shared" si="259"/>
        <v/>
      </c>
      <c r="P789" s="191" t="str">
        <f t="shared" si="246"/>
        <v/>
      </c>
      <c r="Q789" s="192" t="str">
        <f t="shared" si="260"/>
        <v/>
      </c>
      <c r="R789" s="191" t="str">
        <f t="shared" si="247"/>
        <v/>
      </c>
      <c r="S789" s="193" t="str">
        <f t="shared" si="261"/>
        <v/>
      </c>
      <c r="T789" s="194" t="str">
        <f t="shared" si="248"/>
        <v/>
      </c>
      <c r="U789" s="192" t="str">
        <f t="shared" si="262"/>
        <v/>
      </c>
      <c r="V789" s="195" t="str">
        <f t="shared" si="249"/>
        <v/>
      </c>
      <c r="W789" s="195" t="str">
        <f t="shared" si="250"/>
        <v/>
      </c>
      <c r="X789" s="196" t="str">
        <f t="shared" si="263"/>
        <v/>
      </c>
      <c r="Y789" s="191" t="str">
        <f t="shared" si="264"/>
        <v/>
      </c>
      <c r="Z789" s="197" t="str">
        <f t="shared" si="251"/>
        <v/>
      </c>
      <c r="AA789" s="197" t="str">
        <f t="shared" si="252"/>
        <v/>
      </c>
      <c r="AB789" s="218"/>
      <c r="AC789" s="205"/>
    </row>
    <row r="790" spans="1:29">
      <c r="A790" s="219" t="str">
        <f t="shared" si="253"/>
        <v/>
      </c>
      <c r="B790" s="219"/>
      <c r="C790" s="184"/>
      <c r="D790" s="185"/>
      <c r="E790" s="185" t="str">
        <f>IF(OR(C790="",C790=Data!$B$3),"",IF(C790=Data!$B$2,"L","S"))</f>
        <v/>
      </c>
      <c r="F790" s="185" t="str">
        <f t="shared" si="254"/>
        <v/>
      </c>
      <c r="G790" s="186" t="str">
        <f t="shared" si="245"/>
        <v/>
      </c>
      <c r="H790" s="187"/>
      <c r="I790" s="188" t="str">
        <f t="shared" si="255"/>
        <v/>
      </c>
      <c r="J790" s="188" t="str">
        <f t="shared" si="256"/>
        <v/>
      </c>
      <c r="K790" s="189" t="str">
        <f t="shared" si="257"/>
        <v/>
      </c>
      <c r="L790" s="189" t="str">
        <f t="shared" si="258"/>
        <v/>
      </c>
      <c r="M790" s="190"/>
      <c r="N790" s="190"/>
      <c r="O790" s="188" t="str">
        <f t="shared" si="259"/>
        <v/>
      </c>
      <c r="P790" s="191" t="str">
        <f t="shared" si="246"/>
        <v/>
      </c>
      <c r="Q790" s="192" t="str">
        <f t="shared" si="260"/>
        <v/>
      </c>
      <c r="R790" s="191" t="str">
        <f t="shared" si="247"/>
        <v/>
      </c>
      <c r="S790" s="193" t="str">
        <f t="shared" si="261"/>
        <v/>
      </c>
      <c r="T790" s="194" t="str">
        <f t="shared" si="248"/>
        <v/>
      </c>
      <c r="U790" s="192" t="str">
        <f t="shared" si="262"/>
        <v/>
      </c>
      <c r="V790" s="195" t="str">
        <f t="shared" si="249"/>
        <v/>
      </c>
      <c r="W790" s="195" t="str">
        <f t="shared" si="250"/>
        <v/>
      </c>
      <c r="X790" s="196" t="str">
        <f t="shared" si="263"/>
        <v/>
      </c>
      <c r="Y790" s="191" t="str">
        <f t="shared" si="264"/>
        <v/>
      </c>
      <c r="Z790" s="197" t="str">
        <f t="shared" si="251"/>
        <v/>
      </c>
      <c r="AA790" s="197" t="str">
        <f t="shared" si="252"/>
        <v/>
      </c>
      <c r="AB790" s="218"/>
      <c r="AC790" s="205"/>
    </row>
    <row r="791" spans="1:29">
      <c r="A791" s="219" t="str">
        <f t="shared" si="253"/>
        <v/>
      </c>
      <c r="B791" s="219"/>
      <c r="C791" s="184"/>
      <c r="D791" s="185"/>
      <c r="E791" s="185" t="str">
        <f>IF(OR(C791="",C791=Data!$B$3),"",IF(C791=Data!$B$2,"L","S"))</f>
        <v/>
      </c>
      <c r="F791" s="185" t="str">
        <f t="shared" si="254"/>
        <v/>
      </c>
      <c r="G791" s="186" t="str">
        <f t="shared" si="245"/>
        <v/>
      </c>
      <c r="H791" s="187"/>
      <c r="I791" s="188" t="str">
        <f t="shared" si="255"/>
        <v/>
      </c>
      <c r="J791" s="188" t="str">
        <f t="shared" si="256"/>
        <v/>
      </c>
      <c r="K791" s="189" t="str">
        <f t="shared" si="257"/>
        <v/>
      </c>
      <c r="L791" s="189" t="str">
        <f t="shared" si="258"/>
        <v/>
      </c>
      <c r="M791" s="190"/>
      <c r="N791" s="190"/>
      <c r="O791" s="188" t="str">
        <f t="shared" si="259"/>
        <v/>
      </c>
      <c r="P791" s="191" t="str">
        <f t="shared" si="246"/>
        <v/>
      </c>
      <c r="Q791" s="192" t="str">
        <f t="shared" si="260"/>
        <v/>
      </c>
      <c r="R791" s="191" t="str">
        <f t="shared" si="247"/>
        <v/>
      </c>
      <c r="S791" s="193" t="str">
        <f t="shared" si="261"/>
        <v/>
      </c>
      <c r="T791" s="194" t="str">
        <f t="shared" si="248"/>
        <v/>
      </c>
      <c r="U791" s="192" t="str">
        <f t="shared" si="262"/>
        <v/>
      </c>
      <c r="V791" s="195" t="str">
        <f t="shared" si="249"/>
        <v/>
      </c>
      <c r="W791" s="195" t="str">
        <f t="shared" si="250"/>
        <v/>
      </c>
      <c r="X791" s="196" t="str">
        <f t="shared" si="263"/>
        <v/>
      </c>
      <c r="Y791" s="191" t="str">
        <f t="shared" si="264"/>
        <v/>
      </c>
      <c r="Z791" s="197" t="str">
        <f t="shared" si="251"/>
        <v/>
      </c>
      <c r="AA791" s="197" t="str">
        <f t="shared" si="252"/>
        <v/>
      </c>
      <c r="AB791" s="218"/>
      <c r="AC791" s="205"/>
    </row>
    <row r="792" spans="1:29">
      <c r="A792" s="219" t="str">
        <f t="shared" si="253"/>
        <v/>
      </c>
      <c r="B792" s="219"/>
      <c r="C792" s="184"/>
      <c r="D792" s="185"/>
      <c r="E792" s="185" t="str">
        <f>IF(OR(C792="",C792=Data!$B$3),"",IF(C792=Data!$B$2,"L","S"))</f>
        <v/>
      </c>
      <c r="F792" s="185" t="str">
        <f t="shared" si="254"/>
        <v/>
      </c>
      <c r="G792" s="186" t="str">
        <f t="shared" si="245"/>
        <v/>
      </c>
      <c r="H792" s="187"/>
      <c r="I792" s="188" t="str">
        <f t="shared" si="255"/>
        <v/>
      </c>
      <c r="J792" s="188" t="str">
        <f t="shared" si="256"/>
        <v/>
      </c>
      <c r="K792" s="189" t="str">
        <f t="shared" si="257"/>
        <v/>
      </c>
      <c r="L792" s="189" t="str">
        <f t="shared" si="258"/>
        <v/>
      </c>
      <c r="M792" s="190"/>
      <c r="N792" s="190"/>
      <c r="O792" s="188" t="str">
        <f t="shared" si="259"/>
        <v/>
      </c>
      <c r="P792" s="191" t="str">
        <f t="shared" si="246"/>
        <v/>
      </c>
      <c r="Q792" s="192" t="str">
        <f t="shared" si="260"/>
        <v/>
      </c>
      <c r="R792" s="191" t="str">
        <f t="shared" si="247"/>
        <v/>
      </c>
      <c r="S792" s="193" t="str">
        <f t="shared" si="261"/>
        <v/>
      </c>
      <c r="T792" s="194" t="str">
        <f t="shared" si="248"/>
        <v/>
      </c>
      <c r="U792" s="192" t="str">
        <f t="shared" si="262"/>
        <v/>
      </c>
      <c r="V792" s="195" t="str">
        <f t="shared" si="249"/>
        <v/>
      </c>
      <c r="W792" s="195" t="str">
        <f t="shared" si="250"/>
        <v/>
      </c>
      <c r="X792" s="196" t="str">
        <f t="shared" si="263"/>
        <v/>
      </c>
      <c r="Y792" s="191" t="str">
        <f t="shared" si="264"/>
        <v/>
      </c>
      <c r="Z792" s="197" t="str">
        <f t="shared" si="251"/>
        <v/>
      </c>
      <c r="AA792" s="197" t="str">
        <f t="shared" si="252"/>
        <v/>
      </c>
      <c r="AB792" s="218"/>
      <c r="AC792" s="205"/>
    </row>
    <row r="793" spans="1:29">
      <c r="A793" s="219" t="str">
        <f t="shared" si="253"/>
        <v/>
      </c>
      <c r="B793" s="219"/>
      <c r="C793" s="184"/>
      <c r="D793" s="185"/>
      <c r="E793" s="185" t="str">
        <f>IF(OR(C793="",C793=Data!$B$3),"",IF(C793=Data!$B$2,"L","S"))</f>
        <v/>
      </c>
      <c r="F793" s="185" t="str">
        <f t="shared" si="254"/>
        <v/>
      </c>
      <c r="G793" s="186" t="str">
        <f t="shared" si="245"/>
        <v/>
      </c>
      <c r="H793" s="187"/>
      <c r="I793" s="188" t="str">
        <f t="shared" si="255"/>
        <v/>
      </c>
      <c r="J793" s="188" t="str">
        <f t="shared" si="256"/>
        <v/>
      </c>
      <c r="K793" s="189" t="str">
        <f t="shared" si="257"/>
        <v/>
      </c>
      <c r="L793" s="189" t="str">
        <f t="shared" si="258"/>
        <v/>
      </c>
      <c r="M793" s="190"/>
      <c r="N793" s="190"/>
      <c r="O793" s="188" t="str">
        <f t="shared" si="259"/>
        <v/>
      </c>
      <c r="P793" s="191" t="str">
        <f t="shared" si="246"/>
        <v/>
      </c>
      <c r="Q793" s="192" t="str">
        <f t="shared" si="260"/>
        <v/>
      </c>
      <c r="R793" s="191" t="str">
        <f t="shared" si="247"/>
        <v/>
      </c>
      <c r="S793" s="193" t="str">
        <f t="shared" si="261"/>
        <v/>
      </c>
      <c r="T793" s="194" t="str">
        <f t="shared" si="248"/>
        <v/>
      </c>
      <c r="U793" s="192" t="str">
        <f t="shared" si="262"/>
        <v/>
      </c>
      <c r="V793" s="195" t="str">
        <f t="shared" si="249"/>
        <v/>
      </c>
      <c r="W793" s="195" t="str">
        <f t="shared" si="250"/>
        <v/>
      </c>
      <c r="X793" s="196" t="str">
        <f t="shared" si="263"/>
        <v/>
      </c>
      <c r="Y793" s="191" t="str">
        <f t="shared" si="264"/>
        <v/>
      </c>
      <c r="Z793" s="197" t="str">
        <f t="shared" si="251"/>
        <v/>
      </c>
      <c r="AA793" s="197" t="str">
        <f t="shared" si="252"/>
        <v/>
      </c>
      <c r="AB793" s="218"/>
      <c r="AC793" s="205"/>
    </row>
    <row r="794" spans="1:29">
      <c r="A794" s="219" t="str">
        <f t="shared" si="253"/>
        <v/>
      </c>
      <c r="B794" s="219"/>
      <c r="C794" s="184"/>
      <c r="D794" s="185"/>
      <c r="E794" s="185" t="str">
        <f>IF(OR(C794="",C794=Data!$B$3),"",IF(C794=Data!$B$2,"L","S"))</f>
        <v/>
      </c>
      <c r="F794" s="185" t="str">
        <f t="shared" si="254"/>
        <v/>
      </c>
      <c r="G794" s="186" t="str">
        <f t="shared" si="245"/>
        <v/>
      </c>
      <c r="H794" s="187"/>
      <c r="I794" s="188" t="str">
        <f t="shared" si="255"/>
        <v/>
      </c>
      <c r="J794" s="188" t="str">
        <f t="shared" si="256"/>
        <v/>
      </c>
      <c r="K794" s="189" t="str">
        <f t="shared" si="257"/>
        <v/>
      </c>
      <c r="L794" s="189" t="str">
        <f t="shared" si="258"/>
        <v/>
      </c>
      <c r="M794" s="190"/>
      <c r="N794" s="190"/>
      <c r="O794" s="188" t="str">
        <f t="shared" si="259"/>
        <v/>
      </c>
      <c r="P794" s="191" t="str">
        <f t="shared" si="246"/>
        <v/>
      </c>
      <c r="Q794" s="192" t="str">
        <f t="shared" si="260"/>
        <v/>
      </c>
      <c r="R794" s="191" t="str">
        <f t="shared" si="247"/>
        <v/>
      </c>
      <c r="S794" s="193" t="str">
        <f t="shared" si="261"/>
        <v/>
      </c>
      <c r="T794" s="194" t="str">
        <f t="shared" si="248"/>
        <v/>
      </c>
      <c r="U794" s="192" t="str">
        <f t="shared" si="262"/>
        <v/>
      </c>
      <c r="V794" s="195" t="str">
        <f t="shared" si="249"/>
        <v/>
      </c>
      <c r="W794" s="195" t="str">
        <f t="shared" si="250"/>
        <v/>
      </c>
      <c r="X794" s="196" t="str">
        <f t="shared" si="263"/>
        <v/>
      </c>
      <c r="Y794" s="191" t="str">
        <f t="shared" si="264"/>
        <v/>
      </c>
      <c r="Z794" s="197" t="str">
        <f t="shared" si="251"/>
        <v/>
      </c>
      <c r="AA794" s="197" t="str">
        <f t="shared" si="252"/>
        <v/>
      </c>
      <c r="AB794" s="218"/>
      <c r="AC794" s="205"/>
    </row>
    <row r="795" spans="1:29">
      <c r="A795" s="219" t="str">
        <f t="shared" si="253"/>
        <v/>
      </c>
      <c r="B795" s="219"/>
      <c r="C795" s="184"/>
      <c r="D795" s="185"/>
      <c r="E795" s="185" t="str">
        <f>IF(OR(C795="",C795=Data!$B$3),"",IF(C795=Data!$B$2,"L","S"))</f>
        <v/>
      </c>
      <c r="F795" s="185" t="str">
        <f t="shared" si="254"/>
        <v/>
      </c>
      <c r="G795" s="186" t="str">
        <f t="shared" si="245"/>
        <v/>
      </c>
      <c r="H795" s="187"/>
      <c r="I795" s="188" t="str">
        <f t="shared" si="255"/>
        <v/>
      </c>
      <c r="J795" s="188" t="str">
        <f t="shared" si="256"/>
        <v/>
      </c>
      <c r="K795" s="189" t="str">
        <f t="shared" si="257"/>
        <v/>
      </c>
      <c r="L795" s="189" t="str">
        <f t="shared" si="258"/>
        <v/>
      </c>
      <c r="M795" s="190"/>
      <c r="N795" s="190"/>
      <c r="O795" s="188" t="str">
        <f t="shared" si="259"/>
        <v/>
      </c>
      <c r="P795" s="191" t="str">
        <f t="shared" si="246"/>
        <v/>
      </c>
      <c r="Q795" s="192" t="str">
        <f t="shared" si="260"/>
        <v/>
      </c>
      <c r="R795" s="191" t="str">
        <f t="shared" si="247"/>
        <v/>
      </c>
      <c r="S795" s="193" t="str">
        <f t="shared" si="261"/>
        <v/>
      </c>
      <c r="T795" s="194" t="str">
        <f t="shared" si="248"/>
        <v/>
      </c>
      <c r="U795" s="192" t="str">
        <f t="shared" si="262"/>
        <v/>
      </c>
      <c r="V795" s="195" t="str">
        <f t="shared" si="249"/>
        <v/>
      </c>
      <c r="W795" s="195" t="str">
        <f t="shared" si="250"/>
        <v/>
      </c>
      <c r="X795" s="196" t="str">
        <f t="shared" si="263"/>
        <v/>
      </c>
      <c r="Y795" s="191" t="str">
        <f t="shared" si="264"/>
        <v/>
      </c>
      <c r="Z795" s="197" t="str">
        <f t="shared" si="251"/>
        <v/>
      </c>
      <c r="AA795" s="197" t="str">
        <f t="shared" si="252"/>
        <v/>
      </c>
      <c r="AB795" s="218"/>
      <c r="AC795" s="205"/>
    </row>
    <row r="796" spans="1:29">
      <c r="A796" s="219" t="str">
        <f t="shared" si="253"/>
        <v/>
      </c>
      <c r="B796" s="219"/>
      <c r="C796" s="184"/>
      <c r="D796" s="185"/>
      <c r="E796" s="185" t="str">
        <f>IF(OR(C796="",C796=Data!$B$3),"",IF(C796=Data!$B$2,"L","S"))</f>
        <v/>
      </c>
      <c r="F796" s="185" t="str">
        <f t="shared" si="254"/>
        <v/>
      </c>
      <c r="G796" s="186" t="str">
        <f t="shared" si="245"/>
        <v/>
      </c>
      <c r="H796" s="187"/>
      <c r="I796" s="188" t="str">
        <f t="shared" si="255"/>
        <v/>
      </c>
      <c r="J796" s="188" t="str">
        <f t="shared" si="256"/>
        <v/>
      </c>
      <c r="K796" s="189" t="str">
        <f t="shared" si="257"/>
        <v/>
      </c>
      <c r="L796" s="189" t="str">
        <f t="shared" si="258"/>
        <v/>
      </c>
      <c r="M796" s="190"/>
      <c r="N796" s="190"/>
      <c r="O796" s="188" t="str">
        <f t="shared" si="259"/>
        <v/>
      </c>
      <c r="P796" s="191" t="str">
        <f t="shared" si="246"/>
        <v/>
      </c>
      <c r="Q796" s="192" t="str">
        <f t="shared" si="260"/>
        <v/>
      </c>
      <c r="R796" s="191" t="str">
        <f t="shared" si="247"/>
        <v/>
      </c>
      <c r="S796" s="193" t="str">
        <f t="shared" si="261"/>
        <v/>
      </c>
      <c r="T796" s="194" t="str">
        <f t="shared" si="248"/>
        <v/>
      </c>
      <c r="U796" s="192" t="str">
        <f t="shared" si="262"/>
        <v/>
      </c>
      <c r="V796" s="195" t="str">
        <f t="shared" si="249"/>
        <v/>
      </c>
      <c r="W796" s="195" t="str">
        <f t="shared" si="250"/>
        <v/>
      </c>
      <c r="X796" s="196" t="str">
        <f t="shared" si="263"/>
        <v/>
      </c>
      <c r="Y796" s="191" t="str">
        <f t="shared" si="264"/>
        <v/>
      </c>
      <c r="Z796" s="197" t="str">
        <f t="shared" si="251"/>
        <v/>
      </c>
      <c r="AA796" s="197" t="str">
        <f t="shared" si="252"/>
        <v/>
      </c>
      <c r="AB796" s="218"/>
      <c r="AC796" s="205"/>
    </row>
    <row r="797" spans="1:29">
      <c r="A797" s="219" t="str">
        <f t="shared" si="253"/>
        <v/>
      </c>
      <c r="B797" s="219"/>
      <c r="C797" s="184"/>
      <c r="D797" s="185"/>
      <c r="E797" s="185" t="str">
        <f>IF(OR(C797="",C797=Data!$B$3),"",IF(C797=Data!$B$2,"L","S"))</f>
        <v/>
      </c>
      <c r="F797" s="185" t="str">
        <f t="shared" si="254"/>
        <v/>
      </c>
      <c r="G797" s="186" t="str">
        <f t="shared" si="245"/>
        <v/>
      </c>
      <c r="H797" s="187"/>
      <c r="I797" s="188" t="str">
        <f t="shared" si="255"/>
        <v/>
      </c>
      <c r="J797" s="188" t="str">
        <f t="shared" si="256"/>
        <v/>
      </c>
      <c r="K797" s="189" t="str">
        <f t="shared" si="257"/>
        <v/>
      </c>
      <c r="L797" s="189" t="str">
        <f t="shared" si="258"/>
        <v/>
      </c>
      <c r="M797" s="190"/>
      <c r="N797" s="190"/>
      <c r="O797" s="188" t="str">
        <f t="shared" si="259"/>
        <v/>
      </c>
      <c r="P797" s="191" t="str">
        <f t="shared" si="246"/>
        <v/>
      </c>
      <c r="Q797" s="192" t="str">
        <f t="shared" si="260"/>
        <v/>
      </c>
      <c r="R797" s="191" t="str">
        <f t="shared" si="247"/>
        <v/>
      </c>
      <c r="S797" s="193" t="str">
        <f t="shared" si="261"/>
        <v/>
      </c>
      <c r="T797" s="194" t="str">
        <f t="shared" si="248"/>
        <v/>
      </c>
      <c r="U797" s="192" t="str">
        <f t="shared" si="262"/>
        <v/>
      </c>
      <c r="V797" s="195" t="str">
        <f t="shared" si="249"/>
        <v/>
      </c>
      <c r="W797" s="195" t="str">
        <f t="shared" si="250"/>
        <v/>
      </c>
      <c r="X797" s="196" t="str">
        <f t="shared" si="263"/>
        <v/>
      </c>
      <c r="Y797" s="191" t="str">
        <f t="shared" si="264"/>
        <v/>
      </c>
      <c r="Z797" s="197" t="str">
        <f t="shared" si="251"/>
        <v/>
      </c>
      <c r="AA797" s="197" t="str">
        <f t="shared" si="252"/>
        <v/>
      </c>
      <c r="AB797" s="218"/>
      <c r="AC797" s="205"/>
    </row>
    <row r="798" spans="1:29">
      <c r="A798" s="219" t="str">
        <f t="shared" si="253"/>
        <v/>
      </c>
      <c r="B798" s="219"/>
      <c r="C798" s="184"/>
      <c r="D798" s="185"/>
      <c r="E798" s="185" t="str">
        <f>IF(OR(C798="",C798=Data!$B$3),"",IF(C798=Data!$B$2,"L","S"))</f>
        <v/>
      </c>
      <c r="F798" s="185" t="str">
        <f t="shared" si="254"/>
        <v/>
      </c>
      <c r="G798" s="186" t="str">
        <f t="shared" si="245"/>
        <v/>
      </c>
      <c r="H798" s="187"/>
      <c r="I798" s="188" t="str">
        <f t="shared" si="255"/>
        <v/>
      </c>
      <c r="J798" s="188" t="str">
        <f t="shared" si="256"/>
        <v/>
      </c>
      <c r="K798" s="189" t="str">
        <f t="shared" si="257"/>
        <v/>
      </c>
      <c r="L798" s="189" t="str">
        <f t="shared" si="258"/>
        <v/>
      </c>
      <c r="M798" s="190"/>
      <c r="N798" s="190"/>
      <c r="O798" s="188" t="str">
        <f t="shared" si="259"/>
        <v/>
      </c>
      <c r="P798" s="191" t="str">
        <f t="shared" si="246"/>
        <v/>
      </c>
      <c r="Q798" s="192" t="str">
        <f t="shared" si="260"/>
        <v/>
      </c>
      <c r="R798" s="191" t="str">
        <f t="shared" si="247"/>
        <v/>
      </c>
      <c r="S798" s="193" t="str">
        <f t="shared" si="261"/>
        <v/>
      </c>
      <c r="T798" s="194" t="str">
        <f t="shared" si="248"/>
        <v/>
      </c>
      <c r="U798" s="192" t="str">
        <f t="shared" si="262"/>
        <v/>
      </c>
      <c r="V798" s="195" t="str">
        <f t="shared" si="249"/>
        <v/>
      </c>
      <c r="W798" s="195" t="str">
        <f t="shared" si="250"/>
        <v/>
      </c>
      <c r="X798" s="196" t="str">
        <f t="shared" si="263"/>
        <v/>
      </c>
      <c r="Y798" s="191" t="str">
        <f t="shared" si="264"/>
        <v/>
      </c>
      <c r="Z798" s="197" t="str">
        <f t="shared" si="251"/>
        <v/>
      </c>
      <c r="AA798" s="197" t="str">
        <f t="shared" si="252"/>
        <v/>
      </c>
      <c r="AB798" s="218"/>
      <c r="AC798" s="205"/>
    </row>
    <row r="799" spans="1:29">
      <c r="A799" s="219" t="str">
        <f t="shared" si="253"/>
        <v/>
      </c>
      <c r="B799" s="219"/>
      <c r="C799" s="184"/>
      <c r="D799" s="185"/>
      <c r="E799" s="185" t="str">
        <f>IF(OR(C799="",C799=Data!$B$3),"",IF(C799=Data!$B$2,"L","S"))</f>
        <v/>
      </c>
      <c r="F799" s="185" t="str">
        <f t="shared" si="254"/>
        <v/>
      </c>
      <c r="G799" s="186" t="str">
        <f t="shared" si="245"/>
        <v/>
      </c>
      <c r="H799" s="187"/>
      <c r="I799" s="188" t="str">
        <f t="shared" si="255"/>
        <v/>
      </c>
      <c r="J799" s="188" t="str">
        <f t="shared" si="256"/>
        <v/>
      </c>
      <c r="K799" s="189" t="str">
        <f t="shared" si="257"/>
        <v/>
      </c>
      <c r="L799" s="189" t="str">
        <f t="shared" si="258"/>
        <v/>
      </c>
      <c r="M799" s="190"/>
      <c r="N799" s="190"/>
      <c r="O799" s="188" t="str">
        <f t="shared" si="259"/>
        <v/>
      </c>
      <c r="P799" s="191" t="str">
        <f t="shared" si="246"/>
        <v/>
      </c>
      <c r="Q799" s="192" t="str">
        <f t="shared" si="260"/>
        <v/>
      </c>
      <c r="R799" s="191" t="str">
        <f t="shared" si="247"/>
        <v/>
      </c>
      <c r="S799" s="193" t="str">
        <f t="shared" si="261"/>
        <v/>
      </c>
      <c r="T799" s="194" t="str">
        <f t="shared" si="248"/>
        <v/>
      </c>
      <c r="U799" s="192" t="str">
        <f t="shared" si="262"/>
        <v/>
      </c>
      <c r="V799" s="195" t="str">
        <f t="shared" si="249"/>
        <v/>
      </c>
      <c r="W799" s="195" t="str">
        <f t="shared" si="250"/>
        <v/>
      </c>
      <c r="X799" s="196" t="str">
        <f t="shared" si="263"/>
        <v/>
      </c>
      <c r="Y799" s="191" t="str">
        <f t="shared" si="264"/>
        <v/>
      </c>
      <c r="Z799" s="197" t="str">
        <f t="shared" si="251"/>
        <v/>
      </c>
      <c r="AA799" s="197" t="str">
        <f t="shared" si="252"/>
        <v/>
      </c>
      <c r="AB799" s="218"/>
      <c r="AC799" s="205"/>
    </row>
    <row r="800" spans="1:29">
      <c r="A800" s="219" t="str">
        <f t="shared" si="253"/>
        <v/>
      </c>
      <c r="B800" s="219"/>
      <c r="C800" s="184"/>
      <c r="D800" s="185"/>
      <c r="E800" s="185" t="str">
        <f>IF(OR(C800="",C800=Data!$B$3),"",IF(C800=Data!$B$2,"L","S"))</f>
        <v/>
      </c>
      <c r="F800" s="185" t="str">
        <f t="shared" si="254"/>
        <v/>
      </c>
      <c r="G800" s="186" t="str">
        <f t="shared" si="245"/>
        <v/>
      </c>
      <c r="H800" s="187"/>
      <c r="I800" s="188" t="str">
        <f t="shared" si="255"/>
        <v/>
      </c>
      <c r="J800" s="188" t="str">
        <f t="shared" si="256"/>
        <v/>
      </c>
      <c r="K800" s="189" t="str">
        <f t="shared" si="257"/>
        <v/>
      </c>
      <c r="L800" s="189" t="str">
        <f t="shared" si="258"/>
        <v/>
      </c>
      <c r="M800" s="190"/>
      <c r="N800" s="190"/>
      <c r="O800" s="188" t="str">
        <f t="shared" si="259"/>
        <v/>
      </c>
      <c r="P800" s="191" t="str">
        <f t="shared" si="246"/>
        <v/>
      </c>
      <c r="Q800" s="192" t="str">
        <f t="shared" si="260"/>
        <v/>
      </c>
      <c r="R800" s="191" t="str">
        <f t="shared" si="247"/>
        <v/>
      </c>
      <c r="S800" s="193" t="str">
        <f t="shared" si="261"/>
        <v/>
      </c>
      <c r="T800" s="194" t="str">
        <f t="shared" si="248"/>
        <v/>
      </c>
      <c r="U800" s="192" t="str">
        <f t="shared" si="262"/>
        <v/>
      </c>
      <c r="V800" s="195" t="str">
        <f t="shared" si="249"/>
        <v/>
      </c>
      <c r="W800" s="195" t="str">
        <f t="shared" si="250"/>
        <v/>
      </c>
      <c r="X800" s="196" t="str">
        <f t="shared" si="263"/>
        <v/>
      </c>
      <c r="Y800" s="191" t="str">
        <f t="shared" si="264"/>
        <v/>
      </c>
      <c r="Z800" s="197" t="str">
        <f t="shared" si="251"/>
        <v/>
      </c>
      <c r="AA800" s="197" t="str">
        <f t="shared" si="252"/>
        <v/>
      </c>
      <c r="AB800" s="218"/>
      <c r="AC800" s="205"/>
    </row>
    <row r="801" spans="1:29">
      <c r="A801" s="219" t="str">
        <f t="shared" si="253"/>
        <v/>
      </c>
      <c r="B801" s="219"/>
      <c r="C801" s="184"/>
      <c r="D801" s="185"/>
      <c r="E801" s="185" t="str">
        <f>IF(OR(C801="",C801=Data!$B$3),"",IF(C801=Data!$B$2,"L","S"))</f>
        <v/>
      </c>
      <c r="F801" s="185" t="str">
        <f t="shared" si="254"/>
        <v/>
      </c>
      <c r="G801" s="186" t="str">
        <f t="shared" si="245"/>
        <v/>
      </c>
      <c r="H801" s="187"/>
      <c r="I801" s="188" t="str">
        <f t="shared" si="255"/>
        <v/>
      </c>
      <c r="J801" s="188" t="str">
        <f t="shared" si="256"/>
        <v/>
      </c>
      <c r="K801" s="189" t="str">
        <f t="shared" si="257"/>
        <v/>
      </c>
      <c r="L801" s="189" t="str">
        <f t="shared" si="258"/>
        <v/>
      </c>
      <c r="M801" s="190"/>
      <c r="N801" s="190"/>
      <c r="O801" s="188" t="str">
        <f t="shared" si="259"/>
        <v/>
      </c>
      <c r="P801" s="191" t="str">
        <f t="shared" si="246"/>
        <v/>
      </c>
      <c r="Q801" s="192" t="str">
        <f t="shared" si="260"/>
        <v/>
      </c>
      <c r="R801" s="191" t="str">
        <f t="shared" si="247"/>
        <v/>
      </c>
      <c r="S801" s="193" t="str">
        <f t="shared" si="261"/>
        <v/>
      </c>
      <c r="T801" s="194" t="str">
        <f t="shared" si="248"/>
        <v/>
      </c>
      <c r="U801" s="192" t="str">
        <f t="shared" si="262"/>
        <v/>
      </c>
      <c r="V801" s="195" t="str">
        <f t="shared" si="249"/>
        <v/>
      </c>
      <c r="W801" s="195" t="str">
        <f t="shared" si="250"/>
        <v/>
      </c>
      <c r="X801" s="196" t="str">
        <f t="shared" si="263"/>
        <v/>
      </c>
      <c r="Y801" s="191" t="str">
        <f t="shared" si="264"/>
        <v/>
      </c>
      <c r="Z801" s="197" t="str">
        <f t="shared" si="251"/>
        <v/>
      </c>
      <c r="AA801" s="197" t="str">
        <f t="shared" si="252"/>
        <v/>
      </c>
      <c r="AB801" s="218"/>
      <c r="AC801" s="205"/>
    </row>
    <row r="802" spans="1:29">
      <c r="A802" s="219" t="str">
        <f t="shared" si="253"/>
        <v/>
      </c>
      <c r="B802" s="219"/>
      <c r="C802" s="184"/>
      <c r="D802" s="185"/>
      <c r="E802" s="185" t="str">
        <f>IF(OR(C802="",C802=Data!$B$3),"",IF(C802=Data!$B$2,"L","S"))</f>
        <v/>
      </c>
      <c r="F802" s="185" t="str">
        <f t="shared" si="254"/>
        <v/>
      </c>
      <c r="G802" s="186" t="str">
        <f t="shared" si="245"/>
        <v/>
      </c>
      <c r="H802" s="187"/>
      <c r="I802" s="188" t="str">
        <f t="shared" si="255"/>
        <v/>
      </c>
      <c r="J802" s="188" t="str">
        <f t="shared" si="256"/>
        <v/>
      </c>
      <c r="K802" s="189" t="str">
        <f t="shared" si="257"/>
        <v/>
      </c>
      <c r="L802" s="189" t="str">
        <f t="shared" si="258"/>
        <v/>
      </c>
      <c r="M802" s="190"/>
      <c r="N802" s="190"/>
      <c r="O802" s="188" t="str">
        <f t="shared" si="259"/>
        <v/>
      </c>
      <c r="P802" s="191" t="str">
        <f t="shared" si="246"/>
        <v/>
      </c>
      <c r="Q802" s="192" t="str">
        <f t="shared" si="260"/>
        <v/>
      </c>
      <c r="R802" s="191" t="str">
        <f t="shared" si="247"/>
        <v/>
      </c>
      <c r="S802" s="193" t="str">
        <f t="shared" si="261"/>
        <v/>
      </c>
      <c r="T802" s="194" t="str">
        <f t="shared" si="248"/>
        <v/>
      </c>
      <c r="U802" s="192" t="str">
        <f t="shared" si="262"/>
        <v/>
      </c>
      <c r="V802" s="195" t="str">
        <f t="shared" si="249"/>
        <v/>
      </c>
      <c r="W802" s="195" t="str">
        <f t="shared" si="250"/>
        <v/>
      </c>
      <c r="X802" s="196" t="str">
        <f t="shared" si="263"/>
        <v/>
      </c>
      <c r="Y802" s="191" t="str">
        <f t="shared" si="264"/>
        <v/>
      </c>
      <c r="Z802" s="197" t="str">
        <f t="shared" si="251"/>
        <v/>
      </c>
      <c r="AA802" s="197" t="str">
        <f t="shared" si="252"/>
        <v/>
      </c>
      <c r="AB802" s="218"/>
      <c r="AC802" s="205"/>
    </row>
    <row r="803" spans="1:29">
      <c r="A803" s="219" t="str">
        <f t="shared" si="253"/>
        <v/>
      </c>
      <c r="B803" s="219"/>
      <c r="C803" s="184"/>
      <c r="D803" s="185"/>
      <c r="E803" s="185" t="str">
        <f>IF(OR(C803="",C803=Data!$B$3),"",IF(C803=Data!$B$2,"L","S"))</f>
        <v/>
      </c>
      <c r="F803" s="185" t="str">
        <f t="shared" si="254"/>
        <v/>
      </c>
      <c r="G803" s="186" t="str">
        <f t="shared" si="245"/>
        <v/>
      </c>
      <c r="H803" s="187"/>
      <c r="I803" s="188" t="str">
        <f t="shared" si="255"/>
        <v/>
      </c>
      <c r="J803" s="188" t="str">
        <f t="shared" si="256"/>
        <v/>
      </c>
      <c r="K803" s="189" t="str">
        <f t="shared" si="257"/>
        <v/>
      </c>
      <c r="L803" s="189" t="str">
        <f t="shared" si="258"/>
        <v/>
      </c>
      <c r="M803" s="190"/>
      <c r="N803" s="190"/>
      <c r="O803" s="188" t="str">
        <f t="shared" si="259"/>
        <v/>
      </c>
      <c r="P803" s="191" t="str">
        <f t="shared" si="246"/>
        <v/>
      </c>
      <c r="Q803" s="192" t="str">
        <f t="shared" si="260"/>
        <v/>
      </c>
      <c r="R803" s="191" t="str">
        <f t="shared" si="247"/>
        <v/>
      </c>
      <c r="S803" s="193" t="str">
        <f t="shared" si="261"/>
        <v/>
      </c>
      <c r="T803" s="194" t="str">
        <f t="shared" si="248"/>
        <v/>
      </c>
      <c r="U803" s="192" t="str">
        <f t="shared" si="262"/>
        <v/>
      </c>
      <c r="V803" s="195" t="str">
        <f t="shared" si="249"/>
        <v/>
      </c>
      <c r="W803" s="195" t="str">
        <f t="shared" si="250"/>
        <v/>
      </c>
      <c r="X803" s="196" t="str">
        <f t="shared" si="263"/>
        <v/>
      </c>
      <c r="Y803" s="191" t="str">
        <f t="shared" si="264"/>
        <v/>
      </c>
      <c r="Z803" s="197" t="str">
        <f t="shared" si="251"/>
        <v/>
      </c>
      <c r="AA803" s="197" t="str">
        <f t="shared" si="252"/>
        <v/>
      </c>
      <c r="AB803" s="218"/>
      <c r="AC803" s="205"/>
    </row>
    <row r="804" spans="1:29">
      <c r="A804" s="219" t="str">
        <f t="shared" si="253"/>
        <v/>
      </c>
      <c r="B804" s="219"/>
      <c r="C804" s="184"/>
      <c r="D804" s="185"/>
      <c r="E804" s="185" t="str">
        <f>IF(OR(C804="",C804=Data!$B$3),"",IF(C804=Data!$B$2,"L","S"))</f>
        <v/>
      </c>
      <c r="F804" s="185" t="str">
        <f t="shared" si="254"/>
        <v/>
      </c>
      <c r="G804" s="186" t="str">
        <f t="shared" si="245"/>
        <v/>
      </c>
      <c r="H804" s="187"/>
      <c r="I804" s="188" t="str">
        <f t="shared" si="255"/>
        <v/>
      </c>
      <c r="J804" s="188" t="str">
        <f t="shared" si="256"/>
        <v/>
      </c>
      <c r="K804" s="189" t="str">
        <f t="shared" si="257"/>
        <v/>
      </c>
      <c r="L804" s="189" t="str">
        <f t="shared" si="258"/>
        <v/>
      </c>
      <c r="M804" s="190"/>
      <c r="N804" s="190"/>
      <c r="O804" s="188" t="str">
        <f t="shared" si="259"/>
        <v/>
      </c>
      <c r="P804" s="191" t="str">
        <f t="shared" si="246"/>
        <v/>
      </c>
      <c r="Q804" s="192" t="str">
        <f t="shared" si="260"/>
        <v/>
      </c>
      <c r="R804" s="191" t="str">
        <f t="shared" si="247"/>
        <v/>
      </c>
      <c r="S804" s="193" t="str">
        <f t="shared" si="261"/>
        <v/>
      </c>
      <c r="T804" s="194" t="str">
        <f t="shared" si="248"/>
        <v/>
      </c>
      <c r="U804" s="192" t="str">
        <f t="shared" si="262"/>
        <v/>
      </c>
      <c r="V804" s="195" t="str">
        <f t="shared" si="249"/>
        <v/>
      </c>
      <c r="W804" s="195" t="str">
        <f t="shared" si="250"/>
        <v/>
      </c>
      <c r="X804" s="196" t="str">
        <f t="shared" si="263"/>
        <v/>
      </c>
      <c r="Y804" s="191" t="str">
        <f t="shared" si="264"/>
        <v/>
      </c>
      <c r="Z804" s="197" t="str">
        <f t="shared" si="251"/>
        <v/>
      </c>
      <c r="AA804" s="197" t="str">
        <f t="shared" si="252"/>
        <v/>
      </c>
      <c r="AB804" s="218"/>
      <c r="AC804" s="205"/>
    </row>
    <row r="805" spans="1:29">
      <c r="A805" s="219" t="str">
        <f t="shared" si="253"/>
        <v/>
      </c>
      <c r="B805" s="219"/>
      <c r="C805" s="184"/>
      <c r="D805" s="185"/>
      <c r="E805" s="185" t="str">
        <f>IF(OR(C805="",C805=Data!$B$3),"",IF(C805=Data!$B$2,"L","S"))</f>
        <v/>
      </c>
      <c r="F805" s="185" t="str">
        <f t="shared" si="254"/>
        <v/>
      </c>
      <c r="G805" s="186" t="str">
        <f t="shared" si="245"/>
        <v/>
      </c>
      <c r="H805" s="187"/>
      <c r="I805" s="188" t="str">
        <f t="shared" si="255"/>
        <v/>
      </c>
      <c r="J805" s="188" t="str">
        <f t="shared" si="256"/>
        <v/>
      </c>
      <c r="K805" s="189" t="str">
        <f t="shared" si="257"/>
        <v/>
      </c>
      <c r="L805" s="189" t="str">
        <f t="shared" si="258"/>
        <v/>
      </c>
      <c r="M805" s="190"/>
      <c r="N805" s="190"/>
      <c r="O805" s="188" t="str">
        <f t="shared" si="259"/>
        <v/>
      </c>
      <c r="P805" s="191" t="str">
        <f t="shared" si="246"/>
        <v/>
      </c>
      <c r="Q805" s="192" t="str">
        <f t="shared" si="260"/>
        <v/>
      </c>
      <c r="R805" s="191" t="str">
        <f t="shared" si="247"/>
        <v/>
      </c>
      <c r="S805" s="193" t="str">
        <f t="shared" si="261"/>
        <v/>
      </c>
      <c r="T805" s="194" t="str">
        <f t="shared" si="248"/>
        <v/>
      </c>
      <c r="U805" s="192" t="str">
        <f t="shared" si="262"/>
        <v/>
      </c>
      <c r="V805" s="195" t="str">
        <f t="shared" si="249"/>
        <v/>
      </c>
      <c r="W805" s="195" t="str">
        <f t="shared" si="250"/>
        <v/>
      </c>
      <c r="X805" s="196" t="str">
        <f t="shared" si="263"/>
        <v/>
      </c>
      <c r="Y805" s="191" t="str">
        <f t="shared" si="264"/>
        <v/>
      </c>
      <c r="Z805" s="197" t="str">
        <f t="shared" si="251"/>
        <v/>
      </c>
      <c r="AA805" s="197" t="str">
        <f t="shared" si="252"/>
        <v/>
      </c>
      <c r="AB805" s="218"/>
      <c r="AC805" s="205"/>
    </row>
    <row r="806" spans="1:29">
      <c r="A806" s="219" t="str">
        <f t="shared" si="253"/>
        <v/>
      </c>
      <c r="B806" s="219"/>
      <c r="C806" s="184"/>
      <c r="D806" s="185"/>
      <c r="E806" s="185" t="str">
        <f>IF(OR(C806="",C806=Data!$B$3),"",IF(C806=Data!$B$2,"L","S"))</f>
        <v/>
      </c>
      <c r="F806" s="185" t="str">
        <f t="shared" si="254"/>
        <v/>
      </c>
      <c r="G806" s="186" t="str">
        <f t="shared" si="245"/>
        <v/>
      </c>
      <c r="H806" s="187"/>
      <c r="I806" s="188" t="str">
        <f t="shared" si="255"/>
        <v/>
      </c>
      <c r="J806" s="188" t="str">
        <f t="shared" si="256"/>
        <v/>
      </c>
      <c r="K806" s="189" t="str">
        <f t="shared" si="257"/>
        <v/>
      </c>
      <c r="L806" s="189" t="str">
        <f t="shared" si="258"/>
        <v/>
      </c>
      <c r="M806" s="190"/>
      <c r="N806" s="190"/>
      <c r="O806" s="188" t="str">
        <f t="shared" si="259"/>
        <v/>
      </c>
      <c r="P806" s="191" t="str">
        <f t="shared" si="246"/>
        <v/>
      </c>
      <c r="Q806" s="192" t="str">
        <f t="shared" si="260"/>
        <v/>
      </c>
      <c r="R806" s="191" t="str">
        <f t="shared" si="247"/>
        <v/>
      </c>
      <c r="S806" s="193" t="str">
        <f t="shared" si="261"/>
        <v/>
      </c>
      <c r="T806" s="194" t="str">
        <f t="shared" si="248"/>
        <v/>
      </c>
      <c r="U806" s="192" t="str">
        <f t="shared" si="262"/>
        <v/>
      </c>
      <c r="V806" s="195" t="str">
        <f t="shared" si="249"/>
        <v/>
      </c>
      <c r="W806" s="195" t="str">
        <f t="shared" si="250"/>
        <v/>
      </c>
      <c r="X806" s="196" t="str">
        <f t="shared" si="263"/>
        <v/>
      </c>
      <c r="Y806" s="191" t="str">
        <f t="shared" si="264"/>
        <v/>
      </c>
      <c r="Z806" s="197" t="str">
        <f t="shared" si="251"/>
        <v/>
      </c>
      <c r="AA806" s="197" t="str">
        <f t="shared" si="252"/>
        <v/>
      </c>
      <c r="AB806" s="218"/>
      <c r="AC806" s="205"/>
    </row>
    <row r="807" spans="1:29">
      <c r="A807" s="219" t="str">
        <f t="shared" si="253"/>
        <v/>
      </c>
      <c r="B807" s="219"/>
      <c r="C807" s="184"/>
      <c r="D807" s="185"/>
      <c r="E807" s="185" t="str">
        <f>IF(OR(C807="",C807=Data!$B$3),"",IF(C807=Data!$B$2,"L","S"))</f>
        <v/>
      </c>
      <c r="F807" s="185" t="str">
        <f t="shared" si="254"/>
        <v/>
      </c>
      <c r="G807" s="186" t="str">
        <f t="shared" si="245"/>
        <v/>
      </c>
      <c r="H807" s="187"/>
      <c r="I807" s="188" t="str">
        <f t="shared" si="255"/>
        <v/>
      </c>
      <c r="J807" s="188" t="str">
        <f t="shared" si="256"/>
        <v/>
      </c>
      <c r="K807" s="189" t="str">
        <f t="shared" si="257"/>
        <v/>
      </c>
      <c r="L807" s="189" t="str">
        <f t="shared" si="258"/>
        <v/>
      </c>
      <c r="M807" s="190"/>
      <c r="N807" s="190"/>
      <c r="O807" s="188" t="str">
        <f t="shared" si="259"/>
        <v/>
      </c>
      <c r="P807" s="191" t="str">
        <f t="shared" si="246"/>
        <v/>
      </c>
      <c r="Q807" s="192" t="str">
        <f t="shared" si="260"/>
        <v/>
      </c>
      <c r="R807" s="191" t="str">
        <f t="shared" si="247"/>
        <v/>
      </c>
      <c r="S807" s="193" t="str">
        <f t="shared" si="261"/>
        <v/>
      </c>
      <c r="T807" s="194" t="str">
        <f t="shared" si="248"/>
        <v/>
      </c>
      <c r="U807" s="192" t="str">
        <f t="shared" si="262"/>
        <v/>
      </c>
      <c r="V807" s="195" t="str">
        <f t="shared" si="249"/>
        <v/>
      </c>
      <c r="W807" s="195" t="str">
        <f t="shared" si="250"/>
        <v/>
      </c>
      <c r="X807" s="196" t="str">
        <f t="shared" si="263"/>
        <v/>
      </c>
      <c r="Y807" s="191" t="str">
        <f t="shared" si="264"/>
        <v/>
      </c>
      <c r="Z807" s="197" t="str">
        <f t="shared" si="251"/>
        <v/>
      </c>
      <c r="AA807" s="197" t="str">
        <f t="shared" si="252"/>
        <v/>
      </c>
      <c r="AB807" s="218"/>
      <c r="AC807" s="205"/>
    </row>
    <row r="808" spans="1:29">
      <c r="A808" s="219" t="str">
        <f t="shared" si="253"/>
        <v/>
      </c>
      <c r="B808" s="219"/>
      <c r="C808" s="184"/>
      <c r="D808" s="185"/>
      <c r="E808" s="185" t="str">
        <f>IF(OR(C808="",C808=Data!$B$3),"",IF(C808=Data!$B$2,"L","S"))</f>
        <v/>
      </c>
      <c r="F808" s="185" t="str">
        <f t="shared" si="254"/>
        <v/>
      </c>
      <c r="G808" s="186" t="str">
        <f t="shared" si="245"/>
        <v/>
      </c>
      <c r="H808" s="187"/>
      <c r="I808" s="188" t="str">
        <f t="shared" si="255"/>
        <v/>
      </c>
      <c r="J808" s="188" t="str">
        <f t="shared" si="256"/>
        <v/>
      </c>
      <c r="K808" s="189" t="str">
        <f t="shared" si="257"/>
        <v/>
      </c>
      <c r="L808" s="189" t="str">
        <f t="shared" si="258"/>
        <v/>
      </c>
      <c r="M808" s="190"/>
      <c r="N808" s="190"/>
      <c r="O808" s="188" t="str">
        <f t="shared" si="259"/>
        <v/>
      </c>
      <c r="P808" s="191" t="str">
        <f t="shared" si="246"/>
        <v/>
      </c>
      <c r="Q808" s="192" t="str">
        <f t="shared" si="260"/>
        <v/>
      </c>
      <c r="R808" s="191" t="str">
        <f t="shared" si="247"/>
        <v/>
      </c>
      <c r="S808" s="193" t="str">
        <f t="shared" si="261"/>
        <v/>
      </c>
      <c r="T808" s="194" t="str">
        <f t="shared" si="248"/>
        <v/>
      </c>
      <c r="U808" s="192" t="str">
        <f t="shared" si="262"/>
        <v/>
      </c>
      <c r="V808" s="195" t="str">
        <f t="shared" si="249"/>
        <v/>
      </c>
      <c r="W808" s="195" t="str">
        <f t="shared" si="250"/>
        <v/>
      </c>
      <c r="X808" s="196" t="str">
        <f t="shared" si="263"/>
        <v/>
      </c>
      <c r="Y808" s="191" t="str">
        <f t="shared" si="264"/>
        <v/>
      </c>
      <c r="Z808" s="197" t="str">
        <f t="shared" si="251"/>
        <v/>
      </c>
      <c r="AA808" s="197" t="str">
        <f t="shared" si="252"/>
        <v/>
      </c>
      <c r="AB808" s="218"/>
      <c r="AC808" s="205"/>
    </row>
    <row r="809" spans="1:29">
      <c r="A809" s="219" t="str">
        <f t="shared" si="253"/>
        <v/>
      </c>
      <c r="B809" s="219"/>
      <c r="C809" s="184"/>
      <c r="D809" s="185"/>
      <c r="E809" s="185" t="str">
        <f>IF(OR(C809="",C809=Data!$B$3),"",IF(C809=Data!$B$2,"L","S"))</f>
        <v/>
      </c>
      <c r="F809" s="185" t="str">
        <f t="shared" si="254"/>
        <v/>
      </c>
      <c r="G809" s="186" t="str">
        <f t="shared" si="245"/>
        <v/>
      </c>
      <c r="H809" s="187"/>
      <c r="I809" s="188" t="str">
        <f t="shared" si="255"/>
        <v/>
      </c>
      <c r="J809" s="188" t="str">
        <f t="shared" si="256"/>
        <v/>
      </c>
      <c r="K809" s="189" t="str">
        <f t="shared" si="257"/>
        <v/>
      </c>
      <c r="L809" s="189" t="str">
        <f t="shared" si="258"/>
        <v/>
      </c>
      <c r="M809" s="190"/>
      <c r="N809" s="190"/>
      <c r="O809" s="188" t="str">
        <f t="shared" si="259"/>
        <v/>
      </c>
      <c r="P809" s="191" t="str">
        <f t="shared" si="246"/>
        <v/>
      </c>
      <c r="Q809" s="192" t="str">
        <f t="shared" si="260"/>
        <v/>
      </c>
      <c r="R809" s="191" t="str">
        <f t="shared" si="247"/>
        <v/>
      </c>
      <c r="S809" s="193" t="str">
        <f t="shared" si="261"/>
        <v/>
      </c>
      <c r="T809" s="194" t="str">
        <f t="shared" si="248"/>
        <v/>
      </c>
      <c r="U809" s="192" t="str">
        <f t="shared" si="262"/>
        <v/>
      </c>
      <c r="V809" s="195" t="str">
        <f t="shared" si="249"/>
        <v/>
      </c>
      <c r="W809" s="195" t="str">
        <f t="shared" si="250"/>
        <v/>
      </c>
      <c r="X809" s="196" t="str">
        <f t="shared" si="263"/>
        <v/>
      </c>
      <c r="Y809" s="191" t="str">
        <f t="shared" si="264"/>
        <v/>
      </c>
      <c r="Z809" s="197" t="str">
        <f t="shared" si="251"/>
        <v/>
      </c>
      <c r="AA809" s="197" t="str">
        <f t="shared" si="252"/>
        <v/>
      </c>
      <c r="AB809" s="218"/>
      <c r="AC809" s="205"/>
    </row>
    <row r="810" spans="1:29">
      <c r="A810" s="219" t="str">
        <f t="shared" si="253"/>
        <v/>
      </c>
      <c r="B810" s="219"/>
      <c r="C810" s="184"/>
      <c r="D810" s="185"/>
      <c r="E810" s="185" t="str">
        <f>IF(OR(C810="",C810=Data!$B$3),"",IF(C810=Data!$B$2,"L","S"))</f>
        <v/>
      </c>
      <c r="F810" s="185" t="str">
        <f t="shared" si="254"/>
        <v/>
      </c>
      <c r="G810" s="186" t="str">
        <f t="shared" si="245"/>
        <v/>
      </c>
      <c r="H810" s="187"/>
      <c r="I810" s="188" t="str">
        <f t="shared" si="255"/>
        <v/>
      </c>
      <c r="J810" s="188" t="str">
        <f t="shared" si="256"/>
        <v/>
      </c>
      <c r="K810" s="189" t="str">
        <f t="shared" si="257"/>
        <v/>
      </c>
      <c r="L810" s="189" t="str">
        <f t="shared" si="258"/>
        <v/>
      </c>
      <c r="M810" s="190"/>
      <c r="N810" s="190"/>
      <c r="O810" s="188" t="str">
        <f t="shared" si="259"/>
        <v/>
      </c>
      <c r="P810" s="191" t="str">
        <f t="shared" si="246"/>
        <v/>
      </c>
      <c r="Q810" s="192" t="str">
        <f t="shared" si="260"/>
        <v/>
      </c>
      <c r="R810" s="191" t="str">
        <f t="shared" si="247"/>
        <v/>
      </c>
      <c r="S810" s="193" t="str">
        <f t="shared" si="261"/>
        <v/>
      </c>
      <c r="T810" s="194" t="str">
        <f t="shared" si="248"/>
        <v/>
      </c>
      <c r="U810" s="192" t="str">
        <f t="shared" si="262"/>
        <v/>
      </c>
      <c r="V810" s="195" t="str">
        <f t="shared" si="249"/>
        <v/>
      </c>
      <c r="W810" s="195" t="str">
        <f t="shared" si="250"/>
        <v/>
      </c>
      <c r="X810" s="196" t="str">
        <f t="shared" si="263"/>
        <v/>
      </c>
      <c r="Y810" s="191" t="str">
        <f t="shared" si="264"/>
        <v/>
      </c>
      <c r="Z810" s="197" t="str">
        <f t="shared" si="251"/>
        <v/>
      </c>
      <c r="AA810" s="197" t="str">
        <f t="shared" si="252"/>
        <v/>
      </c>
      <c r="AB810" s="218"/>
      <c r="AC810" s="205"/>
    </row>
    <row r="811" spans="1:29">
      <c r="A811" s="219" t="str">
        <f t="shared" si="253"/>
        <v/>
      </c>
      <c r="B811" s="219"/>
      <c r="C811" s="184"/>
      <c r="D811" s="185"/>
      <c r="E811" s="185" t="str">
        <f>IF(OR(C811="",C811=Data!$B$3),"",IF(C811=Data!$B$2,"L","S"))</f>
        <v/>
      </c>
      <c r="F811" s="185" t="str">
        <f t="shared" si="254"/>
        <v/>
      </c>
      <c r="G811" s="186" t="str">
        <f t="shared" si="245"/>
        <v/>
      </c>
      <c r="H811" s="187"/>
      <c r="I811" s="188" t="str">
        <f t="shared" si="255"/>
        <v/>
      </c>
      <c r="J811" s="188" t="str">
        <f t="shared" si="256"/>
        <v/>
      </c>
      <c r="K811" s="189" t="str">
        <f t="shared" si="257"/>
        <v/>
      </c>
      <c r="L811" s="189" t="str">
        <f t="shared" si="258"/>
        <v/>
      </c>
      <c r="M811" s="190"/>
      <c r="N811" s="190"/>
      <c r="O811" s="188" t="str">
        <f t="shared" si="259"/>
        <v/>
      </c>
      <c r="P811" s="191" t="str">
        <f t="shared" si="246"/>
        <v/>
      </c>
      <c r="Q811" s="192" t="str">
        <f t="shared" si="260"/>
        <v/>
      </c>
      <c r="R811" s="191" t="str">
        <f t="shared" si="247"/>
        <v/>
      </c>
      <c r="S811" s="193" t="str">
        <f t="shared" si="261"/>
        <v/>
      </c>
      <c r="T811" s="194" t="str">
        <f t="shared" si="248"/>
        <v/>
      </c>
      <c r="U811" s="192" t="str">
        <f t="shared" si="262"/>
        <v/>
      </c>
      <c r="V811" s="195" t="str">
        <f t="shared" si="249"/>
        <v/>
      </c>
      <c r="W811" s="195" t="str">
        <f t="shared" si="250"/>
        <v/>
      </c>
      <c r="X811" s="196" t="str">
        <f t="shared" si="263"/>
        <v/>
      </c>
      <c r="Y811" s="191" t="str">
        <f t="shared" si="264"/>
        <v/>
      </c>
      <c r="Z811" s="197" t="str">
        <f t="shared" si="251"/>
        <v/>
      </c>
      <c r="AA811" s="197" t="str">
        <f t="shared" si="252"/>
        <v/>
      </c>
      <c r="AB811" s="218"/>
      <c r="AC811" s="205"/>
    </row>
    <row r="812" spans="1:29">
      <c r="A812" s="219" t="str">
        <f t="shared" si="253"/>
        <v/>
      </c>
      <c r="B812" s="219"/>
      <c r="C812" s="184"/>
      <c r="D812" s="185"/>
      <c r="E812" s="185" t="str">
        <f>IF(OR(C812="",C812=Data!$B$3),"",IF(C812=Data!$B$2,"L","S"))</f>
        <v/>
      </c>
      <c r="F812" s="185" t="str">
        <f t="shared" si="254"/>
        <v/>
      </c>
      <c r="G812" s="186" t="str">
        <f t="shared" si="245"/>
        <v/>
      </c>
      <c r="H812" s="187"/>
      <c r="I812" s="188" t="str">
        <f t="shared" si="255"/>
        <v/>
      </c>
      <c r="J812" s="188" t="str">
        <f t="shared" si="256"/>
        <v/>
      </c>
      <c r="K812" s="189" t="str">
        <f t="shared" si="257"/>
        <v/>
      </c>
      <c r="L812" s="189" t="str">
        <f t="shared" si="258"/>
        <v/>
      </c>
      <c r="M812" s="190"/>
      <c r="N812" s="190"/>
      <c r="O812" s="188" t="str">
        <f t="shared" si="259"/>
        <v/>
      </c>
      <c r="P812" s="191" t="str">
        <f t="shared" si="246"/>
        <v/>
      </c>
      <c r="Q812" s="192" t="str">
        <f t="shared" si="260"/>
        <v/>
      </c>
      <c r="R812" s="191" t="str">
        <f t="shared" si="247"/>
        <v/>
      </c>
      <c r="S812" s="193" t="str">
        <f t="shared" si="261"/>
        <v/>
      </c>
      <c r="T812" s="194" t="str">
        <f t="shared" si="248"/>
        <v/>
      </c>
      <c r="U812" s="192" t="str">
        <f t="shared" si="262"/>
        <v/>
      </c>
      <c r="V812" s="195" t="str">
        <f t="shared" si="249"/>
        <v/>
      </c>
      <c r="W812" s="195" t="str">
        <f t="shared" si="250"/>
        <v/>
      </c>
      <c r="X812" s="196" t="str">
        <f t="shared" si="263"/>
        <v/>
      </c>
      <c r="Y812" s="191" t="str">
        <f t="shared" si="264"/>
        <v/>
      </c>
      <c r="Z812" s="197" t="str">
        <f t="shared" si="251"/>
        <v/>
      </c>
      <c r="AA812" s="197" t="str">
        <f t="shared" si="252"/>
        <v/>
      </c>
      <c r="AB812" s="218"/>
      <c r="AC812" s="205"/>
    </row>
    <row r="813" spans="1:29">
      <c r="A813" s="219" t="str">
        <f t="shared" si="253"/>
        <v/>
      </c>
      <c r="B813" s="219"/>
      <c r="C813" s="184"/>
      <c r="D813" s="185"/>
      <c r="E813" s="185" t="str">
        <f>IF(OR(C813="",C813=Data!$B$3),"",IF(C813=Data!$B$2,"L","S"))</f>
        <v/>
      </c>
      <c r="F813" s="185" t="str">
        <f t="shared" si="254"/>
        <v/>
      </c>
      <c r="G813" s="186" t="str">
        <f t="shared" si="245"/>
        <v/>
      </c>
      <c r="H813" s="187"/>
      <c r="I813" s="188" t="str">
        <f t="shared" si="255"/>
        <v/>
      </c>
      <c r="J813" s="188" t="str">
        <f t="shared" si="256"/>
        <v/>
      </c>
      <c r="K813" s="189" t="str">
        <f t="shared" si="257"/>
        <v/>
      </c>
      <c r="L813" s="189" t="str">
        <f t="shared" si="258"/>
        <v/>
      </c>
      <c r="M813" s="190"/>
      <c r="N813" s="190"/>
      <c r="O813" s="188" t="str">
        <f t="shared" si="259"/>
        <v/>
      </c>
      <c r="P813" s="191" t="str">
        <f t="shared" si="246"/>
        <v/>
      </c>
      <c r="Q813" s="192" t="str">
        <f t="shared" si="260"/>
        <v/>
      </c>
      <c r="R813" s="191" t="str">
        <f t="shared" si="247"/>
        <v/>
      </c>
      <c r="S813" s="193" t="str">
        <f t="shared" si="261"/>
        <v/>
      </c>
      <c r="T813" s="194" t="str">
        <f t="shared" si="248"/>
        <v/>
      </c>
      <c r="U813" s="192" t="str">
        <f t="shared" si="262"/>
        <v/>
      </c>
      <c r="V813" s="195" t="str">
        <f t="shared" si="249"/>
        <v/>
      </c>
      <c r="W813" s="195" t="str">
        <f t="shared" si="250"/>
        <v/>
      </c>
      <c r="X813" s="196" t="str">
        <f t="shared" si="263"/>
        <v/>
      </c>
      <c r="Y813" s="191" t="str">
        <f t="shared" si="264"/>
        <v/>
      </c>
      <c r="Z813" s="197" t="str">
        <f t="shared" si="251"/>
        <v/>
      </c>
      <c r="AA813" s="197" t="str">
        <f t="shared" si="252"/>
        <v/>
      </c>
      <c r="AB813" s="218"/>
      <c r="AC813" s="205"/>
    </row>
    <row r="814" spans="1:29">
      <c r="A814" s="219" t="str">
        <f t="shared" si="253"/>
        <v/>
      </c>
      <c r="B814" s="219"/>
      <c r="C814" s="184"/>
      <c r="D814" s="185"/>
      <c r="E814" s="185" t="str">
        <f>IF(OR(C814="",C814=Data!$B$3),"",IF(C814=Data!$B$2,"L","S"))</f>
        <v/>
      </c>
      <c r="F814" s="185" t="str">
        <f t="shared" si="254"/>
        <v/>
      </c>
      <c r="G814" s="186" t="str">
        <f t="shared" si="245"/>
        <v/>
      </c>
      <c r="H814" s="187"/>
      <c r="I814" s="188" t="str">
        <f t="shared" si="255"/>
        <v/>
      </c>
      <c r="J814" s="188" t="str">
        <f t="shared" si="256"/>
        <v/>
      </c>
      <c r="K814" s="189" t="str">
        <f t="shared" si="257"/>
        <v/>
      </c>
      <c r="L814" s="189" t="str">
        <f t="shared" si="258"/>
        <v/>
      </c>
      <c r="M814" s="190"/>
      <c r="N814" s="190"/>
      <c r="O814" s="188" t="str">
        <f t="shared" si="259"/>
        <v/>
      </c>
      <c r="P814" s="191" t="str">
        <f t="shared" si="246"/>
        <v/>
      </c>
      <c r="Q814" s="192" t="str">
        <f t="shared" si="260"/>
        <v/>
      </c>
      <c r="R814" s="191" t="str">
        <f t="shared" si="247"/>
        <v/>
      </c>
      <c r="S814" s="193" t="str">
        <f t="shared" si="261"/>
        <v/>
      </c>
      <c r="T814" s="194" t="str">
        <f t="shared" si="248"/>
        <v/>
      </c>
      <c r="U814" s="192" t="str">
        <f t="shared" si="262"/>
        <v/>
      </c>
      <c r="V814" s="195" t="str">
        <f t="shared" si="249"/>
        <v/>
      </c>
      <c r="W814" s="195" t="str">
        <f t="shared" si="250"/>
        <v/>
      </c>
      <c r="X814" s="196" t="str">
        <f t="shared" si="263"/>
        <v/>
      </c>
      <c r="Y814" s="191" t="str">
        <f t="shared" si="264"/>
        <v/>
      </c>
      <c r="Z814" s="197" t="str">
        <f t="shared" si="251"/>
        <v/>
      </c>
      <c r="AA814" s="197" t="str">
        <f t="shared" si="252"/>
        <v/>
      </c>
      <c r="AB814" s="218"/>
      <c r="AC814" s="205"/>
    </row>
    <row r="815" spans="1:29">
      <c r="A815" s="219" t="str">
        <f t="shared" si="253"/>
        <v/>
      </c>
      <c r="B815" s="219"/>
      <c r="C815" s="184"/>
      <c r="D815" s="185"/>
      <c r="E815" s="185" t="str">
        <f>IF(OR(C815="",C815=Data!$B$3),"",IF(C815=Data!$B$2,"L","S"))</f>
        <v/>
      </c>
      <c r="F815" s="185" t="str">
        <f t="shared" si="254"/>
        <v/>
      </c>
      <c r="G815" s="186" t="str">
        <f t="shared" si="245"/>
        <v/>
      </c>
      <c r="H815" s="187"/>
      <c r="I815" s="188" t="str">
        <f t="shared" si="255"/>
        <v/>
      </c>
      <c r="J815" s="188" t="str">
        <f t="shared" si="256"/>
        <v/>
      </c>
      <c r="K815" s="189" t="str">
        <f t="shared" si="257"/>
        <v/>
      </c>
      <c r="L815" s="189" t="str">
        <f t="shared" si="258"/>
        <v/>
      </c>
      <c r="M815" s="190"/>
      <c r="N815" s="190"/>
      <c r="O815" s="188" t="str">
        <f t="shared" si="259"/>
        <v/>
      </c>
      <c r="P815" s="191" t="str">
        <f t="shared" si="246"/>
        <v/>
      </c>
      <c r="Q815" s="192" t="str">
        <f t="shared" si="260"/>
        <v/>
      </c>
      <c r="R815" s="191" t="str">
        <f t="shared" si="247"/>
        <v/>
      </c>
      <c r="S815" s="193" t="str">
        <f t="shared" si="261"/>
        <v/>
      </c>
      <c r="T815" s="194" t="str">
        <f t="shared" si="248"/>
        <v/>
      </c>
      <c r="U815" s="192" t="str">
        <f t="shared" si="262"/>
        <v/>
      </c>
      <c r="V815" s="195" t="str">
        <f t="shared" si="249"/>
        <v/>
      </c>
      <c r="W815" s="195" t="str">
        <f t="shared" si="250"/>
        <v/>
      </c>
      <c r="X815" s="196" t="str">
        <f t="shared" si="263"/>
        <v/>
      </c>
      <c r="Y815" s="191" t="str">
        <f t="shared" si="264"/>
        <v/>
      </c>
      <c r="Z815" s="197" t="str">
        <f t="shared" si="251"/>
        <v/>
      </c>
      <c r="AA815" s="197" t="str">
        <f t="shared" si="252"/>
        <v/>
      </c>
      <c r="AB815" s="218"/>
      <c r="AC815" s="205"/>
    </row>
    <row r="816" spans="1:29">
      <c r="A816" s="219" t="str">
        <f t="shared" si="253"/>
        <v/>
      </c>
      <c r="B816" s="219"/>
      <c r="C816" s="184"/>
      <c r="D816" s="185"/>
      <c r="E816" s="185" t="str">
        <f>IF(OR(C816="",C816=Data!$B$3),"",IF(C816=Data!$B$2,"L","S"))</f>
        <v/>
      </c>
      <c r="F816" s="185" t="str">
        <f t="shared" si="254"/>
        <v/>
      </c>
      <c r="G816" s="186" t="str">
        <f t="shared" si="245"/>
        <v/>
      </c>
      <c r="H816" s="187"/>
      <c r="I816" s="188" t="str">
        <f t="shared" si="255"/>
        <v/>
      </c>
      <c r="J816" s="188" t="str">
        <f t="shared" si="256"/>
        <v/>
      </c>
      <c r="K816" s="189" t="str">
        <f t="shared" si="257"/>
        <v/>
      </c>
      <c r="L816" s="189" t="str">
        <f t="shared" si="258"/>
        <v/>
      </c>
      <c r="M816" s="190"/>
      <c r="N816" s="190"/>
      <c r="O816" s="188" t="str">
        <f t="shared" si="259"/>
        <v/>
      </c>
      <c r="P816" s="191" t="str">
        <f t="shared" si="246"/>
        <v/>
      </c>
      <c r="Q816" s="192" t="str">
        <f t="shared" si="260"/>
        <v/>
      </c>
      <c r="R816" s="191" t="str">
        <f t="shared" si="247"/>
        <v/>
      </c>
      <c r="S816" s="193" t="str">
        <f t="shared" si="261"/>
        <v/>
      </c>
      <c r="T816" s="194" t="str">
        <f t="shared" si="248"/>
        <v/>
      </c>
      <c r="U816" s="192" t="str">
        <f t="shared" si="262"/>
        <v/>
      </c>
      <c r="V816" s="195" t="str">
        <f t="shared" si="249"/>
        <v/>
      </c>
      <c r="W816" s="195" t="str">
        <f t="shared" si="250"/>
        <v/>
      </c>
      <c r="X816" s="196" t="str">
        <f t="shared" si="263"/>
        <v/>
      </c>
      <c r="Y816" s="191" t="str">
        <f t="shared" si="264"/>
        <v/>
      </c>
      <c r="Z816" s="197" t="str">
        <f t="shared" si="251"/>
        <v/>
      </c>
      <c r="AA816" s="197" t="str">
        <f t="shared" si="252"/>
        <v/>
      </c>
      <c r="AB816" s="218"/>
      <c r="AC816" s="205"/>
    </row>
    <row r="817" spans="1:29">
      <c r="A817" s="219" t="str">
        <f t="shared" si="253"/>
        <v/>
      </c>
      <c r="B817" s="219"/>
      <c r="C817" s="184"/>
      <c r="D817" s="185"/>
      <c r="E817" s="185" t="str">
        <f>IF(OR(C817="",C817=Data!$B$3),"",IF(C817=Data!$B$2,"L","S"))</f>
        <v/>
      </c>
      <c r="F817" s="185" t="str">
        <f t="shared" si="254"/>
        <v/>
      </c>
      <c r="G817" s="186" t="str">
        <f t="shared" si="245"/>
        <v/>
      </c>
      <c r="H817" s="187"/>
      <c r="I817" s="188" t="str">
        <f t="shared" si="255"/>
        <v/>
      </c>
      <c r="J817" s="188" t="str">
        <f t="shared" si="256"/>
        <v/>
      </c>
      <c r="K817" s="189" t="str">
        <f t="shared" si="257"/>
        <v/>
      </c>
      <c r="L817" s="189" t="str">
        <f t="shared" si="258"/>
        <v/>
      </c>
      <c r="M817" s="190"/>
      <c r="N817" s="190"/>
      <c r="O817" s="188" t="str">
        <f t="shared" si="259"/>
        <v/>
      </c>
      <c r="P817" s="191" t="str">
        <f t="shared" si="246"/>
        <v/>
      </c>
      <c r="Q817" s="192" t="str">
        <f t="shared" si="260"/>
        <v/>
      </c>
      <c r="R817" s="191" t="str">
        <f t="shared" si="247"/>
        <v/>
      </c>
      <c r="S817" s="193" t="str">
        <f t="shared" si="261"/>
        <v/>
      </c>
      <c r="T817" s="194" t="str">
        <f t="shared" si="248"/>
        <v/>
      </c>
      <c r="U817" s="192" t="str">
        <f t="shared" si="262"/>
        <v/>
      </c>
      <c r="V817" s="195" t="str">
        <f t="shared" si="249"/>
        <v/>
      </c>
      <c r="W817" s="195" t="str">
        <f t="shared" si="250"/>
        <v/>
      </c>
      <c r="X817" s="196" t="str">
        <f t="shared" si="263"/>
        <v/>
      </c>
      <c r="Y817" s="191" t="str">
        <f t="shared" si="264"/>
        <v/>
      </c>
      <c r="Z817" s="197" t="str">
        <f t="shared" si="251"/>
        <v/>
      </c>
      <c r="AA817" s="197" t="str">
        <f t="shared" si="252"/>
        <v/>
      </c>
      <c r="AB817" s="218"/>
      <c r="AC817" s="205"/>
    </row>
    <row r="818" spans="1:29">
      <c r="A818" s="219" t="str">
        <f t="shared" si="253"/>
        <v/>
      </c>
      <c r="B818" s="219"/>
      <c r="C818" s="184"/>
      <c r="D818" s="185"/>
      <c r="E818" s="185" t="str">
        <f>IF(OR(C818="",C818=Data!$B$3),"",IF(C818=Data!$B$2,"L","S"))</f>
        <v/>
      </c>
      <c r="F818" s="185" t="str">
        <f t="shared" si="254"/>
        <v/>
      </c>
      <c r="G818" s="186" t="str">
        <f t="shared" si="245"/>
        <v/>
      </c>
      <c r="H818" s="187"/>
      <c r="I818" s="188" t="str">
        <f t="shared" si="255"/>
        <v/>
      </c>
      <c r="J818" s="188" t="str">
        <f t="shared" si="256"/>
        <v/>
      </c>
      <c r="K818" s="189" t="str">
        <f t="shared" si="257"/>
        <v/>
      </c>
      <c r="L818" s="189" t="str">
        <f t="shared" si="258"/>
        <v/>
      </c>
      <c r="M818" s="190"/>
      <c r="N818" s="190"/>
      <c r="O818" s="188" t="str">
        <f t="shared" si="259"/>
        <v/>
      </c>
      <c r="P818" s="191" t="str">
        <f t="shared" si="246"/>
        <v/>
      </c>
      <c r="Q818" s="192" t="str">
        <f t="shared" si="260"/>
        <v/>
      </c>
      <c r="R818" s="191" t="str">
        <f t="shared" si="247"/>
        <v/>
      </c>
      <c r="S818" s="193" t="str">
        <f t="shared" si="261"/>
        <v/>
      </c>
      <c r="T818" s="194" t="str">
        <f t="shared" si="248"/>
        <v/>
      </c>
      <c r="U818" s="192" t="str">
        <f t="shared" si="262"/>
        <v/>
      </c>
      <c r="V818" s="195" t="str">
        <f t="shared" si="249"/>
        <v/>
      </c>
      <c r="W818" s="195" t="str">
        <f t="shared" si="250"/>
        <v/>
      </c>
      <c r="X818" s="196" t="str">
        <f t="shared" si="263"/>
        <v/>
      </c>
      <c r="Y818" s="191" t="str">
        <f t="shared" si="264"/>
        <v/>
      </c>
      <c r="Z818" s="197" t="str">
        <f t="shared" si="251"/>
        <v/>
      </c>
      <c r="AA818" s="197" t="str">
        <f t="shared" si="252"/>
        <v/>
      </c>
      <c r="AB818" s="218"/>
      <c r="AC818" s="205"/>
    </row>
    <row r="819" spans="1:29">
      <c r="A819" s="219" t="str">
        <f t="shared" si="253"/>
        <v/>
      </c>
      <c r="B819" s="219"/>
      <c r="C819" s="184"/>
      <c r="D819" s="185"/>
      <c r="E819" s="185" t="str">
        <f>IF(OR(C819="",C819=Data!$B$3),"",IF(C819=Data!$B$2,"L","S"))</f>
        <v/>
      </c>
      <c r="F819" s="185" t="str">
        <f t="shared" si="254"/>
        <v/>
      </c>
      <c r="G819" s="186" t="str">
        <f t="shared" si="245"/>
        <v/>
      </c>
      <c r="H819" s="187"/>
      <c r="I819" s="188" t="str">
        <f t="shared" si="255"/>
        <v/>
      </c>
      <c r="J819" s="188" t="str">
        <f t="shared" si="256"/>
        <v/>
      </c>
      <c r="K819" s="189" t="str">
        <f t="shared" si="257"/>
        <v/>
      </c>
      <c r="L819" s="189" t="str">
        <f t="shared" si="258"/>
        <v/>
      </c>
      <c r="M819" s="190"/>
      <c r="N819" s="190"/>
      <c r="O819" s="188" t="str">
        <f t="shared" si="259"/>
        <v/>
      </c>
      <c r="P819" s="191" t="str">
        <f t="shared" si="246"/>
        <v/>
      </c>
      <c r="Q819" s="192" t="str">
        <f t="shared" si="260"/>
        <v/>
      </c>
      <c r="R819" s="191" t="str">
        <f t="shared" si="247"/>
        <v/>
      </c>
      <c r="S819" s="193" t="str">
        <f t="shared" si="261"/>
        <v/>
      </c>
      <c r="T819" s="194" t="str">
        <f t="shared" si="248"/>
        <v/>
      </c>
      <c r="U819" s="192" t="str">
        <f t="shared" si="262"/>
        <v/>
      </c>
      <c r="V819" s="195" t="str">
        <f t="shared" si="249"/>
        <v/>
      </c>
      <c r="W819" s="195" t="str">
        <f t="shared" si="250"/>
        <v/>
      </c>
      <c r="X819" s="196" t="str">
        <f t="shared" si="263"/>
        <v/>
      </c>
      <c r="Y819" s="191" t="str">
        <f t="shared" si="264"/>
        <v/>
      </c>
      <c r="Z819" s="197" t="str">
        <f t="shared" si="251"/>
        <v/>
      </c>
      <c r="AA819" s="197" t="str">
        <f t="shared" si="252"/>
        <v/>
      </c>
      <c r="AB819" s="218"/>
      <c r="AC819" s="205"/>
    </row>
    <row r="820" spans="1:29">
      <c r="A820" s="219" t="str">
        <f t="shared" si="253"/>
        <v/>
      </c>
      <c r="B820" s="219"/>
      <c r="C820" s="184"/>
      <c r="D820" s="185"/>
      <c r="E820" s="185" t="str">
        <f>IF(OR(C820="",C820=Data!$B$3),"",IF(C820=Data!$B$2,"L","S"))</f>
        <v/>
      </c>
      <c r="F820" s="185" t="str">
        <f t="shared" si="254"/>
        <v/>
      </c>
      <c r="G820" s="186" t="str">
        <f t="shared" si="245"/>
        <v/>
      </c>
      <c r="H820" s="187"/>
      <c r="I820" s="188" t="str">
        <f t="shared" si="255"/>
        <v/>
      </c>
      <c r="J820" s="188" t="str">
        <f t="shared" si="256"/>
        <v/>
      </c>
      <c r="K820" s="189" t="str">
        <f t="shared" si="257"/>
        <v/>
      </c>
      <c r="L820" s="189" t="str">
        <f t="shared" si="258"/>
        <v/>
      </c>
      <c r="M820" s="190"/>
      <c r="N820" s="190"/>
      <c r="O820" s="188" t="str">
        <f t="shared" si="259"/>
        <v/>
      </c>
      <c r="P820" s="191" t="str">
        <f t="shared" si="246"/>
        <v/>
      </c>
      <c r="Q820" s="192" t="str">
        <f t="shared" si="260"/>
        <v/>
      </c>
      <c r="R820" s="191" t="str">
        <f t="shared" si="247"/>
        <v/>
      </c>
      <c r="S820" s="193" t="str">
        <f t="shared" si="261"/>
        <v/>
      </c>
      <c r="T820" s="194" t="str">
        <f t="shared" si="248"/>
        <v/>
      </c>
      <c r="U820" s="192" t="str">
        <f t="shared" si="262"/>
        <v/>
      </c>
      <c r="V820" s="195" t="str">
        <f t="shared" si="249"/>
        <v/>
      </c>
      <c r="W820" s="195" t="str">
        <f t="shared" si="250"/>
        <v/>
      </c>
      <c r="X820" s="196" t="str">
        <f t="shared" si="263"/>
        <v/>
      </c>
      <c r="Y820" s="191" t="str">
        <f t="shared" si="264"/>
        <v/>
      </c>
      <c r="Z820" s="197" t="str">
        <f t="shared" si="251"/>
        <v/>
      </c>
      <c r="AA820" s="197" t="str">
        <f t="shared" si="252"/>
        <v/>
      </c>
      <c r="AB820" s="218"/>
      <c r="AC820" s="205"/>
    </row>
    <row r="821" spans="1:29">
      <c r="A821" s="219" t="str">
        <f t="shared" si="253"/>
        <v/>
      </c>
      <c r="B821" s="219"/>
      <c r="C821" s="184"/>
      <c r="D821" s="185"/>
      <c r="E821" s="185" t="str">
        <f>IF(OR(C821="",C821=Data!$B$3),"",IF(C821=Data!$B$2,"L","S"))</f>
        <v/>
      </c>
      <c r="F821" s="185" t="str">
        <f t="shared" si="254"/>
        <v/>
      </c>
      <c r="G821" s="186" t="str">
        <f t="shared" si="245"/>
        <v/>
      </c>
      <c r="H821" s="187"/>
      <c r="I821" s="188" t="str">
        <f t="shared" si="255"/>
        <v/>
      </c>
      <c r="J821" s="188" t="str">
        <f t="shared" si="256"/>
        <v/>
      </c>
      <c r="K821" s="189" t="str">
        <f t="shared" si="257"/>
        <v/>
      </c>
      <c r="L821" s="189" t="str">
        <f t="shared" si="258"/>
        <v/>
      </c>
      <c r="M821" s="190"/>
      <c r="N821" s="190"/>
      <c r="O821" s="188" t="str">
        <f t="shared" si="259"/>
        <v/>
      </c>
      <c r="P821" s="191" t="str">
        <f t="shared" si="246"/>
        <v/>
      </c>
      <c r="Q821" s="192" t="str">
        <f t="shared" si="260"/>
        <v/>
      </c>
      <c r="R821" s="191" t="str">
        <f t="shared" si="247"/>
        <v/>
      </c>
      <c r="S821" s="193" t="str">
        <f t="shared" si="261"/>
        <v/>
      </c>
      <c r="T821" s="194" t="str">
        <f t="shared" si="248"/>
        <v/>
      </c>
      <c r="U821" s="192" t="str">
        <f t="shared" si="262"/>
        <v/>
      </c>
      <c r="V821" s="195" t="str">
        <f t="shared" si="249"/>
        <v/>
      </c>
      <c r="W821" s="195" t="str">
        <f t="shared" si="250"/>
        <v/>
      </c>
      <c r="X821" s="196" t="str">
        <f t="shared" si="263"/>
        <v/>
      </c>
      <c r="Y821" s="191" t="str">
        <f t="shared" si="264"/>
        <v/>
      </c>
      <c r="Z821" s="197" t="str">
        <f t="shared" si="251"/>
        <v/>
      </c>
      <c r="AA821" s="197" t="str">
        <f t="shared" si="252"/>
        <v/>
      </c>
      <c r="AB821" s="218"/>
      <c r="AC821" s="205"/>
    </row>
    <row r="822" spans="1:29">
      <c r="A822" s="219" t="str">
        <f t="shared" si="253"/>
        <v/>
      </c>
      <c r="B822" s="219"/>
      <c r="C822" s="184"/>
      <c r="D822" s="185"/>
      <c r="E822" s="185" t="str">
        <f>IF(OR(C822="",C822=Data!$B$3),"",IF(C822=Data!$B$2,"L","S"))</f>
        <v/>
      </c>
      <c r="F822" s="185" t="str">
        <f t="shared" si="254"/>
        <v/>
      </c>
      <c r="G822" s="186" t="str">
        <f t="shared" si="245"/>
        <v/>
      </c>
      <c r="H822" s="187"/>
      <c r="I822" s="188" t="str">
        <f t="shared" si="255"/>
        <v/>
      </c>
      <c r="J822" s="188" t="str">
        <f t="shared" si="256"/>
        <v/>
      </c>
      <c r="K822" s="189" t="str">
        <f t="shared" si="257"/>
        <v/>
      </c>
      <c r="L822" s="189" t="str">
        <f t="shared" si="258"/>
        <v/>
      </c>
      <c r="M822" s="190"/>
      <c r="N822" s="190"/>
      <c r="O822" s="188" t="str">
        <f t="shared" si="259"/>
        <v/>
      </c>
      <c r="P822" s="191" t="str">
        <f t="shared" si="246"/>
        <v/>
      </c>
      <c r="Q822" s="192" t="str">
        <f t="shared" si="260"/>
        <v/>
      </c>
      <c r="R822" s="191" t="str">
        <f t="shared" si="247"/>
        <v/>
      </c>
      <c r="S822" s="193" t="str">
        <f t="shared" si="261"/>
        <v/>
      </c>
      <c r="T822" s="194" t="str">
        <f t="shared" si="248"/>
        <v/>
      </c>
      <c r="U822" s="192" t="str">
        <f t="shared" si="262"/>
        <v/>
      </c>
      <c r="V822" s="195" t="str">
        <f t="shared" si="249"/>
        <v/>
      </c>
      <c r="W822" s="195" t="str">
        <f t="shared" si="250"/>
        <v/>
      </c>
      <c r="X822" s="196" t="str">
        <f t="shared" si="263"/>
        <v/>
      </c>
      <c r="Y822" s="191" t="str">
        <f t="shared" si="264"/>
        <v/>
      </c>
      <c r="Z822" s="197" t="str">
        <f t="shared" si="251"/>
        <v/>
      </c>
      <c r="AA822" s="197" t="str">
        <f t="shared" si="252"/>
        <v/>
      </c>
      <c r="AB822" s="218"/>
      <c r="AC822" s="205"/>
    </row>
    <row r="823" spans="1:29">
      <c r="A823" s="219" t="str">
        <f t="shared" si="253"/>
        <v/>
      </c>
      <c r="B823" s="219"/>
      <c r="C823" s="184"/>
      <c r="D823" s="185"/>
      <c r="E823" s="185" t="str">
        <f>IF(OR(C823="",C823=Data!$B$3),"",IF(C823=Data!$B$2,"L","S"))</f>
        <v/>
      </c>
      <c r="F823" s="185" t="str">
        <f t="shared" si="254"/>
        <v/>
      </c>
      <c r="G823" s="186" t="str">
        <f t="shared" si="245"/>
        <v/>
      </c>
      <c r="H823" s="187"/>
      <c r="I823" s="188" t="str">
        <f t="shared" si="255"/>
        <v/>
      </c>
      <c r="J823" s="188" t="str">
        <f t="shared" si="256"/>
        <v/>
      </c>
      <c r="K823" s="189" t="str">
        <f t="shared" si="257"/>
        <v/>
      </c>
      <c r="L823" s="189" t="str">
        <f t="shared" si="258"/>
        <v/>
      </c>
      <c r="M823" s="190"/>
      <c r="N823" s="190"/>
      <c r="O823" s="188" t="str">
        <f t="shared" si="259"/>
        <v/>
      </c>
      <c r="P823" s="191" t="str">
        <f t="shared" si="246"/>
        <v/>
      </c>
      <c r="Q823" s="192" t="str">
        <f t="shared" si="260"/>
        <v/>
      </c>
      <c r="R823" s="191" t="str">
        <f t="shared" si="247"/>
        <v/>
      </c>
      <c r="S823" s="193" t="str">
        <f t="shared" si="261"/>
        <v/>
      </c>
      <c r="T823" s="194" t="str">
        <f t="shared" si="248"/>
        <v/>
      </c>
      <c r="U823" s="192" t="str">
        <f t="shared" si="262"/>
        <v/>
      </c>
      <c r="V823" s="195" t="str">
        <f t="shared" si="249"/>
        <v/>
      </c>
      <c r="W823" s="195" t="str">
        <f t="shared" si="250"/>
        <v/>
      </c>
      <c r="X823" s="196" t="str">
        <f t="shared" si="263"/>
        <v/>
      </c>
      <c r="Y823" s="191" t="str">
        <f t="shared" si="264"/>
        <v/>
      </c>
      <c r="Z823" s="197" t="str">
        <f t="shared" si="251"/>
        <v/>
      </c>
      <c r="AA823" s="197" t="str">
        <f t="shared" si="252"/>
        <v/>
      </c>
      <c r="AB823" s="218"/>
      <c r="AC823" s="205"/>
    </row>
    <row r="824" spans="1:29">
      <c r="A824" s="219" t="str">
        <f t="shared" si="253"/>
        <v/>
      </c>
      <c r="B824" s="219"/>
      <c r="C824" s="184"/>
      <c r="D824" s="185"/>
      <c r="E824" s="185" t="str">
        <f>IF(OR(C824="",C824=Data!$B$3),"",IF(C824=Data!$B$2,"L","S"))</f>
        <v/>
      </c>
      <c r="F824" s="185" t="str">
        <f t="shared" si="254"/>
        <v/>
      </c>
      <c r="G824" s="186" t="str">
        <f t="shared" si="245"/>
        <v/>
      </c>
      <c r="H824" s="187"/>
      <c r="I824" s="188" t="str">
        <f t="shared" si="255"/>
        <v/>
      </c>
      <c r="J824" s="188" t="str">
        <f t="shared" si="256"/>
        <v/>
      </c>
      <c r="K824" s="189" t="str">
        <f t="shared" si="257"/>
        <v/>
      </c>
      <c r="L824" s="189" t="str">
        <f t="shared" si="258"/>
        <v/>
      </c>
      <c r="M824" s="190"/>
      <c r="N824" s="190"/>
      <c r="O824" s="188" t="str">
        <f t="shared" si="259"/>
        <v/>
      </c>
      <c r="P824" s="191" t="str">
        <f t="shared" si="246"/>
        <v/>
      </c>
      <c r="Q824" s="192" t="str">
        <f t="shared" si="260"/>
        <v/>
      </c>
      <c r="R824" s="191" t="str">
        <f t="shared" si="247"/>
        <v/>
      </c>
      <c r="S824" s="193" t="str">
        <f t="shared" si="261"/>
        <v/>
      </c>
      <c r="T824" s="194" t="str">
        <f t="shared" si="248"/>
        <v/>
      </c>
      <c r="U824" s="192" t="str">
        <f t="shared" si="262"/>
        <v/>
      </c>
      <c r="V824" s="195" t="str">
        <f t="shared" si="249"/>
        <v/>
      </c>
      <c r="W824" s="195" t="str">
        <f t="shared" si="250"/>
        <v/>
      </c>
      <c r="X824" s="196" t="str">
        <f t="shared" si="263"/>
        <v/>
      </c>
      <c r="Y824" s="191" t="str">
        <f t="shared" si="264"/>
        <v/>
      </c>
      <c r="Z824" s="197" t="str">
        <f t="shared" si="251"/>
        <v/>
      </c>
      <c r="AA824" s="197" t="str">
        <f t="shared" si="252"/>
        <v/>
      </c>
      <c r="AB824" s="218"/>
      <c r="AC824" s="205"/>
    </row>
    <row r="825" spans="1:29">
      <c r="A825" s="219" t="str">
        <f t="shared" si="253"/>
        <v/>
      </c>
      <c r="B825" s="219"/>
      <c r="C825" s="184"/>
      <c r="D825" s="185"/>
      <c r="E825" s="185" t="str">
        <f>IF(OR(C825="",C825=Data!$B$3),"",IF(C825=Data!$B$2,"L","S"))</f>
        <v/>
      </c>
      <c r="F825" s="185" t="str">
        <f t="shared" si="254"/>
        <v/>
      </c>
      <c r="G825" s="186" t="str">
        <f t="shared" si="245"/>
        <v/>
      </c>
      <c r="H825" s="187"/>
      <c r="I825" s="188" t="str">
        <f t="shared" si="255"/>
        <v/>
      </c>
      <c r="J825" s="188" t="str">
        <f t="shared" si="256"/>
        <v/>
      </c>
      <c r="K825" s="189" t="str">
        <f t="shared" si="257"/>
        <v/>
      </c>
      <c r="L825" s="189" t="str">
        <f t="shared" si="258"/>
        <v/>
      </c>
      <c r="M825" s="190"/>
      <c r="N825" s="190"/>
      <c r="O825" s="188" t="str">
        <f t="shared" si="259"/>
        <v/>
      </c>
      <c r="P825" s="191" t="str">
        <f t="shared" si="246"/>
        <v/>
      </c>
      <c r="Q825" s="192" t="str">
        <f t="shared" si="260"/>
        <v/>
      </c>
      <c r="R825" s="191" t="str">
        <f t="shared" si="247"/>
        <v/>
      </c>
      <c r="S825" s="193" t="str">
        <f t="shared" si="261"/>
        <v/>
      </c>
      <c r="T825" s="194" t="str">
        <f t="shared" si="248"/>
        <v/>
      </c>
      <c r="U825" s="192" t="str">
        <f t="shared" si="262"/>
        <v/>
      </c>
      <c r="V825" s="195" t="str">
        <f t="shared" si="249"/>
        <v/>
      </c>
      <c r="W825" s="195" t="str">
        <f t="shared" si="250"/>
        <v/>
      </c>
      <c r="X825" s="196" t="str">
        <f t="shared" si="263"/>
        <v/>
      </c>
      <c r="Y825" s="191" t="str">
        <f t="shared" si="264"/>
        <v/>
      </c>
      <c r="Z825" s="197" t="str">
        <f t="shared" si="251"/>
        <v/>
      </c>
      <c r="AA825" s="197" t="str">
        <f t="shared" si="252"/>
        <v/>
      </c>
      <c r="AB825" s="218"/>
      <c r="AC825" s="205"/>
    </row>
    <row r="826" spans="1:29">
      <c r="A826" s="219" t="str">
        <f t="shared" si="253"/>
        <v/>
      </c>
      <c r="B826" s="219"/>
      <c r="C826" s="184"/>
      <c r="D826" s="185"/>
      <c r="E826" s="185" t="str">
        <f>IF(OR(C826="",C826=Data!$B$3),"",IF(C826=Data!$B$2,"L","S"))</f>
        <v/>
      </c>
      <c r="F826" s="185" t="str">
        <f t="shared" si="254"/>
        <v/>
      </c>
      <c r="G826" s="186" t="str">
        <f t="shared" si="245"/>
        <v/>
      </c>
      <c r="H826" s="187"/>
      <c r="I826" s="188" t="str">
        <f t="shared" si="255"/>
        <v/>
      </c>
      <c r="J826" s="188" t="str">
        <f t="shared" si="256"/>
        <v/>
      </c>
      <c r="K826" s="189" t="str">
        <f t="shared" si="257"/>
        <v/>
      </c>
      <c r="L826" s="189" t="str">
        <f t="shared" si="258"/>
        <v/>
      </c>
      <c r="M826" s="190"/>
      <c r="N826" s="190"/>
      <c r="O826" s="188" t="str">
        <f t="shared" si="259"/>
        <v/>
      </c>
      <c r="P826" s="191" t="str">
        <f t="shared" si="246"/>
        <v/>
      </c>
      <c r="Q826" s="192" t="str">
        <f t="shared" si="260"/>
        <v/>
      </c>
      <c r="R826" s="191" t="str">
        <f t="shared" si="247"/>
        <v/>
      </c>
      <c r="S826" s="193" t="str">
        <f t="shared" si="261"/>
        <v/>
      </c>
      <c r="T826" s="194" t="str">
        <f t="shared" si="248"/>
        <v/>
      </c>
      <c r="U826" s="192" t="str">
        <f t="shared" si="262"/>
        <v/>
      </c>
      <c r="V826" s="195" t="str">
        <f t="shared" si="249"/>
        <v/>
      </c>
      <c r="W826" s="195" t="str">
        <f t="shared" si="250"/>
        <v/>
      </c>
      <c r="X826" s="196" t="str">
        <f t="shared" si="263"/>
        <v/>
      </c>
      <c r="Y826" s="191" t="str">
        <f t="shared" si="264"/>
        <v/>
      </c>
      <c r="Z826" s="197" t="str">
        <f t="shared" si="251"/>
        <v/>
      </c>
      <c r="AA826" s="197" t="str">
        <f t="shared" si="252"/>
        <v/>
      </c>
      <c r="AB826" s="218"/>
      <c r="AC826" s="205"/>
    </row>
    <row r="827" spans="1:29">
      <c r="A827" s="219" t="str">
        <f t="shared" si="253"/>
        <v/>
      </c>
      <c r="B827" s="219"/>
      <c r="C827" s="184"/>
      <c r="D827" s="185"/>
      <c r="E827" s="185" t="str">
        <f>IF(OR(C827="",C827=Data!$B$3),"",IF(C827=Data!$B$2,"L","S"))</f>
        <v/>
      </c>
      <c r="F827" s="185" t="str">
        <f t="shared" si="254"/>
        <v/>
      </c>
      <c r="G827" s="186" t="str">
        <f t="shared" si="245"/>
        <v/>
      </c>
      <c r="H827" s="187"/>
      <c r="I827" s="188" t="str">
        <f t="shared" si="255"/>
        <v/>
      </c>
      <c r="J827" s="188" t="str">
        <f t="shared" si="256"/>
        <v/>
      </c>
      <c r="K827" s="189" t="str">
        <f t="shared" si="257"/>
        <v/>
      </c>
      <c r="L827" s="189" t="str">
        <f t="shared" si="258"/>
        <v/>
      </c>
      <c r="M827" s="190"/>
      <c r="N827" s="190"/>
      <c r="O827" s="188" t="str">
        <f t="shared" si="259"/>
        <v/>
      </c>
      <c r="P827" s="191" t="str">
        <f t="shared" si="246"/>
        <v/>
      </c>
      <c r="Q827" s="192" t="str">
        <f t="shared" si="260"/>
        <v/>
      </c>
      <c r="R827" s="191" t="str">
        <f t="shared" si="247"/>
        <v/>
      </c>
      <c r="S827" s="193" t="str">
        <f t="shared" si="261"/>
        <v/>
      </c>
      <c r="T827" s="194" t="str">
        <f t="shared" si="248"/>
        <v/>
      </c>
      <c r="U827" s="192" t="str">
        <f t="shared" si="262"/>
        <v/>
      </c>
      <c r="V827" s="195" t="str">
        <f t="shared" si="249"/>
        <v/>
      </c>
      <c r="W827" s="195" t="str">
        <f t="shared" si="250"/>
        <v/>
      </c>
      <c r="X827" s="196" t="str">
        <f t="shared" si="263"/>
        <v/>
      </c>
      <c r="Y827" s="191" t="str">
        <f t="shared" si="264"/>
        <v/>
      </c>
      <c r="Z827" s="197" t="str">
        <f t="shared" si="251"/>
        <v/>
      </c>
      <c r="AA827" s="197" t="str">
        <f t="shared" si="252"/>
        <v/>
      </c>
      <c r="AB827" s="218"/>
      <c r="AC827" s="205"/>
    </row>
    <row r="828" spans="1:29">
      <c r="A828" s="219" t="str">
        <f t="shared" si="253"/>
        <v/>
      </c>
      <c r="B828" s="219"/>
      <c r="C828" s="184"/>
      <c r="D828" s="185"/>
      <c r="E828" s="185" t="str">
        <f>IF(OR(C828="",C828=Data!$B$3),"",IF(C828=Data!$B$2,"L","S"))</f>
        <v/>
      </c>
      <c r="F828" s="185" t="str">
        <f t="shared" si="254"/>
        <v/>
      </c>
      <c r="G828" s="186" t="str">
        <f t="shared" si="245"/>
        <v/>
      </c>
      <c r="H828" s="187"/>
      <c r="I828" s="188" t="str">
        <f t="shared" si="255"/>
        <v/>
      </c>
      <c r="J828" s="188" t="str">
        <f t="shared" si="256"/>
        <v/>
      </c>
      <c r="K828" s="189" t="str">
        <f t="shared" si="257"/>
        <v/>
      </c>
      <c r="L828" s="189" t="str">
        <f t="shared" si="258"/>
        <v/>
      </c>
      <c r="M828" s="190"/>
      <c r="N828" s="190"/>
      <c r="O828" s="188" t="str">
        <f t="shared" si="259"/>
        <v/>
      </c>
      <c r="P828" s="191" t="str">
        <f t="shared" si="246"/>
        <v/>
      </c>
      <c r="Q828" s="192" t="str">
        <f t="shared" si="260"/>
        <v/>
      </c>
      <c r="R828" s="191" t="str">
        <f t="shared" si="247"/>
        <v/>
      </c>
      <c r="S828" s="193" t="str">
        <f t="shared" si="261"/>
        <v/>
      </c>
      <c r="T828" s="194" t="str">
        <f t="shared" si="248"/>
        <v/>
      </c>
      <c r="U828" s="192" t="str">
        <f t="shared" si="262"/>
        <v/>
      </c>
      <c r="V828" s="195" t="str">
        <f t="shared" si="249"/>
        <v/>
      </c>
      <c r="W828" s="195" t="str">
        <f t="shared" si="250"/>
        <v/>
      </c>
      <c r="X828" s="196" t="str">
        <f t="shared" si="263"/>
        <v/>
      </c>
      <c r="Y828" s="191" t="str">
        <f t="shared" si="264"/>
        <v/>
      </c>
      <c r="Z828" s="197" t="str">
        <f t="shared" si="251"/>
        <v/>
      </c>
      <c r="AA828" s="197" t="str">
        <f t="shared" si="252"/>
        <v/>
      </c>
      <c r="AB828" s="218"/>
      <c r="AC828" s="205"/>
    </row>
    <row r="829" spans="1:29">
      <c r="A829" s="219" t="str">
        <f t="shared" si="253"/>
        <v/>
      </c>
      <c r="B829" s="219"/>
      <c r="C829" s="184"/>
      <c r="D829" s="185"/>
      <c r="E829" s="185" t="str">
        <f>IF(OR(C829="",C829=Data!$B$3),"",IF(C829=Data!$B$2,"L","S"))</f>
        <v/>
      </c>
      <c r="F829" s="185" t="str">
        <f t="shared" si="254"/>
        <v/>
      </c>
      <c r="G829" s="186" t="str">
        <f t="shared" si="245"/>
        <v/>
      </c>
      <c r="H829" s="187"/>
      <c r="I829" s="188" t="str">
        <f t="shared" si="255"/>
        <v/>
      </c>
      <c r="J829" s="188" t="str">
        <f t="shared" si="256"/>
        <v/>
      </c>
      <c r="K829" s="189" t="str">
        <f t="shared" si="257"/>
        <v/>
      </c>
      <c r="L829" s="189" t="str">
        <f t="shared" si="258"/>
        <v/>
      </c>
      <c r="M829" s="190"/>
      <c r="N829" s="190"/>
      <c r="O829" s="188" t="str">
        <f t="shared" si="259"/>
        <v/>
      </c>
      <c r="P829" s="191" t="str">
        <f t="shared" si="246"/>
        <v/>
      </c>
      <c r="Q829" s="192" t="str">
        <f t="shared" si="260"/>
        <v/>
      </c>
      <c r="R829" s="191" t="str">
        <f t="shared" si="247"/>
        <v/>
      </c>
      <c r="S829" s="193" t="str">
        <f t="shared" si="261"/>
        <v/>
      </c>
      <c r="T829" s="194" t="str">
        <f t="shared" si="248"/>
        <v/>
      </c>
      <c r="U829" s="192" t="str">
        <f t="shared" si="262"/>
        <v/>
      </c>
      <c r="V829" s="195" t="str">
        <f t="shared" si="249"/>
        <v/>
      </c>
      <c r="W829" s="195" t="str">
        <f t="shared" si="250"/>
        <v/>
      </c>
      <c r="X829" s="196" t="str">
        <f t="shared" si="263"/>
        <v/>
      </c>
      <c r="Y829" s="191" t="str">
        <f t="shared" si="264"/>
        <v/>
      </c>
      <c r="Z829" s="197" t="str">
        <f t="shared" si="251"/>
        <v/>
      </c>
      <c r="AA829" s="197" t="str">
        <f t="shared" si="252"/>
        <v/>
      </c>
      <c r="AB829" s="218"/>
      <c r="AC829" s="205"/>
    </row>
    <row r="830" spans="1:29">
      <c r="A830" s="219" t="str">
        <f t="shared" si="253"/>
        <v/>
      </c>
      <c r="B830" s="219"/>
      <c r="C830" s="184"/>
      <c r="D830" s="185"/>
      <c r="E830" s="185" t="str">
        <f>IF(OR(C830="",C830=Data!$B$3),"",IF(C830=Data!$B$2,"L","S"))</f>
        <v/>
      </c>
      <c r="F830" s="185" t="str">
        <f t="shared" si="254"/>
        <v/>
      </c>
      <c r="G830" s="186" t="str">
        <f t="shared" si="245"/>
        <v/>
      </c>
      <c r="H830" s="187"/>
      <c r="I830" s="188" t="str">
        <f t="shared" si="255"/>
        <v/>
      </c>
      <c r="J830" s="188" t="str">
        <f t="shared" si="256"/>
        <v/>
      </c>
      <c r="K830" s="189" t="str">
        <f t="shared" si="257"/>
        <v/>
      </c>
      <c r="L830" s="189" t="str">
        <f t="shared" si="258"/>
        <v/>
      </c>
      <c r="M830" s="190"/>
      <c r="N830" s="190"/>
      <c r="O830" s="188" t="str">
        <f t="shared" si="259"/>
        <v/>
      </c>
      <c r="P830" s="191" t="str">
        <f t="shared" si="246"/>
        <v/>
      </c>
      <c r="Q830" s="192" t="str">
        <f t="shared" si="260"/>
        <v/>
      </c>
      <c r="R830" s="191" t="str">
        <f t="shared" si="247"/>
        <v/>
      </c>
      <c r="S830" s="193" t="str">
        <f t="shared" si="261"/>
        <v/>
      </c>
      <c r="T830" s="194" t="str">
        <f t="shared" si="248"/>
        <v/>
      </c>
      <c r="U830" s="192" t="str">
        <f t="shared" si="262"/>
        <v/>
      </c>
      <c r="V830" s="195" t="str">
        <f t="shared" si="249"/>
        <v/>
      </c>
      <c r="W830" s="195" t="str">
        <f t="shared" si="250"/>
        <v/>
      </c>
      <c r="X830" s="196" t="str">
        <f t="shared" si="263"/>
        <v/>
      </c>
      <c r="Y830" s="191" t="str">
        <f t="shared" si="264"/>
        <v/>
      </c>
      <c r="Z830" s="197" t="str">
        <f t="shared" si="251"/>
        <v/>
      </c>
      <c r="AA830" s="197" t="str">
        <f t="shared" si="252"/>
        <v/>
      </c>
      <c r="AB830" s="218"/>
      <c r="AC830" s="205"/>
    </row>
    <row r="831" spans="1:29">
      <c r="A831" s="219" t="str">
        <f t="shared" si="253"/>
        <v/>
      </c>
      <c r="B831" s="219"/>
      <c r="C831" s="184"/>
      <c r="D831" s="185"/>
      <c r="E831" s="185" t="str">
        <f>IF(OR(C831="",C831=Data!$B$3),"",IF(C831=Data!$B$2,"L","S"))</f>
        <v/>
      </c>
      <c r="F831" s="185" t="str">
        <f t="shared" si="254"/>
        <v/>
      </c>
      <c r="G831" s="186" t="str">
        <f t="shared" si="245"/>
        <v/>
      </c>
      <c r="H831" s="187"/>
      <c r="I831" s="188" t="str">
        <f t="shared" si="255"/>
        <v/>
      </c>
      <c r="J831" s="188" t="str">
        <f t="shared" si="256"/>
        <v/>
      </c>
      <c r="K831" s="189" t="str">
        <f t="shared" si="257"/>
        <v/>
      </c>
      <c r="L831" s="189" t="str">
        <f t="shared" si="258"/>
        <v/>
      </c>
      <c r="M831" s="190"/>
      <c r="N831" s="190"/>
      <c r="O831" s="188" t="str">
        <f t="shared" si="259"/>
        <v/>
      </c>
      <c r="P831" s="191" t="str">
        <f t="shared" si="246"/>
        <v/>
      </c>
      <c r="Q831" s="192" t="str">
        <f t="shared" si="260"/>
        <v/>
      </c>
      <c r="R831" s="191" t="str">
        <f t="shared" si="247"/>
        <v/>
      </c>
      <c r="S831" s="193" t="str">
        <f t="shared" si="261"/>
        <v/>
      </c>
      <c r="T831" s="194" t="str">
        <f t="shared" si="248"/>
        <v/>
      </c>
      <c r="U831" s="192" t="str">
        <f t="shared" si="262"/>
        <v/>
      </c>
      <c r="V831" s="195" t="str">
        <f t="shared" si="249"/>
        <v/>
      </c>
      <c r="W831" s="195" t="str">
        <f t="shared" si="250"/>
        <v/>
      </c>
      <c r="X831" s="196" t="str">
        <f t="shared" si="263"/>
        <v/>
      </c>
      <c r="Y831" s="191" t="str">
        <f t="shared" si="264"/>
        <v/>
      </c>
      <c r="Z831" s="197" t="str">
        <f t="shared" si="251"/>
        <v/>
      </c>
      <c r="AA831" s="197" t="str">
        <f t="shared" si="252"/>
        <v/>
      </c>
      <c r="AB831" s="218"/>
      <c r="AC831" s="205"/>
    </row>
    <row r="832" spans="1:29">
      <c r="A832" s="219" t="str">
        <f t="shared" si="253"/>
        <v/>
      </c>
      <c r="B832" s="219"/>
      <c r="C832" s="184"/>
      <c r="D832" s="185"/>
      <c r="E832" s="185" t="str">
        <f>IF(OR(C832="",C832=Data!$B$3),"",IF(C832=Data!$B$2,"L","S"))</f>
        <v/>
      </c>
      <c r="F832" s="185" t="str">
        <f t="shared" si="254"/>
        <v/>
      </c>
      <c r="G832" s="186" t="str">
        <f t="shared" si="245"/>
        <v/>
      </c>
      <c r="H832" s="187"/>
      <c r="I832" s="188" t="str">
        <f t="shared" si="255"/>
        <v/>
      </c>
      <c r="J832" s="188" t="str">
        <f t="shared" si="256"/>
        <v/>
      </c>
      <c r="K832" s="189" t="str">
        <f t="shared" si="257"/>
        <v/>
      </c>
      <c r="L832" s="189" t="str">
        <f t="shared" si="258"/>
        <v/>
      </c>
      <c r="M832" s="190"/>
      <c r="N832" s="190"/>
      <c r="O832" s="188" t="str">
        <f t="shared" si="259"/>
        <v/>
      </c>
      <c r="P832" s="191" t="str">
        <f t="shared" si="246"/>
        <v/>
      </c>
      <c r="Q832" s="192" t="str">
        <f t="shared" si="260"/>
        <v/>
      </c>
      <c r="R832" s="191" t="str">
        <f t="shared" si="247"/>
        <v/>
      </c>
      <c r="S832" s="193" t="str">
        <f t="shared" si="261"/>
        <v/>
      </c>
      <c r="T832" s="194" t="str">
        <f t="shared" si="248"/>
        <v/>
      </c>
      <c r="U832" s="192" t="str">
        <f t="shared" si="262"/>
        <v/>
      </c>
      <c r="V832" s="195" t="str">
        <f t="shared" si="249"/>
        <v/>
      </c>
      <c r="W832" s="195" t="str">
        <f t="shared" si="250"/>
        <v/>
      </c>
      <c r="X832" s="196" t="str">
        <f t="shared" si="263"/>
        <v/>
      </c>
      <c r="Y832" s="191" t="str">
        <f t="shared" si="264"/>
        <v/>
      </c>
      <c r="Z832" s="197" t="str">
        <f t="shared" si="251"/>
        <v/>
      </c>
      <c r="AA832" s="197" t="str">
        <f t="shared" si="252"/>
        <v/>
      </c>
      <c r="AB832" s="218"/>
      <c r="AC832" s="205"/>
    </row>
    <row r="833" spans="1:29">
      <c r="A833" s="219" t="str">
        <f t="shared" si="253"/>
        <v/>
      </c>
      <c r="B833" s="219"/>
      <c r="C833" s="184"/>
      <c r="D833" s="185"/>
      <c r="E833" s="185" t="str">
        <f>IF(OR(C833="",C833=Data!$B$3),"",IF(C833=Data!$B$2,"L","S"))</f>
        <v/>
      </c>
      <c r="F833" s="185" t="str">
        <f t="shared" si="254"/>
        <v/>
      </c>
      <c r="G833" s="186" t="str">
        <f t="shared" si="245"/>
        <v/>
      </c>
      <c r="H833" s="187"/>
      <c r="I833" s="188" t="str">
        <f t="shared" si="255"/>
        <v/>
      </c>
      <c r="J833" s="188" t="str">
        <f t="shared" si="256"/>
        <v/>
      </c>
      <c r="K833" s="189" t="str">
        <f t="shared" si="257"/>
        <v/>
      </c>
      <c r="L833" s="189" t="str">
        <f t="shared" si="258"/>
        <v/>
      </c>
      <c r="M833" s="190"/>
      <c r="N833" s="190"/>
      <c r="O833" s="188" t="str">
        <f t="shared" si="259"/>
        <v/>
      </c>
      <c r="P833" s="191" t="str">
        <f t="shared" si="246"/>
        <v/>
      </c>
      <c r="Q833" s="192" t="str">
        <f t="shared" si="260"/>
        <v/>
      </c>
      <c r="R833" s="191" t="str">
        <f t="shared" si="247"/>
        <v/>
      </c>
      <c r="S833" s="193" t="str">
        <f t="shared" si="261"/>
        <v/>
      </c>
      <c r="T833" s="194" t="str">
        <f t="shared" si="248"/>
        <v/>
      </c>
      <c r="U833" s="192" t="str">
        <f t="shared" si="262"/>
        <v/>
      </c>
      <c r="V833" s="195" t="str">
        <f t="shared" si="249"/>
        <v/>
      </c>
      <c r="W833" s="195" t="str">
        <f t="shared" si="250"/>
        <v/>
      </c>
      <c r="X833" s="196" t="str">
        <f t="shared" si="263"/>
        <v/>
      </c>
      <c r="Y833" s="191" t="str">
        <f t="shared" si="264"/>
        <v/>
      </c>
      <c r="Z833" s="197" t="str">
        <f t="shared" si="251"/>
        <v/>
      </c>
      <c r="AA833" s="197" t="str">
        <f t="shared" si="252"/>
        <v/>
      </c>
      <c r="AB833" s="218"/>
      <c r="AC833" s="205"/>
    </row>
    <row r="834" spans="1:29">
      <c r="A834" s="219" t="str">
        <f t="shared" si="253"/>
        <v/>
      </c>
      <c r="B834" s="219"/>
      <c r="C834" s="184"/>
      <c r="D834" s="185"/>
      <c r="E834" s="185" t="str">
        <f>IF(OR(C834="",C834=Data!$B$3),"",IF(C834=Data!$B$2,"L","S"))</f>
        <v/>
      </c>
      <c r="F834" s="185" t="str">
        <f t="shared" si="254"/>
        <v/>
      </c>
      <c r="G834" s="186" t="str">
        <f t="shared" si="245"/>
        <v/>
      </c>
      <c r="H834" s="187"/>
      <c r="I834" s="188" t="str">
        <f t="shared" si="255"/>
        <v/>
      </c>
      <c r="J834" s="188" t="str">
        <f t="shared" si="256"/>
        <v/>
      </c>
      <c r="K834" s="189" t="str">
        <f t="shared" si="257"/>
        <v/>
      </c>
      <c r="L834" s="189" t="str">
        <f t="shared" si="258"/>
        <v/>
      </c>
      <c r="M834" s="190"/>
      <c r="N834" s="190"/>
      <c r="O834" s="188" t="str">
        <f t="shared" si="259"/>
        <v/>
      </c>
      <c r="P834" s="191" t="str">
        <f t="shared" si="246"/>
        <v/>
      </c>
      <c r="Q834" s="192" t="str">
        <f t="shared" si="260"/>
        <v/>
      </c>
      <c r="R834" s="191" t="str">
        <f t="shared" si="247"/>
        <v/>
      </c>
      <c r="S834" s="193" t="str">
        <f t="shared" si="261"/>
        <v/>
      </c>
      <c r="T834" s="194" t="str">
        <f t="shared" si="248"/>
        <v/>
      </c>
      <c r="U834" s="192" t="str">
        <f t="shared" si="262"/>
        <v/>
      </c>
      <c r="V834" s="195" t="str">
        <f t="shared" si="249"/>
        <v/>
      </c>
      <c r="W834" s="195" t="str">
        <f t="shared" si="250"/>
        <v/>
      </c>
      <c r="X834" s="196" t="str">
        <f t="shared" si="263"/>
        <v/>
      </c>
      <c r="Y834" s="191" t="str">
        <f t="shared" si="264"/>
        <v/>
      </c>
      <c r="Z834" s="197" t="str">
        <f t="shared" si="251"/>
        <v/>
      </c>
      <c r="AA834" s="197" t="str">
        <f t="shared" si="252"/>
        <v/>
      </c>
      <c r="AB834" s="218"/>
      <c r="AC834" s="205"/>
    </row>
    <row r="835" spans="1:29">
      <c r="A835" s="219" t="str">
        <f t="shared" si="253"/>
        <v/>
      </c>
      <c r="B835" s="219"/>
      <c r="C835" s="184"/>
      <c r="D835" s="185"/>
      <c r="E835" s="185" t="str">
        <f>IF(OR(C835="",C835=Data!$B$3),"",IF(C835=Data!$B$2,"L","S"))</f>
        <v/>
      </c>
      <c r="F835" s="185" t="str">
        <f t="shared" si="254"/>
        <v/>
      </c>
      <c r="G835" s="186" t="str">
        <f t="shared" si="245"/>
        <v/>
      </c>
      <c r="H835" s="187"/>
      <c r="I835" s="188" t="str">
        <f t="shared" si="255"/>
        <v/>
      </c>
      <c r="J835" s="188" t="str">
        <f t="shared" si="256"/>
        <v/>
      </c>
      <c r="K835" s="189" t="str">
        <f t="shared" si="257"/>
        <v/>
      </c>
      <c r="L835" s="189" t="str">
        <f t="shared" si="258"/>
        <v/>
      </c>
      <c r="M835" s="190"/>
      <c r="N835" s="190"/>
      <c r="O835" s="188" t="str">
        <f t="shared" si="259"/>
        <v/>
      </c>
      <c r="P835" s="191" t="str">
        <f t="shared" si="246"/>
        <v/>
      </c>
      <c r="Q835" s="192" t="str">
        <f t="shared" si="260"/>
        <v/>
      </c>
      <c r="R835" s="191" t="str">
        <f t="shared" si="247"/>
        <v/>
      </c>
      <c r="S835" s="193" t="str">
        <f t="shared" si="261"/>
        <v/>
      </c>
      <c r="T835" s="194" t="str">
        <f t="shared" si="248"/>
        <v/>
      </c>
      <c r="U835" s="192" t="str">
        <f t="shared" si="262"/>
        <v/>
      </c>
      <c r="V835" s="195" t="str">
        <f t="shared" si="249"/>
        <v/>
      </c>
      <c r="W835" s="195" t="str">
        <f t="shared" si="250"/>
        <v/>
      </c>
      <c r="X835" s="196" t="str">
        <f t="shared" si="263"/>
        <v/>
      </c>
      <c r="Y835" s="191" t="str">
        <f t="shared" si="264"/>
        <v/>
      </c>
      <c r="Z835" s="197" t="str">
        <f t="shared" si="251"/>
        <v/>
      </c>
      <c r="AA835" s="197" t="str">
        <f t="shared" si="252"/>
        <v/>
      </c>
      <c r="AB835" s="218"/>
      <c r="AC835" s="205"/>
    </row>
    <row r="836" spans="1:29">
      <c r="A836" s="219" t="str">
        <f t="shared" si="253"/>
        <v/>
      </c>
      <c r="B836" s="219"/>
      <c r="C836" s="184"/>
      <c r="D836" s="185"/>
      <c r="E836" s="185" t="str">
        <f>IF(OR(C836="",C836=Data!$B$3),"",IF(C836=Data!$B$2,"L","S"))</f>
        <v/>
      </c>
      <c r="F836" s="185" t="str">
        <f t="shared" si="254"/>
        <v/>
      </c>
      <c r="G836" s="186" t="str">
        <f t="shared" si="245"/>
        <v/>
      </c>
      <c r="H836" s="187"/>
      <c r="I836" s="188" t="str">
        <f t="shared" si="255"/>
        <v/>
      </c>
      <c r="J836" s="188" t="str">
        <f t="shared" si="256"/>
        <v/>
      </c>
      <c r="K836" s="189" t="str">
        <f t="shared" si="257"/>
        <v/>
      </c>
      <c r="L836" s="189" t="str">
        <f t="shared" si="258"/>
        <v/>
      </c>
      <c r="M836" s="190"/>
      <c r="N836" s="190"/>
      <c r="O836" s="188" t="str">
        <f t="shared" si="259"/>
        <v/>
      </c>
      <c r="P836" s="191" t="str">
        <f t="shared" si="246"/>
        <v/>
      </c>
      <c r="Q836" s="192" t="str">
        <f t="shared" si="260"/>
        <v/>
      </c>
      <c r="R836" s="191" t="str">
        <f t="shared" si="247"/>
        <v/>
      </c>
      <c r="S836" s="193" t="str">
        <f t="shared" si="261"/>
        <v/>
      </c>
      <c r="T836" s="194" t="str">
        <f t="shared" si="248"/>
        <v/>
      </c>
      <c r="U836" s="192" t="str">
        <f t="shared" si="262"/>
        <v/>
      </c>
      <c r="V836" s="195" t="str">
        <f t="shared" si="249"/>
        <v/>
      </c>
      <c r="W836" s="195" t="str">
        <f t="shared" si="250"/>
        <v/>
      </c>
      <c r="X836" s="196" t="str">
        <f t="shared" si="263"/>
        <v/>
      </c>
      <c r="Y836" s="191" t="str">
        <f t="shared" si="264"/>
        <v/>
      </c>
      <c r="Z836" s="197" t="str">
        <f t="shared" si="251"/>
        <v/>
      </c>
      <c r="AA836" s="197" t="str">
        <f t="shared" si="252"/>
        <v/>
      </c>
      <c r="AB836" s="218"/>
      <c r="AC836" s="205"/>
    </row>
    <row r="837" spans="1:29">
      <c r="A837" s="219" t="str">
        <f t="shared" si="253"/>
        <v/>
      </c>
      <c r="B837" s="219"/>
      <c r="C837" s="184"/>
      <c r="D837" s="185"/>
      <c r="E837" s="185" t="str">
        <f>IF(OR(C837="",C837=Data!$B$3),"",IF(C837=Data!$B$2,"L","S"))</f>
        <v/>
      </c>
      <c r="F837" s="185" t="str">
        <f t="shared" si="254"/>
        <v/>
      </c>
      <c r="G837" s="186" t="str">
        <f t="shared" si="245"/>
        <v/>
      </c>
      <c r="H837" s="187"/>
      <c r="I837" s="188" t="str">
        <f t="shared" si="255"/>
        <v/>
      </c>
      <c r="J837" s="188" t="str">
        <f t="shared" si="256"/>
        <v/>
      </c>
      <c r="K837" s="189" t="str">
        <f t="shared" si="257"/>
        <v/>
      </c>
      <c r="L837" s="189" t="str">
        <f t="shared" si="258"/>
        <v/>
      </c>
      <c r="M837" s="190"/>
      <c r="N837" s="190"/>
      <c r="O837" s="188" t="str">
        <f t="shared" si="259"/>
        <v/>
      </c>
      <c r="P837" s="191" t="str">
        <f t="shared" si="246"/>
        <v/>
      </c>
      <c r="Q837" s="192" t="str">
        <f t="shared" si="260"/>
        <v/>
      </c>
      <c r="R837" s="191" t="str">
        <f t="shared" si="247"/>
        <v/>
      </c>
      <c r="S837" s="193" t="str">
        <f t="shared" si="261"/>
        <v/>
      </c>
      <c r="T837" s="194" t="str">
        <f t="shared" si="248"/>
        <v/>
      </c>
      <c r="U837" s="192" t="str">
        <f t="shared" si="262"/>
        <v/>
      </c>
      <c r="V837" s="195" t="str">
        <f t="shared" si="249"/>
        <v/>
      </c>
      <c r="W837" s="195" t="str">
        <f t="shared" si="250"/>
        <v/>
      </c>
      <c r="X837" s="196" t="str">
        <f t="shared" si="263"/>
        <v/>
      </c>
      <c r="Y837" s="191" t="str">
        <f t="shared" si="264"/>
        <v/>
      </c>
      <c r="Z837" s="197" t="str">
        <f t="shared" si="251"/>
        <v/>
      </c>
      <c r="AA837" s="197" t="str">
        <f t="shared" si="252"/>
        <v/>
      </c>
      <c r="AB837" s="218"/>
      <c r="AC837" s="205"/>
    </row>
    <row r="838" spans="1:29">
      <c r="A838" s="219" t="str">
        <f t="shared" si="253"/>
        <v/>
      </c>
      <c r="B838" s="219"/>
      <c r="C838" s="184"/>
      <c r="D838" s="185"/>
      <c r="E838" s="185" t="str">
        <f>IF(OR(C838="",C838=Data!$B$3),"",IF(C838=Data!$B$2,"L","S"))</f>
        <v/>
      </c>
      <c r="F838" s="185" t="str">
        <f t="shared" si="254"/>
        <v/>
      </c>
      <c r="G838" s="186" t="str">
        <f t="shared" si="245"/>
        <v/>
      </c>
      <c r="H838" s="187"/>
      <c r="I838" s="188" t="str">
        <f t="shared" si="255"/>
        <v/>
      </c>
      <c r="J838" s="188" t="str">
        <f t="shared" si="256"/>
        <v/>
      </c>
      <c r="K838" s="189" t="str">
        <f t="shared" si="257"/>
        <v/>
      </c>
      <c r="L838" s="189" t="str">
        <f t="shared" si="258"/>
        <v/>
      </c>
      <c r="M838" s="190"/>
      <c r="N838" s="190"/>
      <c r="O838" s="188" t="str">
        <f t="shared" si="259"/>
        <v/>
      </c>
      <c r="P838" s="191" t="str">
        <f t="shared" si="246"/>
        <v/>
      </c>
      <c r="Q838" s="192" t="str">
        <f t="shared" si="260"/>
        <v/>
      </c>
      <c r="R838" s="191" t="str">
        <f t="shared" si="247"/>
        <v/>
      </c>
      <c r="S838" s="193" t="str">
        <f t="shared" si="261"/>
        <v/>
      </c>
      <c r="T838" s="194" t="str">
        <f t="shared" si="248"/>
        <v/>
      </c>
      <c r="U838" s="192" t="str">
        <f t="shared" si="262"/>
        <v/>
      </c>
      <c r="V838" s="195" t="str">
        <f t="shared" si="249"/>
        <v/>
      </c>
      <c r="W838" s="195" t="str">
        <f t="shared" si="250"/>
        <v/>
      </c>
      <c r="X838" s="196" t="str">
        <f t="shared" si="263"/>
        <v/>
      </c>
      <c r="Y838" s="191" t="str">
        <f t="shared" si="264"/>
        <v/>
      </c>
      <c r="Z838" s="197" t="str">
        <f t="shared" si="251"/>
        <v/>
      </c>
      <c r="AA838" s="197" t="str">
        <f t="shared" si="252"/>
        <v/>
      </c>
      <c r="AB838" s="218"/>
      <c r="AC838" s="205"/>
    </row>
    <row r="839" spans="1:29">
      <c r="A839" s="219" t="str">
        <f t="shared" si="253"/>
        <v/>
      </c>
      <c r="B839" s="219"/>
      <c r="C839" s="184"/>
      <c r="D839" s="185"/>
      <c r="E839" s="185" t="str">
        <f>IF(OR(C839="",C839=Data!$B$3),"",IF(C839=Data!$B$2,"L","S"))</f>
        <v/>
      </c>
      <c r="F839" s="185" t="str">
        <f t="shared" si="254"/>
        <v/>
      </c>
      <c r="G839" s="186" t="str">
        <f t="shared" si="245"/>
        <v/>
      </c>
      <c r="H839" s="187"/>
      <c r="I839" s="188" t="str">
        <f t="shared" si="255"/>
        <v/>
      </c>
      <c r="J839" s="188" t="str">
        <f t="shared" si="256"/>
        <v/>
      </c>
      <c r="K839" s="189" t="str">
        <f t="shared" si="257"/>
        <v/>
      </c>
      <c r="L839" s="189" t="str">
        <f t="shared" si="258"/>
        <v/>
      </c>
      <c r="M839" s="190"/>
      <c r="N839" s="190"/>
      <c r="O839" s="188" t="str">
        <f t="shared" si="259"/>
        <v/>
      </c>
      <c r="P839" s="191" t="str">
        <f t="shared" si="246"/>
        <v/>
      </c>
      <c r="Q839" s="192" t="str">
        <f t="shared" si="260"/>
        <v/>
      </c>
      <c r="R839" s="191" t="str">
        <f t="shared" si="247"/>
        <v/>
      </c>
      <c r="S839" s="193" t="str">
        <f t="shared" si="261"/>
        <v/>
      </c>
      <c r="T839" s="194" t="str">
        <f t="shared" si="248"/>
        <v/>
      </c>
      <c r="U839" s="192" t="str">
        <f t="shared" si="262"/>
        <v/>
      </c>
      <c r="V839" s="195" t="str">
        <f t="shared" si="249"/>
        <v/>
      </c>
      <c r="W839" s="195" t="str">
        <f t="shared" si="250"/>
        <v/>
      </c>
      <c r="X839" s="196" t="str">
        <f t="shared" si="263"/>
        <v/>
      </c>
      <c r="Y839" s="191" t="str">
        <f t="shared" si="264"/>
        <v/>
      </c>
      <c r="Z839" s="197" t="str">
        <f t="shared" si="251"/>
        <v/>
      </c>
      <c r="AA839" s="197" t="str">
        <f t="shared" si="252"/>
        <v/>
      </c>
      <c r="AB839" s="218"/>
      <c r="AC839" s="205"/>
    </row>
    <row r="840" spans="1:29">
      <c r="A840" s="219" t="str">
        <f t="shared" si="253"/>
        <v/>
      </c>
      <c r="B840" s="219"/>
      <c r="C840" s="184"/>
      <c r="D840" s="185"/>
      <c r="E840" s="185" t="str">
        <f>IF(OR(C840="",C840=Data!$B$3),"",IF(C840=Data!$B$2,"L","S"))</f>
        <v/>
      </c>
      <c r="F840" s="185" t="str">
        <f t="shared" si="254"/>
        <v/>
      </c>
      <c r="G840" s="186" t="str">
        <f t="shared" si="245"/>
        <v/>
      </c>
      <c r="H840" s="187"/>
      <c r="I840" s="188" t="str">
        <f t="shared" si="255"/>
        <v/>
      </c>
      <c r="J840" s="188" t="str">
        <f t="shared" si="256"/>
        <v/>
      </c>
      <c r="K840" s="189" t="str">
        <f t="shared" si="257"/>
        <v/>
      </c>
      <c r="L840" s="189" t="str">
        <f t="shared" si="258"/>
        <v/>
      </c>
      <c r="M840" s="190"/>
      <c r="N840" s="190"/>
      <c r="O840" s="188" t="str">
        <f t="shared" si="259"/>
        <v/>
      </c>
      <c r="P840" s="191" t="str">
        <f t="shared" si="246"/>
        <v/>
      </c>
      <c r="Q840" s="192" t="str">
        <f t="shared" si="260"/>
        <v/>
      </c>
      <c r="R840" s="191" t="str">
        <f t="shared" si="247"/>
        <v/>
      </c>
      <c r="S840" s="193" t="str">
        <f t="shared" si="261"/>
        <v/>
      </c>
      <c r="T840" s="194" t="str">
        <f t="shared" si="248"/>
        <v/>
      </c>
      <c r="U840" s="192" t="str">
        <f t="shared" si="262"/>
        <v/>
      </c>
      <c r="V840" s="195" t="str">
        <f t="shared" si="249"/>
        <v/>
      </c>
      <c r="W840" s="195" t="str">
        <f t="shared" si="250"/>
        <v/>
      </c>
      <c r="X840" s="196" t="str">
        <f t="shared" si="263"/>
        <v/>
      </c>
      <c r="Y840" s="191" t="str">
        <f t="shared" si="264"/>
        <v/>
      </c>
      <c r="Z840" s="197" t="str">
        <f t="shared" si="251"/>
        <v/>
      </c>
      <c r="AA840" s="197" t="str">
        <f t="shared" si="252"/>
        <v/>
      </c>
      <c r="AB840" s="218"/>
      <c r="AC840" s="205"/>
    </row>
    <row r="841" spans="1:29">
      <c r="A841" s="219" t="str">
        <f t="shared" si="253"/>
        <v/>
      </c>
      <c r="B841" s="219"/>
      <c r="C841" s="184"/>
      <c r="D841" s="185"/>
      <c r="E841" s="185" t="str">
        <f>IF(OR(C841="",C841=Data!$B$3),"",IF(C841=Data!$B$2,"L","S"))</f>
        <v/>
      </c>
      <c r="F841" s="185" t="str">
        <f t="shared" si="254"/>
        <v/>
      </c>
      <c r="G841" s="186" t="str">
        <f t="shared" si="245"/>
        <v/>
      </c>
      <c r="H841" s="187"/>
      <c r="I841" s="188" t="str">
        <f t="shared" si="255"/>
        <v/>
      </c>
      <c r="J841" s="188" t="str">
        <f t="shared" si="256"/>
        <v/>
      </c>
      <c r="K841" s="189" t="str">
        <f t="shared" si="257"/>
        <v/>
      </c>
      <c r="L841" s="189" t="str">
        <f t="shared" si="258"/>
        <v/>
      </c>
      <c r="M841" s="190"/>
      <c r="N841" s="190"/>
      <c r="O841" s="188" t="str">
        <f t="shared" si="259"/>
        <v/>
      </c>
      <c r="P841" s="191" t="str">
        <f t="shared" si="246"/>
        <v/>
      </c>
      <c r="Q841" s="192" t="str">
        <f t="shared" si="260"/>
        <v/>
      </c>
      <c r="R841" s="191" t="str">
        <f t="shared" si="247"/>
        <v/>
      </c>
      <c r="S841" s="193" t="str">
        <f t="shared" si="261"/>
        <v/>
      </c>
      <c r="T841" s="194" t="str">
        <f t="shared" si="248"/>
        <v/>
      </c>
      <c r="U841" s="192" t="str">
        <f t="shared" si="262"/>
        <v/>
      </c>
      <c r="V841" s="195" t="str">
        <f t="shared" si="249"/>
        <v/>
      </c>
      <c r="W841" s="195" t="str">
        <f t="shared" si="250"/>
        <v/>
      </c>
      <c r="X841" s="196" t="str">
        <f t="shared" si="263"/>
        <v/>
      </c>
      <c r="Y841" s="191" t="str">
        <f t="shared" si="264"/>
        <v/>
      </c>
      <c r="Z841" s="197" t="str">
        <f t="shared" si="251"/>
        <v/>
      </c>
      <c r="AA841" s="197" t="str">
        <f t="shared" si="252"/>
        <v/>
      </c>
      <c r="AB841" s="218"/>
      <c r="AC841" s="205"/>
    </row>
    <row r="842" spans="1:29">
      <c r="A842" s="219" t="str">
        <f t="shared" si="253"/>
        <v/>
      </c>
      <c r="B842" s="219"/>
      <c r="C842" s="184"/>
      <c r="D842" s="185"/>
      <c r="E842" s="185" t="str">
        <f>IF(OR(C842="",C842=Data!$B$3),"",IF(C842=Data!$B$2,"L","S"))</f>
        <v/>
      </c>
      <c r="F842" s="185" t="str">
        <f t="shared" si="254"/>
        <v/>
      </c>
      <c r="G842" s="186" t="str">
        <f t="shared" si="245"/>
        <v/>
      </c>
      <c r="H842" s="187"/>
      <c r="I842" s="188" t="str">
        <f t="shared" si="255"/>
        <v/>
      </c>
      <c r="J842" s="188" t="str">
        <f t="shared" si="256"/>
        <v/>
      </c>
      <c r="K842" s="189" t="str">
        <f t="shared" si="257"/>
        <v/>
      </c>
      <c r="L842" s="189" t="str">
        <f t="shared" si="258"/>
        <v/>
      </c>
      <c r="M842" s="190"/>
      <c r="N842" s="190"/>
      <c r="O842" s="188" t="str">
        <f t="shared" si="259"/>
        <v/>
      </c>
      <c r="P842" s="191" t="str">
        <f t="shared" si="246"/>
        <v/>
      </c>
      <c r="Q842" s="192" t="str">
        <f t="shared" si="260"/>
        <v/>
      </c>
      <c r="R842" s="191" t="str">
        <f t="shared" si="247"/>
        <v/>
      </c>
      <c r="S842" s="193" t="str">
        <f t="shared" si="261"/>
        <v/>
      </c>
      <c r="T842" s="194" t="str">
        <f t="shared" si="248"/>
        <v/>
      </c>
      <c r="U842" s="192" t="str">
        <f t="shared" si="262"/>
        <v/>
      </c>
      <c r="V842" s="195" t="str">
        <f t="shared" si="249"/>
        <v/>
      </c>
      <c r="W842" s="195" t="str">
        <f t="shared" si="250"/>
        <v/>
      </c>
      <c r="X842" s="196" t="str">
        <f t="shared" si="263"/>
        <v/>
      </c>
      <c r="Y842" s="191" t="str">
        <f t="shared" si="264"/>
        <v/>
      </c>
      <c r="Z842" s="197" t="str">
        <f t="shared" si="251"/>
        <v/>
      </c>
      <c r="AA842" s="197" t="str">
        <f t="shared" si="252"/>
        <v/>
      </c>
      <c r="AB842" s="218"/>
      <c r="AC842" s="205"/>
    </row>
    <row r="843" spans="1:29">
      <c r="A843" s="219" t="str">
        <f t="shared" si="253"/>
        <v/>
      </c>
      <c r="B843" s="219"/>
      <c r="C843" s="184"/>
      <c r="D843" s="185"/>
      <c r="E843" s="185" t="str">
        <f>IF(OR(C843="",C843=Data!$B$3),"",IF(C843=Data!$B$2,"L","S"))</f>
        <v/>
      </c>
      <c r="F843" s="185" t="str">
        <f t="shared" si="254"/>
        <v/>
      </c>
      <c r="G843" s="186" t="str">
        <f t="shared" si="245"/>
        <v/>
      </c>
      <c r="H843" s="187"/>
      <c r="I843" s="188" t="str">
        <f t="shared" si="255"/>
        <v/>
      </c>
      <c r="J843" s="188" t="str">
        <f t="shared" si="256"/>
        <v/>
      </c>
      <c r="K843" s="189" t="str">
        <f t="shared" si="257"/>
        <v/>
      </c>
      <c r="L843" s="189" t="str">
        <f t="shared" si="258"/>
        <v/>
      </c>
      <c r="M843" s="190"/>
      <c r="N843" s="190"/>
      <c r="O843" s="188" t="str">
        <f t="shared" si="259"/>
        <v/>
      </c>
      <c r="P843" s="191" t="str">
        <f t="shared" si="246"/>
        <v/>
      </c>
      <c r="Q843" s="192" t="str">
        <f t="shared" si="260"/>
        <v/>
      </c>
      <c r="R843" s="191" t="str">
        <f t="shared" si="247"/>
        <v/>
      </c>
      <c r="S843" s="193" t="str">
        <f t="shared" si="261"/>
        <v/>
      </c>
      <c r="T843" s="194" t="str">
        <f t="shared" si="248"/>
        <v/>
      </c>
      <c r="U843" s="192" t="str">
        <f t="shared" si="262"/>
        <v/>
      </c>
      <c r="V843" s="195" t="str">
        <f t="shared" si="249"/>
        <v/>
      </c>
      <c r="W843" s="195" t="str">
        <f t="shared" si="250"/>
        <v/>
      </c>
      <c r="X843" s="196" t="str">
        <f t="shared" si="263"/>
        <v/>
      </c>
      <c r="Y843" s="191" t="str">
        <f t="shared" si="264"/>
        <v/>
      </c>
      <c r="Z843" s="197" t="str">
        <f t="shared" si="251"/>
        <v/>
      </c>
      <c r="AA843" s="197" t="str">
        <f t="shared" si="252"/>
        <v/>
      </c>
      <c r="AB843" s="218"/>
      <c r="AC843" s="205"/>
    </row>
    <row r="844" spans="1:29">
      <c r="A844" s="219" t="str">
        <f t="shared" si="253"/>
        <v/>
      </c>
      <c r="B844" s="219"/>
      <c r="C844" s="184"/>
      <c r="D844" s="185"/>
      <c r="E844" s="185" t="str">
        <f>IF(OR(C844="",C844=Data!$B$3),"",IF(C844=Data!$B$2,"L","S"))</f>
        <v/>
      </c>
      <c r="F844" s="185" t="str">
        <f t="shared" si="254"/>
        <v/>
      </c>
      <c r="G844" s="186" t="str">
        <f t="shared" ref="G844:G907" si="265">IF(A844="","",$D$3)</f>
        <v/>
      </c>
      <c r="H844" s="187"/>
      <c r="I844" s="188" t="str">
        <f t="shared" si="255"/>
        <v/>
      </c>
      <c r="J844" s="188" t="str">
        <f t="shared" si="256"/>
        <v/>
      </c>
      <c r="K844" s="189" t="str">
        <f t="shared" si="257"/>
        <v/>
      </c>
      <c r="L844" s="189" t="str">
        <f t="shared" si="258"/>
        <v/>
      </c>
      <c r="M844" s="190"/>
      <c r="N844" s="190"/>
      <c r="O844" s="188" t="str">
        <f t="shared" si="259"/>
        <v/>
      </c>
      <c r="P844" s="191" t="str">
        <f t="shared" ref="P844:P907" si="266">IF(O844="","",IF(L844*F844*G844=0,0,L844*F844*G844))</f>
        <v/>
      </c>
      <c r="Q844" s="192" t="str">
        <f t="shared" si="260"/>
        <v/>
      </c>
      <c r="R844" s="191" t="str">
        <f t="shared" ref="R844:R907" si="267">IF(O844&lt;&gt;"",IF(K844*F844*G844=0,"",K844*F844*G844),"")</f>
        <v/>
      </c>
      <c r="S844" s="193" t="str">
        <f t="shared" si="261"/>
        <v/>
      </c>
      <c r="T844" s="194" t="str">
        <f t="shared" ref="T844:T907" si="268">IF(X844="","",X844*F844*G844)</f>
        <v/>
      </c>
      <c r="U844" s="192" t="str">
        <f t="shared" si="262"/>
        <v/>
      </c>
      <c r="V844" s="195" t="str">
        <f t="shared" ref="V844:V907" si="269">IF(O844="","",IF(AND(O844&gt;I844,E844="L"),1, IF(AND(I844&gt;O844,E844="S"),1,0)))</f>
        <v/>
      </c>
      <c r="W844" s="195" t="str">
        <f t="shared" ref="W844:W907" si="270">IF(O844="","",IF(AND(O844&lt;I844,E844="L"),1, IF(AND(I844&lt;O844,E844="S"),1,0)))</f>
        <v/>
      </c>
      <c r="X844" s="196" t="str">
        <f t="shared" si="263"/>
        <v/>
      </c>
      <c r="Y844" s="191" t="str">
        <f t="shared" si="264"/>
        <v/>
      </c>
      <c r="Z844" s="197" t="str">
        <f t="shared" ref="Z844:Z907" si="271">IF(M844="","",MONTH(M844))</f>
        <v/>
      </c>
      <c r="AA844" s="197" t="str">
        <f t="shared" ref="AA844:AA907" si="272">IF(M844="","",YEAR(M844))</f>
        <v/>
      </c>
      <c r="AB844" s="218"/>
      <c r="AC844" s="205"/>
    </row>
    <row r="845" spans="1:29">
      <c r="A845" s="219" t="str">
        <f t="shared" ref="A845:A908" si="273">IF(C845="","",1)</f>
        <v/>
      </c>
      <c r="B845" s="219"/>
      <c r="C845" s="184"/>
      <c r="D845" s="185"/>
      <c r="E845" s="185" t="str">
        <f>IF(OR(C845="",C845=Data!$B$3),"",IF(C845=Data!$B$2,"L","S"))</f>
        <v/>
      </c>
      <c r="F845" s="185" t="str">
        <f t="shared" ref="F845:F908" si="274">IF(A845&lt;&gt;"",$D$2,"")</f>
        <v/>
      </c>
      <c r="G845" s="186" t="str">
        <f t="shared" si="265"/>
        <v/>
      </c>
      <c r="H845" s="187"/>
      <c r="I845" s="188" t="str">
        <f t="shared" ref="I845:I908" si="275">IF(H845="","",IF(E845="L",H845+$D$4*0.0001,H845-$D$4*0.0001))</f>
        <v/>
      </c>
      <c r="J845" s="188" t="str">
        <f t="shared" ref="J845:J908" si="276">IF(AND(H845&lt;&gt;"",I845&lt;&gt;""),IF(E845="L",I845+(I845-H845)*3,I845-(H845-I845)*3),"")</f>
        <v/>
      </c>
      <c r="K845" s="189" t="str">
        <f t="shared" ref="K845:K908" si="277">IF(AND(E845&lt;&gt;"",AND(I845&lt;&gt;"",J845&lt;&gt;"")),IF(E845="L",(J845-I845)*IF(I845&gt;10,IF(SEARCH("JPY",D845),10,100),10000),(I845-J845)*IF(I845&gt;10,IF(SEARCH("JPY",D845),10,100),10000)),"")</f>
        <v/>
      </c>
      <c r="L845" s="189" t="str">
        <f t="shared" ref="L845:L908" si="278">IF(AND(E845&lt;&gt;"",AND(H845&lt;&gt;"",I845&lt;&gt;"")),IF(E845="L",(I845-H845)*IF(I845&gt;10,IF(SEARCH("JPY",D845),10,100),10000),(H845-I845)*IF(I845&gt;10,IF(SEARCH("JPY",D845),10,100),10000)),"")</f>
        <v/>
      </c>
      <c r="M845" s="190"/>
      <c r="N845" s="190"/>
      <c r="O845" s="188" t="str">
        <f t="shared" ref="O845:O908" si="279">J845</f>
        <v/>
      </c>
      <c r="P845" s="191" t="str">
        <f t="shared" si="266"/>
        <v/>
      </c>
      <c r="Q845" s="192" t="str">
        <f t="shared" ref="Q845:Q908" si="280">IF(P845="","",IF(P845=0,0,P845/$I$4))</f>
        <v/>
      </c>
      <c r="R845" s="191" t="str">
        <f t="shared" si="267"/>
        <v/>
      </c>
      <c r="S845" s="193" t="str">
        <f t="shared" ref="S845:S908" si="281">IF(P845="","",IF(P845=0,0,R845/P845))</f>
        <v/>
      </c>
      <c r="T845" s="194" t="str">
        <f t="shared" si="268"/>
        <v/>
      </c>
      <c r="U845" s="192" t="str">
        <f t="shared" ref="U845:U908" si="282">IF(T845="","",IF($I$4="","",T845/$I$4))</f>
        <v/>
      </c>
      <c r="V845" s="195" t="str">
        <f t="shared" si="269"/>
        <v/>
      </c>
      <c r="W845" s="195" t="str">
        <f t="shared" si="270"/>
        <v/>
      </c>
      <c r="X845" s="196" t="str">
        <f t="shared" ref="X845:X908" si="283">IF((O845=""),"",IF(E845="L",1,-1)*(O845-I845)*IF(O845&gt;10,IF(SEARCH("JPY",D845),10,100),10000))</f>
        <v/>
      </c>
      <c r="Y845" s="191" t="str">
        <f t="shared" si="264"/>
        <v/>
      </c>
      <c r="Z845" s="197" t="str">
        <f t="shared" si="271"/>
        <v/>
      </c>
      <c r="AA845" s="197" t="str">
        <f t="shared" si="272"/>
        <v/>
      </c>
      <c r="AB845" s="218"/>
      <c r="AC845" s="205"/>
    </row>
    <row r="846" spans="1:29">
      <c r="A846" s="219" t="str">
        <f t="shared" si="273"/>
        <v/>
      </c>
      <c r="B846" s="219"/>
      <c r="C846" s="184"/>
      <c r="D846" s="185"/>
      <c r="E846" s="185" t="str">
        <f>IF(OR(C846="",C846=Data!$B$3),"",IF(C846=Data!$B$2,"L","S"))</f>
        <v/>
      </c>
      <c r="F846" s="185" t="str">
        <f t="shared" si="274"/>
        <v/>
      </c>
      <c r="G846" s="186" t="str">
        <f t="shared" si="265"/>
        <v/>
      </c>
      <c r="H846" s="187"/>
      <c r="I846" s="188" t="str">
        <f t="shared" si="275"/>
        <v/>
      </c>
      <c r="J846" s="188" t="str">
        <f t="shared" si="276"/>
        <v/>
      </c>
      <c r="K846" s="189" t="str">
        <f t="shared" si="277"/>
        <v/>
      </c>
      <c r="L846" s="189" t="str">
        <f t="shared" si="278"/>
        <v/>
      </c>
      <c r="M846" s="190"/>
      <c r="N846" s="190"/>
      <c r="O846" s="188" t="str">
        <f t="shared" si="279"/>
        <v/>
      </c>
      <c r="P846" s="191" t="str">
        <f t="shared" si="266"/>
        <v/>
      </c>
      <c r="Q846" s="192" t="str">
        <f t="shared" si="280"/>
        <v/>
      </c>
      <c r="R846" s="191" t="str">
        <f t="shared" si="267"/>
        <v/>
      </c>
      <c r="S846" s="193" t="str">
        <f t="shared" si="281"/>
        <v/>
      </c>
      <c r="T846" s="194" t="str">
        <f t="shared" si="268"/>
        <v/>
      </c>
      <c r="U846" s="192" t="str">
        <f t="shared" si="282"/>
        <v/>
      </c>
      <c r="V846" s="195" t="str">
        <f t="shared" si="269"/>
        <v/>
      </c>
      <c r="W846" s="195" t="str">
        <f t="shared" si="270"/>
        <v/>
      </c>
      <c r="X846" s="196" t="str">
        <f t="shared" si="283"/>
        <v/>
      </c>
      <c r="Y846" s="191" t="str">
        <f t="shared" si="264"/>
        <v/>
      </c>
      <c r="Z846" s="197" t="str">
        <f t="shared" si="271"/>
        <v/>
      </c>
      <c r="AA846" s="197" t="str">
        <f t="shared" si="272"/>
        <v/>
      </c>
      <c r="AB846" s="218"/>
      <c r="AC846" s="205"/>
    </row>
    <row r="847" spans="1:29">
      <c r="A847" s="219" t="str">
        <f t="shared" si="273"/>
        <v/>
      </c>
      <c r="B847" s="219"/>
      <c r="C847" s="184"/>
      <c r="D847" s="185"/>
      <c r="E847" s="185" t="str">
        <f>IF(OR(C847="",C847=Data!$B$3),"",IF(C847=Data!$B$2,"L","S"))</f>
        <v/>
      </c>
      <c r="F847" s="185" t="str">
        <f t="shared" si="274"/>
        <v/>
      </c>
      <c r="G847" s="186" t="str">
        <f t="shared" si="265"/>
        <v/>
      </c>
      <c r="H847" s="187"/>
      <c r="I847" s="188" t="str">
        <f t="shared" si="275"/>
        <v/>
      </c>
      <c r="J847" s="188" t="str">
        <f t="shared" si="276"/>
        <v/>
      </c>
      <c r="K847" s="189" t="str">
        <f t="shared" si="277"/>
        <v/>
      </c>
      <c r="L847" s="189" t="str">
        <f t="shared" si="278"/>
        <v/>
      </c>
      <c r="M847" s="190"/>
      <c r="N847" s="190"/>
      <c r="O847" s="188" t="str">
        <f t="shared" si="279"/>
        <v/>
      </c>
      <c r="P847" s="191" t="str">
        <f t="shared" si="266"/>
        <v/>
      </c>
      <c r="Q847" s="192" t="str">
        <f t="shared" si="280"/>
        <v/>
      </c>
      <c r="R847" s="191" t="str">
        <f t="shared" si="267"/>
        <v/>
      </c>
      <c r="S847" s="193" t="str">
        <f t="shared" si="281"/>
        <v/>
      </c>
      <c r="T847" s="194" t="str">
        <f t="shared" si="268"/>
        <v/>
      </c>
      <c r="U847" s="192" t="str">
        <f t="shared" si="282"/>
        <v/>
      </c>
      <c r="V847" s="195" t="str">
        <f t="shared" si="269"/>
        <v/>
      </c>
      <c r="W847" s="195" t="str">
        <f t="shared" si="270"/>
        <v/>
      </c>
      <c r="X847" s="196" t="str">
        <f t="shared" si="283"/>
        <v/>
      </c>
      <c r="Y847" s="191" t="str">
        <f t="shared" si="264"/>
        <v/>
      </c>
      <c r="Z847" s="197" t="str">
        <f t="shared" si="271"/>
        <v/>
      </c>
      <c r="AA847" s="197" t="str">
        <f t="shared" si="272"/>
        <v/>
      </c>
      <c r="AB847" s="218"/>
      <c r="AC847" s="205"/>
    </row>
    <row r="848" spans="1:29">
      <c r="A848" s="219" t="str">
        <f t="shared" si="273"/>
        <v/>
      </c>
      <c r="B848" s="219"/>
      <c r="C848" s="184"/>
      <c r="D848" s="185"/>
      <c r="E848" s="185" t="str">
        <f>IF(OR(C848="",C848=Data!$B$3),"",IF(C848=Data!$B$2,"L","S"))</f>
        <v/>
      </c>
      <c r="F848" s="185" t="str">
        <f t="shared" si="274"/>
        <v/>
      </c>
      <c r="G848" s="186" t="str">
        <f t="shared" si="265"/>
        <v/>
      </c>
      <c r="H848" s="187"/>
      <c r="I848" s="188" t="str">
        <f t="shared" si="275"/>
        <v/>
      </c>
      <c r="J848" s="188" t="str">
        <f t="shared" si="276"/>
        <v/>
      </c>
      <c r="K848" s="189" t="str">
        <f t="shared" si="277"/>
        <v/>
      </c>
      <c r="L848" s="189" t="str">
        <f t="shared" si="278"/>
        <v/>
      </c>
      <c r="M848" s="190"/>
      <c r="N848" s="190"/>
      <c r="O848" s="188" t="str">
        <f t="shared" si="279"/>
        <v/>
      </c>
      <c r="P848" s="191" t="str">
        <f t="shared" si="266"/>
        <v/>
      </c>
      <c r="Q848" s="192" t="str">
        <f t="shared" si="280"/>
        <v/>
      </c>
      <c r="R848" s="191" t="str">
        <f t="shared" si="267"/>
        <v/>
      </c>
      <c r="S848" s="193" t="str">
        <f t="shared" si="281"/>
        <v/>
      </c>
      <c r="T848" s="194" t="str">
        <f t="shared" si="268"/>
        <v/>
      </c>
      <c r="U848" s="192" t="str">
        <f t="shared" si="282"/>
        <v/>
      </c>
      <c r="V848" s="195" t="str">
        <f t="shared" si="269"/>
        <v/>
      </c>
      <c r="W848" s="195" t="str">
        <f t="shared" si="270"/>
        <v/>
      </c>
      <c r="X848" s="196" t="str">
        <f t="shared" si="283"/>
        <v/>
      </c>
      <c r="Y848" s="191" t="str">
        <f t="shared" si="264"/>
        <v/>
      </c>
      <c r="Z848" s="197" t="str">
        <f t="shared" si="271"/>
        <v/>
      </c>
      <c r="AA848" s="197" t="str">
        <f t="shared" si="272"/>
        <v/>
      </c>
      <c r="AB848" s="218"/>
      <c r="AC848" s="205"/>
    </row>
    <row r="849" spans="1:29">
      <c r="A849" s="219" t="str">
        <f t="shared" si="273"/>
        <v/>
      </c>
      <c r="B849" s="219"/>
      <c r="C849" s="184"/>
      <c r="D849" s="185"/>
      <c r="E849" s="185" t="str">
        <f>IF(OR(C849="",C849=Data!$B$3),"",IF(C849=Data!$B$2,"L","S"))</f>
        <v/>
      </c>
      <c r="F849" s="185" t="str">
        <f t="shared" si="274"/>
        <v/>
      </c>
      <c r="G849" s="186" t="str">
        <f t="shared" si="265"/>
        <v/>
      </c>
      <c r="H849" s="187"/>
      <c r="I849" s="188" t="str">
        <f t="shared" si="275"/>
        <v/>
      </c>
      <c r="J849" s="188" t="str">
        <f t="shared" si="276"/>
        <v/>
      </c>
      <c r="K849" s="189" t="str">
        <f t="shared" si="277"/>
        <v/>
      </c>
      <c r="L849" s="189" t="str">
        <f t="shared" si="278"/>
        <v/>
      </c>
      <c r="M849" s="190"/>
      <c r="N849" s="190"/>
      <c r="O849" s="188" t="str">
        <f t="shared" si="279"/>
        <v/>
      </c>
      <c r="P849" s="191" t="str">
        <f t="shared" si="266"/>
        <v/>
      </c>
      <c r="Q849" s="192" t="str">
        <f t="shared" si="280"/>
        <v/>
      </c>
      <c r="R849" s="191" t="str">
        <f t="shared" si="267"/>
        <v/>
      </c>
      <c r="S849" s="193" t="str">
        <f t="shared" si="281"/>
        <v/>
      </c>
      <c r="T849" s="194" t="str">
        <f t="shared" si="268"/>
        <v/>
      </c>
      <c r="U849" s="192" t="str">
        <f t="shared" si="282"/>
        <v/>
      </c>
      <c r="V849" s="195" t="str">
        <f t="shared" si="269"/>
        <v/>
      </c>
      <c r="W849" s="195" t="str">
        <f t="shared" si="270"/>
        <v/>
      </c>
      <c r="X849" s="196" t="str">
        <f t="shared" si="283"/>
        <v/>
      </c>
      <c r="Y849" s="191" t="str">
        <f t="shared" si="264"/>
        <v/>
      </c>
      <c r="Z849" s="197" t="str">
        <f t="shared" si="271"/>
        <v/>
      </c>
      <c r="AA849" s="197" t="str">
        <f t="shared" si="272"/>
        <v/>
      </c>
      <c r="AB849" s="218"/>
      <c r="AC849" s="205"/>
    </row>
    <row r="850" spans="1:29">
      <c r="A850" s="219" t="str">
        <f t="shared" si="273"/>
        <v/>
      </c>
      <c r="B850" s="219"/>
      <c r="C850" s="184"/>
      <c r="D850" s="185"/>
      <c r="E850" s="185" t="str">
        <f>IF(OR(C850="",C850=Data!$B$3),"",IF(C850=Data!$B$2,"L","S"))</f>
        <v/>
      </c>
      <c r="F850" s="185" t="str">
        <f t="shared" si="274"/>
        <v/>
      </c>
      <c r="G850" s="186" t="str">
        <f t="shared" si="265"/>
        <v/>
      </c>
      <c r="H850" s="187"/>
      <c r="I850" s="188" t="str">
        <f t="shared" si="275"/>
        <v/>
      </c>
      <c r="J850" s="188" t="str">
        <f t="shared" si="276"/>
        <v/>
      </c>
      <c r="K850" s="189" t="str">
        <f t="shared" si="277"/>
        <v/>
      </c>
      <c r="L850" s="189" t="str">
        <f t="shared" si="278"/>
        <v/>
      </c>
      <c r="M850" s="190"/>
      <c r="N850" s="190"/>
      <c r="O850" s="188" t="str">
        <f t="shared" si="279"/>
        <v/>
      </c>
      <c r="P850" s="191" t="str">
        <f t="shared" si="266"/>
        <v/>
      </c>
      <c r="Q850" s="192" t="str">
        <f t="shared" si="280"/>
        <v/>
      </c>
      <c r="R850" s="191" t="str">
        <f t="shared" si="267"/>
        <v/>
      </c>
      <c r="S850" s="193" t="str">
        <f t="shared" si="281"/>
        <v/>
      </c>
      <c r="T850" s="194" t="str">
        <f t="shared" si="268"/>
        <v/>
      </c>
      <c r="U850" s="192" t="str">
        <f t="shared" si="282"/>
        <v/>
      </c>
      <c r="V850" s="195" t="str">
        <f t="shared" si="269"/>
        <v/>
      </c>
      <c r="W850" s="195" t="str">
        <f t="shared" si="270"/>
        <v/>
      </c>
      <c r="X850" s="196" t="str">
        <f t="shared" si="283"/>
        <v/>
      </c>
      <c r="Y850" s="191" t="str">
        <f t="shared" si="264"/>
        <v/>
      </c>
      <c r="Z850" s="197" t="str">
        <f t="shared" si="271"/>
        <v/>
      </c>
      <c r="AA850" s="197" t="str">
        <f t="shared" si="272"/>
        <v/>
      </c>
      <c r="AB850" s="218"/>
      <c r="AC850" s="205"/>
    </row>
    <row r="851" spans="1:29">
      <c r="A851" s="219" t="str">
        <f t="shared" si="273"/>
        <v/>
      </c>
      <c r="B851" s="219"/>
      <c r="C851" s="184"/>
      <c r="D851" s="185"/>
      <c r="E851" s="185" t="str">
        <f>IF(OR(C851="",C851=Data!$B$3),"",IF(C851=Data!$B$2,"L","S"))</f>
        <v/>
      </c>
      <c r="F851" s="185" t="str">
        <f t="shared" si="274"/>
        <v/>
      </c>
      <c r="G851" s="186" t="str">
        <f t="shared" si="265"/>
        <v/>
      </c>
      <c r="H851" s="187"/>
      <c r="I851" s="188" t="str">
        <f t="shared" si="275"/>
        <v/>
      </c>
      <c r="J851" s="188" t="str">
        <f t="shared" si="276"/>
        <v/>
      </c>
      <c r="K851" s="189" t="str">
        <f t="shared" si="277"/>
        <v/>
      </c>
      <c r="L851" s="189" t="str">
        <f t="shared" si="278"/>
        <v/>
      </c>
      <c r="M851" s="190"/>
      <c r="N851" s="190"/>
      <c r="O851" s="188" t="str">
        <f t="shared" si="279"/>
        <v/>
      </c>
      <c r="P851" s="191" t="str">
        <f t="shared" si="266"/>
        <v/>
      </c>
      <c r="Q851" s="192" t="str">
        <f t="shared" si="280"/>
        <v/>
      </c>
      <c r="R851" s="191" t="str">
        <f t="shared" si="267"/>
        <v/>
      </c>
      <c r="S851" s="193" t="str">
        <f t="shared" si="281"/>
        <v/>
      </c>
      <c r="T851" s="194" t="str">
        <f t="shared" si="268"/>
        <v/>
      </c>
      <c r="U851" s="192" t="str">
        <f t="shared" si="282"/>
        <v/>
      </c>
      <c r="V851" s="195" t="str">
        <f t="shared" si="269"/>
        <v/>
      </c>
      <c r="W851" s="195" t="str">
        <f t="shared" si="270"/>
        <v/>
      </c>
      <c r="X851" s="196" t="str">
        <f t="shared" si="283"/>
        <v/>
      </c>
      <c r="Y851" s="191" t="str">
        <f t="shared" si="264"/>
        <v/>
      </c>
      <c r="Z851" s="197" t="str">
        <f t="shared" si="271"/>
        <v/>
      </c>
      <c r="AA851" s="197" t="str">
        <f t="shared" si="272"/>
        <v/>
      </c>
      <c r="AB851" s="218"/>
      <c r="AC851" s="205"/>
    </row>
    <row r="852" spans="1:29">
      <c r="A852" s="219" t="str">
        <f t="shared" si="273"/>
        <v/>
      </c>
      <c r="B852" s="219"/>
      <c r="C852" s="184"/>
      <c r="D852" s="185"/>
      <c r="E852" s="185" t="str">
        <f>IF(OR(C852="",C852=Data!$B$3),"",IF(C852=Data!$B$2,"L","S"))</f>
        <v/>
      </c>
      <c r="F852" s="185" t="str">
        <f t="shared" si="274"/>
        <v/>
      </c>
      <c r="G852" s="186" t="str">
        <f t="shared" si="265"/>
        <v/>
      </c>
      <c r="H852" s="187"/>
      <c r="I852" s="188" t="str">
        <f t="shared" si="275"/>
        <v/>
      </c>
      <c r="J852" s="188" t="str">
        <f t="shared" si="276"/>
        <v/>
      </c>
      <c r="K852" s="189" t="str">
        <f t="shared" si="277"/>
        <v/>
      </c>
      <c r="L852" s="189" t="str">
        <f t="shared" si="278"/>
        <v/>
      </c>
      <c r="M852" s="190"/>
      <c r="N852" s="190"/>
      <c r="O852" s="188" t="str">
        <f t="shared" si="279"/>
        <v/>
      </c>
      <c r="P852" s="191" t="str">
        <f t="shared" si="266"/>
        <v/>
      </c>
      <c r="Q852" s="192" t="str">
        <f t="shared" si="280"/>
        <v/>
      </c>
      <c r="R852" s="191" t="str">
        <f t="shared" si="267"/>
        <v/>
      </c>
      <c r="S852" s="193" t="str">
        <f t="shared" si="281"/>
        <v/>
      </c>
      <c r="T852" s="194" t="str">
        <f t="shared" si="268"/>
        <v/>
      </c>
      <c r="U852" s="192" t="str">
        <f t="shared" si="282"/>
        <v/>
      </c>
      <c r="V852" s="195" t="str">
        <f t="shared" si="269"/>
        <v/>
      </c>
      <c r="W852" s="195" t="str">
        <f t="shared" si="270"/>
        <v/>
      </c>
      <c r="X852" s="196" t="str">
        <f t="shared" si="283"/>
        <v/>
      </c>
      <c r="Y852" s="191" t="str">
        <f t="shared" ref="Y852:Y915" si="284">IF(Y851="","",IF(T852="","",Y851+T852))</f>
        <v/>
      </c>
      <c r="Z852" s="197" t="str">
        <f t="shared" si="271"/>
        <v/>
      </c>
      <c r="AA852" s="197" t="str">
        <f t="shared" si="272"/>
        <v/>
      </c>
      <c r="AB852" s="218"/>
      <c r="AC852" s="205"/>
    </row>
    <row r="853" spans="1:29">
      <c r="A853" s="219" t="str">
        <f t="shared" si="273"/>
        <v/>
      </c>
      <c r="B853" s="219"/>
      <c r="C853" s="184"/>
      <c r="D853" s="185"/>
      <c r="E853" s="185" t="str">
        <f>IF(OR(C853="",C853=Data!$B$3),"",IF(C853=Data!$B$2,"L","S"))</f>
        <v/>
      </c>
      <c r="F853" s="185" t="str">
        <f t="shared" si="274"/>
        <v/>
      </c>
      <c r="G853" s="186" t="str">
        <f t="shared" si="265"/>
        <v/>
      </c>
      <c r="H853" s="187"/>
      <c r="I853" s="188" t="str">
        <f t="shared" si="275"/>
        <v/>
      </c>
      <c r="J853" s="188" t="str">
        <f t="shared" si="276"/>
        <v/>
      </c>
      <c r="K853" s="189" t="str">
        <f t="shared" si="277"/>
        <v/>
      </c>
      <c r="L853" s="189" t="str">
        <f t="shared" si="278"/>
        <v/>
      </c>
      <c r="M853" s="190"/>
      <c r="N853" s="190"/>
      <c r="O853" s="188" t="str">
        <f t="shared" si="279"/>
        <v/>
      </c>
      <c r="P853" s="191" t="str">
        <f t="shared" si="266"/>
        <v/>
      </c>
      <c r="Q853" s="192" t="str">
        <f t="shared" si="280"/>
        <v/>
      </c>
      <c r="R853" s="191" t="str">
        <f t="shared" si="267"/>
        <v/>
      </c>
      <c r="S853" s="193" t="str">
        <f t="shared" si="281"/>
        <v/>
      </c>
      <c r="T853" s="194" t="str">
        <f t="shared" si="268"/>
        <v/>
      </c>
      <c r="U853" s="192" t="str">
        <f t="shared" si="282"/>
        <v/>
      </c>
      <c r="V853" s="195" t="str">
        <f t="shared" si="269"/>
        <v/>
      </c>
      <c r="W853" s="195" t="str">
        <f t="shared" si="270"/>
        <v/>
      </c>
      <c r="X853" s="196" t="str">
        <f t="shared" si="283"/>
        <v/>
      </c>
      <c r="Y853" s="191" t="str">
        <f t="shared" si="284"/>
        <v/>
      </c>
      <c r="Z853" s="197" t="str">
        <f t="shared" si="271"/>
        <v/>
      </c>
      <c r="AA853" s="197" t="str">
        <f t="shared" si="272"/>
        <v/>
      </c>
      <c r="AB853" s="218"/>
      <c r="AC853" s="205"/>
    </row>
    <row r="854" spans="1:29">
      <c r="A854" s="219" t="str">
        <f t="shared" si="273"/>
        <v/>
      </c>
      <c r="B854" s="219"/>
      <c r="C854" s="184"/>
      <c r="D854" s="185"/>
      <c r="E854" s="185" t="str">
        <f>IF(OR(C854="",C854=Data!$B$3),"",IF(C854=Data!$B$2,"L","S"))</f>
        <v/>
      </c>
      <c r="F854" s="185" t="str">
        <f t="shared" si="274"/>
        <v/>
      </c>
      <c r="G854" s="186" t="str">
        <f t="shared" si="265"/>
        <v/>
      </c>
      <c r="H854" s="187"/>
      <c r="I854" s="188" t="str">
        <f t="shared" si="275"/>
        <v/>
      </c>
      <c r="J854" s="188" t="str">
        <f t="shared" si="276"/>
        <v/>
      </c>
      <c r="K854" s="189" t="str">
        <f t="shared" si="277"/>
        <v/>
      </c>
      <c r="L854" s="189" t="str">
        <f t="shared" si="278"/>
        <v/>
      </c>
      <c r="M854" s="190"/>
      <c r="N854" s="190"/>
      <c r="O854" s="188" t="str">
        <f t="shared" si="279"/>
        <v/>
      </c>
      <c r="P854" s="191" t="str">
        <f t="shared" si="266"/>
        <v/>
      </c>
      <c r="Q854" s="192" t="str">
        <f t="shared" si="280"/>
        <v/>
      </c>
      <c r="R854" s="191" t="str">
        <f t="shared" si="267"/>
        <v/>
      </c>
      <c r="S854" s="193" t="str">
        <f t="shared" si="281"/>
        <v/>
      </c>
      <c r="T854" s="194" t="str">
        <f t="shared" si="268"/>
        <v/>
      </c>
      <c r="U854" s="192" t="str">
        <f t="shared" si="282"/>
        <v/>
      </c>
      <c r="V854" s="195" t="str">
        <f t="shared" si="269"/>
        <v/>
      </c>
      <c r="W854" s="195" t="str">
        <f t="shared" si="270"/>
        <v/>
      </c>
      <c r="X854" s="196" t="str">
        <f t="shared" si="283"/>
        <v/>
      </c>
      <c r="Y854" s="191" t="str">
        <f t="shared" si="284"/>
        <v/>
      </c>
      <c r="Z854" s="197" t="str">
        <f t="shared" si="271"/>
        <v/>
      </c>
      <c r="AA854" s="197" t="str">
        <f t="shared" si="272"/>
        <v/>
      </c>
      <c r="AB854" s="218"/>
      <c r="AC854" s="205"/>
    </row>
    <row r="855" spans="1:29">
      <c r="A855" s="219" t="str">
        <f t="shared" si="273"/>
        <v/>
      </c>
      <c r="B855" s="219"/>
      <c r="C855" s="184"/>
      <c r="D855" s="185"/>
      <c r="E855" s="185" t="str">
        <f>IF(OR(C855="",C855=Data!$B$3),"",IF(C855=Data!$B$2,"L","S"))</f>
        <v/>
      </c>
      <c r="F855" s="185" t="str">
        <f t="shared" si="274"/>
        <v/>
      </c>
      <c r="G855" s="186" t="str">
        <f t="shared" si="265"/>
        <v/>
      </c>
      <c r="H855" s="187"/>
      <c r="I855" s="188" t="str">
        <f t="shared" si="275"/>
        <v/>
      </c>
      <c r="J855" s="188" t="str">
        <f t="shared" si="276"/>
        <v/>
      </c>
      <c r="K855" s="189" t="str">
        <f t="shared" si="277"/>
        <v/>
      </c>
      <c r="L855" s="189" t="str">
        <f t="shared" si="278"/>
        <v/>
      </c>
      <c r="M855" s="190"/>
      <c r="N855" s="190"/>
      <c r="O855" s="188" t="str">
        <f t="shared" si="279"/>
        <v/>
      </c>
      <c r="P855" s="191" t="str">
        <f t="shared" si="266"/>
        <v/>
      </c>
      <c r="Q855" s="192" t="str">
        <f t="shared" si="280"/>
        <v/>
      </c>
      <c r="R855" s="191" t="str">
        <f t="shared" si="267"/>
        <v/>
      </c>
      <c r="S855" s="193" t="str">
        <f t="shared" si="281"/>
        <v/>
      </c>
      <c r="T855" s="194" t="str">
        <f t="shared" si="268"/>
        <v/>
      </c>
      <c r="U855" s="192" t="str">
        <f t="shared" si="282"/>
        <v/>
      </c>
      <c r="V855" s="195" t="str">
        <f t="shared" si="269"/>
        <v/>
      </c>
      <c r="W855" s="195" t="str">
        <f t="shared" si="270"/>
        <v/>
      </c>
      <c r="X855" s="196" t="str">
        <f t="shared" si="283"/>
        <v/>
      </c>
      <c r="Y855" s="191" t="str">
        <f t="shared" si="284"/>
        <v/>
      </c>
      <c r="Z855" s="197" t="str">
        <f t="shared" si="271"/>
        <v/>
      </c>
      <c r="AA855" s="197" t="str">
        <f t="shared" si="272"/>
        <v/>
      </c>
      <c r="AB855" s="218"/>
      <c r="AC855" s="205"/>
    </row>
    <row r="856" spans="1:29">
      <c r="A856" s="219" t="str">
        <f t="shared" si="273"/>
        <v/>
      </c>
      <c r="B856" s="219"/>
      <c r="C856" s="184"/>
      <c r="D856" s="185"/>
      <c r="E856" s="185" t="str">
        <f>IF(OR(C856="",C856=Data!$B$3),"",IF(C856=Data!$B$2,"L","S"))</f>
        <v/>
      </c>
      <c r="F856" s="185" t="str">
        <f t="shared" si="274"/>
        <v/>
      </c>
      <c r="G856" s="186" t="str">
        <f t="shared" si="265"/>
        <v/>
      </c>
      <c r="H856" s="187"/>
      <c r="I856" s="188" t="str">
        <f t="shared" si="275"/>
        <v/>
      </c>
      <c r="J856" s="188" t="str">
        <f t="shared" si="276"/>
        <v/>
      </c>
      <c r="K856" s="189" t="str">
        <f t="shared" si="277"/>
        <v/>
      </c>
      <c r="L856" s="189" t="str">
        <f t="shared" si="278"/>
        <v/>
      </c>
      <c r="M856" s="190"/>
      <c r="N856" s="190"/>
      <c r="O856" s="188" t="str">
        <f t="shared" si="279"/>
        <v/>
      </c>
      <c r="P856" s="191" t="str">
        <f t="shared" si="266"/>
        <v/>
      </c>
      <c r="Q856" s="192" t="str">
        <f t="shared" si="280"/>
        <v/>
      </c>
      <c r="R856" s="191" t="str">
        <f t="shared" si="267"/>
        <v/>
      </c>
      <c r="S856" s="193" t="str">
        <f t="shared" si="281"/>
        <v/>
      </c>
      <c r="T856" s="194" t="str">
        <f t="shared" si="268"/>
        <v/>
      </c>
      <c r="U856" s="192" t="str">
        <f t="shared" si="282"/>
        <v/>
      </c>
      <c r="V856" s="195" t="str">
        <f t="shared" si="269"/>
        <v/>
      </c>
      <c r="W856" s="195" t="str">
        <f t="shared" si="270"/>
        <v/>
      </c>
      <c r="X856" s="196" t="str">
        <f t="shared" si="283"/>
        <v/>
      </c>
      <c r="Y856" s="191" t="str">
        <f t="shared" si="284"/>
        <v/>
      </c>
      <c r="Z856" s="197" t="str">
        <f t="shared" si="271"/>
        <v/>
      </c>
      <c r="AA856" s="197" t="str">
        <f t="shared" si="272"/>
        <v/>
      </c>
      <c r="AB856" s="218"/>
      <c r="AC856" s="205"/>
    </row>
    <row r="857" spans="1:29">
      <c r="A857" s="219" t="str">
        <f t="shared" si="273"/>
        <v/>
      </c>
      <c r="B857" s="219"/>
      <c r="C857" s="184"/>
      <c r="D857" s="185"/>
      <c r="E857" s="185" t="str">
        <f>IF(OR(C857="",C857=Data!$B$3),"",IF(C857=Data!$B$2,"L","S"))</f>
        <v/>
      </c>
      <c r="F857" s="185" t="str">
        <f t="shared" si="274"/>
        <v/>
      </c>
      <c r="G857" s="186" t="str">
        <f t="shared" si="265"/>
        <v/>
      </c>
      <c r="H857" s="187"/>
      <c r="I857" s="188" t="str">
        <f t="shared" si="275"/>
        <v/>
      </c>
      <c r="J857" s="188" t="str">
        <f t="shared" si="276"/>
        <v/>
      </c>
      <c r="K857" s="189" t="str">
        <f t="shared" si="277"/>
        <v/>
      </c>
      <c r="L857" s="189" t="str">
        <f t="shared" si="278"/>
        <v/>
      </c>
      <c r="M857" s="190"/>
      <c r="N857" s="190"/>
      <c r="O857" s="188" t="str">
        <f t="shared" si="279"/>
        <v/>
      </c>
      <c r="P857" s="191" t="str">
        <f t="shared" si="266"/>
        <v/>
      </c>
      <c r="Q857" s="192" t="str">
        <f t="shared" si="280"/>
        <v/>
      </c>
      <c r="R857" s="191" t="str">
        <f t="shared" si="267"/>
        <v/>
      </c>
      <c r="S857" s="193" t="str">
        <f t="shared" si="281"/>
        <v/>
      </c>
      <c r="T857" s="194" t="str">
        <f t="shared" si="268"/>
        <v/>
      </c>
      <c r="U857" s="192" t="str">
        <f t="shared" si="282"/>
        <v/>
      </c>
      <c r="V857" s="195" t="str">
        <f t="shared" si="269"/>
        <v/>
      </c>
      <c r="W857" s="195" t="str">
        <f t="shared" si="270"/>
        <v/>
      </c>
      <c r="X857" s="196" t="str">
        <f t="shared" si="283"/>
        <v/>
      </c>
      <c r="Y857" s="191" t="str">
        <f t="shared" si="284"/>
        <v/>
      </c>
      <c r="Z857" s="197" t="str">
        <f t="shared" si="271"/>
        <v/>
      </c>
      <c r="AA857" s="197" t="str">
        <f t="shared" si="272"/>
        <v/>
      </c>
      <c r="AB857" s="218"/>
      <c r="AC857" s="205"/>
    </row>
    <row r="858" spans="1:29">
      <c r="A858" s="219" t="str">
        <f t="shared" si="273"/>
        <v/>
      </c>
      <c r="B858" s="219"/>
      <c r="C858" s="184"/>
      <c r="D858" s="185"/>
      <c r="E858" s="185" t="str">
        <f>IF(OR(C858="",C858=Data!$B$3),"",IF(C858=Data!$B$2,"L","S"))</f>
        <v/>
      </c>
      <c r="F858" s="185" t="str">
        <f t="shared" si="274"/>
        <v/>
      </c>
      <c r="G858" s="186" t="str">
        <f t="shared" si="265"/>
        <v/>
      </c>
      <c r="H858" s="187"/>
      <c r="I858" s="188" t="str">
        <f t="shared" si="275"/>
        <v/>
      </c>
      <c r="J858" s="188" t="str">
        <f t="shared" si="276"/>
        <v/>
      </c>
      <c r="K858" s="189" t="str">
        <f t="shared" si="277"/>
        <v/>
      </c>
      <c r="L858" s="189" t="str">
        <f t="shared" si="278"/>
        <v/>
      </c>
      <c r="M858" s="190"/>
      <c r="N858" s="190"/>
      <c r="O858" s="188" t="str">
        <f t="shared" si="279"/>
        <v/>
      </c>
      <c r="P858" s="191" t="str">
        <f t="shared" si="266"/>
        <v/>
      </c>
      <c r="Q858" s="192" t="str">
        <f t="shared" si="280"/>
        <v/>
      </c>
      <c r="R858" s="191" t="str">
        <f t="shared" si="267"/>
        <v/>
      </c>
      <c r="S858" s="193" t="str">
        <f t="shared" si="281"/>
        <v/>
      </c>
      <c r="T858" s="194" t="str">
        <f t="shared" si="268"/>
        <v/>
      </c>
      <c r="U858" s="192" t="str">
        <f t="shared" si="282"/>
        <v/>
      </c>
      <c r="V858" s="195" t="str">
        <f t="shared" si="269"/>
        <v/>
      </c>
      <c r="W858" s="195" t="str">
        <f t="shared" si="270"/>
        <v/>
      </c>
      <c r="X858" s="196" t="str">
        <f t="shared" si="283"/>
        <v/>
      </c>
      <c r="Y858" s="191" t="str">
        <f t="shared" si="284"/>
        <v/>
      </c>
      <c r="Z858" s="197" t="str">
        <f t="shared" si="271"/>
        <v/>
      </c>
      <c r="AA858" s="197" t="str">
        <f t="shared" si="272"/>
        <v/>
      </c>
      <c r="AB858" s="218"/>
      <c r="AC858" s="205"/>
    </row>
    <row r="859" spans="1:29">
      <c r="A859" s="219" t="str">
        <f t="shared" si="273"/>
        <v/>
      </c>
      <c r="B859" s="219"/>
      <c r="C859" s="184"/>
      <c r="D859" s="185"/>
      <c r="E859" s="185" t="str">
        <f>IF(OR(C859="",C859=Data!$B$3),"",IF(C859=Data!$B$2,"L","S"))</f>
        <v/>
      </c>
      <c r="F859" s="185" t="str">
        <f t="shared" si="274"/>
        <v/>
      </c>
      <c r="G859" s="186" t="str">
        <f t="shared" si="265"/>
        <v/>
      </c>
      <c r="H859" s="187"/>
      <c r="I859" s="188" t="str">
        <f t="shared" si="275"/>
        <v/>
      </c>
      <c r="J859" s="188" t="str">
        <f t="shared" si="276"/>
        <v/>
      </c>
      <c r="K859" s="189" t="str">
        <f t="shared" si="277"/>
        <v/>
      </c>
      <c r="L859" s="189" t="str">
        <f t="shared" si="278"/>
        <v/>
      </c>
      <c r="M859" s="190"/>
      <c r="N859" s="190"/>
      <c r="O859" s="188" t="str">
        <f t="shared" si="279"/>
        <v/>
      </c>
      <c r="P859" s="191" t="str">
        <f t="shared" si="266"/>
        <v/>
      </c>
      <c r="Q859" s="192" t="str">
        <f t="shared" si="280"/>
        <v/>
      </c>
      <c r="R859" s="191" t="str">
        <f t="shared" si="267"/>
        <v/>
      </c>
      <c r="S859" s="193" t="str">
        <f t="shared" si="281"/>
        <v/>
      </c>
      <c r="T859" s="194" t="str">
        <f t="shared" si="268"/>
        <v/>
      </c>
      <c r="U859" s="192" t="str">
        <f t="shared" si="282"/>
        <v/>
      </c>
      <c r="V859" s="195" t="str">
        <f t="shared" si="269"/>
        <v/>
      </c>
      <c r="W859" s="195" t="str">
        <f t="shared" si="270"/>
        <v/>
      </c>
      <c r="X859" s="196" t="str">
        <f t="shared" si="283"/>
        <v/>
      </c>
      <c r="Y859" s="191" t="str">
        <f t="shared" si="284"/>
        <v/>
      </c>
      <c r="Z859" s="197" t="str">
        <f t="shared" si="271"/>
        <v/>
      </c>
      <c r="AA859" s="197" t="str">
        <f t="shared" si="272"/>
        <v/>
      </c>
      <c r="AB859" s="218"/>
      <c r="AC859" s="205"/>
    </row>
    <row r="860" spans="1:29">
      <c r="A860" s="219" t="str">
        <f t="shared" si="273"/>
        <v/>
      </c>
      <c r="B860" s="219"/>
      <c r="C860" s="184"/>
      <c r="D860" s="185"/>
      <c r="E860" s="185" t="str">
        <f>IF(OR(C860="",C860=Data!$B$3),"",IF(C860=Data!$B$2,"L","S"))</f>
        <v/>
      </c>
      <c r="F860" s="185" t="str">
        <f t="shared" si="274"/>
        <v/>
      </c>
      <c r="G860" s="186" t="str">
        <f t="shared" si="265"/>
        <v/>
      </c>
      <c r="H860" s="187"/>
      <c r="I860" s="188" t="str">
        <f t="shared" si="275"/>
        <v/>
      </c>
      <c r="J860" s="188" t="str">
        <f t="shared" si="276"/>
        <v/>
      </c>
      <c r="K860" s="189" t="str">
        <f t="shared" si="277"/>
        <v/>
      </c>
      <c r="L860" s="189" t="str">
        <f t="shared" si="278"/>
        <v/>
      </c>
      <c r="M860" s="190"/>
      <c r="N860" s="190"/>
      <c r="O860" s="188" t="str">
        <f t="shared" si="279"/>
        <v/>
      </c>
      <c r="P860" s="191" t="str">
        <f t="shared" si="266"/>
        <v/>
      </c>
      <c r="Q860" s="192" t="str">
        <f t="shared" si="280"/>
        <v/>
      </c>
      <c r="R860" s="191" t="str">
        <f t="shared" si="267"/>
        <v/>
      </c>
      <c r="S860" s="193" t="str">
        <f t="shared" si="281"/>
        <v/>
      </c>
      <c r="T860" s="194" t="str">
        <f t="shared" si="268"/>
        <v/>
      </c>
      <c r="U860" s="192" t="str">
        <f t="shared" si="282"/>
        <v/>
      </c>
      <c r="V860" s="195" t="str">
        <f t="shared" si="269"/>
        <v/>
      </c>
      <c r="W860" s="195" t="str">
        <f t="shared" si="270"/>
        <v/>
      </c>
      <c r="X860" s="196" t="str">
        <f t="shared" si="283"/>
        <v/>
      </c>
      <c r="Y860" s="191" t="str">
        <f t="shared" si="284"/>
        <v/>
      </c>
      <c r="Z860" s="197" t="str">
        <f t="shared" si="271"/>
        <v/>
      </c>
      <c r="AA860" s="197" t="str">
        <f t="shared" si="272"/>
        <v/>
      </c>
      <c r="AB860" s="218"/>
      <c r="AC860" s="205"/>
    </row>
    <row r="861" spans="1:29">
      <c r="A861" s="219" t="str">
        <f t="shared" si="273"/>
        <v/>
      </c>
      <c r="B861" s="219"/>
      <c r="C861" s="184"/>
      <c r="D861" s="185"/>
      <c r="E861" s="185" t="str">
        <f>IF(OR(C861="",C861=Data!$B$3),"",IF(C861=Data!$B$2,"L","S"))</f>
        <v/>
      </c>
      <c r="F861" s="185" t="str">
        <f t="shared" si="274"/>
        <v/>
      </c>
      <c r="G861" s="186" t="str">
        <f t="shared" si="265"/>
        <v/>
      </c>
      <c r="H861" s="187"/>
      <c r="I861" s="188" t="str">
        <f t="shared" si="275"/>
        <v/>
      </c>
      <c r="J861" s="188" t="str">
        <f t="shared" si="276"/>
        <v/>
      </c>
      <c r="K861" s="189" t="str">
        <f t="shared" si="277"/>
        <v/>
      </c>
      <c r="L861" s="189" t="str">
        <f t="shared" si="278"/>
        <v/>
      </c>
      <c r="M861" s="190"/>
      <c r="N861" s="190"/>
      <c r="O861" s="188" t="str">
        <f t="shared" si="279"/>
        <v/>
      </c>
      <c r="P861" s="191" t="str">
        <f t="shared" si="266"/>
        <v/>
      </c>
      <c r="Q861" s="192" t="str">
        <f t="shared" si="280"/>
        <v/>
      </c>
      <c r="R861" s="191" t="str">
        <f t="shared" si="267"/>
        <v/>
      </c>
      <c r="S861" s="193" t="str">
        <f t="shared" si="281"/>
        <v/>
      </c>
      <c r="T861" s="194" t="str">
        <f t="shared" si="268"/>
        <v/>
      </c>
      <c r="U861" s="192" t="str">
        <f t="shared" si="282"/>
        <v/>
      </c>
      <c r="V861" s="195" t="str">
        <f t="shared" si="269"/>
        <v/>
      </c>
      <c r="W861" s="195" t="str">
        <f t="shared" si="270"/>
        <v/>
      </c>
      <c r="X861" s="196" t="str">
        <f t="shared" si="283"/>
        <v/>
      </c>
      <c r="Y861" s="191" t="str">
        <f t="shared" si="284"/>
        <v/>
      </c>
      <c r="Z861" s="197" t="str">
        <f t="shared" si="271"/>
        <v/>
      </c>
      <c r="AA861" s="197" t="str">
        <f t="shared" si="272"/>
        <v/>
      </c>
      <c r="AB861" s="218"/>
      <c r="AC861" s="205"/>
    </row>
    <row r="862" spans="1:29">
      <c r="A862" s="219" t="str">
        <f t="shared" si="273"/>
        <v/>
      </c>
      <c r="B862" s="219"/>
      <c r="C862" s="184"/>
      <c r="D862" s="185"/>
      <c r="E862" s="185" t="str">
        <f>IF(OR(C862="",C862=Data!$B$3),"",IF(C862=Data!$B$2,"L","S"))</f>
        <v/>
      </c>
      <c r="F862" s="185" t="str">
        <f t="shared" si="274"/>
        <v/>
      </c>
      <c r="G862" s="186" t="str">
        <f t="shared" si="265"/>
        <v/>
      </c>
      <c r="H862" s="187"/>
      <c r="I862" s="188" t="str">
        <f t="shared" si="275"/>
        <v/>
      </c>
      <c r="J862" s="188" t="str">
        <f t="shared" si="276"/>
        <v/>
      </c>
      <c r="K862" s="189" t="str">
        <f t="shared" si="277"/>
        <v/>
      </c>
      <c r="L862" s="189" t="str">
        <f t="shared" si="278"/>
        <v/>
      </c>
      <c r="M862" s="190"/>
      <c r="N862" s="190"/>
      <c r="O862" s="188" t="str">
        <f t="shared" si="279"/>
        <v/>
      </c>
      <c r="P862" s="191" t="str">
        <f t="shared" si="266"/>
        <v/>
      </c>
      <c r="Q862" s="192" t="str">
        <f t="shared" si="280"/>
        <v/>
      </c>
      <c r="R862" s="191" t="str">
        <f t="shared" si="267"/>
        <v/>
      </c>
      <c r="S862" s="193" t="str">
        <f t="shared" si="281"/>
        <v/>
      </c>
      <c r="T862" s="194" t="str">
        <f t="shared" si="268"/>
        <v/>
      </c>
      <c r="U862" s="192" t="str">
        <f t="shared" si="282"/>
        <v/>
      </c>
      <c r="V862" s="195" t="str">
        <f t="shared" si="269"/>
        <v/>
      </c>
      <c r="W862" s="195" t="str">
        <f t="shared" si="270"/>
        <v/>
      </c>
      <c r="X862" s="196" t="str">
        <f t="shared" si="283"/>
        <v/>
      </c>
      <c r="Y862" s="191" t="str">
        <f t="shared" si="284"/>
        <v/>
      </c>
      <c r="Z862" s="197" t="str">
        <f t="shared" si="271"/>
        <v/>
      </c>
      <c r="AA862" s="197" t="str">
        <f t="shared" si="272"/>
        <v/>
      </c>
      <c r="AB862" s="218"/>
      <c r="AC862" s="205"/>
    </row>
    <row r="863" spans="1:29">
      <c r="A863" s="219" t="str">
        <f t="shared" si="273"/>
        <v/>
      </c>
      <c r="B863" s="219"/>
      <c r="C863" s="184"/>
      <c r="D863" s="185"/>
      <c r="E863" s="185" t="str">
        <f>IF(OR(C863="",C863=Data!$B$3),"",IF(C863=Data!$B$2,"L","S"))</f>
        <v/>
      </c>
      <c r="F863" s="185" t="str">
        <f t="shared" si="274"/>
        <v/>
      </c>
      <c r="G863" s="186" t="str">
        <f t="shared" si="265"/>
        <v/>
      </c>
      <c r="H863" s="187"/>
      <c r="I863" s="188" t="str">
        <f t="shared" si="275"/>
        <v/>
      </c>
      <c r="J863" s="188" t="str">
        <f t="shared" si="276"/>
        <v/>
      </c>
      <c r="K863" s="189" t="str">
        <f t="shared" si="277"/>
        <v/>
      </c>
      <c r="L863" s="189" t="str">
        <f t="shared" si="278"/>
        <v/>
      </c>
      <c r="M863" s="190"/>
      <c r="N863" s="190"/>
      <c r="O863" s="188" t="str">
        <f t="shared" si="279"/>
        <v/>
      </c>
      <c r="P863" s="191" t="str">
        <f t="shared" si="266"/>
        <v/>
      </c>
      <c r="Q863" s="192" t="str">
        <f t="shared" si="280"/>
        <v/>
      </c>
      <c r="R863" s="191" t="str">
        <f t="shared" si="267"/>
        <v/>
      </c>
      <c r="S863" s="193" t="str">
        <f t="shared" si="281"/>
        <v/>
      </c>
      <c r="T863" s="194" t="str">
        <f t="shared" si="268"/>
        <v/>
      </c>
      <c r="U863" s="192" t="str">
        <f t="shared" si="282"/>
        <v/>
      </c>
      <c r="V863" s="195" t="str">
        <f t="shared" si="269"/>
        <v/>
      </c>
      <c r="W863" s="195" t="str">
        <f t="shared" si="270"/>
        <v/>
      </c>
      <c r="X863" s="196" t="str">
        <f t="shared" si="283"/>
        <v/>
      </c>
      <c r="Y863" s="191" t="str">
        <f t="shared" si="284"/>
        <v/>
      </c>
      <c r="Z863" s="197" t="str">
        <f t="shared" si="271"/>
        <v/>
      </c>
      <c r="AA863" s="197" t="str">
        <f t="shared" si="272"/>
        <v/>
      </c>
      <c r="AB863" s="218"/>
      <c r="AC863" s="205"/>
    </row>
    <row r="864" spans="1:29">
      <c r="A864" s="219" t="str">
        <f t="shared" si="273"/>
        <v/>
      </c>
      <c r="B864" s="219"/>
      <c r="C864" s="184"/>
      <c r="D864" s="185"/>
      <c r="E864" s="185" t="str">
        <f>IF(OR(C864="",C864=Data!$B$3),"",IF(C864=Data!$B$2,"L","S"))</f>
        <v/>
      </c>
      <c r="F864" s="185" t="str">
        <f t="shared" si="274"/>
        <v/>
      </c>
      <c r="G864" s="186" t="str">
        <f t="shared" si="265"/>
        <v/>
      </c>
      <c r="H864" s="187"/>
      <c r="I864" s="188" t="str">
        <f t="shared" si="275"/>
        <v/>
      </c>
      <c r="J864" s="188" t="str">
        <f t="shared" si="276"/>
        <v/>
      </c>
      <c r="K864" s="189" t="str">
        <f t="shared" si="277"/>
        <v/>
      </c>
      <c r="L864" s="189" t="str">
        <f t="shared" si="278"/>
        <v/>
      </c>
      <c r="M864" s="190"/>
      <c r="N864" s="190"/>
      <c r="O864" s="188" t="str">
        <f t="shared" si="279"/>
        <v/>
      </c>
      <c r="P864" s="191" t="str">
        <f t="shared" si="266"/>
        <v/>
      </c>
      <c r="Q864" s="192" t="str">
        <f t="shared" si="280"/>
        <v/>
      </c>
      <c r="R864" s="191" t="str">
        <f t="shared" si="267"/>
        <v/>
      </c>
      <c r="S864" s="193" t="str">
        <f t="shared" si="281"/>
        <v/>
      </c>
      <c r="T864" s="194" t="str">
        <f t="shared" si="268"/>
        <v/>
      </c>
      <c r="U864" s="192" t="str">
        <f t="shared" si="282"/>
        <v/>
      </c>
      <c r="V864" s="195" t="str">
        <f t="shared" si="269"/>
        <v/>
      </c>
      <c r="W864" s="195" t="str">
        <f t="shared" si="270"/>
        <v/>
      </c>
      <c r="X864" s="196" t="str">
        <f t="shared" si="283"/>
        <v/>
      </c>
      <c r="Y864" s="191" t="str">
        <f t="shared" si="284"/>
        <v/>
      </c>
      <c r="Z864" s="197" t="str">
        <f t="shared" si="271"/>
        <v/>
      </c>
      <c r="AA864" s="197" t="str">
        <f t="shared" si="272"/>
        <v/>
      </c>
      <c r="AB864" s="218"/>
      <c r="AC864" s="205"/>
    </row>
    <row r="865" spans="1:29">
      <c r="A865" s="219" t="str">
        <f t="shared" si="273"/>
        <v/>
      </c>
      <c r="B865" s="219"/>
      <c r="C865" s="184"/>
      <c r="D865" s="185"/>
      <c r="E865" s="185" t="str">
        <f>IF(OR(C865="",C865=Data!$B$3),"",IF(C865=Data!$B$2,"L","S"))</f>
        <v/>
      </c>
      <c r="F865" s="185" t="str">
        <f t="shared" si="274"/>
        <v/>
      </c>
      <c r="G865" s="186" t="str">
        <f t="shared" si="265"/>
        <v/>
      </c>
      <c r="H865" s="187"/>
      <c r="I865" s="188" t="str">
        <f t="shared" si="275"/>
        <v/>
      </c>
      <c r="J865" s="188" t="str">
        <f t="shared" si="276"/>
        <v/>
      </c>
      <c r="K865" s="189" t="str">
        <f t="shared" si="277"/>
        <v/>
      </c>
      <c r="L865" s="189" t="str">
        <f t="shared" si="278"/>
        <v/>
      </c>
      <c r="M865" s="190"/>
      <c r="N865" s="190"/>
      <c r="O865" s="188" t="str">
        <f t="shared" si="279"/>
        <v/>
      </c>
      <c r="P865" s="191" t="str">
        <f t="shared" si="266"/>
        <v/>
      </c>
      <c r="Q865" s="192" t="str">
        <f t="shared" si="280"/>
        <v/>
      </c>
      <c r="R865" s="191" t="str">
        <f t="shared" si="267"/>
        <v/>
      </c>
      <c r="S865" s="193" t="str">
        <f t="shared" si="281"/>
        <v/>
      </c>
      <c r="T865" s="194" t="str">
        <f t="shared" si="268"/>
        <v/>
      </c>
      <c r="U865" s="192" t="str">
        <f t="shared" si="282"/>
        <v/>
      </c>
      <c r="V865" s="195" t="str">
        <f t="shared" si="269"/>
        <v/>
      </c>
      <c r="W865" s="195" t="str">
        <f t="shared" si="270"/>
        <v/>
      </c>
      <c r="X865" s="196" t="str">
        <f t="shared" si="283"/>
        <v/>
      </c>
      <c r="Y865" s="191" t="str">
        <f t="shared" si="284"/>
        <v/>
      </c>
      <c r="Z865" s="197" t="str">
        <f t="shared" si="271"/>
        <v/>
      </c>
      <c r="AA865" s="197" t="str">
        <f t="shared" si="272"/>
        <v/>
      </c>
      <c r="AB865" s="218"/>
      <c r="AC865" s="205"/>
    </row>
    <row r="866" spans="1:29">
      <c r="A866" s="219" t="str">
        <f t="shared" si="273"/>
        <v/>
      </c>
      <c r="B866" s="219"/>
      <c r="C866" s="184"/>
      <c r="D866" s="185"/>
      <c r="E866" s="185" t="str">
        <f>IF(OR(C866="",C866=Data!$B$3),"",IF(C866=Data!$B$2,"L","S"))</f>
        <v/>
      </c>
      <c r="F866" s="185" t="str">
        <f t="shared" si="274"/>
        <v/>
      </c>
      <c r="G866" s="186" t="str">
        <f t="shared" si="265"/>
        <v/>
      </c>
      <c r="H866" s="187"/>
      <c r="I866" s="188" t="str">
        <f t="shared" si="275"/>
        <v/>
      </c>
      <c r="J866" s="188" t="str">
        <f t="shared" si="276"/>
        <v/>
      </c>
      <c r="K866" s="189" t="str">
        <f t="shared" si="277"/>
        <v/>
      </c>
      <c r="L866" s="189" t="str">
        <f t="shared" si="278"/>
        <v/>
      </c>
      <c r="M866" s="190"/>
      <c r="N866" s="190"/>
      <c r="O866" s="188" t="str">
        <f t="shared" si="279"/>
        <v/>
      </c>
      <c r="P866" s="191" t="str">
        <f t="shared" si="266"/>
        <v/>
      </c>
      <c r="Q866" s="192" t="str">
        <f t="shared" si="280"/>
        <v/>
      </c>
      <c r="R866" s="191" t="str">
        <f t="shared" si="267"/>
        <v/>
      </c>
      <c r="S866" s="193" t="str">
        <f t="shared" si="281"/>
        <v/>
      </c>
      <c r="T866" s="194" t="str">
        <f t="shared" si="268"/>
        <v/>
      </c>
      <c r="U866" s="192" t="str">
        <f t="shared" si="282"/>
        <v/>
      </c>
      <c r="V866" s="195" t="str">
        <f t="shared" si="269"/>
        <v/>
      </c>
      <c r="W866" s="195" t="str">
        <f t="shared" si="270"/>
        <v/>
      </c>
      <c r="X866" s="196" t="str">
        <f t="shared" si="283"/>
        <v/>
      </c>
      <c r="Y866" s="191" t="str">
        <f t="shared" si="284"/>
        <v/>
      </c>
      <c r="Z866" s="197" t="str">
        <f t="shared" si="271"/>
        <v/>
      </c>
      <c r="AA866" s="197" t="str">
        <f t="shared" si="272"/>
        <v/>
      </c>
      <c r="AB866" s="218"/>
      <c r="AC866" s="205"/>
    </row>
    <row r="867" spans="1:29">
      <c r="A867" s="219" t="str">
        <f t="shared" si="273"/>
        <v/>
      </c>
      <c r="B867" s="219"/>
      <c r="C867" s="184"/>
      <c r="D867" s="185"/>
      <c r="E867" s="185" t="str">
        <f>IF(OR(C867="",C867=Data!$B$3),"",IF(C867=Data!$B$2,"L","S"))</f>
        <v/>
      </c>
      <c r="F867" s="185" t="str">
        <f t="shared" si="274"/>
        <v/>
      </c>
      <c r="G867" s="186" t="str">
        <f t="shared" si="265"/>
        <v/>
      </c>
      <c r="H867" s="187"/>
      <c r="I867" s="188" t="str">
        <f t="shared" si="275"/>
        <v/>
      </c>
      <c r="J867" s="188" t="str">
        <f t="shared" si="276"/>
        <v/>
      </c>
      <c r="K867" s="189" t="str">
        <f t="shared" si="277"/>
        <v/>
      </c>
      <c r="L867" s="189" t="str">
        <f t="shared" si="278"/>
        <v/>
      </c>
      <c r="M867" s="190"/>
      <c r="N867" s="190"/>
      <c r="O867" s="188" t="str">
        <f t="shared" si="279"/>
        <v/>
      </c>
      <c r="P867" s="191" t="str">
        <f t="shared" si="266"/>
        <v/>
      </c>
      <c r="Q867" s="192" t="str">
        <f t="shared" si="280"/>
        <v/>
      </c>
      <c r="R867" s="191" t="str">
        <f t="shared" si="267"/>
        <v/>
      </c>
      <c r="S867" s="193" t="str">
        <f t="shared" si="281"/>
        <v/>
      </c>
      <c r="T867" s="194" t="str">
        <f t="shared" si="268"/>
        <v/>
      </c>
      <c r="U867" s="192" t="str">
        <f t="shared" si="282"/>
        <v/>
      </c>
      <c r="V867" s="195" t="str">
        <f t="shared" si="269"/>
        <v/>
      </c>
      <c r="W867" s="195" t="str">
        <f t="shared" si="270"/>
        <v/>
      </c>
      <c r="X867" s="196" t="str">
        <f t="shared" si="283"/>
        <v/>
      </c>
      <c r="Y867" s="191" t="str">
        <f t="shared" si="284"/>
        <v/>
      </c>
      <c r="Z867" s="197" t="str">
        <f t="shared" si="271"/>
        <v/>
      </c>
      <c r="AA867" s="197" t="str">
        <f t="shared" si="272"/>
        <v/>
      </c>
      <c r="AB867" s="218"/>
      <c r="AC867" s="205"/>
    </row>
    <row r="868" spans="1:29">
      <c r="A868" s="219" t="str">
        <f t="shared" si="273"/>
        <v/>
      </c>
      <c r="B868" s="219"/>
      <c r="C868" s="184"/>
      <c r="D868" s="185"/>
      <c r="E868" s="185" t="str">
        <f>IF(OR(C868="",C868=Data!$B$3),"",IF(C868=Data!$B$2,"L","S"))</f>
        <v/>
      </c>
      <c r="F868" s="185" t="str">
        <f t="shared" si="274"/>
        <v/>
      </c>
      <c r="G868" s="186" t="str">
        <f t="shared" si="265"/>
        <v/>
      </c>
      <c r="H868" s="187"/>
      <c r="I868" s="188" t="str">
        <f t="shared" si="275"/>
        <v/>
      </c>
      <c r="J868" s="188" t="str">
        <f t="shared" si="276"/>
        <v/>
      </c>
      <c r="K868" s="189" t="str">
        <f t="shared" si="277"/>
        <v/>
      </c>
      <c r="L868" s="189" t="str">
        <f t="shared" si="278"/>
        <v/>
      </c>
      <c r="M868" s="190"/>
      <c r="N868" s="190"/>
      <c r="O868" s="188" t="str">
        <f t="shared" si="279"/>
        <v/>
      </c>
      <c r="P868" s="191" t="str">
        <f t="shared" si="266"/>
        <v/>
      </c>
      <c r="Q868" s="192" t="str">
        <f t="shared" si="280"/>
        <v/>
      </c>
      <c r="R868" s="191" t="str">
        <f t="shared" si="267"/>
        <v/>
      </c>
      <c r="S868" s="193" t="str">
        <f t="shared" si="281"/>
        <v/>
      </c>
      <c r="T868" s="194" t="str">
        <f t="shared" si="268"/>
        <v/>
      </c>
      <c r="U868" s="192" t="str">
        <f t="shared" si="282"/>
        <v/>
      </c>
      <c r="V868" s="195" t="str">
        <f t="shared" si="269"/>
        <v/>
      </c>
      <c r="W868" s="195" t="str">
        <f t="shared" si="270"/>
        <v/>
      </c>
      <c r="X868" s="196" t="str">
        <f t="shared" si="283"/>
        <v/>
      </c>
      <c r="Y868" s="191" t="str">
        <f t="shared" si="284"/>
        <v/>
      </c>
      <c r="Z868" s="197" t="str">
        <f t="shared" si="271"/>
        <v/>
      </c>
      <c r="AA868" s="197" t="str">
        <f t="shared" si="272"/>
        <v/>
      </c>
      <c r="AB868" s="218"/>
      <c r="AC868" s="205"/>
    </row>
    <row r="869" spans="1:29">
      <c r="A869" s="219" t="str">
        <f t="shared" si="273"/>
        <v/>
      </c>
      <c r="B869" s="219"/>
      <c r="C869" s="184"/>
      <c r="D869" s="185"/>
      <c r="E869" s="185" t="str">
        <f>IF(OR(C869="",C869=Data!$B$3),"",IF(C869=Data!$B$2,"L","S"))</f>
        <v/>
      </c>
      <c r="F869" s="185" t="str">
        <f t="shared" si="274"/>
        <v/>
      </c>
      <c r="G869" s="186" t="str">
        <f t="shared" si="265"/>
        <v/>
      </c>
      <c r="H869" s="187"/>
      <c r="I869" s="188" t="str">
        <f t="shared" si="275"/>
        <v/>
      </c>
      <c r="J869" s="188" t="str">
        <f t="shared" si="276"/>
        <v/>
      </c>
      <c r="K869" s="189" t="str">
        <f t="shared" si="277"/>
        <v/>
      </c>
      <c r="L869" s="189" t="str">
        <f t="shared" si="278"/>
        <v/>
      </c>
      <c r="M869" s="190"/>
      <c r="N869" s="190"/>
      <c r="O869" s="188" t="str">
        <f t="shared" si="279"/>
        <v/>
      </c>
      <c r="P869" s="191" t="str">
        <f t="shared" si="266"/>
        <v/>
      </c>
      <c r="Q869" s="192" t="str">
        <f t="shared" si="280"/>
        <v/>
      </c>
      <c r="R869" s="191" t="str">
        <f t="shared" si="267"/>
        <v/>
      </c>
      <c r="S869" s="193" t="str">
        <f t="shared" si="281"/>
        <v/>
      </c>
      <c r="T869" s="194" t="str">
        <f t="shared" si="268"/>
        <v/>
      </c>
      <c r="U869" s="192" t="str">
        <f t="shared" si="282"/>
        <v/>
      </c>
      <c r="V869" s="195" t="str">
        <f t="shared" si="269"/>
        <v/>
      </c>
      <c r="W869" s="195" t="str">
        <f t="shared" si="270"/>
        <v/>
      </c>
      <c r="X869" s="196" t="str">
        <f t="shared" si="283"/>
        <v/>
      </c>
      <c r="Y869" s="191" t="str">
        <f t="shared" si="284"/>
        <v/>
      </c>
      <c r="Z869" s="197" t="str">
        <f t="shared" si="271"/>
        <v/>
      </c>
      <c r="AA869" s="197" t="str">
        <f t="shared" si="272"/>
        <v/>
      </c>
      <c r="AB869" s="218"/>
      <c r="AC869" s="205"/>
    </row>
    <row r="870" spans="1:29">
      <c r="A870" s="219" t="str">
        <f t="shared" si="273"/>
        <v/>
      </c>
      <c r="B870" s="219"/>
      <c r="C870" s="184"/>
      <c r="D870" s="185"/>
      <c r="E870" s="185" t="str">
        <f>IF(OR(C870="",C870=Data!$B$3),"",IF(C870=Data!$B$2,"L","S"))</f>
        <v/>
      </c>
      <c r="F870" s="185" t="str">
        <f t="shared" si="274"/>
        <v/>
      </c>
      <c r="G870" s="186" t="str">
        <f t="shared" si="265"/>
        <v/>
      </c>
      <c r="H870" s="187"/>
      <c r="I870" s="188" t="str">
        <f t="shared" si="275"/>
        <v/>
      </c>
      <c r="J870" s="188" t="str">
        <f t="shared" si="276"/>
        <v/>
      </c>
      <c r="K870" s="189" t="str">
        <f t="shared" si="277"/>
        <v/>
      </c>
      <c r="L870" s="189" t="str">
        <f t="shared" si="278"/>
        <v/>
      </c>
      <c r="M870" s="190"/>
      <c r="N870" s="190"/>
      <c r="O870" s="188" t="str">
        <f t="shared" si="279"/>
        <v/>
      </c>
      <c r="P870" s="191" t="str">
        <f t="shared" si="266"/>
        <v/>
      </c>
      <c r="Q870" s="192" t="str">
        <f t="shared" si="280"/>
        <v/>
      </c>
      <c r="R870" s="191" t="str">
        <f t="shared" si="267"/>
        <v/>
      </c>
      <c r="S870" s="193" t="str">
        <f t="shared" si="281"/>
        <v/>
      </c>
      <c r="T870" s="194" t="str">
        <f t="shared" si="268"/>
        <v/>
      </c>
      <c r="U870" s="192" t="str">
        <f t="shared" si="282"/>
        <v/>
      </c>
      <c r="V870" s="195" t="str">
        <f t="shared" si="269"/>
        <v/>
      </c>
      <c r="W870" s="195" t="str">
        <f t="shared" si="270"/>
        <v/>
      </c>
      <c r="X870" s="196" t="str">
        <f t="shared" si="283"/>
        <v/>
      </c>
      <c r="Y870" s="191" t="str">
        <f t="shared" si="284"/>
        <v/>
      </c>
      <c r="Z870" s="197" t="str">
        <f t="shared" si="271"/>
        <v/>
      </c>
      <c r="AA870" s="197" t="str">
        <f t="shared" si="272"/>
        <v/>
      </c>
      <c r="AB870" s="218"/>
      <c r="AC870" s="205"/>
    </row>
    <row r="871" spans="1:29">
      <c r="A871" s="219" t="str">
        <f t="shared" si="273"/>
        <v/>
      </c>
      <c r="B871" s="219"/>
      <c r="C871" s="184"/>
      <c r="D871" s="185"/>
      <c r="E871" s="185" t="str">
        <f>IF(OR(C871="",C871=Data!$B$3),"",IF(C871=Data!$B$2,"L","S"))</f>
        <v/>
      </c>
      <c r="F871" s="185" t="str">
        <f t="shared" si="274"/>
        <v/>
      </c>
      <c r="G871" s="186" t="str">
        <f t="shared" si="265"/>
        <v/>
      </c>
      <c r="H871" s="187"/>
      <c r="I871" s="188" t="str">
        <f t="shared" si="275"/>
        <v/>
      </c>
      <c r="J871" s="188" t="str">
        <f t="shared" si="276"/>
        <v/>
      </c>
      <c r="K871" s="189" t="str">
        <f t="shared" si="277"/>
        <v/>
      </c>
      <c r="L871" s="189" t="str">
        <f t="shared" si="278"/>
        <v/>
      </c>
      <c r="M871" s="190"/>
      <c r="N871" s="190"/>
      <c r="O871" s="188" t="str">
        <f t="shared" si="279"/>
        <v/>
      </c>
      <c r="P871" s="191" t="str">
        <f t="shared" si="266"/>
        <v/>
      </c>
      <c r="Q871" s="192" t="str">
        <f t="shared" si="280"/>
        <v/>
      </c>
      <c r="R871" s="191" t="str">
        <f t="shared" si="267"/>
        <v/>
      </c>
      <c r="S871" s="193" t="str">
        <f t="shared" si="281"/>
        <v/>
      </c>
      <c r="T871" s="194" t="str">
        <f t="shared" si="268"/>
        <v/>
      </c>
      <c r="U871" s="192" t="str">
        <f t="shared" si="282"/>
        <v/>
      </c>
      <c r="V871" s="195" t="str">
        <f t="shared" si="269"/>
        <v/>
      </c>
      <c r="W871" s="195" t="str">
        <f t="shared" si="270"/>
        <v/>
      </c>
      <c r="X871" s="196" t="str">
        <f t="shared" si="283"/>
        <v/>
      </c>
      <c r="Y871" s="191" t="str">
        <f t="shared" si="284"/>
        <v/>
      </c>
      <c r="Z871" s="197" t="str">
        <f t="shared" si="271"/>
        <v/>
      </c>
      <c r="AA871" s="197" t="str">
        <f t="shared" si="272"/>
        <v/>
      </c>
      <c r="AB871" s="218"/>
      <c r="AC871" s="205"/>
    </row>
    <row r="872" spans="1:29">
      <c r="A872" s="219" t="str">
        <f t="shared" si="273"/>
        <v/>
      </c>
      <c r="B872" s="219"/>
      <c r="C872" s="184"/>
      <c r="D872" s="185"/>
      <c r="E872" s="185" t="str">
        <f>IF(OR(C872="",C872=Data!$B$3),"",IF(C872=Data!$B$2,"L","S"))</f>
        <v/>
      </c>
      <c r="F872" s="185" t="str">
        <f t="shared" si="274"/>
        <v/>
      </c>
      <c r="G872" s="186" t="str">
        <f t="shared" si="265"/>
        <v/>
      </c>
      <c r="H872" s="187"/>
      <c r="I872" s="188" t="str">
        <f t="shared" si="275"/>
        <v/>
      </c>
      <c r="J872" s="188" t="str">
        <f t="shared" si="276"/>
        <v/>
      </c>
      <c r="K872" s="189" t="str">
        <f t="shared" si="277"/>
        <v/>
      </c>
      <c r="L872" s="189" t="str">
        <f t="shared" si="278"/>
        <v/>
      </c>
      <c r="M872" s="190"/>
      <c r="N872" s="190"/>
      <c r="O872" s="188" t="str">
        <f t="shared" si="279"/>
        <v/>
      </c>
      <c r="P872" s="191" t="str">
        <f t="shared" si="266"/>
        <v/>
      </c>
      <c r="Q872" s="192" t="str">
        <f t="shared" si="280"/>
        <v/>
      </c>
      <c r="R872" s="191" t="str">
        <f t="shared" si="267"/>
        <v/>
      </c>
      <c r="S872" s="193" t="str">
        <f t="shared" si="281"/>
        <v/>
      </c>
      <c r="T872" s="194" t="str">
        <f t="shared" si="268"/>
        <v/>
      </c>
      <c r="U872" s="192" t="str">
        <f t="shared" si="282"/>
        <v/>
      </c>
      <c r="V872" s="195" t="str">
        <f t="shared" si="269"/>
        <v/>
      </c>
      <c r="W872" s="195" t="str">
        <f t="shared" si="270"/>
        <v/>
      </c>
      <c r="X872" s="196" t="str">
        <f t="shared" si="283"/>
        <v/>
      </c>
      <c r="Y872" s="191" t="str">
        <f t="shared" si="284"/>
        <v/>
      </c>
      <c r="Z872" s="197" t="str">
        <f t="shared" si="271"/>
        <v/>
      </c>
      <c r="AA872" s="197" t="str">
        <f t="shared" si="272"/>
        <v/>
      </c>
      <c r="AB872" s="218"/>
      <c r="AC872" s="205"/>
    </row>
    <row r="873" spans="1:29">
      <c r="A873" s="219" t="str">
        <f t="shared" si="273"/>
        <v/>
      </c>
      <c r="B873" s="219"/>
      <c r="C873" s="184"/>
      <c r="D873" s="185"/>
      <c r="E873" s="185" t="str">
        <f>IF(OR(C873="",C873=Data!$B$3),"",IF(C873=Data!$B$2,"L","S"))</f>
        <v/>
      </c>
      <c r="F873" s="185" t="str">
        <f t="shared" si="274"/>
        <v/>
      </c>
      <c r="G873" s="186" t="str">
        <f t="shared" si="265"/>
        <v/>
      </c>
      <c r="H873" s="187"/>
      <c r="I873" s="188" t="str">
        <f t="shared" si="275"/>
        <v/>
      </c>
      <c r="J873" s="188" t="str">
        <f t="shared" si="276"/>
        <v/>
      </c>
      <c r="K873" s="189" t="str">
        <f t="shared" si="277"/>
        <v/>
      </c>
      <c r="L873" s="189" t="str">
        <f t="shared" si="278"/>
        <v/>
      </c>
      <c r="M873" s="190"/>
      <c r="N873" s="190"/>
      <c r="O873" s="188" t="str">
        <f t="shared" si="279"/>
        <v/>
      </c>
      <c r="P873" s="191" t="str">
        <f t="shared" si="266"/>
        <v/>
      </c>
      <c r="Q873" s="192" t="str">
        <f t="shared" si="280"/>
        <v/>
      </c>
      <c r="R873" s="191" t="str">
        <f t="shared" si="267"/>
        <v/>
      </c>
      <c r="S873" s="193" t="str">
        <f t="shared" si="281"/>
        <v/>
      </c>
      <c r="T873" s="194" t="str">
        <f t="shared" si="268"/>
        <v/>
      </c>
      <c r="U873" s="192" t="str">
        <f t="shared" si="282"/>
        <v/>
      </c>
      <c r="V873" s="195" t="str">
        <f t="shared" si="269"/>
        <v/>
      </c>
      <c r="W873" s="195" t="str">
        <f t="shared" si="270"/>
        <v/>
      </c>
      <c r="X873" s="196" t="str">
        <f t="shared" si="283"/>
        <v/>
      </c>
      <c r="Y873" s="191" t="str">
        <f t="shared" si="284"/>
        <v/>
      </c>
      <c r="Z873" s="197" t="str">
        <f t="shared" si="271"/>
        <v/>
      </c>
      <c r="AA873" s="197" t="str">
        <f t="shared" si="272"/>
        <v/>
      </c>
      <c r="AB873" s="218"/>
      <c r="AC873" s="205"/>
    </row>
    <row r="874" spans="1:29">
      <c r="A874" s="219" t="str">
        <f t="shared" si="273"/>
        <v/>
      </c>
      <c r="B874" s="219"/>
      <c r="C874" s="184"/>
      <c r="D874" s="185"/>
      <c r="E874" s="185" t="str">
        <f>IF(OR(C874="",C874=Data!$B$3),"",IF(C874=Data!$B$2,"L","S"))</f>
        <v/>
      </c>
      <c r="F874" s="185" t="str">
        <f t="shared" si="274"/>
        <v/>
      </c>
      <c r="G874" s="186" t="str">
        <f t="shared" si="265"/>
        <v/>
      </c>
      <c r="H874" s="187"/>
      <c r="I874" s="188" t="str">
        <f t="shared" si="275"/>
        <v/>
      </c>
      <c r="J874" s="188" t="str">
        <f t="shared" si="276"/>
        <v/>
      </c>
      <c r="K874" s="189" t="str">
        <f t="shared" si="277"/>
        <v/>
      </c>
      <c r="L874" s="189" t="str">
        <f t="shared" si="278"/>
        <v/>
      </c>
      <c r="M874" s="190"/>
      <c r="N874" s="190"/>
      <c r="O874" s="188" t="str">
        <f t="shared" si="279"/>
        <v/>
      </c>
      <c r="P874" s="191" t="str">
        <f t="shared" si="266"/>
        <v/>
      </c>
      <c r="Q874" s="192" t="str">
        <f t="shared" si="280"/>
        <v/>
      </c>
      <c r="R874" s="191" t="str">
        <f t="shared" si="267"/>
        <v/>
      </c>
      <c r="S874" s="193" t="str">
        <f t="shared" si="281"/>
        <v/>
      </c>
      <c r="T874" s="194" t="str">
        <f t="shared" si="268"/>
        <v/>
      </c>
      <c r="U874" s="192" t="str">
        <f t="shared" si="282"/>
        <v/>
      </c>
      <c r="V874" s="195" t="str">
        <f t="shared" si="269"/>
        <v/>
      </c>
      <c r="W874" s="195" t="str">
        <f t="shared" si="270"/>
        <v/>
      </c>
      <c r="X874" s="196" t="str">
        <f t="shared" si="283"/>
        <v/>
      </c>
      <c r="Y874" s="191" t="str">
        <f t="shared" si="284"/>
        <v/>
      </c>
      <c r="Z874" s="197" t="str">
        <f t="shared" si="271"/>
        <v/>
      </c>
      <c r="AA874" s="197" t="str">
        <f t="shared" si="272"/>
        <v/>
      </c>
      <c r="AB874" s="218"/>
      <c r="AC874" s="205"/>
    </row>
    <row r="875" spans="1:29">
      <c r="A875" s="219" t="str">
        <f t="shared" si="273"/>
        <v/>
      </c>
      <c r="B875" s="219"/>
      <c r="C875" s="184"/>
      <c r="D875" s="185"/>
      <c r="E875" s="185" t="str">
        <f>IF(OR(C875="",C875=Data!$B$3),"",IF(C875=Data!$B$2,"L","S"))</f>
        <v/>
      </c>
      <c r="F875" s="185" t="str">
        <f t="shared" si="274"/>
        <v/>
      </c>
      <c r="G875" s="186" t="str">
        <f t="shared" si="265"/>
        <v/>
      </c>
      <c r="H875" s="187"/>
      <c r="I875" s="188" t="str">
        <f t="shared" si="275"/>
        <v/>
      </c>
      <c r="J875" s="188" t="str">
        <f t="shared" si="276"/>
        <v/>
      </c>
      <c r="K875" s="189" t="str">
        <f t="shared" si="277"/>
        <v/>
      </c>
      <c r="L875" s="189" t="str">
        <f t="shared" si="278"/>
        <v/>
      </c>
      <c r="M875" s="190"/>
      <c r="N875" s="190"/>
      <c r="O875" s="188" t="str">
        <f t="shared" si="279"/>
        <v/>
      </c>
      <c r="P875" s="191" t="str">
        <f t="shared" si="266"/>
        <v/>
      </c>
      <c r="Q875" s="192" t="str">
        <f t="shared" si="280"/>
        <v/>
      </c>
      <c r="R875" s="191" t="str">
        <f t="shared" si="267"/>
        <v/>
      </c>
      <c r="S875" s="193" t="str">
        <f t="shared" si="281"/>
        <v/>
      </c>
      <c r="T875" s="194" t="str">
        <f t="shared" si="268"/>
        <v/>
      </c>
      <c r="U875" s="192" t="str">
        <f t="shared" si="282"/>
        <v/>
      </c>
      <c r="V875" s="195" t="str">
        <f t="shared" si="269"/>
        <v/>
      </c>
      <c r="W875" s="195" t="str">
        <f t="shared" si="270"/>
        <v/>
      </c>
      <c r="X875" s="196" t="str">
        <f t="shared" si="283"/>
        <v/>
      </c>
      <c r="Y875" s="191" t="str">
        <f t="shared" si="284"/>
        <v/>
      </c>
      <c r="Z875" s="197" t="str">
        <f t="shared" si="271"/>
        <v/>
      </c>
      <c r="AA875" s="197" t="str">
        <f t="shared" si="272"/>
        <v/>
      </c>
      <c r="AB875" s="218"/>
      <c r="AC875" s="205"/>
    </row>
    <row r="876" spans="1:29">
      <c r="A876" s="219" t="str">
        <f t="shared" si="273"/>
        <v/>
      </c>
      <c r="B876" s="219"/>
      <c r="C876" s="184"/>
      <c r="D876" s="185"/>
      <c r="E876" s="185" t="str">
        <f>IF(OR(C876="",C876=Data!$B$3),"",IF(C876=Data!$B$2,"L","S"))</f>
        <v/>
      </c>
      <c r="F876" s="185" t="str">
        <f t="shared" si="274"/>
        <v/>
      </c>
      <c r="G876" s="186" t="str">
        <f t="shared" si="265"/>
        <v/>
      </c>
      <c r="H876" s="187"/>
      <c r="I876" s="188" t="str">
        <f t="shared" si="275"/>
        <v/>
      </c>
      <c r="J876" s="188" t="str">
        <f t="shared" si="276"/>
        <v/>
      </c>
      <c r="K876" s="189" t="str">
        <f t="shared" si="277"/>
        <v/>
      </c>
      <c r="L876" s="189" t="str">
        <f t="shared" si="278"/>
        <v/>
      </c>
      <c r="M876" s="190"/>
      <c r="N876" s="190"/>
      <c r="O876" s="188" t="str">
        <f t="shared" si="279"/>
        <v/>
      </c>
      <c r="P876" s="191" t="str">
        <f t="shared" si="266"/>
        <v/>
      </c>
      <c r="Q876" s="192" t="str">
        <f t="shared" si="280"/>
        <v/>
      </c>
      <c r="R876" s="191" t="str">
        <f t="shared" si="267"/>
        <v/>
      </c>
      <c r="S876" s="193" t="str">
        <f t="shared" si="281"/>
        <v/>
      </c>
      <c r="T876" s="194" t="str">
        <f t="shared" si="268"/>
        <v/>
      </c>
      <c r="U876" s="192" t="str">
        <f t="shared" si="282"/>
        <v/>
      </c>
      <c r="V876" s="195" t="str">
        <f t="shared" si="269"/>
        <v/>
      </c>
      <c r="W876" s="195" t="str">
        <f t="shared" si="270"/>
        <v/>
      </c>
      <c r="X876" s="196" t="str">
        <f t="shared" si="283"/>
        <v/>
      </c>
      <c r="Y876" s="191" t="str">
        <f t="shared" si="284"/>
        <v/>
      </c>
      <c r="Z876" s="197" t="str">
        <f t="shared" si="271"/>
        <v/>
      </c>
      <c r="AA876" s="197" t="str">
        <f t="shared" si="272"/>
        <v/>
      </c>
      <c r="AB876" s="218"/>
      <c r="AC876" s="205"/>
    </row>
    <row r="877" spans="1:29">
      <c r="A877" s="219" t="str">
        <f t="shared" si="273"/>
        <v/>
      </c>
      <c r="B877" s="219"/>
      <c r="C877" s="184"/>
      <c r="D877" s="185"/>
      <c r="E877" s="185" t="str">
        <f>IF(OR(C877="",C877=Data!$B$3),"",IF(C877=Data!$B$2,"L","S"))</f>
        <v/>
      </c>
      <c r="F877" s="185" t="str">
        <f t="shared" si="274"/>
        <v/>
      </c>
      <c r="G877" s="186" t="str">
        <f t="shared" si="265"/>
        <v/>
      </c>
      <c r="H877" s="187"/>
      <c r="I877" s="188" t="str">
        <f t="shared" si="275"/>
        <v/>
      </c>
      <c r="J877" s="188" t="str">
        <f t="shared" si="276"/>
        <v/>
      </c>
      <c r="K877" s="189" t="str">
        <f t="shared" si="277"/>
        <v/>
      </c>
      <c r="L877" s="189" t="str">
        <f t="shared" si="278"/>
        <v/>
      </c>
      <c r="M877" s="190"/>
      <c r="N877" s="190"/>
      <c r="O877" s="188" t="str">
        <f t="shared" si="279"/>
        <v/>
      </c>
      <c r="P877" s="191" t="str">
        <f t="shared" si="266"/>
        <v/>
      </c>
      <c r="Q877" s="192" t="str">
        <f t="shared" si="280"/>
        <v/>
      </c>
      <c r="R877" s="191" t="str">
        <f t="shared" si="267"/>
        <v/>
      </c>
      <c r="S877" s="193" t="str">
        <f t="shared" si="281"/>
        <v/>
      </c>
      <c r="T877" s="194" t="str">
        <f t="shared" si="268"/>
        <v/>
      </c>
      <c r="U877" s="192" t="str">
        <f t="shared" si="282"/>
        <v/>
      </c>
      <c r="V877" s="195" t="str">
        <f t="shared" si="269"/>
        <v/>
      </c>
      <c r="W877" s="195" t="str">
        <f t="shared" si="270"/>
        <v/>
      </c>
      <c r="X877" s="196" t="str">
        <f t="shared" si="283"/>
        <v/>
      </c>
      <c r="Y877" s="191" t="str">
        <f t="shared" si="284"/>
        <v/>
      </c>
      <c r="Z877" s="197" t="str">
        <f t="shared" si="271"/>
        <v/>
      </c>
      <c r="AA877" s="197" t="str">
        <f t="shared" si="272"/>
        <v/>
      </c>
      <c r="AB877" s="218"/>
      <c r="AC877" s="205"/>
    </row>
    <row r="878" spans="1:29">
      <c r="A878" s="219" t="str">
        <f t="shared" si="273"/>
        <v/>
      </c>
      <c r="B878" s="219"/>
      <c r="C878" s="184"/>
      <c r="D878" s="185"/>
      <c r="E878" s="185" t="str">
        <f>IF(OR(C878="",C878=Data!$B$3),"",IF(C878=Data!$B$2,"L","S"))</f>
        <v/>
      </c>
      <c r="F878" s="185" t="str">
        <f t="shared" si="274"/>
        <v/>
      </c>
      <c r="G878" s="186" t="str">
        <f t="shared" si="265"/>
        <v/>
      </c>
      <c r="H878" s="187"/>
      <c r="I878" s="188" t="str">
        <f t="shared" si="275"/>
        <v/>
      </c>
      <c r="J878" s="188" t="str">
        <f t="shared" si="276"/>
        <v/>
      </c>
      <c r="K878" s="189" t="str">
        <f t="shared" si="277"/>
        <v/>
      </c>
      <c r="L878" s="189" t="str">
        <f t="shared" si="278"/>
        <v/>
      </c>
      <c r="M878" s="190"/>
      <c r="N878" s="190"/>
      <c r="O878" s="188" t="str">
        <f t="shared" si="279"/>
        <v/>
      </c>
      <c r="P878" s="191" t="str">
        <f t="shared" si="266"/>
        <v/>
      </c>
      <c r="Q878" s="192" t="str">
        <f t="shared" si="280"/>
        <v/>
      </c>
      <c r="R878" s="191" t="str">
        <f t="shared" si="267"/>
        <v/>
      </c>
      <c r="S878" s="193" t="str">
        <f t="shared" si="281"/>
        <v/>
      </c>
      <c r="T878" s="194" t="str">
        <f t="shared" si="268"/>
        <v/>
      </c>
      <c r="U878" s="192" t="str">
        <f t="shared" si="282"/>
        <v/>
      </c>
      <c r="V878" s="195" t="str">
        <f t="shared" si="269"/>
        <v/>
      </c>
      <c r="W878" s="195" t="str">
        <f t="shared" si="270"/>
        <v/>
      </c>
      <c r="X878" s="196" t="str">
        <f t="shared" si="283"/>
        <v/>
      </c>
      <c r="Y878" s="191" t="str">
        <f t="shared" si="284"/>
        <v/>
      </c>
      <c r="Z878" s="197" t="str">
        <f t="shared" si="271"/>
        <v/>
      </c>
      <c r="AA878" s="197" t="str">
        <f t="shared" si="272"/>
        <v/>
      </c>
      <c r="AB878" s="218"/>
      <c r="AC878" s="205"/>
    </row>
    <row r="879" spans="1:29">
      <c r="A879" s="219" t="str">
        <f t="shared" si="273"/>
        <v/>
      </c>
      <c r="B879" s="219"/>
      <c r="C879" s="184"/>
      <c r="D879" s="185"/>
      <c r="E879" s="185" t="str">
        <f>IF(OR(C879="",C879=Data!$B$3),"",IF(C879=Data!$B$2,"L","S"))</f>
        <v/>
      </c>
      <c r="F879" s="185" t="str">
        <f t="shared" si="274"/>
        <v/>
      </c>
      <c r="G879" s="186" t="str">
        <f t="shared" si="265"/>
        <v/>
      </c>
      <c r="H879" s="187"/>
      <c r="I879" s="188" t="str">
        <f t="shared" si="275"/>
        <v/>
      </c>
      <c r="J879" s="188" t="str">
        <f t="shared" si="276"/>
        <v/>
      </c>
      <c r="K879" s="189" t="str">
        <f t="shared" si="277"/>
        <v/>
      </c>
      <c r="L879" s="189" t="str">
        <f t="shared" si="278"/>
        <v/>
      </c>
      <c r="M879" s="190"/>
      <c r="N879" s="190"/>
      <c r="O879" s="188" t="str">
        <f t="shared" si="279"/>
        <v/>
      </c>
      <c r="P879" s="191" t="str">
        <f t="shared" si="266"/>
        <v/>
      </c>
      <c r="Q879" s="192" t="str">
        <f t="shared" si="280"/>
        <v/>
      </c>
      <c r="R879" s="191" t="str">
        <f t="shared" si="267"/>
        <v/>
      </c>
      <c r="S879" s="193" t="str">
        <f t="shared" si="281"/>
        <v/>
      </c>
      <c r="T879" s="194" t="str">
        <f t="shared" si="268"/>
        <v/>
      </c>
      <c r="U879" s="192" t="str">
        <f t="shared" si="282"/>
        <v/>
      </c>
      <c r="V879" s="195" t="str">
        <f t="shared" si="269"/>
        <v/>
      </c>
      <c r="W879" s="195" t="str">
        <f t="shared" si="270"/>
        <v/>
      </c>
      <c r="X879" s="196" t="str">
        <f t="shared" si="283"/>
        <v/>
      </c>
      <c r="Y879" s="191" t="str">
        <f t="shared" si="284"/>
        <v/>
      </c>
      <c r="Z879" s="197" t="str">
        <f t="shared" si="271"/>
        <v/>
      </c>
      <c r="AA879" s="197" t="str">
        <f t="shared" si="272"/>
        <v/>
      </c>
      <c r="AB879" s="218"/>
      <c r="AC879" s="205"/>
    </row>
    <row r="880" spans="1:29">
      <c r="A880" s="219" t="str">
        <f t="shared" si="273"/>
        <v/>
      </c>
      <c r="B880" s="219"/>
      <c r="C880" s="184"/>
      <c r="D880" s="185"/>
      <c r="E880" s="185" t="str">
        <f>IF(OR(C880="",C880=Data!$B$3),"",IF(C880=Data!$B$2,"L","S"))</f>
        <v/>
      </c>
      <c r="F880" s="185" t="str">
        <f t="shared" si="274"/>
        <v/>
      </c>
      <c r="G880" s="186" t="str">
        <f t="shared" si="265"/>
        <v/>
      </c>
      <c r="H880" s="187"/>
      <c r="I880" s="188" t="str">
        <f t="shared" si="275"/>
        <v/>
      </c>
      <c r="J880" s="188" t="str">
        <f t="shared" si="276"/>
        <v/>
      </c>
      <c r="K880" s="189" t="str">
        <f t="shared" si="277"/>
        <v/>
      </c>
      <c r="L880" s="189" t="str">
        <f t="shared" si="278"/>
        <v/>
      </c>
      <c r="M880" s="190"/>
      <c r="N880" s="190"/>
      <c r="O880" s="188" t="str">
        <f t="shared" si="279"/>
        <v/>
      </c>
      <c r="P880" s="191" t="str">
        <f t="shared" si="266"/>
        <v/>
      </c>
      <c r="Q880" s="192" t="str">
        <f t="shared" si="280"/>
        <v/>
      </c>
      <c r="R880" s="191" t="str">
        <f t="shared" si="267"/>
        <v/>
      </c>
      <c r="S880" s="193" t="str">
        <f t="shared" si="281"/>
        <v/>
      </c>
      <c r="T880" s="194" t="str">
        <f t="shared" si="268"/>
        <v/>
      </c>
      <c r="U880" s="192" t="str">
        <f t="shared" si="282"/>
        <v/>
      </c>
      <c r="V880" s="195" t="str">
        <f t="shared" si="269"/>
        <v/>
      </c>
      <c r="W880" s="195" t="str">
        <f t="shared" si="270"/>
        <v/>
      </c>
      <c r="X880" s="196" t="str">
        <f t="shared" si="283"/>
        <v/>
      </c>
      <c r="Y880" s="191" t="str">
        <f t="shared" si="284"/>
        <v/>
      </c>
      <c r="Z880" s="197" t="str">
        <f t="shared" si="271"/>
        <v/>
      </c>
      <c r="AA880" s="197" t="str">
        <f t="shared" si="272"/>
        <v/>
      </c>
      <c r="AB880" s="218"/>
      <c r="AC880" s="205"/>
    </row>
    <row r="881" spans="1:29">
      <c r="A881" s="219" t="str">
        <f t="shared" si="273"/>
        <v/>
      </c>
      <c r="B881" s="219"/>
      <c r="C881" s="184"/>
      <c r="D881" s="185"/>
      <c r="E881" s="185" t="str">
        <f>IF(OR(C881="",C881=Data!$B$3),"",IF(C881=Data!$B$2,"L","S"))</f>
        <v/>
      </c>
      <c r="F881" s="185" t="str">
        <f t="shared" si="274"/>
        <v/>
      </c>
      <c r="G881" s="186" t="str">
        <f t="shared" si="265"/>
        <v/>
      </c>
      <c r="H881" s="187"/>
      <c r="I881" s="188" t="str">
        <f t="shared" si="275"/>
        <v/>
      </c>
      <c r="J881" s="188" t="str">
        <f t="shared" si="276"/>
        <v/>
      </c>
      <c r="K881" s="189" t="str">
        <f t="shared" si="277"/>
        <v/>
      </c>
      <c r="L881" s="189" t="str">
        <f t="shared" si="278"/>
        <v/>
      </c>
      <c r="M881" s="190"/>
      <c r="N881" s="190"/>
      <c r="O881" s="188" t="str">
        <f t="shared" si="279"/>
        <v/>
      </c>
      <c r="P881" s="191" t="str">
        <f t="shared" si="266"/>
        <v/>
      </c>
      <c r="Q881" s="192" t="str">
        <f t="shared" si="280"/>
        <v/>
      </c>
      <c r="R881" s="191" t="str">
        <f t="shared" si="267"/>
        <v/>
      </c>
      <c r="S881" s="193" t="str">
        <f t="shared" si="281"/>
        <v/>
      </c>
      <c r="T881" s="194" t="str">
        <f t="shared" si="268"/>
        <v/>
      </c>
      <c r="U881" s="192" t="str">
        <f t="shared" si="282"/>
        <v/>
      </c>
      <c r="V881" s="195" t="str">
        <f t="shared" si="269"/>
        <v/>
      </c>
      <c r="W881" s="195" t="str">
        <f t="shared" si="270"/>
        <v/>
      </c>
      <c r="X881" s="196" t="str">
        <f t="shared" si="283"/>
        <v/>
      </c>
      <c r="Y881" s="191" t="str">
        <f t="shared" si="284"/>
        <v/>
      </c>
      <c r="Z881" s="197" t="str">
        <f t="shared" si="271"/>
        <v/>
      </c>
      <c r="AA881" s="197" t="str">
        <f t="shared" si="272"/>
        <v/>
      </c>
      <c r="AB881" s="218"/>
      <c r="AC881" s="205"/>
    </row>
    <row r="882" spans="1:29">
      <c r="A882" s="219" t="str">
        <f t="shared" si="273"/>
        <v/>
      </c>
      <c r="B882" s="219"/>
      <c r="C882" s="184"/>
      <c r="D882" s="185"/>
      <c r="E882" s="185" t="str">
        <f>IF(OR(C882="",C882=Data!$B$3),"",IF(C882=Data!$B$2,"L","S"))</f>
        <v/>
      </c>
      <c r="F882" s="185" t="str">
        <f t="shared" si="274"/>
        <v/>
      </c>
      <c r="G882" s="186" t="str">
        <f t="shared" si="265"/>
        <v/>
      </c>
      <c r="H882" s="187"/>
      <c r="I882" s="188" t="str">
        <f t="shared" si="275"/>
        <v/>
      </c>
      <c r="J882" s="188" t="str">
        <f t="shared" si="276"/>
        <v/>
      </c>
      <c r="K882" s="189" t="str">
        <f t="shared" si="277"/>
        <v/>
      </c>
      <c r="L882" s="189" t="str">
        <f t="shared" si="278"/>
        <v/>
      </c>
      <c r="M882" s="190"/>
      <c r="N882" s="190"/>
      <c r="O882" s="188" t="str">
        <f t="shared" si="279"/>
        <v/>
      </c>
      <c r="P882" s="191" t="str">
        <f t="shared" si="266"/>
        <v/>
      </c>
      <c r="Q882" s="192" t="str">
        <f t="shared" si="280"/>
        <v/>
      </c>
      <c r="R882" s="191" t="str">
        <f t="shared" si="267"/>
        <v/>
      </c>
      <c r="S882" s="193" t="str">
        <f t="shared" si="281"/>
        <v/>
      </c>
      <c r="T882" s="194" t="str">
        <f t="shared" si="268"/>
        <v/>
      </c>
      <c r="U882" s="192" t="str">
        <f t="shared" si="282"/>
        <v/>
      </c>
      <c r="V882" s="195" t="str">
        <f t="shared" si="269"/>
        <v/>
      </c>
      <c r="W882" s="195" t="str">
        <f t="shared" si="270"/>
        <v/>
      </c>
      <c r="X882" s="196" t="str">
        <f t="shared" si="283"/>
        <v/>
      </c>
      <c r="Y882" s="191" t="str">
        <f t="shared" si="284"/>
        <v/>
      </c>
      <c r="Z882" s="197" t="str">
        <f t="shared" si="271"/>
        <v/>
      </c>
      <c r="AA882" s="197" t="str">
        <f t="shared" si="272"/>
        <v/>
      </c>
      <c r="AB882" s="218"/>
      <c r="AC882" s="205"/>
    </row>
    <row r="883" spans="1:29">
      <c r="A883" s="219" t="str">
        <f t="shared" si="273"/>
        <v/>
      </c>
      <c r="B883" s="219"/>
      <c r="C883" s="184"/>
      <c r="D883" s="185"/>
      <c r="E883" s="185" t="str">
        <f>IF(OR(C883="",C883=Data!$B$3),"",IF(C883=Data!$B$2,"L","S"))</f>
        <v/>
      </c>
      <c r="F883" s="185" t="str">
        <f t="shared" si="274"/>
        <v/>
      </c>
      <c r="G883" s="186" t="str">
        <f t="shared" si="265"/>
        <v/>
      </c>
      <c r="H883" s="187"/>
      <c r="I883" s="188" t="str">
        <f t="shared" si="275"/>
        <v/>
      </c>
      <c r="J883" s="188" t="str">
        <f t="shared" si="276"/>
        <v/>
      </c>
      <c r="K883" s="189" t="str">
        <f t="shared" si="277"/>
        <v/>
      </c>
      <c r="L883" s="189" t="str">
        <f t="shared" si="278"/>
        <v/>
      </c>
      <c r="M883" s="190"/>
      <c r="N883" s="190"/>
      <c r="O883" s="188" t="str">
        <f t="shared" si="279"/>
        <v/>
      </c>
      <c r="P883" s="191" t="str">
        <f t="shared" si="266"/>
        <v/>
      </c>
      <c r="Q883" s="192" t="str">
        <f t="shared" si="280"/>
        <v/>
      </c>
      <c r="R883" s="191" t="str">
        <f t="shared" si="267"/>
        <v/>
      </c>
      <c r="S883" s="193" t="str">
        <f t="shared" si="281"/>
        <v/>
      </c>
      <c r="T883" s="194" t="str">
        <f t="shared" si="268"/>
        <v/>
      </c>
      <c r="U883" s="192" t="str">
        <f t="shared" si="282"/>
        <v/>
      </c>
      <c r="V883" s="195" t="str">
        <f t="shared" si="269"/>
        <v/>
      </c>
      <c r="W883" s="195" t="str">
        <f t="shared" si="270"/>
        <v/>
      </c>
      <c r="X883" s="196" t="str">
        <f t="shared" si="283"/>
        <v/>
      </c>
      <c r="Y883" s="191" t="str">
        <f t="shared" si="284"/>
        <v/>
      </c>
      <c r="Z883" s="197" t="str">
        <f t="shared" si="271"/>
        <v/>
      </c>
      <c r="AA883" s="197" t="str">
        <f t="shared" si="272"/>
        <v/>
      </c>
      <c r="AB883" s="218"/>
      <c r="AC883" s="205"/>
    </row>
    <row r="884" spans="1:29">
      <c r="A884" s="219" t="str">
        <f t="shared" si="273"/>
        <v/>
      </c>
      <c r="B884" s="219"/>
      <c r="C884" s="184"/>
      <c r="D884" s="185"/>
      <c r="E884" s="185" t="str">
        <f>IF(OR(C884="",C884=Data!$B$3),"",IF(C884=Data!$B$2,"L","S"))</f>
        <v/>
      </c>
      <c r="F884" s="185" t="str">
        <f t="shared" si="274"/>
        <v/>
      </c>
      <c r="G884" s="186" t="str">
        <f t="shared" si="265"/>
        <v/>
      </c>
      <c r="H884" s="187"/>
      <c r="I884" s="188" t="str">
        <f t="shared" si="275"/>
        <v/>
      </c>
      <c r="J884" s="188" t="str">
        <f t="shared" si="276"/>
        <v/>
      </c>
      <c r="K884" s="189" t="str">
        <f t="shared" si="277"/>
        <v/>
      </c>
      <c r="L884" s="189" t="str">
        <f t="shared" si="278"/>
        <v/>
      </c>
      <c r="M884" s="190"/>
      <c r="N884" s="190"/>
      <c r="O884" s="188" t="str">
        <f t="shared" si="279"/>
        <v/>
      </c>
      <c r="P884" s="191" t="str">
        <f t="shared" si="266"/>
        <v/>
      </c>
      <c r="Q884" s="192" t="str">
        <f t="shared" si="280"/>
        <v/>
      </c>
      <c r="R884" s="191" t="str">
        <f t="shared" si="267"/>
        <v/>
      </c>
      <c r="S884" s="193" t="str">
        <f t="shared" si="281"/>
        <v/>
      </c>
      <c r="T884" s="194" t="str">
        <f t="shared" si="268"/>
        <v/>
      </c>
      <c r="U884" s="192" t="str">
        <f t="shared" si="282"/>
        <v/>
      </c>
      <c r="V884" s="195" t="str">
        <f t="shared" si="269"/>
        <v/>
      </c>
      <c r="W884" s="195" t="str">
        <f t="shared" si="270"/>
        <v/>
      </c>
      <c r="X884" s="196" t="str">
        <f t="shared" si="283"/>
        <v/>
      </c>
      <c r="Y884" s="191" t="str">
        <f t="shared" si="284"/>
        <v/>
      </c>
      <c r="Z884" s="197" t="str">
        <f t="shared" si="271"/>
        <v/>
      </c>
      <c r="AA884" s="197" t="str">
        <f t="shared" si="272"/>
        <v/>
      </c>
      <c r="AB884" s="218"/>
      <c r="AC884" s="205"/>
    </row>
    <row r="885" spans="1:29">
      <c r="A885" s="219" t="str">
        <f t="shared" si="273"/>
        <v/>
      </c>
      <c r="B885" s="219"/>
      <c r="C885" s="184"/>
      <c r="D885" s="185"/>
      <c r="E885" s="185" t="str">
        <f>IF(OR(C885="",C885=Data!$B$3),"",IF(C885=Data!$B$2,"L","S"))</f>
        <v/>
      </c>
      <c r="F885" s="185" t="str">
        <f t="shared" si="274"/>
        <v/>
      </c>
      <c r="G885" s="186" t="str">
        <f t="shared" si="265"/>
        <v/>
      </c>
      <c r="H885" s="187"/>
      <c r="I885" s="188" t="str">
        <f t="shared" si="275"/>
        <v/>
      </c>
      <c r="J885" s="188" t="str">
        <f t="shared" si="276"/>
        <v/>
      </c>
      <c r="K885" s="189" t="str">
        <f t="shared" si="277"/>
        <v/>
      </c>
      <c r="L885" s="189" t="str">
        <f t="shared" si="278"/>
        <v/>
      </c>
      <c r="M885" s="190"/>
      <c r="N885" s="190"/>
      <c r="O885" s="188" t="str">
        <f t="shared" si="279"/>
        <v/>
      </c>
      <c r="P885" s="191" t="str">
        <f t="shared" si="266"/>
        <v/>
      </c>
      <c r="Q885" s="192" t="str">
        <f t="shared" si="280"/>
        <v/>
      </c>
      <c r="R885" s="191" t="str">
        <f t="shared" si="267"/>
        <v/>
      </c>
      <c r="S885" s="193" t="str">
        <f t="shared" si="281"/>
        <v/>
      </c>
      <c r="T885" s="194" t="str">
        <f t="shared" si="268"/>
        <v/>
      </c>
      <c r="U885" s="192" t="str">
        <f t="shared" si="282"/>
        <v/>
      </c>
      <c r="V885" s="195" t="str">
        <f t="shared" si="269"/>
        <v/>
      </c>
      <c r="W885" s="195" t="str">
        <f t="shared" si="270"/>
        <v/>
      </c>
      <c r="X885" s="196" t="str">
        <f t="shared" si="283"/>
        <v/>
      </c>
      <c r="Y885" s="191" t="str">
        <f t="shared" si="284"/>
        <v/>
      </c>
      <c r="Z885" s="197" t="str">
        <f t="shared" si="271"/>
        <v/>
      </c>
      <c r="AA885" s="197" t="str">
        <f t="shared" si="272"/>
        <v/>
      </c>
      <c r="AB885" s="218"/>
      <c r="AC885" s="205"/>
    </row>
    <row r="886" spans="1:29">
      <c r="A886" s="219" t="str">
        <f t="shared" si="273"/>
        <v/>
      </c>
      <c r="B886" s="219"/>
      <c r="C886" s="184"/>
      <c r="D886" s="185"/>
      <c r="E886" s="185" t="str">
        <f>IF(OR(C886="",C886=Data!$B$3),"",IF(C886=Data!$B$2,"L","S"))</f>
        <v/>
      </c>
      <c r="F886" s="185" t="str">
        <f t="shared" si="274"/>
        <v/>
      </c>
      <c r="G886" s="186" t="str">
        <f t="shared" si="265"/>
        <v/>
      </c>
      <c r="H886" s="187"/>
      <c r="I886" s="188" t="str">
        <f t="shared" si="275"/>
        <v/>
      </c>
      <c r="J886" s="188" t="str">
        <f t="shared" si="276"/>
        <v/>
      </c>
      <c r="K886" s="189" t="str">
        <f t="shared" si="277"/>
        <v/>
      </c>
      <c r="L886" s="189" t="str">
        <f t="shared" si="278"/>
        <v/>
      </c>
      <c r="M886" s="190"/>
      <c r="N886" s="190"/>
      <c r="O886" s="188" t="str">
        <f t="shared" si="279"/>
        <v/>
      </c>
      <c r="P886" s="191" t="str">
        <f t="shared" si="266"/>
        <v/>
      </c>
      <c r="Q886" s="192" t="str">
        <f t="shared" si="280"/>
        <v/>
      </c>
      <c r="R886" s="191" t="str">
        <f t="shared" si="267"/>
        <v/>
      </c>
      <c r="S886" s="193" t="str">
        <f t="shared" si="281"/>
        <v/>
      </c>
      <c r="T886" s="194" t="str">
        <f t="shared" si="268"/>
        <v/>
      </c>
      <c r="U886" s="192" t="str">
        <f t="shared" si="282"/>
        <v/>
      </c>
      <c r="V886" s="195" t="str">
        <f t="shared" si="269"/>
        <v/>
      </c>
      <c r="W886" s="195" t="str">
        <f t="shared" si="270"/>
        <v/>
      </c>
      <c r="X886" s="196" t="str">
        <f t="shared" si="283"/>
        <v/>
      </c>
      <c r="Y886" s="191" t="str">
        <f t="shared" si="284"/>
        <v/>
      </c>
      <c r="Z886" s="197" t="str">
        <f t="shared" si="271"/>
        <v/>
      </c>
      <c r="AA886" s="197" t="str">
        <f t="shared" si="272"/>
        <v/>
      </c>
      <c r="AB886" s="218"/>
      <c r="AC886" s="205"/>
    </row>
    <row r="887" spans="1:29">
      <c r="A887" s="219" t="str">
        <f t="shared" si="273"/>
        <v/>
      </c>
      <c r="B887" s="219"/>
      <c r="C887" s="184"/>
      <c r="D887" s="185"/>
      <c r="E887" s="185" t="str">
        <f>IF(OR(C887="",C887=Data!$B$3),"",IF(C887=Data!$B$2,"L","S"))</f>
        <v/>
      </c>
      <c r="F887" s="185" t="str">
        <f t="shared" si="274"/>
        <v/>
      </c>
      <c r="G887" s="186" t="str">
        <f t="shared" si="265"/>
        <v/>
      </c>
      <c r="H887" s="187"/>
      <c r="I887" s="188" t="str">
        <f t="shared" si="275"/>
        <v/>
      </c>
      <c r="J887" s="188" t="str">
        <f t="shared" si="276"/>
        <v/>
      </c>
      <c r="K887" s="189" t="str">
        <f t="shared" si="277"/>
        <v/>
      </c>
      <c r="L887" s="189" t="str">
        <f t="shared" si="278"/>
        <v/>
      </c>
      <c r="M887" s="190"/>
      <c r="N887" s="190"/>
      <c r="O887" s="188" t="str">
        <f t="shared" si="279"/>
        <v/>
      </c>
      <c r="P887" s="191" t="str">
        <f t="shared" si="266"/>
        <v/>
      </c>
      <c r="Q887" s="192" t="str">
        <f t="shared" si="280"/>
        <v/>
      </c>
      <c r="R887" s="191" t="str">
        <f t="shared" si="267"/>
        <v/>
      </c>
      <c r="S887" s="193" t="str">
        <f t="shared" si="281"/>
        <v/>
      </c>
      <c r="T887" s="194" t="str">
        <f t="shared" si="268"/>
        <v/>
      </c>
      <c r="U887" s="192" t="str">
        <f t="shared" si="282"/>
        <v/>
      </c>
      <c r="V887" s="195" t="str">
        <f t="shared" si="269"/>
        <v/>
      </c>
      <c r="W887" s="195" t="str">
        <f t="shared" si="270"/>
        <v/>
      </c>
      <c r="X887" s="196" t="str">
        <f t="shared" si="283"/>
        <v/>
      </c>
      <c r="Y887" s="191" t="str">
        <f t="shared" si="284"/>
        <v/>
      </c>
      <c r="Z887" s="197" t="str">
        <f t="shared" si="271"/>
        <v/>
      </c>
      <c r="AA887" s="197" t="str">
        <f t="shared" si="272"/>
        <v/>
      </c>
      <c r="AB887" s="218"/>
      <c r="AC887" s="205"/>
    </row>
    <row r="888" spans="1:29">
      <c r="A888" s="219" t="str">
        <f t="shared" si="273"/>
        <v/>
      </c>
      <c r="B888" s="219"/>
      <c r="C888" s="184"/>
      <c r="D888" s="185"/>
      <c r="E888" s="185" t="str">
        <f>IF(OR(C888="",C888=Data!$B$3),"",IF(C888=Data!$B$2,"L","S"))</f>
        <v/>
      </c>
      <c r="F888" s="185" t="str">
        <f t="shared" si="274"/>
        <v/>
      </c>
      <c r="G888" s="186" t="str">
        <f t="shared" si="265"/>
        <v/>
      </c>
      <c r="H888" s="187"/>
      <c r="I888" s="188" t="str">
        <f t="shared" si="275"/>
        <v/>
      </c>
      <c r="J888" s="188" t="str">
        <f t="shared" si="276"/>
        <v/>
      </c>
      <c r="K888" s="189" t="str">
        <f t="shared" si="277"/>
        <v/>
      </c>
      <c r="L888" s="189" t="str">
        <f t="shared" si="278"/>
        <v/>
      </c>
      <c r="M888" s="190"/>
      <c r="N888" s="190"/>
      <c r="O888" s="188" t="str">
        <f t="shared" si="279"/>
        <v/>
      </c>
      <c r="P888" s="191" t="str">
        <f t="shared" si="266"/>
        <v/>
      </c>
      <c r="Q888" s="192" t="str">
        <f t="shared" si="280"/>
        <v/>
      </c>
      <c r="R888" s="191" t="str">
        <f t="shared" si="267"/>
        <v/>
      </c>
      <c r="S888" s="193" t="str">
        <f t="shared" si="281"/>
        <v/>
      </c>
      <c r="T888" s="194" t="str">
        <f t="shared" si="268"/>
        <v/>
      </c>
      <c r="U888" s="192" t="str">
        <f t="shared" si="282"/>
        <v/>
      </c>
      <c r="V888" s="195" t="str">
        <f t="shared" si="269"/>
        <v/>
      </c>
      <c r="W888" s="195" t="str">
        <f t="shared" si="270"/>
        <v/>
      </c>
      <c r="X888" s="196" t="str">
        <f t="shared" si="283"/>
        <v/>
      </c>
      <c r="Y888" s="191" t="str">
        <f t="shared" si="284"/>
        <v/>
      </c>
      <c r="Z888" s="197" t="str">
        <f t="shared" si="271"/>
        <v/>
      </c>
      <c r="AA888" s="197" t="str">
        <f t="shared" si="272"/>
        <v/>
      </c>
      <c r="AB888" s="218"/>
      <c r="AC888" s="205"/>
    </row>
    <row r="889" spans="1:29">
      <c r="A889" s="219" t="str">
        <f t="shared" si="273"/>
        <v/>
      </c>
      <c r="B889" s="219"/>
      <c r="C889" s="184"/>
      <c r="D889" s="185"/>
      <c r="E889" s="185" t="str">
        <f>IF(OR(C889="",C889=Data!$B$3),"",IF(C889=Data!$B$2,"L","S"))</f>
        <v/>
      </c>
      <c r="F889" s="185" t="str">
        <f t="shared" si="274"/>
        <v/>
      </c>
      <c r="G889" s="186" t="str">
        <f t="shared" si="265"/>
        <v/>
      </c>
      <c r="H889" s="187"/>
      <c r="I889" s="188" t="str">
        <f t="shared" si="275"/>
        <v/>
      </c>
      <c r="J889" s="188" t="str">
        <f t="shared" si="276"/>
        <v/>
      </c>
      <c r="K889" s="189" t="str">
        <f t="shared" si="277"/>
        <v/>
      </c>
      <c r="L889" s="189" t="str">
        <f t="shared" si="278"/>
        <v/>
      </c>
      <c r="M889" s="190"/>
      <c r="N889" s="190"/>
      <c r="O889" s="188" t="str">
        <f t="shared" si="279"/>
        <v/>
      </c>
      <c r="P889" s="191" t="str">
        <f t="shared" si="266"/>
        <v/>
      </c>
      <c r="Q889" s="192" t="str">
        <f t="shared" si="280"/>
        <v/>
      </c>
      <c r="R889" s="191" t="str">
        <f t="shared" si="267"/>
        <v/>
      </c>
      <c r="S889" s="193" t="str">
        <f t="shared" si="281"/>
        <v/>
      </c>
      <c r="T889" s="194" t="str">
        <f t="shared" si="268"/>
        <v/>
      </c>
      <c r="U889" s="192" t="str">
        <f t="shared" si="282"/>
        <v/>
      </c>
      <c r="V889" s="195" t="str">
        <f t="shared" si="269"/>
        <v/>
      </c>
      <c r="W889" s="195" t="str">
        <f t="shared" si="270"/>
        <v/>
      </c>
      <c r="X889" s="196" t="str">
        <f t="shared" si="283"/>
        <v/>
      </c>
      <c r="Y889" s="191" t="str">
        <f t="shared" si="284"/>
        <v/>
      </c>
      <c r="Z889" s="197" t="str">
        <f t="shared" si="271"/>
        <v/>
      </c>
      <c r="AA889" s="197" t="str">
        <f t="shared" si="272"/>
        <v/>
      </c>
      <c r="AB889" s="218"/>
      <c r="AC889" s="205"/>
    </row>
    <row r="890" spans="1:29">
      <c r="A890" s="219" t="str">
        <f t="shared" si="273"/>
        <v/>
      </c>
      <c r="B890" s="219"/>
      <c r="C890" s="184"/>
      <c r="D890" s="185"/>
      <c r="E890" s="185" t="str">
        <f>IF(OR(C890="",C890=Data!$B$3),"",IF(C890=Data!$B$2,"L","S"))</f>
        <v/>
      </c>
      <c r="F890" s="185" t="str">
        <f t="shared" si="274"/>
        <v/>
      </c>
      <c r="G890" s="186" t="str">
        <f t="shared" si="265"/>
        <v/>
      </c>
      <c r="H890" s="187"/>
      <c r="I890" s="188" t="str">
        <f t="shared" si="275"/>
        <v/>
      </c>
      <c r="J890" s="188" t="str">
        <f t="shared" si="276"/>
        <v/>
      </c>
      <c r="K890" s="189" t="str">
        <f t="shared" si="277"/>
        <v/>
      </c>
      <c r="L890" s="189" t="str">
        <f t="shared" si="278"/>
        <v/>
      </c>
      <c r="M890" s="190"/>
      <c r="N890" s="190"/>
      <c r="O890" s="188" t="str">
        <f t="shared" si="279"/>
        <v/>
      </c>
      <c r="P890" s="191" t="str">
        <f t="shared" si="266"/>
        <v/>
      </c>
      <c r="Q890" s="192" t="str">
        <f t="shared" si="280"/>
        <v/>
      </c>
      <c r="R890" s="191" t="str">
        <f t="shared" si="267"/>
        <v/>
      </c>
      <c r="S890" s="193" t="str">
        <f t="shared" si="281"/>
        <v/>
      </c>
      <c r="T890" s="194" t="str">
        <f t="shared" si="268"/>
        <v/>
      </c>
      <c r="U890" s="192" t="str">
        <f t="shared" si="282"/>
        <v/>
      </c>
      <c r="V890" s="195" t="str">
        <f t="shared" si="269"/>
        <v/>
      </c>
      <c r="W890" s="195" t="str">
        <f t="shared" si="270"/>
        <v/>
      </c>
      <c r="X890" s="196" t="str">
        <f t="shared" si="283"/>
        <v/>
      </c>
      <c r="Y890" s="191" t="str">
        <f t="shared" si="284"/>
        <v/>
      </c>
      <c r="Z890" s="197" t="str">
        <f t="shared" si="271"/>
        <v/>
      </c>
      <c r="AA890" s="197" t="str">
        <f t="shared" si="272"/>
        <v/>
      </c>
      <c r="AB890" s="218"/>
      <c r="AC890" s="205"/>
    </row>
    <row r="891" spans="1:29">
      <c r="A891" s="219" t="str">
        <f t="shared" si="273"/>
        <v/>
      </c>
      <c r="B891" s="219"/>
      <c r="C891" s="184"/>
      <c r="D891" s="185"/>
      <c r="E891" s="185" t="str">
        <f>IF(OR(C891="",C891=Data!$B$3),"",IF(C891=Data!$B$2,"L","S"))</f>
        <v/>
      </c>
      <c r="F891" s="185" t="str">
        <f t="shared" si="274"/>
        <v/>
      </c>
      <c r="G891" s="186" t="str">
        <f t="shared" si="265"/>
        <v/>
      </c>
      <c r="H891" s="187"/>
      <c r="I891" s="188" t="str">
        <f t="shared" si="275"/>
        <v/>
      </c>
      <c r="J891" s="188" t="str">
        <f t="shared" si="276"/>
        <v/>
      </c>
      <c r="K891" s="189" t="str">
        <f t="shared" si="277"/>
        <v/>
      </c>
      <c r="L891" s="189" t="str">
        <f t="shared" si="278"/>
        <v/>
      </c>
      <c r="M891" s="190"/>
      <c r="N891" s="190"/>
      <c r="O891" s="188" t="str">
        <f t="shared" si="279"/>
        <v/>
      </c>
      <c r="P891" s="191" t="str">
        <f t="shared" si="266"/>
        <v/>
      </c>
      <c r="Q891" s="192" t="str">
        <f t="shared" si="280"/>
        <v/>
      </c>
      <c r="R891" s="191" t="str">
        <f t="shared" si="267"/>
        <v/>
      </c>
      <c r="S891" s="193" t="str">
        <f t="shared" si="281"/>
        <v/>
      </c>
      <c r="T891" s="194" t="str">
        <f t="shared" si="268"/>
        <v/>
      </c>
      <c r="U891" s="192" t="str">
        <f t="shared" si="282"/>
        <v/>
      </c>
      <c r="V891" s="195" t="str">
        <f t="shared" si="269"/>
        <v/>
      </c>
      <c r="W891" s="195" t="str">
        <f t="shared" si="270"/>
        <v/>
      </c>
      <c r="X891" s="196" t="str">
        <f t="shared" si="283"/>
        <v/>
      </c>
      <c r="Y891" s="191" t="str">
        <f t="shared" si="284"/>
        <v/>
      </c>
      <c r="Z891" s="197" t="str">
        <f t="shared" si="271"/>
        <v/>
      </c>
      <c r="AA891" s="197" t="str">
        <f t="shared" si="272"/>
        <v/>
      </c>
      <c r="AB891" s="218"/>
      <c r="AC891" s="205"/>
    </row>
    <row r="892" spans="1:29">
      <c r="A892" s="219" t="str">
        <f t="shared" si="273"/>
        <v/>
      </c>
      <c r="B892" s="219"/>
      <c r="C892" s="184"/>
      <c r="D892" s="185"/>
      <c r="E892" s="185" t="str">
        <f>IF(OR(C892="",C892=Data!$B$3),"",IF(C892=Data!$B$2,"L","S"))</f>
        <v/>
      </c>
      <c r="F892" s="185" t="str">
        <f t="shared" si="274"/>
        <v/>
      </c>
      <c r="G892" s="186" t="str">
        <f t="shared" si="265"/>
        <v/>
      </c>
      <c r="H892" s="187"/>
      <c r="I892" s="188" t="str">
        <f t="shared" si="275"/>
        <v/>
      </c>
      <c r="J892" s="188" t="str">
        <f t="shared" si="276"/>
        <v/>
      </c>
      <c r="K892" s="189" t="str">
        <f t="shared" si="277"/>
        <v/>
      </c>
      <c r="L892" s="189" t="str">
        <f t="shared" si="278"/>
        <v/>
      </c>
      <c r="M892" s="190"/>
      <c r="N892" s="190"/>
      <c r="O892" s="188" t="str">
        <f t="shared" si="279"/>
        <v/>
      </c>
      <c r="P892" s="191" t="str">
        <f t="shared" si="266"/>
        <v/>
      </c>
      <c r="Q892" s="192" t="str">
        <f t="shared" si="280"/>
        <v/>
      </c>
      <c r="R892" s="191" t="str">
        <f t="shared" si="267"/>
        <v/>
      </c>
      <c r="S892" s="193" t="str">
        <f t="shared" si="281"/>
        <v/>
      </c>
      <c r="T892" s="194" t="str">
        <f t="shared" si="268"/>
        <v/>
      </c>
      <c r="U892" s="192" t="str">
        <f t="shared" si="282"/>
        <v/>
      </c>
      <c r="V892" s="195" t="str">
        <f t="shared" si="269"/>
        <v/>
      </c>
      <c r="W892" s="195" t="str">
        <f t="shared" si="270"/>
        <v/>
      </c>
      <c r="X892" s="196" t="str">
        <f t="shared" si="283"/>
        <v/>
      </c>
      <c r="Y892" s="191" t="str">
        <f t="shared" si="284"/>
        <v/>
      </c>
      <c r="Z892" s="197" t="str">
        <f t="shared" si="271"/>
        <v/>
      </c>
      <c r="AA892" s="197" t="str">
        <f t="shared" si="272"/>
        <v/>
      </c>
      <c r="AB892" s="218"/>
      <c r="AC892" s="205"/>
    </row>
    <row r="893" spans="1:29">
      <c r="A893" s="219" t="str">
        <f t="shared" si="273"/>
        <v/>
      </c>
      <c r="B893" s="219"/>
      <c r="C893" s="184"/>
      <c r="D893" s="185"/>
      <c r="E893" s="185" t="str">
        <f>IF(OR(C893="",C893=Data!$B$3),"",IF(C893=Data!$B$2,"L","S"))</f>
        <v/>
      </c>
      <c r="F893" s="185" t="str">
        <f t="shared" si="274"/>
        <v/>
      </c>
      <c r="G893" s="186" t="str">
        <f t="shared" si="265"/>
        <v/>
      </c>
      <c r="H893" s="187"/>
      <c r="I893" s="188" t="str">
        <f t="shared" si="275"/>
        <v/>
      </c>
      <c r="J893" s="188" t="str">
        <f t="shared" si="276"/>
        <v/>
      </c>
      <c r="K893" s="189" t="str">
        <f t="shared" si="277"/>
        <v/>
      </c>
      <c r="L893" s="189" t="str">
        <f t="shared" si="278"/>
        <v/>
      </c>
      <c r="M893" s="190"/>
      <c r="N893" s="190"/>
      <c r="O893" s="188" t="str">
        <f t="shared" si="279"/>
        <v/>
      </c>
      <c r="P893" s="191" t="str">
        <f t="shared" si="266"/>
        <v/>
      </c>
      <c r="Q893" s="192" t="str">
        <f t="shared" si="280"/>
        <v/>
      </c>
      <c r="R893" s="191" t="str">
        <f t="shared" si="267"/>
        <v/>
      </c>
      <c r="S893" s="193" t="str">
        <f t="shared" si="281"/>
        <v/>
      </c>
      <c r="T893" s="194" t="str">
        <f t="shared" si="268"/>
        <v/>
      </c>
      <c r="U893" s="192" t="str">
        <f t="shared" si="282"/>
        <v/>
      </c>
      <c r="V893" s="195" t="str">
        <f t="shared" si="269"/>
        <v/>
      </c>
      <c r="W893" s="195" t="str">
        <f t="shared" si="270"/>
        <v/>
      </c>
      <c r="X893" s="196" t="str">
        <f t="shared" si="283"/>
        <v/>
      </c>
      <c r="Y893" s="191" t="str">
        <f t="shared" si="284"/>
        <v/>
      </c>
      <c r="Z893" s="197" t="str">
        <f t="shared" si="271"/>
        <v/>
      </c>
      <c r="AA893" s="197" t="str">
        <f t="shared" si="272"/>
        <v/>
      </c>
      <c r="AB893" s="218"/>
      <c r="AC893" s="205"/>
    </row>
    <row r="894" spans="1:29">
      <c r="A894" s="219" t="str">
        <f t="shared" si="273"/>
        <v/>
      </c>
      <c r="B894" s="219"/>
      <c r="C894" s="184"/>
      <c r="D894" s="185"/>
      <c r="E894" s="185" t="str">
        <f>IF(OR(C894="",C894=Data!$B$3),"",IF(C894=Data!$B$2,"L","S"))</f>
        <v/>
      </c>
      <c r="F894" s="185" t="str">
        <f t="shared" si="274"/>
        <v/>
      </c>
      <c r="G894" s="186" t="str">
        <f t="shared" si="265"/>
        <v/>
      </c>
      <c r="H894" s="187"/>
      <c r="I894" s="188" t="str">
        <f t="shared" si="275"/>
        <v/>
      </c>
      <c r="J894" s="188" t="str">
        <f t="shared" si="276"/>
        <v/>
      </c>
      <c r="K894" s="189" t="str">
        <f t="shared" si="277"/>
        <v/>
      </c>
      <c r="L894" s="189" t="str">
        <f t="shared" si="278"/>
        <v/>
      </c>
      <c r="M894" s="190"/>
      <c r="N894" s="190"/>
      <c r="O894" s="188" t="str">
        <f t="shared" si="279"/>
        <v/>
      </c>
      <c r="P894" s="191" t="str">
        <f t="shared" si="266"/>
        <v/>
      </c>
      <c r="Q894" s="192" t="str">
        <f t="shared" si="280"/>
        <v/>
      </c>
      <c r="R894" s="191" t="str">
        <f t="shared" si="267"/>
        <v/>
      </c>
      <c r="S894" s="193" t="str">
        <f t="shared" si="281"/>
        <v/>
      </c>
      <c r="T894" s="194" t="str">
        <f t="shared" si="268"/>
        <v/>
      </c>
      <c r="U894" s="192" t="str">
        <f t="shared" si="282"/>
        <v/>
      </c>
      <c r="V894" s="195" t="str">
        <f t="shared" si="269"/>
        <v/>
      </c>
      <c r="W894" s="195" t="str">
        <f t="shared" si="270"/>
        <v/>
      </c>
      <c r="X894" s="196" t="str">
        <f t="shared" si="283"/>
        <v/>
      </c>
      <c r="Y894" s="191" t="str">
        <f t="shared" si="284"/>
        <v/>
      </c>
      <c r="Z894" s="197" t="str">
        <f t="shared" si="271"/>
        <v/>
      </c>
      <c r="AA894" s="197" t="str">
        <f t="shared" si="272"/>
        <v/>
      </c>
      <c r="AB894" s="218"/>
      <c r="AC894" s="205"/>
    </row>
    <row r="895" spans="1:29">
      <c r="A895" s="219" t="str">
        <f t="shared" si="273"/>
        <v/>
      </c>
      <c r="B895" s="219"/>
      <c r="C895" s="184"/>
      <c r="D895" s="185"/>
      <c r="E895" s="185" t="str">
        <f>IF(OR(C895="",C895=Data!$B$3),"",IF(C895=Data!$B$2,"L","S"))</f>
        <v/>
      </c>
      <c r="F895" s="185" t="str">
        <f t="shared" si="274"/>
        <v/>
      </c>
      <c r="G895" s="186" t="str">
        <f t="shared" si="265"/>
        <v/>
      </c>
      <c r="H895" s="187"/>
      <c r="I895" s="188" t="str">
        <f t="shared" si="275"/>
        <v/>
      </c>
      <c r="J895" s="188" t="str">
        <f t="shared" si="276"/>
        <v/>
      </c>
      <c r="K895" s="189" t="str">
        <f t="shared" si="277"/>
        <v/>
      </c>
      <c r="L895" s="189" t="str">
        <f t="shared" si="278"/>
        <v/>
      </c>
      <c r="M895" s="190"/>
      <c r="N895" s="190"/>
      <c r="O895" s="188" t="str">
        <f t="shared" si="279"/>
        <v/>
      </c>
      <c r="P895" s="191" t="str">
        <f t="shared" si="266"/>
        <v/>
      </c>
      <c r="Q895" s="192" t="str">
        <f t="shared" si="280"/>
        <v/>
      </c>
      <c r="R895" s="191" t="str">
        <f t="shared" si="267"/>
        <v/>
      </c>
      <c r="S895" s="193" t="str">
        <f t="shared" si="281"/>
        <v/>
      </c>
      <c r="T895" s="194" t="str">
        <f t="shared" si="268"/>
        <v/>
      </c>
      <c r="U895" s="192" t="str">
        <f t="shared" si="282"/>
        <v/>
      </c>
      <c r="V895" s="195" t="str">
        <f t="shared" si="269"/>
        <v/>
      </c>
      <c r="W895" s="195" t="str">
        <f t="shared" si="270"/>
        <v/>
      </c>
      <c r="X895" s="196" t="str">
        <f t="shared" si="283"/>
        <v/>
      </c>
      <c r="Y895" s="191" t="str">
        <f t="shared" si="284"/>
        <v/>
      </c>
      <c r="Z895" s="197" t="str">
        <f t="shared" si="271"/>
        <v/>
      </c>
      <c r="AA895" s="197" t="str">
        <f t="shared" si="272"/>
        <v/>
      </c>
      <c r="AB895" s="218"/>
      <c r="AC895" s="205"/>
    </row>
    <row r="896" spans="1:29">
      <c r="A896" s="219" t="str">
        <f t="shared" si="273"/>
        <v/>
      </c>
      <c r="B896" s="219"/>
      <c r="C896" s="184"/>
      <c r="D896" s="185"/>
      <c r="E896" s="185" t="str">
        <f>IF(OR(C896="",C896=Data!$B$3),"",IF(C896=Data!$B$2,"L","S"))</f>
        <v/>
      </c>
      <c r="F896" s="185" t="str">
        <f t="shared" si="274"/>
        <v/>
      </c>
      <c r="G896" s="186" t="str">
        <f t="shared" si="265"/>
        <v/>
      </c>
      <c r="H896" s="187"/>
      <c r="I896" s="188" t="str">
        <f t="shared" si="275"/>
        <v/>
      </c>
      <c r="J896" s="188" t="str">
        <f t="shared" si="276"/>
        <v/>
      </c>
      <c r="K896" s="189" t="str">
        <f t="shared" si="277"/>
        <v/>
      </c>
      <c r="L896" s="189" t="str">
        <f t="shared" si="278"/>
        <v/>
      </c>
      <c r="M896" s="190"/>
      <c r="N896" s="190"/>
      <c r="O896" s="188" t="str">
        <f t="shared" si="279"/>
        <v/>
      </c>
      <c r="P896" s="191" t="str">
        <f t="shared" si="266"/>
        <v/>
      </c>
      <c r="Q896" s="192" t="str">
        <f t="shared" si="280"/>
        <v/>
      </c>
      <c r="R896" s="191" t="str">
        <f t="shared" si="267"/>
        <v/>
      </c>
      <c r="S896" s="193" t="str">
        <f t="shared" si="281"/>
        <v/>
      </c>
      <c r="T896" s="194" t="str">
        <f t="shared" si="268"/>
        <v/>
      </c>
      <c r="U896" s="192" t="str">
        <f t="shared" si="282"/>
        <v/>
      </c>
      <c r="V896" s="195" t="str">
        <f t="shared" si="269"/>
        <v/>
      </c>
      <c r="W896" s="195" t="str">
        <f t="shared" si="270"/>
        <v/>
      </c>
      <c r="X896" s="196" t="str">
        <f t="shared" si="283"/>
        <v/>
      </c>
      <c r="Y896" s="191" t="str">
        <f t="shared" si="284"/>
        <v/>
      </c>
      <c r="Z896" s="197" t="str">
        <f t="shared" si="271"/>
        <v/>
      </c>
      <c r="AA896" s="197" t="str">
        <f t="shared" si="272"/>
        <v/>
      </c>
      <c r="AB896" s="218"/>
      <c r="AC896" s="205"/>
    </row>
    <row r="897" spans="1:29">
      <c r="A897" s="219" t="str">
        <f t="shared" si="273"/>
        <v/>
      </c>
      <c r="B897" s="219"/>
      <c r="C897" s="184"/>
      <c r="D897" s="185"/>
      <c r="E897" s="185" t="str">
        <f>IF(OR(C897="",C897=Data!$B$3),"",IF(C897=Data!$B$2,"L","S"))</f>
        <v/>
      </c>
      <c r="F897" s="185" t="str">
        <f t="shared" si="274"/>
        <v/>
      </c>
      <c r="G897" s="186" t="str">
        <f t="shared" si="265"/>
        <v/>
      </c>
      <c r="H897" s="187"/>
      <c r="I897" s="188" t="str">
        <f t="shared" si="275"/>
        <v/>
      </c>
      <c r="J897" s="188" t="str">
        <f t="shared" si="276"/>
        <v/>
      </c>
      <c r="K897" s="189" t="str">
        <f t="shared" si="277"/>
        <v/>
      </c>
      <c r="L897" s="189" t="str">
        <f t="shared" si="278"/>
        <v/>
      </c>
      <c r="M897" s="190"/>
      <c r="N897" s="190"/>
      <c r="O897" s="188" t="str">
        <f t="shared" si="279"/>
        <v/>
      </c>
      <c r="P897" s="191" t="str">
        <f t="shared" si="266"/>
        <v/>
      </c>
      <c r="Q897" s="192" t="str">
        <f t="shared" si="280"/>
        <v/>
      </c>
      <c r="R897" s="191" t="str">
        <f t="shared" si="267"/>
        <v/>
      </c>
      <c r="S897" s="193" t="str">
        <f t="shared" si="281"/>
        <v/>
      </c>
      <c r="T897" s="194" t="str">
        <f t="shared" si="268"/>
        <v/>
      </c>
      <c r="U897" s="192" t="str">
        <f t="shared" si="282"/>
        <v/>
      </c>
      <c r="V897" s="195" t="str">
        <f t="shared" si="269"/>
        <v/>
      </c>
      <c r="W897" s="195" t="str">
        <f t="shared" si="270"/>
        <v/>
      </c>
      <c r="X897" s="196" t="str">
        <f t="shared" si="283"/>
        <v/>
      </c>
      <c r="Y897" s="191" t="str">
        <f t="shared" si="284"/>
        <v/>
      </c>
      <c r="Z897" s="197" t="str">
        <f t="shared" si="271"/>
        <v/>
      </c>
      <c r="AA897" s="197" t="str">
        <f t="shared" si="272"/>
        <v/>
      </c>
      <c r="AB897" s="218"/>
      <c r="AC897" s="205"/>
    </row>
    <row r="898" spans="1:29">
      <c r="A898" s="219" t="str">
        <f t="shared" si="273"/>
        <v/>
      </c>
      <c r="B898" s="219"/>
      <c r="C898" s="184"/>
      <c r="D898" s="185"/>
      <c r="E898" s="185" t="str">
        <f>IF(OR(C898="",C898=Data!$B$3),"",IF(C898=Data!$B$2,"L","S"))</f>
        <v/>
      </c>
      <c r="F898" s="185" t="str">
        <f t="shared" si="274"/>
        <v/>
      </c>
      <c r="G898" s="186" t="str">
        <f t="shared" si="265"/>
        <v/>
      </c>
      <c r="H898" s="187"/>
      <c r="I898" s="188" t="str">
        <f t="shared" si="275"/>
        <v/>
      </c>
      <c r="J898" s="188" t="str">
        <f t="shared" si="276"/>
        <v/>
      </c>
      <c r="K898" s="189" t="str">
        <f t="shared" si="277"/>
        <v/>
      </c>
      <c r="L898" s="189" t="str">
        <f t="shared" si="278"/>
        <v/>
      </c>
      <c r="M898" s="190"/>
      <c r="N898" s="190"/>
      <c r="O898" s="188" t="str">
        <f t="shared" si="279"/>
        <v/>
      </c>
      <c r="P898" s="191" t="str">
        <f t="shared" si="266"/>
        <v/>
      </c>
      <c r="Q898" s="192" t="str">
        <f t="shared" si="280"/>
        <v/>
      </c>
      <c r="R898" s="191" t="str">
        <f t="shared" si="267"/>
        <v/>
      </c>
      <c r="S898" s="193" t="str">
        <f t="shared" si="281"/>
        <v/>
      </c>
      <c r="T898" s="194" t="str">
        <f t="shared" si="268"/>
        <v/>
      </c>
      <c r="U898" s="192" t="str">
        <f t="shared" si="282"/>
        <v/>
      </c>
      <c r="V898" s="195" t="str">
        <f t="shared" si="269"/>
        <v/>
      </c>
      <c r="W898" s="195" t="str">
        <f t="shared" si="270"/>
        <v/>
      </c>
      <c r="X898" s="196" t="str">
        <f t="shared" si="283"/>
        <v/>
      </c>
      <c r="Y898" s="191" t="str">
        <f t="shared" si="284"/>
        <v/>
      </c>
      <c r="Z898" s="197" t="str">
        <f t="shared" si="271"/>
        <v/>
      </c>
      <c r="AA898" s="197" t="str">
        <f t="shared" si="272"/>
        <v/>
      </c>
      <c r="AB898" s="218"/>
      <c r="AC898" s="205"/>
    </row>
    <row r="899" spans="1:29">
      <c r="A899" s="219" t="str">
        <f t="shared" si="273"/>
        <v/>
      </c>
      <c r="B899" s="219"/>
      <c r="C899" s="184"/>
      <c r="D899" s="185"/>
      <c r="E899" s="185" t="str">
        <f>IF(OR(C899="",C899=Data!$B$3),"",IF(C899=Data!$B$2,"L","S"))</f>
        <v/>
      </c>
      <c r="F899" s="185" t="str">
        <f t="shared" si="274"/>
        <v/>
      </c>
      <c r="G899" s="186" t="str">
        <f t="shared" si="265"/>
        <v/>
      </c>
      <c r="H899" s="187"/>
      <c r="I899" s="188" t="str">
        <f t="shared" si="275"/>
        <v/>
      </c>
      <c r="J899" s="188" t="str">
        <f t="shared" si="276"/>
        <v/>
      </c>
      <c r="K899" s="189" t="str">
        <f t="shared" si="277"/>
        <v/>
      </c>
      <c r="L899" s="189" t="str">
        <f t="shared" si="278"/>
        <v/>
      </c>
      <c r="M899" s="190"/>
      <c r="N899" s="190"/>
      <c r="O899" s="188" t="str">
        <f t="shared" si="279"/>
        <v/>
      </c>
      <c r="P899" s="191" t="str">
        <f t="shared" si="266"/>
        <v/>
      </c>
      <c r="Q899" s="192" t="str">
        <f t="shared" si="280"/>
        <v/>
      </c>
      <c r="R899" s="191" t="str">
        <f t="shared" si="267"/>
        <v/>
      </c>
      <c r="S899" s="193" t="str">
        <f t="shared" si="281"/>
        <v/>
      </c>
      <c r="T899" s="194" t="str">
        <f t="shared" si="268"/>
        <v/>
      </c>
      <c r="U899" s="192" t="str">
        <f t="shared" si="282"/>
        <v/>
      </c>
      <c r="V899" s="195" t="str">
        <f t="shared" si="269"/>
        <v/>
      </c>
      <c r="W899" s="195" t="str">
        <f t="shared" si="270"/>
        <v/>
      </c>
      <c r="X899" s="196" t="str">
        <f t="shared" si="283"/>
        <v/>
      </c>
      <c r="Y899" s="191" t="str">
        <f t="shared" si="284"/>
        <v/>
      </c>
      <c r="Z899" s="197" t="str">
        <f t="shared" si="271"/>
        <v/>
      </c>
      <c r="AA899" s="197" t="str">
        <f t="shared" si="272"/>
        <v/>
      </c>
      <c r="AB899" s="218"/>
      <c r="AC899" s="205"/>
    </row>
    <row r="900" spans="1:29">
      <c r="A900" s="219" t="str">
        <f t="shared" si="273"/>
        <v/>
      </c>
      <c r="B900" s="219"/>
      <c r="C900" s="184"/>
      <c r="D900" s="185"/>
      <c r="E900" s="185" t="str">
        <f>IF(OR(C900="",C900=Data!$B$3),"",IF(C900=Data!$B$2,"L","S"))</f>
        <v/>
      </c>
      <c r="F900" s="185" t="str">
        <f t="shared" si="274"/>
        <v/>
      </c>
      <c r="G900" s="186" t="str">
        <f t="shared" si="265"/>
        <v/>
      </c>
      <c r="H900" s="187"/>
      <c r="I900" s="188" t="str">
        <f t="shared" si="275"/>
        <v/>
      </c>
      <c r="J900" s="188" t="str">
        <f t="shared" si="276"/>
        <v/>
      </c>
      <c r="K900" s="189" t="str">
        <f t="shared" si="277"/>
        <v/>
      </c>
      <c r="L900" s="189" t="str">
        <f t="shared" si="278"/>
        <v/>
      </c>
      <c r="M900" s="190"/>
      <c r="N900" s="190"/>
      <c r="O900" s="188" t="str">
        <f t="shared" si="279"/>
        <v/>
      </c>
      <c r="P900" s="191" t="str">
        <f t="shared" si="266"/>
        <v/>
      </c>
      <c r="Q900" s="192" t="str">
        <f t="shared" si="280"/>
        <v/>
      </c>
      <c r="R900" s="191" t="str">
        <f t="shared" si="267"/>
        <v/>
      </c>
      <c r="S900" s="193" t="str">
        <f t="shared" si="281"/>
        <v/>
      </c>
      <c r="T900" s="194" t="str">
        <f t="shared" si="268"/>
        <v/>
      </c>
      <c r="U900" s="192" t="str">
        <f t="shared" si="282"/>
        <v/>
      </c>
      <c r="V900" s="195" t="str">
        <f t="shared" si="269"/>
        <v/>
      </c>
      <c r="W900" s="195" t="str">
        <f t="shared" si="270"/>
        <v/>
      </c>
      <c r="X900" s="196" t="str">
        <f t="shared" si="283"/>
        <v/>
      </c>
      <c r="Y900" s="191" t="str">
        <f t="shared" si="284"/>
        <v/>
      </c>
      <c r="Z900" s="197" t="str">
        <f t="shared" si="271"/>
        <v/>
      </c>
      <c r="AA900" s="197" t="str">
        <f t="shared" si="272"/>
        <v/>
      </c>
      <c r="AB900" s="218"/>
      <c r="AC900" s="205"/>
    </row>
    <row r="901" spans="1:29">
      <c r="A901" s="219" t="str">
        <f t="shared" si="273"/>
        <v/>
      </c>
      <c r="B901" s="219"/>
      <c r="C901" s="184"/>
      <c r="D901" s="185"/>
      <c r="E901" s="185" t="str">
        <f>IF(OR(C901="",C901=Data!$B$3),"",IF(C901=Data!$B$2,"L","S"))</f>
        <v/>
      </c>
      <c r="F901" s="185" t="str">
        <f t="shared" si="274"/>
        <v/>
      </c>
      <c r="G901" s="186" t="str">
        <f t="shared" si="265"/>
        <v/>
      </c>
      <c r="H901" s="187"/>
      <c r="I901" s="188" t="str">
        <f t="shared" si="275"/>
        <v/>
      </c>
      <c r="J901" s="188" t="str">
        <f t="shared" si="276"/>
        <v/>
      </c>
      <c r="K901" s="189" t="str">
        <f t="shared" si="277"/>
        <v/>
      </c>
      <c r="L901" s="189" t="str">
        <f t="shared" si="278"/>
        <v/>
      </c>
      <c r="M901" s="190"/>
      <c r="N901" s="190"/>
      <c r="O901" s="188" t="str">
        <f t="shared" si="279"/>
        <v/>
      </c>
      <c r="P901" s="191" t="str">
        <f t="shared" si="266"/>
        <v/>
      </c>
      <c r="Q901" s="192" t="str">
        <f t="shared" si="280"/>
        <v/>
      </c>
      <c r="R901" s="191" t="str">
        <f t="shared" si="267"/>
        <v/>
      </c>
      <c r="S901" s="193" t="str">
        <f t="shared" si="281"/>
        <v/>
      </c>
      <c r="T901" s="194" t="str">
        <f t="shared" si="268"/>
        <v/>
      </c>
      <c r="U901" s="192" t="str">
        <f t="shared" si="282"/>
        <v/>
      </c>
      <c r="V901" s="195" t="str">
        <f t="shared" si="269"/>
        <v/>
      </c>
      <c r="W901" s="195" t="str">
        <f t="shared" si="270"/>
        <v/>
      </c>
      <c r="X901" s="196" t="str">
        <f t="shared" si="283"/>
        <v/>
      </c>
      <c r="Y901" s="191" t="str">
        <f t="shared" si="284"/>
        <v/>
      </c>
      <c r="Z901" s="197" t="str">
        <f t="shared" si="271"/>
        <v/>
      </c>
      <c r="AA901" s="197" t="str">
        <f t="shared" si="272"/>
        <v/>
      </c>
      <c r="AB901" s="218"/>
      <c r="AC901" s="205"/>
    </row>
    <row r="902" spans="1:29">
      <c r="A902" s="219" t="str">
        <f t="shared" si="273"/>
        <v/>
      </c>
      <c r="B902" s="219"/>
      <c r="C902" s="184"/>
      <c r="D902" s="185"/>
      <c r="E902" s="185" t="str">
        <f>IF(OR(C902="",C902=Data!$B$3),"",IF(C902=Data!$B$2,"L","S"))</f>
        <v/>
      </c>
      <c r="F902" s="185" t="str">
        <f t="shared" si="274"/>
        <v/>
      </c>
      <c r="G902" s="186" t="str">
        <f t="shared" si="265"/>
        <v/>
      </c>
      <c r="H902" s="187"/>
      <c r="I902" s="188" t="str">
        <f t="shared" si="275"/>
        <v/>
      </c>
      <c r="J902" s="188" t="str">
        <f t="shared" si="276"/>
        <v/>
      </c>
      <c r="K902" s="189" t="str">
        <f t="shared" si="277"/>
        <v/>
      </c>
      <c r="L902" s="189" t="str">
        <f t="shared" si="278"/>
        <v/>
      </c>
      <c r="M902" s="190"/>
      <c r="N902" s="190"/>
      <c r="O902" s="188" t="str">
        <f t="shared" si="279"/>
        <v/>
      </c>
      <c r="P902" s="191" t="str">
        <f t="shared" si="266"/>
        <v/>
      </c>
      <c r="Q902" s="192" t="str">
        <f t="shared" si="280"/>
        <v/>
      </c>
      <c r="R902" s="191" t="str">
        <f t="shared" si="267"/>
        <v/>
      </c>
      <c r="S902" s="193" t="str">
        <f t="shared" si="281"/>
        <v/>
      </c>
      <c r="T902" s="194" t="str">
        <f t="shared" si="268"/>
        <v/>
      </c>
      <c r="U902" s="192" t="str">
        <f t="shared" si="282"/>
        <v/>
      </c>
      <c r="V902" s="195" t="str">
        <f t="shared" si="269"/>
        <v/>
      </c>
      <c r="W902" s="195" t="str">
        <f t="shared" si="270"/>
        <v/>
      </c>
      <c r="X902" s="196" t="str">
        <f t="shared" si="283"/>
        <v/>
      </c>
      <c r="Y902" s="191" t="str">
        <f t="shared" si="284"/>
        <v/>
      </c>
      <c r="Z902" s="197" t="str">
        <f t="shared" si="271"/>
        <v/>
      </c>
      <c r="AA902" s="197" t="str">
        <f t="shared" si="272"/>
        <v/>
      </c>
      <c r="AB902" s="218"/>
      <c r="AC902" s="205"/>
    </row>
    <row r="903" spans="1:29">
      <c r="A903" s="219" t="str">
        <f t="shared" si="273"/>
        <v/>
      </c>
      <c r="B903" s="219"/>
      <c r="C903" s="184"/>
      <c r="D903" s="185"/>
      <c r="E903" s="185" t="str">
        <f>IF(OR(C903="",C903=Data!$B$3),"",IF(C903=Data!$B$2,"L","S"))</f>
        <v/>
      </c>
      <c r="F903" s="185" t="str">
        <f t="shared" si="274"/>
        <v/>
      </c>
      <c r="G903" s="186" t="str">
        <f t="shared" si="265"/>
        <v/>
      </c>
      <c r="H903" s="187"/>
      <c r="I903" s="188" t="str">
        <f t="shared" si="275"/>
        <v/>
      </c>
      <c r="J903" s="188" t="str">
        <f t="shared" si="276"/>
        <v/>
      </c>
      <c r="K903" s="189" t="str">
        <f t="shared" si="277"/>
        <v/>
      </c>
      <c r="L903" s="189" t="str">
        <f t="shared" si="278"/>
        <v/>
      </c>
      <c r="M903" s="190"/>
      <c r="N903" s="190"/>
      <c r="O903" s="188" t="str">
        <f t="shared" si="279"/>
        <v/>
      </c>
      <c r="P903" s="191" t="str">
        <f t="shared" si="266"/>
        <v/>
      </c>
      <c r="Q903" s="192" t="str">
        <f t="shared" si="280"/>
        <v/>
      </c>
      <c r="R903" s="191" t="str">
        <f t="shared" si="267"/>
        <v/>
      </c>
      <c r="S903" s="193" t="str">
        <f t="shared" si="281"/>
        <v/>
      </c>
      <c r="T903" s="194" t="str">
        <f t="shared" si="268"/>
        <v/>
      </c>
      <c r="U903" s="192" t="str">
        <f t="shared" si="282"/>
        <v/>
      </c>
      <c r="V903" s="195" t="str">
        <f t="shared" si="269"/>
        <v/>
      </c>
      <c r="W903" s="195" t="str">
        <f t="shared" si="270"/>
        <v/>
      </c>
      <c r="X903" s="196" t="str">
        <f t="shared" si="283"/>
        <v/>
      </c>
      <c r="Y903" s="191" t="str">
        <f t="shared" si="284"/>
        <v/>
      </c>
      <c r="Z903" s="197" t="str">
        <f t="shared" si="271"/>
        <v/>
      </c>
      <c r="AA903" s="197" t="str">
        <f t="shared" si="272"/>
        <v/>
      </c>
      <c r="AB903" s="218"/>
      <c r="AC903" s="205"/>
    </row>
    <row r="904" spans="1:29">
      <c r="A904" s="219" t="str">
        <f t="shared" si="273"/>
        <v/>
      </c>
      <c r="B904" s="219"/>
      <c r="C904" s="184"/>
      <c r="D904" s="185"/>
      <c r="E904" s="185" t="str">
        <f>IF(OR(C904="",C904=Data!$B$3),"",IF(C904=Data!$B$2,"L","S"))</f>
        <v/>
      </c>
      <c r="F904" s="185" t="str">
        <f t="shared" si="274"/>
        <v/>
      </c>
      <c r="G904" s="186" t="str">
        <f t="shared" si="265"/>
        <v/>
      </c>
      <c r="H904" s="187"/>
      <c r="I904" s="188" t="str">
        <f t="shared" si="275"/>
        <v/>
      </c>
      <c r="J904" s="188" t="str">
        <f t="shared" si="276"/>
        <v/>
      </c>
      <c r="K904" s="189" t="str">
        <f t="shared" si="277"/>
        <v/>
      </c>
      <c r="L904" s="189" t="str">
        <f t="shared" si="278"/>
        <v/>
      </c>
      <c r="M904" s="190"/>
      <c r="N904" s="190"/>
      <c r="O904" s="188" t="str">
        <f t="shared" si="279"/>
        <v/>
      </c>
      <c r="P904" s="191" t="str">
        <f t="shared" si="266"/>
        <v/>
      </c>
      <c r="Q904" s="192" t="str">
        <f t="shared" si="280"/>
        <v/>
      </c>
      <c r="R904" s="191" t="str">
        <f t="shared" si="267"/>
        <v/>
      </c>
      <c r="S904" s="193" t="str">
        <f t="shared" si="281"/>
        <v/>
      </c>
      <c r="T904" s="194" t="str">
        <f t="shared" si="268"/>
        <v/>
      </c>
      <c r="U904" s="192" t="str">
        <f t="shared" si="282"/>
        <v/>
      </c>
      <c r="V904" s="195" t="str">
        <f t="shared" si="269"/>
        <v/>
      </c>
      <c r="W904" s="195" t="str">
        <f t="shared" si="270"/>
        <v/>
      </c>
      <c r="X904" s="196" t="str">
        <f t="shared" si="283"/>
        <v/>
      </c>
      <c r="Y904" s="191" t="str">
        <f t="shared" si="284"/>
        <v/>
      </c>
      <c r="Z904" s="197" t="str">
        <f t="shared" si="271"/>
        <v/>
      </c>
      <c r="AA904" s="197" t="str">
        <f t="shared" si="272"/>
        <v/>
      </c>
      <c r="AB904" s="218"/>
      <c r="AC904" s="205"/>
    </row>
    <row r="905" spans="1:29">
      <c r="A905" s="219" t="str">
        <f t="shared" si="273"/>
        <v/>
      </c>
      <c r="B905" s="219"/>
      <c r="C905" s="184"/>
      <c r="D905" s="185"/>
      <c r="E905" s="185" t="str">
        <f>IF(OR(C905="",C905=Data!$B$3),"",IF(C905=Data!$B$2,"L","S"))</f>
        <v/>
      </c>
      <c r="F905" s="185" t="str">
        <f t="shared" si="274"/>
        <v/>
      </c>
      <c r="G905" s="186" t="str">
        <f t="shared" si="265"/>
        <v/>
      </c>
      <c r="H905" s="187"/>
      <c r="I905" s="188" t="str">
        <f t="shared" si="275"/>
        <v/>
      </c>
      <c r="J905" s="188" t="str">
        <f t="shared" si="276"/>
        <v/>
      </c>
      <c r="K905" s="189" t="str">
        <f t="shared" si="277"/>
        <v/>
      </c>
      <c r="L905" s="189" t="str">
        <f t="shared" si="278"/>
        <v/>
      </c>
      <c r="M905" s="190"/>
      <c r="N905" s="190"/>
      <c r="O905" s="188" t="str">
        <f t="shared" si="279"/>
        <v/>
      </c>
      <c r="P905" s="191" t="str">
        <f t="shared" si="266"/>
        <v/>
      </c>
      <c r="Q905" s="192" t="str">
        <f t="shared" si="280"/>
        <v/>
      </c>
      <c r="R905" s="191" t="str">
        <f t="shared" si="267"/>
        <v/>
      </c>
      <c r="S905" s="193" t="str">
        <f t="shared" si="281"/>
        <v/>
      </c>
      <c r="T905" s="194" t="str">
        <f t="shared" si="268"/>
        <v/>
      </c>
      <c r="U905" s="192" t="str">
        <f t="shared" si="282"/>
        <v/>
      </c>
      <c r="V905" s="195" t="str">
        <f t="shared" si="269"/>
        <v/>
      </c>
      <c r="W905" s="195" t="str">
        <f t="shared" si="270"/>
        <v/>
      </c>
      <c r="X905" s="196" t="str">
        <f t="shared" si="283"/>
        <v/>
      </c>
      <c r="Y905" s="191" t="str">
        <f t="shared" si="284"/>
        <v/>
      </c>
      <c r="Z905" s="197" t="str">
        <f t="shared" si="271"/>
        <v/>
      </c>
      <c r="AA905" s="197" t="str">
        <f t="shared" si="272"/>
        <v/>
      </c>
      <c r="AB905" s="218"/>
      <c r="AC905" s="205"/>
    </row>
    <row r="906" spans="1:29">
      <c r="A906" s="219" t="str">
        <f t="shared" si="273"/>
        <v/>
      </c>
      <c r="B906" s="219"/>
      <c r="C906" s="184"/>
      <c r="D906" s="185"/>
      <c r="E906" s="185" t="str">
        <f>IF(OR(C906="",C906=Data!$B$3),"",IF(C906=Data!$B$2,"L","S"))</f>
        <v/>
      </c>
      <c r="F906" s="185" t="str">
        <f t="shared" si="274"/>
        <v/>
      </c>
      <c r="G906" s="186" t="str">
        <f t="shared" si="265"/>
        <v/>
      </c>
      <c r="H906" s="187"/>
      <c r="I906" s="188" t="str">
        <f t="shared" si="275"/>
        <v/>
      </c>
      <c r="J906" s="188" t="str">
        <f t="shared" si="276"/>
        <v/>
      </c>
      <c r="K906" s="189" t="str">
        <f t="shared" si="277"/>
        <v/>
      </c>
      <c r="L906" s="189" t="str">
        <f t="shared" si="278"/>
        <v/>
      </c>
      <c r="M906" s="190"/>
      <c r="N906" s="190"/>
      <c r="O906" s="188" t="str">
        <f t="shared" si="279"/>
        <v/>
      </c>
      <c r="P906" s="191" t="str">
        <f t="shared" si="266"/>
        <v/>
      </c>
      <c r="Q906" s="192" t="str">
        <f t="shared" si="280"/>
        <v/>
      </c>
      <c r="R906" s="191" t="str">
        <f t="shared" si="267"/>
        <v/>
      </c>
      <c r="S906" s="193" t="str">
        <f t="shared" si="281"/>
        <v/>
      </c>
      <c r="T906" s="194" t="str">
        <f t="shared" si="268"/>
        <v/>
      </c>
      <c r="U906" s="192" t="str">
        <f t="shared" si="282"/>
        <v/>
      </c>
      <c r="V906" s="195" t="str">
        <f t="shared" si="269"/>
        <v/>
      </c>
      <c r="W906" s="195" t="str">
        <f t="shared" si="270"/>
        <v/>
      </c>
      <c r="X906" s="196" t="str">
        <f t="shared" si="283"/>
        <v/>
      </c>
      <c r="Y906" s="191" t="str">
        <f t="shared" si="284"/>
        <v/>
      </c>
      <c r="Z906" s="197" t="str">
        <f t="shared" si="271"/>
        <v/>
      </c>
      <c r="AA906" s="197" t="str">
        <f t="shared" si="272"/>
        <v/>
      </c>
      <c r="AB906" s="218"/>
      <c r="AC906" s="205"/>
    </row>
    <row r="907" spans="1:29">
      <c r="A907" s="219" t="str">
        <f t="shared" si="273"/>
        <v/>
      </c>
      <c r="B907" s="219"/>
      <c r="C907" s="184"/>
      <c r="D907" s="185"/>
      <c r="E907" s="185" t="str">
        <f>IF(OR(C907="",C907=Data!$B$3),"",IF(C907=Data!$B$2,"L","S"))</f>
        <v/>
      </c>
      <c r="F907" s="185" t="str">
        <f t="shared" si="274"/>
        <v/>
      </c>
      <c r="G907" s="186" t="str">
        <f t="shared" si="265"/>
        <v/>
      </c>
      <c r="H907" s="187"/>
      <c r="I907" s="188" t="str">
        <f t="shared" si="275"/>
        <v/>
      </c>
      <c r="J907" s="188" t="str">
        <f t="shared" si="276"/>
        <v/>
      </c>
      <c r="K907" s="189" t="str">
        <f t="shared" si="277"/>
        <v/>
      </c>
      <c r="L907" s="189" t="str">
        <f t="shared" si="278"/>
        <v/>
      </c>
      <c r="M907" s="190"/>
      <c r="N907" s="190"/>
      <c r="O907" s="188" t="str">
        <f t="shared" si="279"/>
        <v/>
      </c>
      <c r="P907" s="191" t="str">
        <f t="shared" si="266"/>
        <v/>
      </c>
      <c r="Q907" s="192" t="str">
        <f t="shared" si="280"/>
        <v/>
      </c>
      <c r="R907" s="191" t="str">
        <f t="shared" si="267"/>
        <v/>
      </c>
      <c r="S907" s="193" t="str">
        <f t="shared" si="281"/>
        <v/>
      </c>
      <c r="T907" s="194" t="str">
        <f t="shared" si="268"/>
        <v/>
      </c>
      <c r="U907" s="192" t="str">
        <f t="shared" si="282"/>
        <v/>
      </c>
      <c r="V907" s="195" t="str">
        <f t="shared" si="269"/>
        <v/>
      </c>
      <c r="W907" s="195" t="str">
        <f t="shared" si="270"/>
        <v/>
      </c>
      <c r="X907" s="196" t="str">
        <f t="shared" si="283"/>
        <v/>
      </c>
      <c r="Y907" s="191" t="str">
        <f t="shared" si="284"/>
        <v/>
      </c>
      <c r="Z907" s="197" t="str">
        <f t="shared" si="271"/>
        <v/>
      </c>
      <c r="AA907" s="197" t="str">
        <f t="shared" si="272"/>
        <v/>
      </c>
      <c r="AB907" s="218"/>
      <c r="AC907" s="205"/>
    </row>
    <row r="908" spans="1:29">
      <c r="A908" s="219" t="str">
        <f t="shared" si="273"/>
        <v/>
      </c>
      <c r="B908" s="219"/>
      <c r="C908" s="184"/>
      <c r="D908" s="185"/>
      <c r="E908" s="185" t="str">
        <f>IF(OR(C908="",C908=Data!$B$3),"",IF(C908=Data!$B$2,"L","S"))</f>
        <v/>
      </c>
      <c r="F908" s="185" t="str">
        <f t="shared" si="274"/>
        <v/>
      </c>
      <c r="G908" s="186" t="str">
        <f t="shared" ref="G908:G971" si="285">IF(A908="","",$D$3)</f>
        <v/>
      </c>
      <c r="H908" s="187"/>
      <c r="I908" s="188" t="str">
        <f t="shared" si="275"/>
        <v/>
      </c>
      <c r="J908" s="188" t="str">
        <f t="shared" si="276"/>
        <v/>
      </c>
      <c r="K908" s="189" t="str">
        <f t="shared" si="277"/>
        <v/>
      </c>
      <c r="L908" s="189" t="str">
        <f t="shared" si="278"/>
        <v/>
      </c>
      <c r="M908" s="190"/>
      <c r="N908" s="190"/>
      <c r="O908" s="188" t="str">
        <f t="shared" si="279"/>
        <v/>
      </c>
      <c r="P908" s="191" t="str">
        <f t="shared" ref="P908:P971" si="286">IF(O908="","",IF(L908*F908*G908=0,0,L908*F908*G908))</f>
        <v/>
      </c>
      <c r="Q908" s="192" t="str">
        <f t="shared" si="280"/>
        <v/>
      </c>
      <c r="R908" s="191" t="str">
        <f t="shared" ref="R908:R971" si="287">IF(O908&lt;&gt;"",IF(K908*F908*G908=0,"",K908*F908*G908),"")</f>
        <v/>
      </c>
      <c r="S908" s="193" t="str">
        <f t="shared" si="281"/>
        <v/>
      </c>
      <c r="T908" s="194" t="str">
        <f t="shared" ref="T908:T971" si="288">IF(X908="","",X908*F908*G908)</f>
        <v/>
      </c>
      <c r="U908" s="192" t="str">
        <f t="shared" si="282"/>
        <v/>
      </c>
      <c r="V908" s="195" t="str">
        <f t="shared" ref="V908:V971" si="289">IF(O908="","",IF(AND(O908&gt;I908,E908="L"),1, IF(AND(I908&gt;O908,E908="S"),1,0)))</f>
        <v/>
      </c>
      <c r="W908" s="195" t="str">
        <f t="shared" ref="W908:W971" si="290">IF(O908="","",IF(AND(O908&lt;I908,E908="L"),1, IF(AND(I908&lt;O908,E908="S"),1,0)))</f>
        <v/>
      </c>
      <c r="X908" s="196" t="str">
        <f t="shared" si="283"/>
        <v/>
      </c>
      <c r="Y908" s="191" t="str">
        <f t="shared" si="284"/>
        <v/>
      </c>
      <c r="Z908" s="197" t="str">
        <f t="shared" ref="Z908:Z971" si="291">IF(M908="","",MONTH(M908))</f>
        <v/>
      </c>
      <c r="AA908" s="197" t="str">
        <f t="shared" ref="AA908:AA971" si="292">IF(M908="","",YEAR(M908))</f>
        <v/>
      </c>
      <c r="AB908" s="218"/>
      <c r="AC908" s="205"/>
    </row>
    <row r="909" spans="1:29">
      <c r="A909" s="219" t="str">
        <f t="shared" ref="A909:A972" si="293">IF(C909="","",1)</f>
        <v/>
      </c>
      <c r="B909" s="219"/>
      <c r="C909" s="184"/>
      <c r="D909" s="185"/>
      <c r="E909" s="185" t="str">
        <f>IF(OR(C909="",C909=Data!$B$3),"",IF(C909=Data!$B$2,"L","S"))</f>
        <v/>
      </c>
      <c r="F909" s="185" t="str">
        <f t="shared" ref="F909:F972" si="294">IF(A909&lt;&gt;"",$D$2,"")</f>
        <v/>
      </c>
      <c r="G909" s="186" t="str">
        <f t="shared" si="285"/>
        <v/>
      </c>
      <c r="H909" s="187"/>
      <c r="I909" s="188" t="str">
        <f t="shared" ref="I909:I972" si="295">IF(H909="","",IF(E909="L",H909+$D$4*0.0001,H909-$D$4*0.0001))</f>
        <v/>
      </c>
      <c r="J909" s="188" t="str">
        <f t="shared" ref="J909:J972" si="296">IF(AND(H909&lt;&gt;"",I909&lt;&gt;""),IF(E909="L",I909+(I909-H909)*3,I909-(H909-I909)*3),"")</f>
        <v/>
      </c>
      <c r="K909" s="189" t="str">
        <f t="shared" ref="K909:K972" si="297">IF(AND(E909&lt;&gt;"",AND(I909&lt;&gt;"",J909&lt;&gt;"")),IF(E909="L",(J909-I909)*IF(I909&gt;10,IF(SEARCH("JPY",D909),10,100),10000),(I909-J909)*IF(I909&gt;10,IF(SEARCH("JPY",D909),10,100),10000)),"")</f>
        <v/>
      </c>
      <c r="L909" s="189" t="str">
        <f t="shared" ref="L909:L972" si="298">IF(AND(E909&lt;&gt;"",AND(H909&lt;&gt;"",I909&lt;&gt;"")),IF(E909="L",(I909-H909)*IF(I909&gt;10,IF(SEARCH("JPY",D909),10,100),10000),(H909-I909)*IF(I909&gt;10,IF(SEARCH("JPY",D909),10,100),10000)),"")</f>
        <v/>
      </c>
      <c r="M909" s="190"/>
      <c r="N909" s="190"/>
      <c r="O909" s="188" t="str">
        <f t="shared" ref="O909:O972" si="299">J909</f>
        <v/>
      </c>
      <c r="P909" s="191" t="str">
        <f t="shared" si="286"/>
        <v/>
      </c>
      <c r="Q909" s="192" t="str">
        <f t="shared" ref="Q909:Q972" si="300">IF(P909="","",IF(P909=0,0,P909/$I$4))</f>
        <v/>
      </c>
      <c r="R909" s="191" t="str">
        <f t="shared" si="287"/>
        <v/>
      </c>
      <c r="S909" s="193" t="str">
        <f t="shared" ref="S909:S972" si="301">IF(P909="","",IF(P909=0,0,R909/P909))</f>
        <v/>
      </c>
      <c r="T909" s="194" t="str">
        <f t="shared" si="288"/>
        <v/>
      </c>
      <c r="U909" s="192" t="str">
        <f t="shared" ref="U909:U972" si="302">IF(T909="","",IF($I$4="","",T909/$I$4))</f>
        <v/>
      </c>
      <c r="V909" s="195" t="str">
        <f t="shared" si="289"/>
        <v/>
      </c>
      <c r="W909" s="195" t="str">
        <f t="shared" si="290"/>
        <v/>
      </c>
      <c r="X909" s="196" t="str">
        <f t="shared" ref="X909:X972" si="303">IF((O909=""),"",IF(E909="L",1,-1)*(O909-I909)*IF(O909&gt;10,IF(SEARCH("JPY",D909),10,100),10000))</f>
        <v/>
      </c>
      <c r="Y909" s="191" t="str">
        <f t="shared" si="284"/>
        <v/>
      </c>
      <c r="Z909" s="197" t="str">
        <f t="shared" si="291"/>
        <v/>
      </c>
      <c r="AA909" s="197" t="str">
        <f t="shared" si="292"/>
        <v/>
      </c>
      <c r="AB909" s="218"/>
      <c r="AC909" s="205"/>
    </row>
    <row r="910" spans="1:29">
      <c r="A910" s="219" t="str">
        <f t="shared" si="293"/>
        <v/>
      </c>
      <c r="B910" s="219"/>
      <c r="C910" s="184"/>
      <c r="D910" s="185"/>
      <c r="E910" s="185" t="str">
        <f>IF(OR(C910="",C910=Data!$B$3),"",IF(C910=Data!$B$2,"L","S"))</f>
        <v/>
      </c>
      <c r="F910" s="185" t="str">
        <f t="shared" si="294"/>
        <v/>
      </c>
      <c r="G910" s="186" t="str">
        <f t="shared" si="285"/>
        <v/>
      </c>
      <c r="H910" s="187"/>
      <c r="I910" s="188" t="str">
        <f t="shared" si="295"/>
        <v/>
      </c>
      <c r="J910" s="188" t="str">
        <f t="shared" si="296"/>
        <v/>
      </c>
      <c r="K910" s="189" t="str">
        <f t="shared" si="297"/>
        <v/>
      </c>
      <c r="L910" s="189" t="str">
        <f t="shared" si="298"/>
        <v/>
      </c>
      <c r="M910" s="190"/>
      <c r="N910" s="190"/>
      <c r="O910" s="188" t="str">
        <f t="shared" si="299"/>
        <v/>
      </c>
      <c r="P910" s="191" t="str">
        <f t="shared" si="286"/>
        <v/>
      </c>
      <c r="Q910" s="192" t="str">
        <f t="shared" si="300"/>
        <v/>
      </c>
      <c r="R910" s="191" t="str">
        <f t="shared" si="287"/>
        <v/>
      </c>
      <c r="S910" s="193" t="str">
        <f t="shared" si="301"/>
        <v/>
      </c>
      <c r="T910" s="194" t="str">
        <f t="shared" si="288"/>
        <v/>
      </c>
      <c r="U910" s="192" t="str">
        <f t="shared" si="302"/>
        <v/>
      </c>
      <c r="V910" s="195" t="str">
        <f t="shared" si="289"/>
        <v/>
      </c>
      <c r="W910" s="195" t="str">
        <f t="shared" si="290"/>
        <v/>
      </c>
      <c r="X910" s="196" t="str">
        <f t="shared" si="303"/>
        <v/>
      </c>
      <c r="Y910" s="191" t="str">
        <f t="shared" si="284"/>
        <v/>
      </c>
      <c r="Z910" s="197" t="str">
        <f t="shared" si="291"/>
        <v/>
      </c>
      <c r="AA910" s="197" t="str">
        <f t="shared" si="292"/>
        <v/>
      </c>
      <c r="AB910" s="218"/>
      <c r="AC910" s="205"/>
    </row>
    <row r="911" spans="1:29">
      <c r="A911" s="219" t="str">
        <f t="shared" si="293"/>
        <v/>
      </c>
      <c r="B911" s="219"/>
      <c r="C911" s="184"/>
      <c r="D911" s="185"/>
      <c r="E911" s="185" t="str">
        <f>IF(OR(C911="",C911=Data!$B$3),"",IF(C911=Data!$B$2,"L","S"))</f>
        <v/>
      </c>
      <c r="F911" s="185" t="str">
        <f t="shared" si="294"/>
        <v/>
      </c>
      <c r="G911" s="186" t="str">
        <f t="shared" si="285"/>
        <v/>
      </c>
      <c r="H911" s="187"/>
      <c r="I911" s="188" t="str">
        <f t="shared" si="295"/>
        <v/>
      </c>
      <c r="J911" s="188" t="str">
        <f t="shared" si="296"/>
        <v/>
      </c>
      <c r="K911" s="189" t="str">
        <f t="shared" si="297"/>
        <v/>
      </c>
      <c r="L911" s="189" t="str">
        <f t="shared" si="298"/>
        <v/>
      </c>
      <c r="M911" s="190"/>
      <c r="N911" s="190"/>
      <c r="O911" s="188" t="str">
        <f t="shared" si="299"/>
        <v/>
      </c>
      <c r="P911" s="191" t="str">
        <f t="shared" si="286"/>
        <v/>
      </c>
      <c r="Q911" s="192" t="str">
        <f t="shared" si="300"/>
        <v/>
      </c>
      <c r="R911" s="191" t="str">
        <f t="shared" si="287"/>
        <v/>
      </c>
      <c r="S911" s="193" t="str">
        <f t="shared" si="301"/>
        <v/>
      </c>
      <c r="T911" s="194" t="str">
        <f t="shared" si="288"/>
        <v/>
      </c>
      <c r="U911" s="192" t="str">
        <f t="shared" si="302"/>
        <v/>
      </c>
      <c r="V911" s="195" t="str">
        <f t="shared" si="289"/>
        <v/>
      </c>
      <c r="W911" s="195" t="str">
        <f t="shared" si="290"/>
        <v/>
      </c>
      <c r="X911" s="196" t="str">
        <f t="shared" si="303"/>
        <v/>
      </c>
      <c r="Y911" s="191" t="str">
        <f t="shared" si="284"/>
        <v/>
      </c>
      <c r="Z911" s="197" t="str">
        <f t="shared" si="291"/>
        <v/>
      </c>
      <c r="AA911" s="197" t="str">
        <f t="shared" si="292"/>
        <v/>
      </c>
      <c r="AB911" s="218"/>
      <c r="AC911" s="205"/>
    </row>
    <row r="912" spans="1:29">
      <c r="A912" s="219" t="str">
        <f t="shared" si="293"/>
        <v/>
      </c>
      <c r="B912" s="219"/>
      <c r="C912" s="184"/>
      <c r="D912" s="185"/>
      <c r="E912" s="185" t="str">
        <f>IF(OR(C912="",C912=Data!$B$3),"",IF(C912=Data!$B$2,"L","S"))</f>
        <v/>
      </c>
      <c r="F912" s="185" t="str">
        <f t="shared" si="294"/>
        <v/>
      </c>
      <c r="G912" s="186" t="str">
        <f t="shared" si="285"/>
        <v/>
      </c>
      <c r="H912" s="187"/>
      <c r="I912" s="188" t="str">
        <f t="shared" si="295"/>
        <v/>
      </c>
      <c r="J912" s="188" t="str">
        <f t="shared" si="296"/>
        <v/>
      </c>
      <c r="K912" s="189" t="str">
        <f t="shared" si="297"/>
        <v/>
      </c>
      <c r="L912" s="189" t="str">
        <f t="shared" si="298"/>
        <v/>
      </c>
      <c r="M912" s="190"/>
      <c r="N912" s="190"/>
      <c r="O912" s="188" t="str">
        <f t="shared" si="299"/>
        <v/>
      </c>
      <c r="P912" s="191" t="str">
        <f t="shared" si="286"/>
        <v/>
      </c>
      <c r="Q912" s="192" t="str">
        <f t="shared" si="300"/>
        <v/>
      </c>
      <c r="R912" s="191" t="str">
        <f t="shared" si="287"/>
        <v/>
      </c>
      <c r="S912" s="193" t="str">
        <f t="shared" si="301"/>
        <v/>
      </c>
      <c r="T912" s="194" t="str">
        <f t="shared" si="288"/>
        <v/>
      </c>
      <c r="U912" s="192" t="str">
        <f t="shared" si="302"/>
        <v/>
      </c>
      <c r="V912" s="195" t="str">
        <f t="shared" si="289"/>
        <v/>
      </c>
      <c r="W912" s="195" t="str">
        <f t="shared" si="290"/>
        <v/>
      </c>
      <c r="X912" s="196" t="str">
        <f t="shared" si="303"/>
        <v/>
      </c>
      <c r="Y912" s="191" t="str">
        <f t="shared" si="284"/>
        <v/>
      </c>
      <c r="Z912" s="197" t="str">
        <f t="shared" si="291"/>
        <v/>
      </c>
      <c r="AA912" s="197" t="str">
        <f t="shared" si="292"/>
        <v/>
      </c>
      <c r="AB912" s="218"/>
      <c r="AC912" s="205"/>
    </row>
    <row r="913" spans="1:29">
      <c r="A913" s="219" t="str">
        <f t="shared" si="293"/>
        <v/>
      </c>
      <c r="B913" s="219"/>
      <c r="C913" s="184"/>
      <c r="D913" s="185"/>
      <c r="E913" s="185" t="str">
        <f>IF(OR(C913="",C913=Data!$B$3),"",IF(C913=Data!$B$2,"L","S"))</f>
        <v/>
      </c>
      <c r="F913" s="185" t="str">
        <f t="shared" si="294"/>
        <v/>
      </c>
      <c r="G913" s="186" t="str">
        <f t="shared" si="285"/>
        <v/>
      </c>
      <c r="H913" s="187"/>
      <c r="I913" s="188" t="str">
        <f t="shared" si="295"/>
        <v/>
      </c>
      <c r="J913" s="188" t="str">
        <f t="shared" si="296"/>
        <v/>
      </c>
      <c r="K913" s="189" t="str">
        <f t="shared" si="297"/>
        <v/>
      </c>
      <c r="L913" s="189" t="str">
        <f t="shared" si="298"/>
        <v/>
      </c>
      <c r="M913" s="190"/>
      <c r="N913" s="190"/>
      <c r="O913" s="188" t="str">
        <f t="shared" si="299"/>
        <v/>
      </c>
      <c r="P913" s="191" t="str">
        <f t="shared" si="286"/>
        <v/>
      </c>
      <c r="Q913" s="192" t="str">
        <f t="shared" si="300"/>
        <v/>
      </c>
      <c r="R913" s="191" t="str">
        <f t="shared" si="287"/>
        <v/>
      </c>
      <c r="S913" s="193" t="str">
        <f t="shared" si="301"/>
        <v/>
      </c>
      <c r="T913" s="194" t="str">
        <f t="shared" si="288"/>
        <v/>
      </c>
      <c r="U913" s="192" t="str">
        <f t="shared" si="302"/>
        <v/>
      </c>
      <c r="V913" s="195" t="str">
        <f t="shared" si="289"/>
        <v/>
      </c>
      <c r="W913" s="195" t="str">
        <f t="shared" si="290"/>
        <v/>
      </c>
      <c r="X913" s="196" t="str">
        <f t="shared" si="303"/>
        <v/>
      </c>
      <c r="Y913" s="191" t="str">
        <f t="shared" si="284"/>
        <v/>
      </c>
      <c r="Z913" s="197" t="str">
        <f t="shared" si="291"/>
        <v/>
      </c>
      <c r="AA913" s="197" t="str">
        <f t="shared" si="292"/>
        <v/>
      </c>
      <c r="AB913" s="218"/>
      <c r="AC913" s="205"/>
    </row>
    <row r="914" spans="1:29">
      <c r="A914" s="219" t="str">
        <f t="shared" si="293"/>
        <v/>
      </c>
      <c r="B914" s="219"/>
      <c r="C914" s="184"/>
      <c r="D914" s="185"/>
      <c r="E914" s="185" t="str">
        <f>IF(OR(C914="",C914=Data!$B$3),"",IF(C914=Data!$B$2,"L","S"))</f>
        <v/>
      </c>
      <c r="F914" s="185" t="str">
        <f t="shared" si="294"/>
        <v/>
      </c>
      <c r="G914" s="186" t="str">
        <f t="shared" si="285"/>
        <v/>
      </c>
      <c r="H914" s="187"/>
      <c r="I914" s="188" t="str">
        <f t="shared" si="295"/>
        <v/>
      </c>
      <c r="J914" s="188" t="str">
        <f t="shared" si="296"/>
        <v/>
      </c>
      <c r="K914" s="189" t="str">
        <f t="shared" si="297"/>
        <v/>
      </c>
      <c r="L914" s="189" t="str">
        <f t="shared" si="298"/>
        <v/>
      </c>
      <c r="M914" s="190"/>
      <c r="N914" s="190"/>
      <c r="O914" s="188" t="str">
        <f t="shared" si="299"/>
        <v/>
      </c>
      <c r="P914" s="191" t="str">
        <f t="shared" si="286"/>
        <v/>
      </c>
      <c r="Q914" s="192" t="str">
        <f t="shared" si="300"/>
        <v/>
      </c>
      <c r="R914" s="191" t="str">
        <f t="shared" si="287"/>
        <v/>
      </c>
      <c r="S914" s="193" t="str">
        <f t="shared" si="301"/>
        <v/>
      </c>
      <c r="T914" s="194" t="str">
        <f t="shared" si="288"/>
        <v/>
      </c>
      <c r="U914" s="192" t="str">
        <f t="shared" si="302"/>
        <v/>
      </c>
      <c r="V914" s="195" t="str">
        <f t="shared" si="289"/>
        <v/>
      </c>
      <c r="W914" s="195" t="str">
        <f t="shared" si="290"/>
        <v/>
      </c>
      <c r="X914" s="196" t="str">
        <f t="shared" si="303"/>
        <v/>
      </c>
      <c r="Y914" s="191" t="str">
        <f t="shared" si="284"/>
        <v/>
      </c>
      <c r="Z914" s="197" t="str">
        <f t="shared" si="291"/>
        <v/>
      </c>
      <c r="AA914" s="197" t="str">
        <f t="shared" si="292"/>
        <v/>
      </c>
      <c r="AB914" s="218"/>
      <c r="AC914" s="205"/>
    </row>
    <row r="915" spans="1:29">
      <c r="A915" s="219" t="str">
        <f t="shared" si="293"/>
        <v/>
      </c>
      <c r="B915" s="219"/>
      <c r="C915" s="184"/>
      <c r="D915" s="185"/>
      <c r="E915" s="185" t="str">
        <f>IF(OR(C915="",C915=Data!$B$3),"",IF(C915=Data!$B$2,"L","S"))</f>
        <v/>
      </c>
      <c r="F915" s="185" t="str">
        <f t="shared" si="294"/>
        <v/>
      </c>
      <c r="G915" s="186" t="str">
        <f t="shared" si="285"/>
        <v/>
      </c>
      <c r="H915" s="187"/>
      <c r="I915" s="188" t="str">
        <f t="shared" si="295"/>
        <v/>
      </c>
      <c r="J915" s="188" t="str">
        <f t="shared" si="296"/>
        <v/>
      </c>
      <c r="K915" s="189" t="str">
        <f t="shared" si="297"/>
        <v/>
      </c>
      <c r="L915" s="189" t="str">
        <f t="shared" si="298"/>
        <v/>
      </c>
      <c r="M915" s="190"/>
      <c r="N915" s="190"/>
      <c r="O915" s="188" t="str">
        <f t="shared" si="299"/>
        <v/>
      </c>
      <c r="P915" s="191" t="str">
        <f t="shared" si="286"/>
        <v/>
      </c>
      <c r="Q915" s="192" t="str">
        <f t="shared" si="300"/>
        <v/>
      </c>
      <c r="R915" s="191" t="str">
        <f t="shared" si="287"/>
        <v/>
      </c>
      <c r="S915" s="193" t="str">
        <f t="shared" si="301"/>
        <v/>
      </c>
      <c r="T915" s="194" t="str">
        <f t="shared" si="288"/>
        <v/>
      </c>
      <c r="U915" s="192" t="str">
        <f t="shared" si="302"/>
        <v/>
      </c>
      <c r="V915" s="195" t="str">
        <f t="shared" si="289"/>
        <v/>
      </c>
      <c r="W915" s="195" t="str">
        <f t="shared" si="290"/>
        <v/>
      </c>
      <c r="X915" s="196" t="str">
        <f t="shared" si="303"/>
        <v/>
      </c>
      <c r="Y915" s="191" t="str">
        <f t="shared" si="284"/>
        <v/>
      </c>
      <c r="Z915" s="197" t="str">
        <f t="shared" si="291"/>
        <v/>
      </c>
      <c r="AA915" s="197" t="str">
        <f t="shared" si="292"/>
        <v/>
      </c>
      <c r="AB915" s="218"/>
      <c r="AC915" s="205"/>
    </row>
    <row r="916" spans="1:29">
      <c r="A916" s="219" t="str">
        <f t="shared" si="293"/>
        <v/>
      </c>
      <c r="B916" s="219"/>
      <c r="C916" s="184"/>
      <c r="D916" s="185"/>
      <c r="E916" s="185" t="str">
        <f>IF(OR(C916="",C916=Data!$B$3),"",IF(C916=Data!$B$2,"L","S"))</f>
        <v/>
      </c>
      <c r="F916" s="185" t="str">
        <f t="shared" si="294"/>
        <v/>
      </c>
      <c r="G916" s="186" t="str">
        <f t="shared" si="285"/>
        <v/>
      </c>
      <c r="H916" s="187"/>
      <c r="I916" s="188" t="str">
        <f t="shared" si="295"/>
        <v/>
      </c>
      <c r="J916" s="188" t="str">
        <f t="shared" si="296"/>
        <v/>
      </c>
      <c r="K916" s="189" t="str">
        <f t="shared" si="297"/>
        <v/>
      </c>
      <c r="L916" s="189" t="str">
        <f t="shared" si="298"/>
        <v/>
      </c>
      <c r="M916" s="190"/>
      <c r="N916" s="190"/>
      <c r="O916" s="188" t="str">
        <f t="shared" si="299"/>
        <v/>
      </c>
      <c r="P916" s="191" t="str">
        <f t="shared" si="286"/>
        <v/>
      </c>
      <c r="Q916" s="192" t="str">
        <f t="shared" si="300"/>
        <v/>
      </c>
      <c r="R916" s="191" t="str">
        <f t="shared" si="287"/>
        <v/>
      </c>
      <c r="S916" s="193" t="str">
        <f t="shared" si="301"/>
        <v/>
      </c>
      <c r="T916" s="194" t="str">
        <f t="shared" si="288"/>
        <v/>
      </c>
      <c r="U916" s="192" t="str">
        <f t="shared" si="302"/>
        <v/>
      </c>
      <c r="V916" s="195" t="str">
        <f t="shared" si="289"/>
        <v/>
      </c>
      <c r="W916" s="195" t="str">
        <f t="shared" si="290"/>
        <v/>
      </c>
      <c r="X916" s="196" t="str">
        <f t="shared" si="303"/>
        <v/>
      </c>
      <c r="Y916" s="191" t="str">
        <f t="shared" ref="Y916:Y979" si="304">IF(Y915="","",IF(T916="","",Y915+T916))</f>
        <v/>
      </c>
      <c r="Z916" s="197" t="str">
        <f t="shared" si="291"/>
        <v/>
      </c>
      <c r="AA916" s="197" t="str">
        <f t="shared" si="292"/>
        <v/>
      </c>
      <c r="AB916" s="218"/>
      <c r="AC916" s="205"/>
    </row>
    <row r="917" spans="1:29">
      <c r="A917" s="219" t="str">
        <f t="shared" si="293"/>
        <v/>
      </c>
      <c r="B917" s="219"/>
      <c r="C917" s="184"/>
      <c r="D917" s="185"/>
      <c r="E917" s="185" t="str">
        <f>IF(OR(C917="",C917=Data!$B$3),"",IF(C917=Data!$B$2,"L","S"))</f>
        <v/>
      </c>
      <c r="F917" s="185" t="str">
        <f t="shared" si="294"/>
        <v/>
      </c>
      <c r="G917" s="186" t="str">
        <f t="shared" si="285"/>
        <v/>
      </c>
      <c r="H917" s="187"/>
      <c r="I917" s="188" t="str">
        <f t="shared" si="295"/>
        <v/>
      </c>
      <c r="J917" s="188" t="str">
        <f t="shared" si="296"/>
        <v/>
      </c>
      <c r="K917" s="189" t="str">
        <f t="shared" si="297"/>
        <v/>
      </c>
      <c r="L917" s="189" t="str">
        <f t="shared" si="298"/>
        <v/>
      </c>
      <c r="M917" s="190"/>
      <c r="N917" s="190"/>
      <c r="O917" s="188" t="str">
        <f t="shared" si="299"/>
        <v/>
      </c>
      <c r="P917" s="191" t="str">
        <f t="shared" si="286"/>
        <v/>
      </c>
      <c r="Q917" s="192" t="str">
        <f t="shared" si="300"/>
        <v/>
      </c>
      <c r="R917" s="191" t="str">
        <f t="shared" si="287"/>
        <v/>
      </c>
      <c r="S917" s="193" t="str">
        <f t="shared" si="301"/>
        <v/>
      </c>
      <c r="T917" s="194" t="str">
        <f t="shared" si="288"/>
        <v/>
      </c>
      <c r="U917" s="192" t="str">
        <f t="shared" si="302"/>
        <v/>
      </c>
      <c r="V917" s="195" t="str">
        <f t="shared" si="289"/>
        <v/>
      </c>
      <c r="W917" s="195" t="str">
        <f t="shared" si="290"/>
        <v/>
      </c>
      <c r="X917" s="196" t="str">
        <f t="shared" si="303"/>
        <v/>
      </c>
      <c r="Y917" s="191" t="str">
        <f t="shared" si="304"/>
        <v/>
      </c>
      <c r="Z917" s="197" t="str">
        <f t="shared" si="291"/>
        <v/>
      </c>
      <c r="AA917" s="197" t="str">
        <f t="shared" si="292"/>
        <v/>
      </c>
      <c r="AB917" s="218"/>
      <c r="AC917" s="205"/>
    </row>
    <row r="918" spans="1:29">
      <c r="A918" s="219" t="str">
        <f t="shared" si="293"/>
        <v/>
      </c>
      <c r="B918" s="219"/>
      <c r="C918" s="184"/>
      <c r="D918" s="185"/>
      <c r="E918" s="185" t="str">
        <f>IF(OR(C918="",C918=Data!$B$3),"",IF(C918=Data!$B$2,"L","S"))</f>
        <v/>
      </c>
      <c r="F918" s="185" t="str">
        <f t="shared" si="294"/>
        <v/>
      </c>
      <c r="G918" s="186" t="str">
        <f t="shared" si="285"/>
        <v/>
      </c>
      <c r="H918" s="187"/>
      <c r="I918" s="188" t="str">
        <f t="shared" si="295"/>
        <v/>
      </c>
      <c r="J918" s="188" t="str">
        <f t="shared" si="296"/>
        <v/>
      </c>
      <c r="K918" s="189" t="str">
        <f t="shared" si="297"/>
        <v/>
      </c>
      <c r="L918" s="189" t="str">
        <f t="shared" si="298"/>
        <v/>
      </c>
      <c r="M918" s="190"/>
      <c r="N918" s="190"/>
      <c r="O918" s="188" t="str">
        <f t="shared" si="299"/>
        <v/>
      </c>
      <c r="P918" s="191" t="str">
        <f t="shared" si="286"/>
        <v/>
      </c>
      <c r="Q918" s="192" t="str">
        <f t="shared" si="300"/>
        <v/>
      </c>
      <c r="R918" s="191" t="str">
        <f t="shared" si="287"/>
        <v/>
      </c>
      <c r="S918" s="193" t="str">
        <f t="shared" si="301"/>
        <v/>
      </c>
      <c r="T918" s="194" t="str">
        <f t="shared" si="288"/>
        <v/>
      </c>
      <c r="U918" s="192" t="str">
        <f t="shared" si="302"/>
        <v/>
      </c>
      <c r="V918" s="195" t="str">
        <f t="shared" si="289"/>
        <v/>
      </c>
      <c r="W918" s="195" t="str">
        <f t="shared" si="290"/>
        <v/>
      </c>
      <c r="X918" s="196" t="str">
        <f t="shared" si="303"/>
        <v/>
      </c>
      <c r="Y918" s="191" t="str">
        <f t="shared" si="304"/>
        <v/>
      </c>
      <c r="Z918" s="197" t="str">
        <f t="shared" si="291"/>
        <v/>
      </c>
      <c r="AA918" s="197" t="str">
        <f t="shared" si="292"/>
        <v/>
      </c>
      <c r="AB918" s="218"/>
      <c r="AC918" s="205"/>
    </row>
    <row r="919" spans="1:29">
      <c r="A919" s="219" t="str">
        <f t="shared" si="293"/>
        <v/>
      </c>
      <c r="B919" s="219"/>
      <c r="C919" s="184"/>
      <c r="D919" s="185"/>
      <c r="E919" s="185" t="str">
        <f>IF(OR(C919="",C919=Data!$B$3),"",IF(C919=Data!$B$2,"L","S"))</f>
        <v/>
      </c>
      <c r="F919" s="185" t="str">
        <f t="shared" si="294"/>
        <v/>
      </c>
      <c r="G919" s="186" t="str">
        <f t="shared" si="285"/>
        <v/>
      </c>
      <c r="H919" s="187"/>
      <c r="I919" s="188" t="str">
        <f t="shared" si="295"/>
        <v/>
      </c>
      <c r="J919" s="188" t="str">
        <f t="shared" si="296"/>
        <v/>
      </c>
      <c r="K919" s="189" t="str">
        <f t="shared" si="297"/>
        <v/>
      </c>
      <c r="L919" s="189" t="str">
        <f t="shared" si="298"/>
        <v/>
      </c>
      <c r="M919" s="190"/>
      <c r="N919" s="190"/>
      <c r="O919" s="188" t="str">
        <f t="shared" si="299"/>
        <v/>
      </c>
      <c r="P919" s="191" t="str">
        <f t="shared" si="286"/>
        <v/>
      </c>
      <c r="Q919" s="192" t="str">
        <f t="shared" si="300"/>
        <v/>
      </c>
      <c r="R919" s="191" t="str">
        <f t="shared" si="287"/>
        <v/>
      </c>
      <c r="S919" s="193" t="str">
        <f t="shared" si="301"/>
        <v/>
      </c>
      <c r="T919" s="194" t="str">
        <f t="shared" si="288"/>
        <v/>
      </c>
      <c r="U919" s="192" t="str">
        <f t="shared" si="302"/>
        <v/>
      </c>
      <c r="V919" s="195" t="str">
        <f t="shared" si="289"/>
        <v/>
      </c>
      <c r="W919" s="195" t="str">
        <f t="shared" si="290"/>
        <v/>
      </c>
      <c r="X919" s="196" t="str">
        <f t="shared" si="303"/>
        <v/>
      </c>
      <c r="Y919" s="191" t="str">
        <f t="shared" si="304"/>
        <v/>
      </c>
      <c r="Z919" s="197" t="str">
        <f t="shared" si="291"/>
        <v/>
      </c>
      <c r="AA919" s="197" t="str">
        <f t="shared" si="292"/>
        <v/>
      </c>
      <c r="AB919" s="218"/>
      <c r="AC919" s="205"/>
    </row>
    <row r="920" spans="1:29">
      <c r="A920" s="219" t="str">
        <f t="shared" si="293"/>
        <v/>
      </c>
      <c r="B920" s="219"/>
      <c r="C920" s="184"/>
      <c r="D920" s="185"/>
      <c r="E920" s="185" t="str">
        <f>IF(OR(C920="",C920=Data!$B$3),"",IF(C920=Data!$B$2,"L","S"))</f>
        <v/>
      </c>
      <c r="F920" s="185" t="str">
        <f t="shared" si="294"/>
        <v/>
      </c>
      <c r="G920" s="186" t="str">
        <f t="shared" si="285"/>
        <v/>
      </c>
      <c r="H920" s="187"/>
      <c r="I920" s="188" t="str">
        <f t="shared" si="295"/>
        <v/>
      </c>
      <c r="J920" s="188" t="str">
        <f t="shared" si="296"/>
        <v/>
      </c>
      <c r="K920" s="189" t="str">
        <f t="shared" si="297"/>
        <v/>
      </c>
      <c r="L920" s="189" t="str">
        <f t="shared" si="298"/>
        <v/>
      </c>
      <c r="M920" s="190"/>
      <c r="N920" s="190"/>
      <c r="O920" s="188" t="str">
        <f t="shared" si="299"/>
        <v/>
      </c>
      <c r="P920" s="191" t="str">
        <f t="shared" si="286"/>
        <v/>
      </c>
      <c r="Q920" s="192" t="str">
        <f t="shared" si="300"/>
        <v/>
      </c>
      <c r="R920" s="191" t="str">
        <f t="shared" si="287"/>
        <v/>
      </c>
      <c r="S920" s="193" t="str">
        <f t="shared" si="301"/>
        <v/>
      </c>
      <c r="T920" s="194" t="str">
        <f t="shared" si="288"/>
        <v/>
      </c>
      <c r="U920" s="192" t="str">
        <f t="shared" si="302"/>
        <v/>
      </c>
      <c r="V920" s="195" t="str">
        <f t="shared" si="289"/>
        <v/>
      </c>
      <c r="W920" s="195" t="str">
        <f t="shared" si="290"/>
        <v/>
      </c>
      <c r="X920" s="196" t="str">
        <f t="shared" si="303"/>
        <v/>
      </c>
      <c r="Y920" s="191" t="str">
        <f t="shared" si="304"/>
        <v/>
      </c>
      <c r="Z920" s="197" t="str">
        <f t="shared" si="291"/>
        <v/>
      </c>
      <c r="AA920" s="197" t="str">
        <f t="shared" si="292"/>
        <v/>
      </c>
      <c r="AB920" s="218"/>
      <c r="AC920" s="205"/>
    </row>
    <row r="921" spans="1:29">
      <c r="A921" s="219" t="str">
        <f t="shared" si="293"/>
        <v/>
      </c>
      <c r="B921" s="219"/>
      <c r="C921" s="184"/>
      <c r="D921" s="185"/>
      <c r="E921" s="185" t="str">
        <f>IF(OR(C921="",C921=Data!$B$3),"",IF(C921=Data!$B$2,"L","S"))</f>
        <v/>
      </c>
      <c r="F921" s="185" t="str">
        <f t="shared" si="294"/>
        <v/>
      </c>
      <c r="G921" s="186" t="str">
        <f t="shared" si="285"/>
        <v/>
      </c>
      <c r="H921" s="187"/>
      <c r="I921" s="188" t="str">
        <f t="shared" si="295"/>
        <v/>
      </c>
      <c r="J921" s="188" t="str">
        <f t="shared" si="296"/>
        <v/>
      </c>
      <c r="K921" s="189" t="str">
        <f t="shared" si="297"/>
        <v/>
      </c>
      <c r="L921" s="189" t="str">
        <f t="shared" si="298"/>
        <v/>
      </c>
      <c r="M921" s="190"/>
      <c r="N921" s="190"/>
      <c r="O921" s="188" t="str">
        <f t="shared" si="299"/>
        <v/>
      </c>
      <c r="P921" s="191" t="str">
        <f t="shared" si="286"/>
        <v/>
      </c>
      <c r="Q921" s="192" t="str">
        <f t="shared" si="300"/>
        <v/>
      </c>
      <c r="R921" s="191" t="str">
        <f t="shared" si="287"/>
        <v/>
      </c>
      <c r="S921" s="193" t="str">
        <f t="shared" si="301"/>
        <v/>
      </c>
      <c r="T921" s="194" t="str">
        <f t="shared" si="288"/>
        <v/>
      </c>
      <c r="U921" s="192" t="str">
        <f t="shared" si="302"/>
        <v/>
      </c>
      <c r="V921" s="195" t="str">
        <f t="shared" si="289"/>
        <v/>
      </c>
      <c r="W921" s="195" t="str">
        <f t="shared" si="290"/>
        <v/>
      </c>
      <c r="X921" s="196" t="str">
        <f t="shared" si="303"/>
        <v/>
      </c>
      <c r="Y921" s="191" t="str">
        <f t="shared" si="304"/>
        <v/>
      </c>
      <c r="Z921" s="197" t="str">
        <f t="shared" si="291"/>
        <v/>
      </c>
      <c r="AA921" s="197" t="str">
        <f t="shared" si="292"/>
        <v/>
      </c>
      <c r="AB921" s="218"/>
      <c r="AC921" s="205"/>
    </row>
    <row r="922" spans="1:29">
      <c r="A922" s="219" t="str">
        <f t="shared" si="293"/>
        <v/>
      </c>
      <c r="B922" s="219"/>
      <c r="C922" s="184"/>
      <c r="D922" s="185"/>
      <c r="E922" s="185" t="str">
        <f>IF(OR(C922="",C922=Data!$B$3),"",IF(C922=Data!$B$2,"L","S"))</f>
        <v/>
      </c>
      <c r="F922" s="185" t="str">
        <f t="shared" si="294"/>
        <v/>
      </c>
      <c r="G922" s="186" t="str">
        <f t="shared" si="285"/>
        <v/>
      </c>
      <c r="H922" s="187"/>
      <c r="I922" s="188" t="str">
        <f t="shared" si="295"/>
        <v/>
      </c>
      <c r="J922" s="188" t="str">
        <f t="shared" si="296"/>
        <v/>
      </c>
      <c r="K922" s="189" t="str">
        <f t="shared" si="297"/>
        <v/>
      </c>
      <c r="L922" s="189" t="str">
        <f t="shared" si="298"/>
        <v/>
      </c>
      <c r="M922" s="190"/>
      <c r="N922" s="190"/>
      <c r="O922" s="188" t="str">
        <f t="shared" si="299"/>
        <v/>
      </c>
      <c r="P922" s="191" t="str">
        <f t="shared" si="286"/>
        <v/>
      </c>
      <c r="Q922" s="192" t="str">
        <f t="shared" si="300"/>
        <v/>
      </c>
      <c r="R922" s="191" t="str">
        <f t="shared" si="287"/>
        <v/>
      </c>
      <c r="S922" s="193" t="str">
        <f t="shared" si="301"/>
        <v/>
      </c>
      <c r="T922" s="194" t="str">
        <f t="shared" si="288"/>
        <v/>
      </c>
      <c r="U922" s="192" t="str">
        <f t="shared" si="302"/>
        <v/>
      </c>
      <c r="V922" s="195" t="str">
        <f t="shared" si="289"/>
        <v/>
      </c>
      <c r="W922" s="195" t="str">
        <f t="shared" si="290"/>
        <v/>
      </c>
      <c r="X922" s="196" t="str">
        <f t="shared" si="303"/>
        <v/>
      </c>
      <c r="Y922" s="191" t="str">
        <f t="shared" si="304"/>
        <v/>
      </c>
      <c r="Z922" s="197" t="str">
        <f t="shared" si="291"/>
        <v/>
      </c>
      <c r="AA922" s="197" t="str">
        <f t="shared" si="292"/>
        <v/>
      </c>
      <c r="AB922" s="218"/>
      <c r="AC922" s="205"/>
    </row>
    <row r="923" spans="1:29">
      <c r="A923" s="219" t="str">
        <f t="shared" si="293"/>
        <v/>
      </c>
      <c r="B923" s="219"/>
      <c r="C923" s="184"/>
      <c r="D923" s="185"/>
      <c r="E923" s="185" t="str">
        <f>IF(OR(C923="",C923=Data!$B$3),"",IF(C923=Data!$B$2,"L","S"))</f>
        <v/>
      </c>
      <c r="F923" s="185" t="str">
        <f t="shared" si="294"/>
        <v/>
      </c>
      <c r="G923" s="186" t="str">
        <f t="shared" si="285"/>
        <v/>
      </c>
      <c r="H923" s="187"/>
      <c r="I923" s="188" t="str">
        <f t="shared" si="295"/>
        <v/>
      </c>
      <c r="J923" s="188" t="str">
        <f t="shared" si="296"/>
        <v/>
      </c>
      <c r="K923" s="189" t="str">
        <f t="shared" si="297"/>
        <v/>
      </c>
      <c r="L923" s="189" t="str">
        <f t="shared" si="298"/>
        <v/>
      </c>
      <c r="M923" s="190"/>
      <c r="N923" s="190"/>
      <c r="O923" s="188" t="str">
        <f t="shared" si="299"/>
        <v/>
      </c>
      <c r="P923" s="191" t="str">
        <f t="shared" si="286"/>
        <v/>
      </c>
      <c r="Q923" s="192" t="str">
        <f t="shared" si="300"/>
        <v/>
      </c>
      <c r="R923" s="191" t="str">
        <f t="shared" si="287"/>
        <v/>
      </c>
      <c r="S923" s="193" t="str">
        <f t="shared" si="301"/>
        <v/>
      </c>
      <c r="T923" s="194" t="str">
        <f t="shared" si="288"/>
        <v/>
      </c>
      <c r="U923" s="192" t="str">
        <f t="shared" si="302"/>
        <v/>
      </c>
      <c r="V923" s="195" t="str">
        <f t="shared" si="289"/>
        <v/>
      </c>
      <c r="W923" s="195" t="str">
        <f t="shared" si="290"/>
        <v/>
      </c>
      <c r="X923" s="196" t="str">
        <f t="shared" si="303"/>
        <v/>
      </c>
      <c r="Y923" s="191" t="str">
        <f t="shared" si="304"/>
        <v/>
      </c>
      <c r="Z923" s="197" t="str">
        <f t="shared" si="291"/>
        <v/>
      </c>
      <c r="AA923" s="197" t="str">
        <f t="shared" si="292"/>
        <v/>
      </c>
      <c r="AB923" s="218"/>
      <c r="AC923" s="205"/>
    </row>
    <row r="924" spans="1:29">
      <c r="A924" s="219" t="str">
        <f t="shared" si="293"/>
        <v/>
      </c>
      <c r="B924" s="219"/>
      <c r="C924" s="184"/>
      <c r="D924" s="185"/>
      <c r="E924" s="185" t="str">
        <f>IF(OR(C924="",C924=Data!$B$3),"",IF(C924=Data!$B$2,"L","S"))</f>
        <v/>
      </c>
      <c r="F924" s="185" t="str">
        <f t="shared" si="294"/>
        <v/>
      </c>
      <c r="G924" s="186" t="str">
        <f t="shared" si="285"/>
        <v/>
      </c>
      <c r="H924" s="187"/>
      <c r="I924" s="188" t="str">
        <f t="shared" si="295"/>
        <v/>
      </c>
      <c r="J924" s="188" t="str">
        <f t="shared" si="296"/>
        <v/>
      </c>
      <c r="K924" s="189" t="str">
        <f t="shared" si="297"/>
        <v/>
      </c>
      <c r="L924" s="189" t="str">
        <f t="shared" si="298"/>
        <v/>
      </c>
      <c r="M924" s="190"/>
      <c r="N924" s="190"/>
      <c r="O924" s="188" t="str">
        <f t="shared" si="299"/>
        <v/>
      </c>
      <c r="P924" s="191" t="str">
        <f t="shared" si="286"/>
        <v/>
      </c>
      <c r="Q924" s="192" t="str">
        <f t="shared" si="300"/>
        <v/>
      </c>
      <c r="R924" s="191" t="str">
        <f t="shared" si="287"/>
        <v/>
      </c>
      <c r="S924" s="193" t="str">
        <f t="shared" si="301"/>
        <v/>
      </c>
      <c r="T924" s="194" t="str">
        <f t="shared" si="288"/>
        <v/>
      </c>
      <c r="U924" s="192" t="str">
        <f t="shared" si="302"/>
        <v/>
      </c>
      <c r="V924" s="195" t="str">
        <f t="shared" si="289"/>
        <v/>
      </c>
      <c r="W924" s="195" t="str">
        <f t="shared" si="290"/>
        <v/>
      </c>
      <c r="X924" s="196" t="str">
        <f t="shared" si="303"/>
        <v/>
      </c>
      <c r="Y924" s="191" t="str">
        <f t="shared" si="304"/>
        <v/>
      </c>
      <c r="Z924" s="197" t="str">
        <f t="shared" si="291"/>
        <v/>
      </c>
      <c r="AA924" s="197" t="str">
        <f t="shared" si="292"/>
        <v/>
      </c>
      <c r="AB924" s="218"/>
      <c r="AC924" s="205"/>
    </row>
    <row r="925" spans="1:29">
      <c r="A925" s="219" t="str">
        <f t="shared" si="293"/>
        <v/>
      </c>
      <c r="B925" s="219"/>
      <c r="C925" s="184"/>
      <c r="D925" s="185"/>
      <c r="E925" s="185" t="str">
        <f>IF(OR(C925="",C925=Data!$B$3),"",IF(C925=Data!$B$2,"L","S"))</f>
        <v/>
      </c>
      <c r="F925" s="185" t="str">
        <f t="shared" si="294"/>
        <v/>
      </c>
      <c r="G925" s="186" t="str">
        <f t="shared" si="285"/>
        <v/>
      </c>
      <c r="H925" s="187"/>
      <c r="I925" s="188" t="str">
        <f t="shared" si="295"/>
        <v/>
      </c>
      <c r="J925" s="188" t="str">
        <f t="shared" si="296"/>
        <v/>
      </c>
      <c r="K925" s="189" t="str">
        <f t="shared" si="297"/>
        <v/>
      </c>
      <c r="L925" s="189" t="str">
        <f t="shared" si="298"/>
        <v/>
      </c>
      <c r="M925" s="190"/>
      <c r="N925" s="190"/>
      <c r="O925" s="188" t="str">
        <f t="shared" si="299"/>
        <v/>
      </c>
      <c r="P925" s="191" t="str">
        <f t="shared" si="286"/>
        <v/>
      </c>
      <c r="Q925" s="192" t="str">
        <f t="shared" si="300"/>
        <v/>
      </c>
      <c r="R925" s="191" t="str">
        <f t="shared" si="287"/>
        <v/>
      </c>
      <c r="S925" s="193" t="str">
        <f t="shared" si="301"/>
        <v/>
      </c>
      <c r="T925" s="194" t="str">
        <f t="shared" si="288"/>
        <v/>
      </c>
      <c r="U925" s="192" t="str">
        <f t="shared" si="302"/>
        <v/>
      </c>
      <c r="V925" s="195" t="str">
        <f t="shared" si="289"/>
        <v/>
      </c>
      <c r="W925" s="195" t="str">
        <f t="shared" si="290"/>
        <v/>
      </c>
      <c r="X925" s="196" t="str">
        <f t="shared" si="303"/>
        <v/>
      </c>
      <c r="Y925" s="191" t="str">
        <f t="shared" si="304"/>
        <v/>
      </c>
      <c r="Z925" s="197" t="str">
        <f t="shared" si="291"/>
        <v/>
      </c>
      <c r="AA925" s="197" t="str">
        <f t="shared" si="292"/>
        <v/>
      </c>
      <c r="AB925" s="218"/>
      <c r="AC925" s="205"/>
    </row>
    <row r="926" spans="1:29">
      <c r="A926" s="219" t="str">
        <f t="shared" si="293"/>
        <v/>
      </c>
      <c r="B926" s="219"/>
      <c r="C926" s="184"/>
      <c r="D926" s="185"/>
      <c r="E926" s="185" t="str">
        <f>IF(OR(C926="",C926=Data!$B$3),"",IF(C926=Data!$B$2,"L","S"))</f>
        <v/>
      </c>
      <c r="F926" s="185" t="str">
        <f t="shared" si="294"/>
        <v/>
      </c>
      <c r="G926" s="186" t="str">
        <f t="shared" si="285"/>
        <v/>
      </c>
      <c r="H926" s="187"/>
      <c r="I926" s="188" t="str">
        <f t="shared" si="295"/>
        <v/>
      </c>
      <c r="J926" s="188" t="str">
        <f t="shared" si="296"/>
        <v/>
      </c>
      <c r="K926" s="189" t="str">
        <f t="shared" si="297"/>
        <v/>
      </c>
      <c r="L926" s="189" t="str">
        <f t="shared" si="298"/>
        <v/>
      </c>
      <c r="M926" s="190"/>
      <c r="N926" s="190"/>
      <c r="O926" s="188" t="str">
        <f t="shared" si="299"/>
        <v/>
      </c>
      <c r="P926" s="191" t="str">
        <f t="shared" si="286"/>
        <v/>
      </c>
      <c r="Q926" s="192" t="str">
        <f t="shared" si="300"/>
        <v/>
      </c>
      <c r="R926" s="191" t="str">
        <f t="shared" si="287"/>
        <v/>
      </c>
      <c r="S926" s="193" t="str">
        <f t="shared" si="301"/>
        <v/>
      </c>
      <c r="T926" s="194" t="str">
        <f t="shared" si="288"/>
        <v/>
      </c>
      <c r="U926" s="192" t="str">
        <f t="shared" si="302"/>
        <v/>
      </c>
      <c r="V926" s="195" t="str">
        <f t="shared" si="289"/>
        <v/>
      </c>
      <c r="W926" s="195" t="str">
        <f t="shared" si="290"/>
        <v/>
      </c>
      <c r="X926" s="196" t="str">
        <f t="shared" si="303"/>
        <v/>
      </c>
      <c r="Y926" s="191" t="str">
        <f t="shared" si="304"/>
        <v/>
      </c>
      <c r="Z926" s="197" t="str">
        <f t="shared" si="291"/>
        <v/>
      </c>
      <c r="AA926" s="197" t="str">
        <f t="shared" si="292"/>
        <v/>
      </c>
      <c r="AB926" s="218"/>
      <c r="AC926" s="205"/>
    </row>
    <row r="927" spans="1:29">
      <c r="A927" s="219" t="str">
        <f t="shared" si="293"/>
        <v/>
      </c>
      <c r="B927" s="219"/>
      <c r="C927" s="184"/>
      <c r="D927" s="185"/>
      <c r="E927" s="185" t="str">
        <f>IF(OR(C927="",C927=Data!$B$3),"",IF(C927=Data!$B$2,"L","S"))</f>
        <v/>
      </c>
      <c r="F927" s="185" t="str">
        <f t="shared" si="294"/>
        <v/>
      </c>
      <c r="G927" s="186" t="str">
        <f t="shared" si="285"/>
        <v/>
      </c>
      <c r="H927" s="187"/>
      <c r="I927" s="188" t="str">
        <f t="shared" si="295"/>
        <v/>
      </c>
      <c r="J927" s="188" t="str">
        <f t="shared" si="296"/>
        <v/>
      </c>
      <c r="K927" s="189" t="str">
        <f t="shared" si="297"/>
        <v/>
      </c>
      <c r="L927" s="189" t="str">
        <f t="shared" si="298"/>
        <v/>
      </c>
      <c r="M927" s="190"/>
      <c r="N927" s="190"/>
      <c r="O927" s="188" t="str">
        <f t="shared" si="299"/>
        <v/>
      </c>
      <c r="P927" s="191" t="str">
        <f t="shared" si="286"/>
        <v/>
      </c>
      <c r="Q927" s="192" t="str">
        <f t="shared" si="300"/>
        <v/>
      </c>
      <c r="R927" s="191" t="str">
        <f t="shared" si="287"/>
        <v/>
      </c>
      <c r="S927" s="193" t="str">
        <f t="shared" si="301"/>
        <v/>
      </c>
      <c r="T927" s="194" t="str">
        <f t="shared" si="288"/>
        <v/>
      </c>
      <c r="U927" s="192" t="str">
        <f t="shared" si="302"/>
        <v/>
      </c>
      <c r="V927" s="195" t="str">
        <f t="shared" si="289"/>
        <v/>
      </c>
      <c r="W927" s="195" t="str">
        <f t="shared" si="290"/>
        <v/>
      </c>
      <c r="X927" s="196" t="str">
        <f t="shared" si="303"/>
        <v/>
      </c>
      <c r="Y927" s="191" t="str">
        <f t="shared" si="304"/>
        <v/>
      </c>
      <c r="Z927" s="197" t="str">
        <f t="shared" si="291"/>
        <v/>
      </c>
      <c r="AA927" s="197" t="str">
        <f t="shared" si="292"/>
        <v/>
      </c>
      <c r="AB927" s="218"/>
      <c r="AC927" s="205"/>
    </row>
    <row r="928" spans="1:29">
      <c r="A928" s="219" t="str">
        <f t="shared" si="293"/>
        <v/>
      </c>
      <c r="B928" s="219"/>
      <c r="C928" s="184"/>
      <c r="D928" s="185"/>
      <c r="E928" s="185" t="str">
        <f>IF(OR(C928="",C928=Data!$B$3),"",IF(C928=Data!$B$2,"L","S"))</f>
        <v/>
      </c>
      <c r="F928" s="185" t="str">
        <f t="shared" si="294"/>
        <v/>
      </c>
      <c r="G928" s="186" t="str">
        <f t="shared" si="285"/>
        <v/>
      </c>
      <c r="H928" s="187"/>
      <c r="I928" s="188" t="str">
        <f t="shared" si="295"/>
        <v/>
      </c>
      <c r="J928" s="188" t="str">
        <f t="shared" si="296"/>
        <v/>
      </c>
      <c r="K928" s="189" t="str">
        <f t="shared" si="297"/>
        <v/>
      </c>
      <c r="L928" s="189" t="str">
        <f t="shared" si="298"/>
        <v/>
      </c>
      <c r="M928" s="190"/>
      <c r="N928" s="190"/>
      <c r="O928" s="188" t="str">
        <f t="shared" si="299"/>
        <v/>
      </c>
      <c r="P928" s="191" t="str">
        <f t="shared" si="286"/>
        <v/>
      </c>
      <c r="Q928" s="192" t="str">
        <f t="shared" si="300"/>
        <v/>
      </c>
      <c r="R928" s="191" t="str">
        <f t="shared" si="287"/>
        <v/>
      </c>
      <c r="S928" s="193" t="str">
        <f t="shared" si="301"/>
        <v/>
      </c>
      <c r="T928" s="194" t="str">
        <f t="shared" si="288"/>
        <v/>
      </c>
      <c r="U928" s="192" t="str">
        <f t="shared" si="302"/>
        <v/>
      </c>
      <c r="V928" s="195" t="str">
        <f t="shared" si="289"/>
        <v/>
      </c>
      <c r="W928" s="195" t="str">
        <f t="shared" si="290"/>
        <v/>
      </c>
      <c r="X928" s="196" t="str">
        <f t="shared" si="303"/>
        <v/>
      </c>
      <c r="Y928" s="191" t="str">
        <f t="shared" si="304"/>
        <v/>
      </c>
      <c r="Z928" s="197" t="str">
        <f t="shared" si="291"/>
        <v/>
      </c>
      <c r="AA928" s="197" t="str">
        <f t="shared" si="292"/>
        <v/>
      </c>
      <c r="AB928" s="218"/>
      <c r="AC928" s="205"/>
    </row>
    <row r="929" spans="1:29">
      <c r="A929" s="219" t="str">
        <f t="shared" si="293"/>
        <v/>
      </c>
      <c r="B929" s="219"/>
      <c r="C929" s="184"/>
      <c r="D929" s="185"/>
      <c r="E929" s="185" t="str">
        <f>IF(OR(C929="",C929=Data!$B$3),"",IF(C929=Data!$B$2,"L","S"))</f>
        <v/>
      </c>
      <c r="F929" s="185" t="str">
        <f t="shared" si="294"/>
        <v/>
      </c>
      <c r="G929" s="186" t="str">
        <f t="shared" si="285"/>
        <v/>
      </c>
      <c r="H929" s="187"/>
      <c r="I929" s="188" t="str">
        <f t="shared" si="295"/>
        <v/>
      </c>
      <c r="J929" s="188" t="str">
        <f t="shared" si="296"/>
        <v/>
      </c>
      <c r="K929" s="189" t="str">
        <f t="shared" si="297"/>
        <v/>
      </c>
      <c r="L929" s="189" t="str">
        <f t="shared" si="298"/>
        <v/>
      </c>
      <c r="M929" s="190"/>
      <c r="N929" s="190"/>
      <c r="O929" s="188" t="str">
        <f t="shared" si="299"/>
        <v/>
      </c>
      <c r="P929" s="191" t="str">
        <f t="shared" si="286"/>
        <v/>
      </c>
      <c r="Q929" s="192" t="str">
        <f t="shared" si="300"/>
        <v/>
      </c>
      <c r="R929" s="191" t="str">
        <f t="shared" si="287"/>
        <v/>
      </c>
      <c r="S929" s="193" t="str">
        <f t="shared" si="301"/>
        <v/>
      </c>
      <c r="T929" s="194" t="str">
        <f t="shared" si="288"/>
        <v/>
      </c>
      <c r="U929" s="192" t="str">
        <f t="shared" si="302"/>
        <v/>
      </c>
      <c r="V929" s="195" t="str">
        <f t="shared" si="289"/>
        <v/>
      </c>
      <c r="W929" s="195" t="str">
        <f t="shared" si="290"/>
        <v/>
      </c>
      <c r="X929" s="196" t="str">
        <f t="shared" si="303"/>
        <v/>
      </c>
      <c r="Y929" s="191" t="str">
        <f t="shared" si="304"/>
        <v/>
      </c>
      <c r="Z929" s="197" t="str">
        <f t="shared" si="291"/>
        <v/>
      </c>
      <c r="AA929" s="197" t="str">
        <f t="shared" si="292"/>
        <v/>
      </c>
      <c r="AB929" s="218"/>
      <c r="AC929" s="205"/>
    </row>
    <row r="930" spans="1:29">
      <c r="A930" s="219" t="str">
        <f t="shared" si="293"/>
        <v/>
      </c>
      <c r="B930" s="219"/>
      <c r="C930" s="184"/>
      <c r="D930" s="185"/>
      <c r="E930" s="185" t="str">
        <f>IF(OR(C930="",C930=Data!$B$3),"",IF(C930=Data!$B$2,"L","S"))</f>
        <v/>
      </c>
      <c r="F930" s="185" t="str">
        <f t="shared" si="294"/>
        <v/>
      </c>
      <c r="G930" s="186" t="str">
        <f t="shared" si="285"/>
        <v/>
      </c>
      <c r="H930" s="187"/>
      <c r="I930" s="188" t="str">
        <f t="shared" si="295"/>
        <v/>
      </c>
      <c r="J930" s="188" t="str">
        <f t="shared" si="296"/>
        <v/>
      </c>
      <c r="K930" s="189" t="str">
        <f t="shared" si="297"/>
        <v/>
      </c>
      <c r="L930" s="189" t="str">
        <f t="shared" si="298"/>
        <v/>
      </c>
      <c r="M930" s="190"/>
      <c r="N930" s="190"/>
      <c r="O930" s="188" t="str">
        <f t="shared" si="299"/>
        <v/>
      </c>
      <c r="P930" s="191" t="str">
        <f t="shared" si="286"/>
        <v/>
      </c>
      <c r="Q930" s="192" t="str">
        <f t="shared" si="300"/>
        <v/>
      </c>
      <c r="R930" s="191" t="str">
        <f t="shared" si="287"/>
        <v/>
      </c>
      <c r="S930" s="193" t="str">
        <f t="shared" si="301"/>
        <v/>
      </c>
      <c r="T930" s="194" t="str">
        <f t="shared" si="288"/>
        <v/>
      </c>
      <c r="U930" s="192" t="str">
        <f t="shared" si="302"/>
        <v/>
      </c>
      <c r="V930" s="195" t="str">
        <f t="shared" si="289"/>
        <v/>
      </c>
      <c r="W930" s="195" t="str">
        <f t="shared" si="290"/>
        <v/>
      </c>
      <c r="X930" s="196" t="str">
        <f t="shared" si="303"/>
        <v/>
      </c>
      <c r="Y930" s="191" t="str">
        <f t="shared" si="304"/>
        <v/>
      </c>
      <c r="Z930" s="197" t="str">
        <f t="shared" si="291"/>
        <v/>
      </c>
      <c r="AA930" s="197" t="str">
        <f t="shared" si="292"/>
        <v/>
      </c>
      <c r="AB930" s="218"/>
      <c r="AC930" s="205"/>
    </row>
    <row r="931" spans="1:29">
      <c r="A931" s="219" t="str">
        <f t="shared" si="293"/>
        <v/>
      </c>
      <c r="B931" s="219"/>
      <c r="C931" s="184"/>
      <c r="D931" s="185"/>
      <c r="E931" s="185" t="str">
        <f>IF(OR(C931="",C931=Data!$B$3),"",IF(C931=Data!$B$2,"L","S"))</f>
        <v/>
      </c>
      <c r="F931" s="185" t="str">
        <f t="shared" si="294"/>
        <v/>
      </c>
      <c r="G931" s="186" t="str">
        <f t="shared" si="285"/>
        <v/>
      </c>
      <c r="H931" s="187"/>
      <c r="I931" s="188" t="str">
        <f t="shared" si="295"/>
        <v/>
      </c>
      <c r="J931" s="188" t="str">
        <f t="shared" si="296"/>
        <v/>
      </c>
      <c r="K931" s="189" t="str">
        <f t="shared" si="297"/>
        <v/>
      </c>
      <c r="L931" s="189" t="str">
        <f t="shared" si="298"/>
        <v/>
      </c>
      <c r="M931" s="190"/>
      <c r="N931" s="190"/>
      <c r="O931" s="188" t="str">
        <f t="shared" si="299"/>
        <v/>
      </c>
      <c r="P931" s="191" t="str">
        <f t="shared" si="286"/>
        <v/>
      </c>
      <c r="Q931" s="192" t="str">
        <f t="shared" si="300"/>
        <v/>
      </c>
      <c r="R931" s="191" t="str">
        <f t="shared" si="287"/>
        <v/>
      </c>
      <c r="S931" s="193" t="str">
        <f t="shared" si="301"/>
        <v/>
      </c>
      <c r="T931" s="194" t="str">
        <f t="shared" si="288"/>
        <v/>
      </c>
      <c r="U931" s="192" t="str">
        <f t="shared" si="302"/>
        <v/>
      </c>
      <c r="V931" s="195" t="str">
        <f t="shared" si="289"/>
        <v/>
      </c>
      <c r="W931" s="195" t="str">
        <f t="shared" si="290"/>
        <v/>
      </c>
      <c r="X931" s="196" t="str">
        <f t="shared" si="303"/>
        <v/>
      </c>
      <c r="Y931" s="191" t="str">
        <f t="shared" si="304"/>
        <v/>
      </c>
      <c r="Z931" s="197" t="str">
        <f t="shared" si="291"/>
        <v/>
      </c>
      <c r="AA931" s="197" t="str">
        <f t="shared" si="292"/>
        <v/>
      </c>
      <c r="AB931" s="218"/>
      <c r="AC931" s="205"/>
    </row>
    <row r="932" spans="1:29">
      <c r="A932" s="219" t="str">
        <f t="shared" si="293"/>
        <v/>
      </c>
      <c r="B932" s="219"/>
      <c r="C932" s="184"/>
      <c r="D932" s="185"/>
      <c r="E932" s="185" t="str">
        <f>IF(OR(C932="",C932=Data!$B$3),"",IF(C932=Data!$B$2,"L","S"))</f>
        <v/>
      </c>
      <c r="F932" s="185" t="str">
        <f t="shared" si="294"/>
        <v/>
      </c>
      <c r="G932" s="186" t="str">
        <f t="shared" si="285"/>
        <v/>
      </c>
      <c r="H932" s="187"/>
      <c r="I932" s="188" t="str">
        <f t="shared" si="295"/>
        <v/>
      </c>
      <c r="J932" s="188" t="str">
        <f t="shared" si="296"/>
        <v/>
      </c>
      <c r="K932" s="189" t="str">
        <f t="shared" si="297"/>
        <v/>
      </c>
      <c r="L932" s="189" t="str">
        <f t="shared" si="298"/>
        <v/>
      </c>
      <c r="M932" s="190"/>
      <c r="N932" s="190"/>
      <c r="O932" s="188" t="str">
        <f t="shared" si="299"/>
        <v/>
      </c>
      <c r="P932" s="191" t="str">
        <f t="shared" si="286"/>
        <v/>
      </c>
      <c r="Q932" s="192" t="str">
        <f t="shared" si="300"/>
        <v/>
      </c>
      <c r="R932" s="191" t="str">
        <f t="shared" si="287"/>
        <v/>
      </c>
      <c r="S932" s="193" t="str">
        <f t="shared" si="301"/>
        <v/>
      </c>
      <c r="T932" s="194" t="str">
        <f t="shared" si="288"/>
        <v/>
      </c>
      <c r="U932" s="192" t="str">
        <f t="shared" si="302"/>
        <v/>
      </c>
      <c r="V932" s="195" t="str">
        <f t="shared" si="289"/>
        <v/>
      </c>
      <c r="W932" s="195" t="str">
        <f t="shared" si="290"/>
        <v/>
      </c>
      <c r="X932" s="196" t="str">
        <f t="shared" si="303"/>
        <v/>
      </c>
      <c r="Y932" s="191" t="str">
        <f t="shared" si="304"/>
        <v/>
      </c>
      <c r="Z932" s="197" t="str">
        <f t="shared" si="291"/>
        <v/>
      </c>
      <c r="AA932" s="197" t="str">
        <f t="shared" si="292"/>
        <v/>
      </c>
      <c r="AB932" s="218"/>
      <c r="AC932" s="205"/>
    </row>
    <row r="933" spans="1:29">
      <c r="A933" s="219" t="str">
        <f t="shared" si="293"/>
        <v/>
      </c>
      <c r="B933" s="219"/>
      <c r="C933" s="184"/>
      <c r="D933" s="185"/>
      <c r="E933" s="185" t="str">
        <f>IF(OR(C933="",C933=Data!$B$3),"",IF(C933=Data!$B$2,"L","S"))</f>
        <v/>
      </c>
      <c r="F933" s="185" t="str">
        <f t="shared" si="294"/>
        <v/>
      </c>
      <c r="G933" s="186" t="str">
        <f t="shared" si="285"/>
        <v/>
      </c>
      <c r="H933" s="187"/>
      <c r="I933" s="188" t="str">
        <f t="shared" si="295"/>
        <v/>
      </c>
      <c r="J933" s="188" t="str">
        <f t="shared" si="296"/>
        <v/>
      </c>
      <c r="K933" s="189" t="str">
        <f t="shared" si="297"/>
        <v/>
      </c>
      <c r="L933" s="189" t="str">
        <f t="shared" si="298"/>
        <v/>
      </c>
      <c r="M933" s="190"/>
      <c r="N933" s="190"/>
      <c r="O933" s="188" t="str">
        <f t="shared" si="299"/>
        <v/>
      </c>
      <c r="P933" s="191" t="str">
        <f t="shared" si="286"/>
        <v/>
      </c>
      <c r="Q933" s="192" t="str">
        <f t="shared" si="300"/>
        <v/>
      </c>
      <c r="R933" s="191" t="str">
        <f t="shared" si="287"/>
        <v/>
      </c>
      <c r="S933" s="193" t="str">
        <f t="shared" si="301"/>
        <v/>
      </c>
      <c r="T933" s="194" t="str">
        <f t="shared" si="288"/>
        <v/>
      </c>
      <c r="U933" s="192" t="str">
        <f t="shared" si="302"/>
        <v/>
      </c>
      <c r="V933" s="195" t="str">
        <f t="shared" si="289"/>
        <v/>
      </c>
      <c r="W933" s="195" t="str">
        <f t="shared" si="290"/>
        <v/>
      </c>
      <c r="X933" s="196" t="str">
        <f t="shared" si="303"/>
        <v/>
      </c>
      <c r="Y933" s="191" t="str">
        <f t="shared" si="304"/>
        <v/>
      </c>
      <c r="Z933" s="197" t="str">
        <f t="shared" si="291"/>
        <v/>
      </c>
      <c r="AA933" s="197" t="str">
        <f t="shared" si="292"/>
        <v/>
      </c>
      <c r="AB933" s="218"/>
      <c r="AC933" s="205"/>
    </row>
    <row r="934" spans="1:29">
      <c r="A934" s="219" t="str">
        <f t="shared" si="293"/>
        <v/>
      </c>
      <c r="B934" s="219"/>
      <c r="C934" s="184"/>
      <c r="D934" s="185"/>
      <c r="E934" s="185" t="str">
        <f>IF(OR(C934="",C934=Data!$B$3),"",IF(C934=Data!$B$2,"L","S"))</f>
        <v/>
      </c>
      <c r="F934" s="185" t="str">
        <f t="shared" si="294"/>
        <v/>
      </c>
      <c r="G934" s="186" t="str">
        <f t="shared" si="285"/>
        <v/>
      </c>
      <c r="H934" s="187"/>
      <c r="I934" s="188" t="str">
        <f t="shared" si="295"/>
        <v/>
      </c>
      <c r="J934" s="188" t="str">
        <f t="shared" si="296"/>
        <v/>
      </c>
      <c r="K934" s="189" t="str">
        <f t="shared" si="297"/>
        <v/>
      </c>
      <c r="L934" s="189" t="str">
        <f t="shared" si="298"/>
        <v/>
      </c>
      <c r="M934" s="190"/>
      <c r="N934" s="190"/>
      <c r="O934" s="188" t="str">
        <f t="shared" si="299"/>
        <v/>
      </c>
      <c r="P934" s="191" t="str">
        <f t="shared" si="286"/>
        <v/>
      </c>
      <c r="Q934" s="192" t="str">
        <f t="shared" si="300"/>
        <v/>
      </c>
      <c r="R934" s="191" t="str">
        <f t="shared" si="287"/>
        <v/>
      </c>
      <c r="S934" s="193" t="str">
        <f t="shared" si="301"/>
        <v/>
      </c>
      <c r="T934" s="194" t="str">
        <f t="shared" si="288"/>
        <v/>
      </c>
      <c r="U934" s="192" t="str">
        <f t="shared" si="302"/>
        <v/>
      </c>
      <c r="V934" s="195" t="str">
        <f t="shared" si="289"/>
        <v/>
      </c>
      <c r="W934" s="195" t="str">
        <f t="shared" si="290"/>
        <v/>
      </c>
      <c r="X934" s="196" t="str">
        <f t="shared" si="303"/>
        <v/>
      </c>
      <c r="Y934" s="191" t="str">
        <f t="shared" si="304"/>
        <v/>
      </c>
      <c r="Z934" s="197" t="str">
        <f t="shared" si="291"/>
        <v/>
      </c>
      <c r="AA934" s="197" t="str">
        <f t="shared" si="292"/>
        <v/>
      </c>
      <c r="AB934" s="218"/>
      <c r="AC934" s="205"/>
    </row>
    <row r="935" spans="1:29">
      <c r="A935" s="219" t="str">
        <f t="shared" si="293"/>
        <v/>
      </c>
      <c r="B935" s="219"/>
      <c r="C935" s="184"/>
      <c r="D935" s="185"/>
      <c r="E935" s="185" t="str">
        <f>IF(OR(C935="",C935=Data!$B$3),"",IF(C935=Data!$B$2,"L","S"))</f>
        <v/>
      </c>
      <c r="F935" s="185" t="str">
        <f t="shared" si="294"/>
        <v/>
      </c>
      <c r="G935" s="186" t="str">
        <f t="shared" si="285"/>
        <v/>
      </c>
      <c r="H935" s="187"/>
      <c r="I935" s="188" t="str">
        <f t="shared" si="295"/>
        <v/>
      </c>
      <c r="J935" s="188" t="str">
        <f t="shared" si="296"/>
        <v/>
      </c>
      <c r="K935" s="189" t="str">
        <f t="shared" si="297"/>
        <v/>
      </c>
      <c r="L935" s="189" t="str">
        <f t="shared" si="298"/>
        <v/>
      </c>
      <c r="M935" s="190"/>
      <c r="N935" s="190"/>
      <c r="O935" s="188" t="str">
        <f t="shared" si="299"/>
        <v/>
      </c>
      <c r="P935" s="191" t="str">
        <f t="shared" si="286"/>
        <v/>
      </c>
      <c r="Q935" s="192" t="str">
        <f t="shared" si="300"/>
        <v/>
      </c>
      <c r="R935" s="191" t="str">
        <f t="shared" si="287"/>
        <v/>
      </c>
      <c r="S935" s="193" t="str">
        <f t="shared" si="301"/>
        <v/>
      </c>
      <c r="T935" s="194" t="str">
        <f t="shared" si="288"/>
        <v/>
      </c>
      <c r="U935" s="192" t="str">
        <f t="shared" si="302"/>
        <v/>
      </c>
      <c r="V935" s="195" t="str">
        <f t="shared" si="289"/>
        <v/>
      </c>
      <c r="W935" s="195" t="str">
        <f t="shared" si="290"/>
        <v/>
      </c>
      <c r="X935" s="196" t="str">
        <f t="shared" si="303"/>
        <v/>
      </c>
      <c r="Y935" s="191" t="str">
        <f t="shared" si="304"/>
        <v/>
      </c>
      <c r="Z935" s="197" t="str">
        <f t="shared" si="291"/>
        <v/>
      </c>
      <c r="AA935" s="197" t="str">
        <f t="shared" si="292"/>
        <v/>
      </c>
      <c r="AB935" s="218"/>
      <c r="AC935" s="205"/>
    </row>
    <row r="936" spans="1:29">
      <c r="A936" s="219" t="str">
        <f t="shared" si="293"/>
        <v/>
      </c>
      <c r="B936" s="219"/>
      <c r="C936" s="184"/>
      <c r="D936" s="185"/>
      <c r="E936" s="185" t="str">
        <f>IF(OR(C936="",C936=Data!$B$3),"",IF(C936=Data!$B$2,"L","S"))</f>
        <v/>
      </c>
      <c r="F936" s="185" t="str">
        <f t="shared" si="294"/>
        <v/>
      </c>
      <c r="G936" s="186" t="str">
        <f t="shared" si="285"/>
        <v/>
      </c>
      <c r="H936" s="187"/>
      <c r="I936" s="188" t="str">
        <f t="shared" si="295"/>
        <v/>
      </c>
      <c r="J936" s="188" t="str">
        <f t="shared" si="296"/>
        <v/>
      </c>
      <c r="K936" s="189" t="str">
        <f t="shared" si="297"/>
        <v/>
      </c>
      <c r="L936" s="189" t="str">
        <f t="shared" si="298"/>
        <v/>
      </c>
      <c r="M936" s="190"/>
      <c r="N936" s="190"/>
      <c r="O936" s="188" t="str">
        <f t="shared" si="299"/>
        <v/>
      </c>
      <c r="P936" s="191" t="str">
        <f t="shared" si="286"/>
        <v/>
      </c>
      <c r="Q936" s="192" t="str">
        <f t="shared" si="300"/>
        <v/>
      </c>
      <c r="R936" s="191" t="str">
        <f t="shared" si="287"/>
        <v/>
      </c>
      <c r="S936" s="193" t="str">
        <f t="shared" si="301"/>
        <v/>
      </c>
      <c r="T936" s="194" t="str">
        <f t="shared" si="288"/>
        <v/>
      </c>
      <c r="U936" s="192" t="str">
        <f t="shared" si="302"/>
        <v/>
      </c>
      <c r="V936" s="195" t="str">
        <f t="shared" si="289"/>
        <v/>
      </c>
      <c r="W936" s="195" t="str">
        <f t="shared" si="290"/>
        <v/>
      </c>
      <c r="X936" s="196" t="str">
        <f t="shared" si="303"/>
        <v/>
      </c>
      <c r="Y936" s="191" t="str">
        <f t="shared" si="304"/>
        <v/>
      </c>
      <c r="Z936" s="197" t="str">
        <f t="shared" si="291"/>
        <v/>
      </c>
      <c r="AA936" s="197" t="str">
        <f t="shared" si="292"/>
        <v/>
      </c>
      <c r="AB936" s="218"/>
      <c r="AC936" s="205"/>
    </row>
    <row r="937" spans="1:29">
      <c r="A937" s="219" t="str">
        <f t="shared" si="293"/>
        <v/>
      </c>
      <c r="B937" s="219"/>
      <c r="C937" s="184"/>
      <c r="D937" s="185"/>
      <c r="E937" s="185" t="str">
        <f>IF(OR(C937="",C937=Data!$B$3),"",IF(C937=Data!$B$2,"L","S"))</f>
        <v/>
      </c>
      <c r="F937" s="185" t="str">
        <f t="shared" si="294"/>
        <v/>
      </c>
      <c r="G937" s="186" t="str">
        <f t="shared" si="285"/>
        <v/>
      </c>
      <c r="H937" s="187"/>
      <c r="I937" s="188" t="str">
        <f t="shared" si="295"/>
        <v/>
      </c>
      <c r="J937" s="188" t="str">
        <f t="shared" si="296"/>
        <v/>
      </c>
      <c r="K937" s="189" t="str">
        <f t="shared" si="297"/>
        <v/>
      </c>
      <c r="L937" s="189" t="str">
        <f t="shared" si="298"/>
        <v/>
      </c>
      <c r="M937" s="190"/>
      <c r="N937" s="190"/>
      <c r="O937" s="188" t="str">
        <f t="shared" si="299"/>
        <v/>
      </c>
      <c r="P937" s="191" t="str">
        <f t="shared" si="286"/>
        <v/>
      </c>
      <c r="Q937" s="192" t="str">
        <f t="shared" si="300"/>
        <v/>
      </c>
      <c r="R937" s="191" t="str">
        <f t="shared" si="287"/>
        <v/>
      </c>
      <c r="S937" s="193" t="str">
        <f t="shared" si="301"/>
        <v/>
      </c>
      <c r="T937" s="194" t="str">
        <f t="shared" si="288"/>
        <v/>
      </c>
      <c r="U937" s="192" t="str">
        <f t="shared" si="302"/>
        <v/>
      </c>
      <c r="V937" s="195" t="str">
        <f t="shared" si="289"/>
        <v/>
      </c>
      <c r="W937" s="195" t="str">
        <f t="shared" si="290"/>
        <v/>
      </c>
      <c r="X937" s="196" t="str">
        <f t="shared" si="303"/>
        <v/>
      </c>
      <c r="Y937" s="191" t="str">
        <f t="shared" si="304"/>
        <v/>
      </c>
      <c r="Z937" s="197" t="str">
        <f t="shared" si="291"/>
        <v/>
      </c>
      <c r="AA937" s="197" t="str">
        <f t="shared" si="292"/>
        <v/>
      </c>
      <c r="AB937" s="218"/>
      <c r="AC937" s="205"/>
    </row>
    <row r="938" spans="1:29">
      <c r="A938" s="219" t="str">
        <f t="shared" si="293"/>
        <v/>
      </c>
      <c r="B938" s="219"/>
      <c r="C938" s="184"/>
      <c r="D938" s="185"/>
      <c r="E938" s="185" t="str">
        <f>IF(OR(C938="",C938=Data!$B$3),"",IF(C938=Data!$B$2,"L","S"))</f>
        <v/>
      </c>
      <c r="F938" s="185" t="str">
        <f t="shared" si="294"/>
        <v/>
      </c>
      <c r="G938" s="186" t="str">
        <f t="shared" si="285"/>
        <v/>
      </c>
      <c r="H938" s="187"/>
      <c r="I938" s="188" t="str">
        <f t="shared" si="295"/>
        <v/>
      </c>
      <c r="J938" s="188" t="str">
        <f t="shared" si="296"/>
        <v/>
      </c>
      <c r="K938" s="189" t="str">
        <f t="shared" si="297"/>
        <v/>
      </c>
      <c r="L938" s="189" t="str">
        <f t="shared" si="298"/>
        <v/>
      </c>
      <c r="M938" s="190"/>
      <c r="N938" s="190"/>
      <c r="O938" s="188" t="str">
        <f t="shared" si="299"/>
        <v/>
      </c>
      <c r="P938" s="191" t="str">
        <f t="shared" si="286"/>
        <v/>
      </c>
      <c r="Q938" s="192" t="str">
        <f t="shared" si="300"/>
        <v/>
      </c>
      <c r="R938" s="191" t="str">
        <f t="shared" si="287"/>
        <v/>
      </c>
      <c r="S938" s="193" t="str">
        <f t="shared" si="301"/>
        <v/>
      </c>
      <c r="T938" s="194" t="str">
        <f t="shared" si="288"/>
        <v/>
      </c>
      <c r="U938" s="192" t="str">
        <f t="shared" si="302"/>
        <v/>
      </c>
      <c r="V938" s="195" t="str">
        <f t="shared" si="289"/>
        <v/>
      </c>
      <c r="W938" s="195" t="str">
        <f t="shared" si="290"/>
        <v/>
      </c>
      <c r="X938" s="196" t="str">
        <f t="shared" si="303"/>
        <v/>
      </c>
      <c r="Y938" s="191" t="str">
        <f t="shared" si="304"/>
        <v/>
      </c>
      <c r="Z938" s="197" t="str">
        <f t="shared" si="291"/>
        <v/>
      </c>
      <c r="AA938" s="197" t="str">
        <f t="shared" si="292"/>
        <v/>
      </c>
      <c r="AB938" s="218"/>
      <c r="AC938" s="205"/>
    </row>
    <row r="939" spans="1:29">
      <c r="A939" s="219" t="str">
        <f t="shared" si="293"/>
        <v/>
      </c>
      <c r="B939" s="219"/>
      <c r="C939" s="184"/>
      <c r="D939" s="185"/>
      <c r="E939" s="185" t="str">
        <f>IF(OR(C939="",C939=Data!$B$3),"",IF(C939=Data!$B$2,"L","S"))</f>
        <v/>
      </c>
      <c r="F939" s="185" t="str">
        <f t="shared" si="294"/>
        <v/>
      </c>
      <c r="G939" s="186" t="str">
        <f t="shared" si="285"/>
        <v/>
      </c>
      <c r="H939" s="187"/>
      <c r="I939" s="188" t="str">
        <f t="shared" si="295"/>
        <v/>
      </c>
      <c r="J939" s="188" t="str">
        <f t="shared" si="296"/>
        <v/>
      </c>
      <c r="K939" s="189" t="str">
        <f t="shared" si="297"/>
        <v/>
      </c>
      <c r="L939" s="189" t="str">
        <f t="shared" si="298"/>
        <v/>
      </c>
      <c r="M939" s="190"/>
      <c r="N939" s="190"/>
      <c r="O939" s="188" t="str">
        <f t="shared" si="299"/>
        <v/>
      </c>
      <c r="P939" s="191" t="str">
        <f t="shared" si="286"/>
        <v/>
      </c>
      <c r="Q939" s="192" t="str">
        <f t="shared" si="300"/>
        <v/>
      </c>
      <c r="R939" s="191" t="str">
        <f t="shared" si="287"/>
        <v/>
      </c>
      <c r="S939" s="193" t="str">
        <f t="shared" si="301"/>
        <v/>
      </c>
      <c r="T939" s="194" t="str">
        <f t="shared" si="288"/>
        <v/>
      </c>
      <c r="U939" s="192" t="str">
        <f t="shared" si="302"/>
        <v/>
      </c>
      <c r="V939" s="195" t="str">
        <f t="shared" si="289"/>
        <v/>
      </c>
      <c r="W939" s="195" t="str">
        <f t="shared" si="290"/>
        <v/>
      </c>
      <c r="X939" s="196" t="str">
        <f t="shared" si="303"/>
        <v/>
      </c>
      <c r="Y939" s="191" t="str">
        <f t="shared" si="304"/>
        <v/>
      </c>
      <c r="Z939" s="197" t="str">
        <f t="shared" si="291"/>
        <v/>
      </c>
      <c r="AA939" s="197" t="str">
        <f t="shared" si="292"/>
        <v/>
      </c>
      <c r="AB939" s="218"/>
      <c r="AC939" s="205"/>
    </row>
    <row r="940" spans="1:29">
      <c r="A940" s="219" t="str">
        <f t="shared" si="293"/>
        <v/>
      </c>
      <c r="B940" s="219"/>
      <c r="C940" s="184"/>
      <c r="D940" s="185"/>
      <c r="E940" s="185" t="str">
        <f>IF(OR(C940="",C940=Data!$B$3),"",IF(C940=Data!$B$2,"L","S"))</f>
        <v/>
      </c>
      <c r="F940" s="185" t="str">
        <f t="shared" si="294"/>
        <v/>
      </c>
      <c r="G940" s="186" t="str">
        <f t="shared" si="285"/>
        <v/>
      </c>
      <c r="H940" s="187"/>
      <c r="I940" s="188" t="str">
        <f t="shared" si="295"/>
        <v/>
      </c>
      <c r="J940" s="188" t="str">
        <f t="shared" si="296"/>
        <v/>
      </c>
      <c r="K940" s="189" t="str">
        <f t="shared" si="297"/>
        <v/>
      </c>
      <c r="L940" s="189" t="str">
        <f t="shared" si="298"/>
        <v/>
      </c>
      <c r="M940" s="190"/>
      <c r="N940" s="190"/>
      <c r="O940" s="188" t="str">
        <f t="shared" si="299"/>
        <v/>
      </c>
      <c r="P940" s="191" t="str">
        <f t="shared" si="286"/>
        <v/>
      </c>
      <c r="Q940" s="192" t="str">
        <f t="shared" si="300"/>
        <v/>
      </c>
      <c r="R940" s="191" t="str">
        <f t="shared" si="287"/>
        <v/>
      </c>
      <c r="S940" s="193" t="str">
        <f t="shared" si="301"/>
        <v/>
      </c>
      <c r="T940" s="194" t="str">
        <f t="shared" si="288"/>
        <v/>
      </c>
      <c r="U940" s="192" t="str">
        <f t="shared" si="302"/>
        <v/>
      </c>
      <c r="V940" s="195" t="str">
        <f t="shared" si="289"/>
        <v/>
      </c>
      <c r="W940" s="195" t="str">
        <f t="shared" si="290"/>
        <v/>
      </c>
      <c r="X940" s="196" t="str">
        <f t="shared" si="303"/>
        <v/>
      </c>
      <c r="Y940" s="191" t="str">
        <f t="shared" si="304"/>
        <v/>
      </c>
      <c r="Z940" s="197" t="str">
        <f t="shared" si="291"/>
        <v/>
      </c>
      <c r="AA940" s="197" t="str">
        <f t="shared" si="292"/>
        <v/>
      </c>
      <c r="AB940" s="218"/>
      <c r="AC940" s="205"/>
    </row>
    <row r="941" spans="1:29">
      <c r="A941" s="219" t="str">
        <f t="shared" si="293"/>
        <v/>
      </c>
      <c r="B941" s="219"/>
      <c r="C941" s="184"/>
      <c r="D941" s="185"/>
      <c r="E941" s="185" t="str">
        <f>IF(OR(C941="",C941=Data!$B$3),"",IF(C941=Data!$B$2,"L","S"))</f>
        <v/>
      </c>
      <c r="F941" s="185" t="str">
        <f t="shared" si="294"/>
        <v/>
      </c>
      <c r="G941" s="186" t="str">
        <f t="shared" si="285"/>
        <v/>
      </c>
      <c r="H941" s="187"/>
      <c r="I941" s="188" t="str">
        <f t="shared" si="295"/>
        <v/>
      </c>
      <c r="J941" s="188" t="str">
        <f t="shared" si="296"/>
        <v/>
      </c>
      <c r="K941" s="189" t="str">
        <f t="shared" si="297"/>
        <v/>
      </c>
      <c r="L941" s="189" t="str">
        <f t="shared" si="298"/>
        <v/>
      </c>
      <c r="M941" s="190"/>
      <c r="N941" s="190"/>
      <c r="O941" s="188" t="str">
        <f t="shared" si="299"/>
        <v/>
      </c>
      <c r="P941" s="191" t="str">
        <f t="shared" si="286"/>
        <v/>
      </c>
      <c r="Q941" s="192" t="str">
        <f t="shared" si="300"/>
        <v/>
      </c>
      <c r="R941" s="191" t="str">
        <f t="shared" si="287"/>
        <v/>
      </c>
      <c r="S941" s="193" t="str">
        <f t="shared" si="301"/>
        <v/>
      </c>
      <c r="T941" s="194" t="str">
        <f t="shared" si="288"/>
        <v/>
      </c>
      <c r="U941" s="192" t="str">
        <f t="shared" si="302"/>
        <v/>
      </c>
      <c r="V941" s="195" t="str">
        <f t="shared" si="289"/>
        <v/>
      </c>
      <c r="W941" s="195" t="str">
        <f t="shared" si="290"/>
        <v/>
      </c>
      <c r="X941" s="196" t="str">
        <f t="shared" si="303"/>
        <v/>
      </c>
      <c r="Y941" s="191" t="str">
        <f t="shared" si="304"/>
        <v/>
      </c>
      <c r="Z941" s="197" t="str">
        <f t="shared" si="291"/>
        <v/>
      </c>
      <c r="AA941" s="197" t="str">
        <f t="shared" si="292"/>
        <v/>
      </c>
      <c r="AB941" s="218"/>
      <c r="AC941" s="205"/>
    </row>
    <row r="942" spans="1:29">
      <c r="A942" s="219" t="str">
        <f t="shared" si="293"/>
        <v/>
      </c>
      <c r="B942" s="219"/>
      <c r="C942" s="184"/>
      <c r="D942" s="185"/>
      <c r="E942" s="185" t="str">
        <f>IF(OR(C942="",C942=Data!$B$3),"",IF(C942=Data!$B$2,"L","S"))</f>
        <v/>
      </c>
      <c r="F942" s="185" t="str">
        <f t="shared" si="294"/>
        <v/>
      </c>
      <c r="G942" s="186" t="str">
        <f t="shared" si="285"/>
        <v/>
      </c>
      <c r="H942" s="187"/>
      <c r="I942" s="188" t="str">
        <f t="shared" si="295"/>
        <v/>
      </c>
      <c r="J942" s="188" t="str">
        <f t="shared" si="296"/>
        <v/>
      </c>
      <c r="K942" s="189" t="str">
        <f t="shared" si="297"/>
        <v/>
      </c>
      <c r="L942" s="189" t="str">
        <f t="shared" si="298"/>
        <v/>
      </c>
      <c r="M942" s="190"/>
      <c r="N942" s="190"/>
      <c r="O942" s="188" t="str">
        <f t="shared" si="299"/>
        <v/>
      </c>
      <c r="P942" s="191" t="str">
        <f t="shared" si="286"/>
        <v/>
      </c>
      <c r="Q942" s="192" t="str">
        <f t="shared" si="300"/>
        <v/>
      </c>
      <c r="R942" s="191" t="str">
        <f t="shared" si="287"/>
        <v/>
      </c>
      <c r="S942" s="193" t="str">
        <f t="shared" si="301"/>
        <v/>
      </c>
      <c r="T942" s="194" t="str">
        <f t="shared" si="288"/>
        <v/>
      </c>
      <c r="U942" s="192" t="str">
        <f t="shared" si="302"/>
        <v/>
      </c>
      <c r="V942" s="195" t="str">
        <f t="shared" si="289"/>
        <v/>
      </c>
      <c r="W942" s="195" t="str">
        <f t="shared" si="290"/>
        <v/>
      </c>
      <c r="X942" s="196" t="str">
        <f t="shared" si="303"/>
        <v/>
      </c>
      <c r="Y942" s="191" t="str">
        <f t="shared" si="304"/>
        <v/>
      </c>
      <c r="Z942" s="197" t="str">
        <f t="shared" si="291"/>
        <v/>
      </c>
      <c r="AA942" s="197" t="str">
        <f t="shared" si="292"/>
        <v/>
      </c>
      <c r="AB942" s="218"/>
      <c r="AC942" s="205"/>
    </row>
    <row r="943" spans="1:29">
      <c r="A943" s="219" t="str">
        <f t="shared" si="293"/>
        <v/>
      </c>
      <c r="B943" s="219"/>
      <c r="C943" s="184"/>
      <c r="D943" s="185"/>
      <c r="E943" s="185" t="str">
        <f>IF(OR(C943="",C943=Data!$B$3),"",IF(C943=Data!$B$2,"L","S"))</f>
        <v/>
      </c>
      <c r="F943" s="185" t="str">
        <f t="shared" si="294"/>
        <v/>
      </c>
      <c r="G943" s="186" t="str">
        <f t="shared" si="285"/>
        <v/>
      </c>
      <c r="H943" s="187"/>
      <c r="I943" s="188" t="str">
        <f t="shared" si="295"/>
        <v/>
      </c>
      <c r="J943" s="188" t="str">
        <f t="shared" si="296"/>
        <v/>
      </c>
      <c r="K943" s="189" t="str">
        <f t="shared" si="297"/>
        <v/>
      </c>
      <c r="L943" s="189" t="str">
        <f t="shared" si="298"/>
        <v/>
      </c>
      <c r="M943" s="190"/>
      <c r="N943" s="190"/>
      <c r="O943" s="188" t="str">
        <f t="shared" si="299"/>
        <v/>
      </c>
      <c r="P943" s="191" t="str">
        <f t="shared" si="286"/>
        <v/>
      </c>
      <c r="Q943" s="192" t="str">
        <f t="shared" si="300"/>
        <v/>
      </c>
      <c r="R943" s="191" t="str">
        <f t="shared" si="287"/>
        <v/>
      </c>
      <c r="S943" s="193" t="str">
        <f t="shared" si="301"/>
        <v/>
      </c>
      <c r="T943" s="194" t="str">
        <f t="shared" si="288"/>
        <v/>
      </c>
      <c r="U943" s="192" t="str">
        <f t="shared" si="302"/>
        <v/>
      </c>
      <c r="V943" s="195" t="str">
        <f t="shared" si="289"/>
        <v/>
      </c>
      <c r="W943" s="195" t="str">
        <f t="shared" si="290"/>
        <v/>
      </c>
      <c r="X943" s="196" t="str">
        <f t="shared" si="303"/>
        <v/>
      </c>
      <c r="Y943" s="191" t="str">
        <f t="shared" si="304"/>
        <v/>
      </c>
      <c r="Z943" s="197" t="str">
        <f t="shared" si="291"/>
        <v/>
      </c>
      <c r="AA943" s="197" t="str">
        <f t="shared" si="292"/>
        <v/>
      </c>
      <c r="AB943" s="218"/>
      <c r="AC943" s="205"/>
    </row>
    <row r="944" spans="1:29">
      <c r="A944" s="219" t="str">
        <f t="shared" si="293"/>
        <v/>
      </c>
      <c r="B944" s="219"/>
      <c r="C944" s="184"/>
      <c r="D944" s="185"/>
      <c r="E944" s="185" t="str">
        <f>IF(OR(C944="",C944=Data!$B$3),"",IF(C944=Data!$B$2,"L","S"))</f>
        <v/>
      </c>
      <c r="F944" s="185" t="str">
        <f t="shared" si="294"/>
        <v/>
      </c>
      <c r="G944" s="186" t="str">
        <f t="shared" si="285"/>
        <v/>
      </c>
      <c r="H944" s="187"/>
      <c r="I944" s="188" t="str">
        <f t="shared" si="295"/>
        <v/>
      </c>
      <c r="J944" s="188" t="str">
        <f t="shared" si="296"/>
        <v/>
      </c>
      <c r="K944" s="189" t="str">
        <f t="shared" si="297"/>
        <v/>
      </c>
      <c r="L944" s="189" t="str">
        <f t="shared" si="298"/>
        <v/>
      </c>
      <c r="M944" s="190"/>
      <c r="N944" s="190"/>
      <c r="O944" s="188" t="str">
        <f t="shared" si="299"/>
        <v/>
      </c>
      <c r="P944" s="191" t="str">
        <f t="shared" si="286"/>
        <v/>
      </c>
      <c r="Q944" s="192" t="str">
        <f t="shared" si="300"/>
        <v/>
      </c>
      <c r="R944" s="191" t="str">
        <f t="shared" si="287"/>
        <v/>
      </c>
      <c r="S944" s="193" t="str">
        <f t="shared" si="301"/>
        <v/>
      </c>
      <c r="T944" s="194" t="str">
        <f t="shared" si="288"/>
        <v/>
      </c>
      <c r="U944" s="192" t="str">
        <f t="shared" si="302"/>
        <v/>
      </c>
      <c r="V944" s="195" t="str">
        <f t="shared" si="289"/>
        <v/>
      </c>
      <c r="W944" s="195" t="str">
        <f t="shared" si="290"/>
        <v/>
      </c>
      <c r="X944" s="196" t="str">
        <f t="shared" si="303"/>
        <v/>
      </c>
      <c r="Y944" s="191" t="str">
        <f t="shared" si="304"/>
        <v/>
      </c>
      <c r="Z944" s="197" t="str">
        <f t="shared" si="291"/>
        <v/>
      </c>
      <c r="AA944" s="197" t="str">
        <f t="shared" si="292"/>
        <v/>
      </c>
      <c r="AB944" s="218"/>
      <c r="AC944" s="205"/>
    </row>
    <row r="945" spans="1:29">
      <c r="A945" s="219" t="str">
        <f t="shared" si="293"/>
        <v/>
      </c>
      <c r="B945" s="219"/>
      <c r="C945" s="184"/>
      <c r="D945" s="185"/>
      <c r="E945" s="185" t="str">
        <f>IF(OR(C945="",C945=Data!$B$3),"",IF(C945=Data!$B$2,"L","S"))</f>
        <v/>
      </c>
      <c r="F945" s="185" t="str">
        <f t="shared" si="294"/>
        <v/>
      </c>
      <c r="G945" s="186" t="str">
        <f t="shared" si="285"/>
        <v/>
      </c>
      <c r="H945" s="187"/>
      <c r="I945" s="188" t="str">
        <f t="shared" si="295"/>
        <v/>
      </c>
      <c r="J945" s="188" t="str">
        <f t="shared" si="296"/>
        <v/>
      </c>
      <c r="K945" s="189" t="str">
        <f t="shared" si="297"/>
        <v/>
      </c>
      <c r="L945" s="189" t="str">
        <f t="shared" si="298"/>
        <v/>
      </c>
      <c r="M945" s="190"/>
      <c r="N945" s="190"/>
      <c r="O945" s="188" t="str">
        <f t="shared" si="299"/>
        <v/>
      </c>
      <c r="P945" s="191" t="str">
        <f t="shared" si="286"/>
        <v/>
      </c>
      <c r="Q945" s="192" t="str">
        <f t="shared" si="300"/>
        <v/>
      </c>
      <c r="R945" s="191" t="str">
        <f t="shared" si="287"/>
        <v/>
      </c>
      <c r="S945" s="193" t="str">
        <f t="shared" si="301"/>
        <v/>
      </c>
      <c r="T945" s="194" t="str">
        <f t="shared" si="288"/>
        <v/>
      </c>
      <c r="U945" s="192" t="str">
        <f t="shared" si="302"/>
        <v/>
      </c>
      <c r="V945" s="195" t="str">
        <f t="shared" si="289"/>
        <v/>
      </c>
      <c r="W945" s="195" t="str">
        <f t="shared" si="290"/>
        <v/>
      </c>
      <c r="X945" s="196" t="str">
        <f t="shared" si="303"/>
        <v/>
      </c>
      <c r="Y945" s="191" t="str">
        <f t="shared" si="304"/>
        <v/>
      </c>
      <c r="Z945" s="197" t="str">
        <f t="shared" si="291"/>
        <v/>
      </c>
      <c r="AA945" s="197" t="str">
        <f t="shared" si="292"/>
        <v/>
      </c>
      <c r="AB945" s="218"/>
      <c r="AC945" s="205"/>
    </row>
    <row r="946" spans="1:29">
      <c r="A946" s="219" t="str">
        <f t="shared" si="293"/>
        <v/>
      </c>
      <c r="B946" s="219"/>
      <c r="C946" s="184"/>
      <c r="D946" s="185"/>
      <c r="E946" s="185" t="str">
        <f>IF(OR(C946="",C946=Data!$B$3),"",IF(C946=Data!$B$2,"L","S"))</f>
        <v/>
      </c>
      <c r="F946" s="185" t="str">
        <f t="shared" si="294"/>
        <v/>
      </c>
      <c r="G946" s="186" t="str">
        <f t="shared" si="285"/>
        <v/>
      </c>
      <c r="H946" s="187"/>
      <c r="I946" s="188" t="str">
        <f t="shared" si="295"/>
        <v/>
      </c>
      <c r="J946" s="188" t="str">
        <f t="shared" si="296"/>
        <v/>
      </c>
      <c r="K946" s="189" t="str">
        <f t="shared" si="297"/>
        <v/>
      </c>
      <c r="L946" s="189" t="str">
        <f t="shared" si="298"/>
        <v/>
      </c>
      <c r="M946" s="190"/>
      <c r="N946" s="190"/>
      <c r="O946" s="188" t="str">
        <f t="shared" si="299"/>
        <v/>
      </c>
      <c r="P946" s="191" t="str">
        <f t="shared" si="286"/>
        <v/>
      </c>
      <c r="Q946" s="192" t="str">
        <f t="shared" si="300"/>
        <v/>
      </c>
      <c r="R946" s="191" t="str">
        <f t="shared" si="287"/>
        <v/>
      </c>
      <c r="S946" s="193" t="str">
        <f t="shared" si="301"/>
        <v/>
      </c>
      <c r="T946" s="194" t="str">
        <f t="shared" si="288"/>
        <v/>
      </c>
      <c r="U946" s="192" t="str">
        <f t="shared" si="302"/>
        <v/>
      </c>
      <c r="V946" s="195" t="str">
        <f t="shared" si="289"/>
        <v/>
      </c>
      <c r="W946" s="195" t="str">
        <f t="shared" si="290"/>
        <v/>
      </c>
      <c r="X946" s="196" t="str">
        <f t="shared" si="303"/>
        <v/>
      </c>
      <c r="Y946" s="191" t="str">
        <f t="shared" si="304"/>
        <v/>
      </c>
      <c r="Z946" s="197" t="str">
        <f t="shared" si="291"/>
        <v/>
      </c>
      <c r="AA946" s="197" t="str">
        <f t="shared" si="292"/>
        <v/>
      </c>
      <c r="AB946" s="218"/>
      <c r="AC946" s="205"/>
    </row>
    <row r="947" spans="1:29">
      <c r="A947" s="219" t="str">
        <f t="shared" si="293"/>
        <v/>
      </c>
      <c r="B947" s="219"/>
      <c r="C947" s="184"/>
      <c r="D947" s="185"/>
      <c r="E947" s="185" t="str">
        <f>IF(OR(C947="",C947=Data!$B$3),"",IF(C947=Data!$B$2,"L","S"))</f>
        <v/>
      </c>
      <c r="F947" s="185" t="str">
        <f t="shared" si="294"/>
        <v/>
      </c>
      <c r="G947" s="186" t="str">
        <f t="shared" si="285"/>
        <v/>
      </c>
      <c r="H947" s="187"/>
      <c r="I947" s="188" t="str">
        <f t="shared" si="295"/>
        <v/>
      </c>
      <c r="J947" s="188" t="str">
        <f t="shared" si="296"/>
        <v/>
      </c>
      <c r="K947" s="189" t="str">
        <f t="shared" si="297"/>
        <v/>
      </c>
      <c r="L947" s="189" t="str">
        <f t="shared" si="298"/>
        <v/>
      </c>
      <c r="M947" s="190"/>
      <c r="N947" s="190"/>
      <c r="O947" s="188" t="str">
        <f t="shared" si="299"/>
        <v/>
      </c>
      <c r="P947" s="191" t="str">
        <f t="shared" si="286"/>
        <v/>
      </c>
      <c r="Q947" s="192" t="str">
        <f t="shared" si="300"/>
        <v/>
      </c>
      <c r="R947" s="191" t="str">
        <f t="shared" si="287"/>
        <v/>
      </c>
      <c r="S947" s="193" t="str">
        <f t="shared" si="301"/>
        <v/>
      </c>
      <c r="T947" s="194" t="str">
        <f t="shared" si="288"/>
        <v/>
      </c>
      <c r="U947" s="192" t="str">
        <f t="shared" si="302"/>
        <v/>
      </c>
      <c r="V947" s="195" t="str">
        <f t="shared" si="289"/>
        <v/>
      </c>
      <c r="W947" s="195" t="str">
        <f t="shared" si="290"/>
        <v/>
      </c>
      <c r="X947" s="196" t="str">
        <f t="shared" si="303"/>
        <v/>
      </c>
      <c r="Y947" s="191" t="str">
        <f t="shared" si="304"/>
        <v/>
      </c>
      <c r="Z947" s="197" t="str">
        <f t="shared" si="291"/>
        <v/>
      </c>
      <c r="AA947" s="197" t="str">
        <f t="shared" si="292"/>
        <v/>
      </c>
      <c r="AB947" s="218"/>
      <c r="AC947" s="205"/>
    </row>
    <row r="948" spans="1:29">
      <c r="A948" s="219" t="str">
        <f t="shared" si="293"/>
        <v/>
      </c>
      <c r="B948" s="219"/>
      <c r="C948" s="184"/>
      <c r="D948" s="185"/>
      <c r="E948" s="185" t="str">
        <f>IF(OR(C948="",C948=Data!$B$3),"",IF(C948=Data!$B$2,"L","S"))</f>
        <v/>
      </c>
      <c r="F948" s="185" t="str">
        <f t="shared" si="294"/>
        <v/>
      </c>
      <c r="G948" s="186" t="str">
        <f t="shared" si="285"/>
        <v/>
      </c>
      <c r="H948" s="187"/>
      <c r="I948" s="188" t="str">
        <f t="shared" si="295"/>
        <v/>
      </c>
      <c r="J948" s="188" t="str">
        <f t="shared" si="296"/>
        <v/>
      </c>
      <c r="K948" s="189" t="str">
        <f t="shared" si="297"/>
        <v/>
      </c>
      <c r="L948" s="189" t="str">
        <f t="shared" si="298"/>
        <v/>
      </c>
      <c r="M948" s="190"/>
      <c r="N948" s="190"/>
      <c r="O948" s="188" t="str">
        <f t="shared" si="299"/>
        <v/>
      </c>
      <c r="P948" s="191" t="str">
        <f t="shared" si="286"/>
        <v/>
      </c>
      <c r="Q948" s="192" t="str">
        <f t="shared" si="300"/>
        <v/>
      </c>
      <c r="R948" s="191" t="str">
        <f t="shared" si="287"/>
        <v/>
      </c>
      <c r="S948" s="193" t="str">
        <f t="shared" si="301"/>
        <v/>
      </c>
      <c r="T948" s="194" t="str">
        <f t="shared" si="288"/>
        <v/>
      </c>
      <c r="U948" s="192" t="str">
        <f t="shared" si="302"/>
        <v/>
      </c>
      <c r="V948" s="195" t="str">
        <f t="shared" si="289"/>
        <v/>
      </c>
      <c r="W948" s="195" t="str">
        <f t="shared" si="290"/>
        <v/>
      </c>
      <c r="X948" s="196" t="str">
        <f t="shared" si="303"/>
        <v/>
      </c>
      <c r="Y948" s="191" t="str">
        <f t="shared" si="304"/>
        <v/>
      </c>
      <c r="Z948" s="197" t="str">
        <f t="shared" si="291"/>
        <v/>
      </c>
      <c r="AA948" s="197" t="str">
        <f t="shared" si="292"/>
        <v/>
      </c>
      <c r="AB948" s="218"/>
      <c r="AC948" s="205"/>
    </row>
    <row r="949" spans="1:29">
      <c r="A949" s="219" t="str">
        <f t="shared" si="293"/>
        <v/>
      </c>
      <c r="B949" s="219"/>
      <c r="C949" s="184"/>
      <c r="D949" s="185"/>
      <c r="E949" s="185" t="str">
        <f>IF(OR(C949="",C949=Data!$B$3),"",IF(C949=Data!$B$2,"L","S"))</f>
        <v/>
      </c>
      <c r="F949" s="185" t="str">
        <f t="shared" si="294"/>
        <v/>
      </c>
      <c r="G949" s="186" t="str">
        <f t="shared" si="285"/>
        <v/>
      </c>
      <c r="H949" s="187"/>
      <c r="I949" s="188" t="str">
        <f t="shared" si="295"/>
        <v/>
      </c>
      <c r="J949" s="188" t="str">
        <f t="shared" si="296"/>
        <v/>
      </c>
      <c r="K949" s="189" t="str">
        <f t="shared" si="297"/>
        <v/>
      </c>
      <c r="L949" s="189" t="str">
        <f t="shared" si="298"/>
        <v/>
      </c>
      <c r="M949" s="190"/>
      <c r="N949" s="190"/>
      <c r="O949" s="188" t="str">
        <f t="shared" si="299"/>
        <v/>
      </c>
      <c r="P949" s="191" t="str">
        <f t="shared" si="286"/>
        <v/>
      </c>
      <c r="Q949" s="192" t="str">
        <f t="shared" si="300"/>
        <v/>
      </c>
      <c r="R949" s="191" t="str">
        <f t="shared" si="287"/>
        <v/>
      </c>
      <c r="S949" s="193" t="str">
        <f t="shared" si="301"/>
        <v/>
      </c>
      <c r="T949" s="194" t="str">
        <f t="shared" si="288"/>
        <v/>
      </c>
      <c r="U949" s="192" t="str">
        <f t="shared" si="302"/>
        <v/>
      </c>
      <c r="V949" s="195" t="str">
        <f t="shared" si="289"/>
        <v/>
      </c>
      <c r="W949" s="195" t="str">
        <f t="shared" si="290"/>
        <v/>
      </c>
      <c r="X949" s="196" t="str">
        <f t="shared" si="303"/>
        <v/>
      </c>
      <c r="Y949" s="191" t="str">
        <f t="shared" si="304"/>
        <v/>
      </c>
      <c r="Z949" s="197" t="str">
        <f t="shared" si="291"/>
        <v/>
      </c>
      <c r="AA949" s="197" t="str">
        <f t="shared" si="292"/>
        <v/>
      </c>
      <c r="AB949" s="218"/>
      <c r="AC949" s="205"/>
    </row>
    <row r="950" spans="1:29">
      <c r="A950" s="219" t="str">
        <f t="shared" si="293"/>
        <v/>
      </c>
      <c r="B950" s="219"/>
      <c r="C950" s="184"/>
      <c r="D950" s="185"/>
      <c r="E950" s="185" t="str">
        <f>IF(OR(C950="",C950=Data!$B$3),"",IF(C950=Data!$B$2,"L","S"))</f>
        <v/>
      </c>
      <c r="F950" s="185" t="str">
        <f t="shared" si="294"/>
        <v/>
      </c>
      <c r="G950" s="186" t="str">
        <f t="shared" si="285"/>
        <v/>
      </c>
      <c r="H950" s="187"/>
      <c r="I950" s="188" t="str">
        <f t="shared" si="295"/>
        <v/>
      </c>
      <c r="J950" s="188" t="str">
        <f t="shared" si="296"/>
        <v/>
      </c>
      <c r="K950" s="189" t="str">
        <f t="shared" si="297"/>
        <v/>
      </c>
      <c r="L950" s="189" t="str">
        <f t="shared" si="298"/>
        <v/>
      </c>
      <c r="M950" s="190"/>
      <c r="N950" s="190"/>
      <c r="O950" s="188" t="str">
        <f t="shared" si="299"/>
        <v/>
      </c>
      <c r="P950" s="191" t="str">
        <f t="shared" si="286"/>
        <v/>
      </c>
      <c r="Q950" s="192" t="str">
        <f t="shared" si="300"/>
        <v/>
      </c>
      <c r="R950" s="191" t="str">
        <f t="shared" si="287"/>
        <v/>
      </c>
      <c r="S950" s="193" t="str">
        <f t="shared" si="301"/>
        <v/>
      </c>
      <c r="T950" s="194" t="str">
        <f t="shared" si="288"/>
        <v/>
      </c>
      <c r="U950" s="192" t="str">
        <f t="shared" si="302"/>
        <v/>
      </c>
      <c r="V950" s="195" t="str">
        <f t="shared" si="289"/>
        <v/>
      </c>
      <c r="W950" s="195" t="str">
        <f t="shared" si="290"/>
        <v/>
      </c>
      <c r="X950" s="196" t="str">
        <f t="shared" si="303"/>
        <v/>
      </c>
      <c r="Y950" s="191" t="str">
        <f t="shared" si="304"/>
        <v/>
      </c>
      <c r="Z950" s="197" t="str">
        <f t="shared" si="291"/>
        <v/>
      </c>
      <c r="AA950" s="197" t="str">
        <f t="shared" si="292"/>
        <v/>
      </c>
      <c r="AB950" s="218"/>
      <c r="AC950" s="205"/>
    </row>
    <row r="951" spans="1:29">
      <c r="A951" s="219" t="str">
        <f t="shared" si="293"/>
        <v/>
      </c>
      <c r="B951" s="219"/>
      <c r="C951" s="184"/>
      <c r="D951" s="185"/>
      <c r="E951" s="185" t="str">
        <f>IF(OR(C951="",C951=Data!$B$3),"",IF(C951=Data!$B$2,"L","S"))</f>
        <v/>
      </c>
      <c r="F951" s="185" t="str">
        <f t="shared" si="294"/>
        <v/>
      </c>
      <c r="G951" s="186" t="str">
        <f t="shared" si="285"/>
        <v/>
      </c>
      <c r="H951" s="187"/>
      <c r="I951" s="188" t="str">
        <f t="shared" si="295"/>
        <v/>
      </c>
      <c r="J951" s="188" t="str">
        <f t="shared" si="296"/>
        <v/>
      </c>
      <c r="K951" s="189" t="str">
        <f t="shared" si="297"/>
        <v/>
      </c>
      <c r="L951" s="189" t="str">
        <f t="shared" si="298"/>
        <v/>
      </c>
      <c r="M951" s="190"/>
      <c r="N951" s="190"/>
      <c r="O951" s="188" t="str">
        <f t="shared" si="299"/>
        <v/>
      </c>
      <c r="P951" s="191" t="str">
        <f t="shared" si="286"/>
        <v/>
      </c>
      <c r="Q951" s="192" t="str">
        <f t="shared" si="300"/>
        <v/>
      </c>
      <c r="R951" s="191" t="str">
        <f t="shared" si="287"/>
        <v/>
      </c>
      <c r="S951" s="193" t="str">
        <f t="shared" si="301"/>
        <v/>
      </c>
      <c r="T951" s="194" t="str">
        <f t="shared" si="288"/>
        <v/>
      </c>
      <c r="U951" s="192" t="str">
        <f t="shared" si="302"/>
        <v/>
      </c>
      <c r="V951" s="195" t="str">
        <f t="shared" si="289"/>
        <v/>
      </c>
      <c r="W951" s="195" t="str">
        <f t="shared" si="290"/>
        <v/>
      </c>
      <c r="X951" s="196" t="str">
        <f t="shared" si="303"/>
        <v/>
      </c>
      <c r="Y951" s="191" t="str">
        <f t="shared" si="304"/>
        <v/>
      </c>
      <c r="Z951" s="197" t="str">
        <f t="shared" si="291"/>
        <v/>
      </c>
      <c r="AA951" s="197" t="str">
        <f t="shared" si="292"/>
        <v/>
      </c>
      <c r="AB951" s="218"/>
      <c r="AC951" s="205"/>
    </row>
    <row r="952" spans="1:29">
      <c r="A952" s="219" t="str">
        <f t="shared" si="293"/>
        <v/>
      </c>
      <c r="B952" s="219"/>
      <c r="C952" s="184"/>
      <c r="D952" s="185"/>
      <c r="E952" s="185" t="str">
        <f>IF(OR(C952="",C952=Data!$B$3),"",IF(C952=Data!$B$2,"L","S"))</f>
        <v/>
      </c>
      <c r="F952" s="185" t="str">
        <f t="shared" si="294"/>
        <v/>
      </c>
      <c r="G952" s="186" t="str">
        <f t="shared" si="285"/>
        <v/>
      </c>
      <c r="H952" s="187"/>
      <c r="I952" s="188" t="str">
        <f t="shared" si="295"/>
        <v/>
      </c>
      <c r="J952" s="188" t="str">
        <f t="shared" si="296"/>
        <v/>
      </c>
      <c r="K952" s="189" t="str">
        <f t="shared" si="297"/>
        <v/>
      </c>
      <c r="L952" s="189" t="str">
        <f t="shared" si="298"/>
        <v/>
      </c>
      <c r="M952" s="190"/>
      <c r="N952" s="190"/>
      <c r="O952" s="188" t="str">
        <f t="shared" si="299"/>
        <v/>
      </c>
      <c r="P952" s="191" t="str">
        <f t="shared" si="286"/>
        <v/>
      </c>
      <c r="Q952" s="192" t="str">
        <f t="shared" si="300"/>
        <v/>
      </c>
      <c r="R952" s="191" t="str">
        <f t="shared" si="287"/>
        <v/>
      </c>
      <c r="S952" s="193" t="str">
        <f t="shared" si="301"/>
        <v/>
      </c>
      <c r="T952" s="194" t="str">
        <f t="shared" si="288"/>
        <v/>
      </c>
      <c r="U952" s="192" t="str">
        <f t="shared" si="302"/>
        <v/>
      </c>
      <c r="V952" s="195" t="str">
        <f t="shared" si="289"/>
        <v/>
      </c>
      <c r="W952" s="195" t="str">
        <f t="shared" si="290"/>
        <v/>
      </c>
      <c r="X952" s="196" t="str">
        <f t="shared" si="303"/>
        <v/>
      </c>
      <c r="Y952" s="191" t="str">
        <f t="shared" si="304"/>
        <v/>
      </c>
      <c r="Z952" s="197" t="str">
        <f t="shared" si="291"/>
        <v/>
      </c>
      <c r="AA952" s="197" t="str">
        <f t="shared" si="292"/>
        <v/>
      </c>
      <c r="AB952" s="218"/>
      <c r="AC952" s="205"/>
    </row>
    <row r="953" spans="1:29">
      <c r="A953" s="219" t="str">
        <f t="shared" si="293"/>
        <v/>
      </c>
      <c r="B953" s="219"/>
      <c r="C953" s="184"/>
      <c r="D953" s="185"/>
      <c r="E953" s="185" t="str">
        <f>IF(OR(C953="",C953=Data!$B$3),"",IF(C953=Data!$B$2,"L","S"))</f>
        <v/>
      </c>
      <c r="F953" s="185" t="str">
        <f t="shared" si="294"/>
        <v/>
      </c>
      <c r="G953" s="186" t="str">
        <f t="shared" si="285"/>
        <v/>
      </c>
      <c r="H953" s="187"/>
      <c r="I953" s="188" t="str">
        <f t="shared" si="295"/>
        <v/>
      </c>
      <c r="J953" s="188" t="str">
        <f t="shared" si="296"/>
        <v/>
      </c>
      <c r="K953" s="189" t="str">
        <f t="shared" si="297"/>
        <v/>
      </c>
      <c r="L953" s="189" t="str">
        <f t="shared" si="298"/>
        <v/>
      </c>
      <c r="M953" s="190"/>
      <c r="N953" s="190"/>
      <c r="O953" s="188" t="str">
        <f t="shared" si="299"/>
        <v/>
      </c>
      <c r="P953" s="191" t="str">
        <f t="shared" si="286"/>
        <v/>
      </c>
      <c r="Q953" s="192" t="str">
        <f t="shared" si="300"/>
        <v/>
      </c>
      <c r="R953" s="191" t="str">
        <f t="shared" si="287"/>
        <v/>
      </c>
      <c r="S953" s="193" t="str">
        <f t="shared" si="301"/>
        <v/>
      </c>
      <c r="T953" s="194" t="str">
        <f t="shared" si="288"/>
        <v/>
      </c>
      <c r="U953" s="192" t="str">
        <f t="shared" si="302"/>
        <v/>
      </c>
      <c r="V953" s="195" t="str">
        <f t="shared" si="289"/>
        <v/>
      </c>
      <c r="W953" s="195" t="str">
        <f t="shared" si="290"/>
        <v/>
      </c>
      <c r="X953" s="196" t="str">
        <f t="shared" si="303"/>
        <v/>
      </c>
      <c r="Y953" s="191" t="str">
        <f t="shared" si="304"/>
        <v/>
      </c>
      <c r="Z953" s="197" t="str">
        <f t="shared" si="291"/>
        <v/>
      </c>
      <c r="AA953" s="197" t="str">
        <f t="shared" si="292"/>
        <v/>
      </c>
      <c r="AB953" s="218"/>
      <c r="AC953" s="205"/>
    </row>
    <row r="954" spans="1:29">
      <c r="A954" s="219" t="str">
        <f t="shared" si="293"/>
        <v/>
      </c>
      <c r="B954" s="219"/>
      <c r="C954" s="184"/>
      <c r="D954" s="185"/>
      <c r="E954" s="185" t="str">
        <f>IF(OR(C954="",C954=Data!$B$3),"",IF(C954=Data!$B$2,"L","S"))</f>
        <v/>
      </c>
      <c r="F954" s="185" t="str">
        <f t="shared" si="294"/>
        <v/>
      </c>
      <c r="G954" s="186" t="str">
        <f t="shared" si="285"/>
        <v/>
      </c>
      <c r="H954" s="187"/>
      <c r="I954" s="188" t="str">
        <f t="shared" si="295"/>
        <v/>
      </c>
      <c r="J954" s="188" t="str">
        <f t="shared" si="296"/>
        <v/>
      </c>
      <c r="K954" s="189" t="str">
        <f t="shared" si="297"/>
        <v/>
      </c>
      <c r="L954" s="189" t="str">
        <f t="shared" si="298"/>
        <v/>
      </c>
      <c r="M954" s="190"/>
      <c r="N954" s="190"/>
      <c r="O954" s="188" t="str">
        <f t="shared" si="299"/>
        <v/>
      </c>
      <c r="P954" s="191" t="str">
        <f t="shared" si="286"/>
        <v/>
      </c>
      <c r="Q954" s="192" t="str">
        <f t="shared" si="300"/>
        <v/>
      </c>
      <c r="R954" s="191" t="str">
        <f t="shared" si="287"/>
        <v/>
      </c>
      <c r="S954" s="193" t="str">
        <f t="shared" si="301"/>
        <v/>
      </c>
      <c r="T954" s="194" t="str">
        <f t="shared" si="288"/>
        <v/>
      </c>
      <c r="U954" s="192" t="str">
        <f t="shared" si="302"/>
        <v/>
      </c>
      <c r="V954" s="195" t="str">
        <f t="shared" si="289"/>
        <v/>
      </c>
      <c r="W954" s="195" t="str">
        <f t="shared" si="290"/>
        <v/>
      </c>
      <c r="X954" s="196" t="str">
        <f t="shared" si="303"/>
        <v/>
      </c>
      <c r="Y954" s="191" t="str">
        <f t="shared" si="304"/>
        <v/>
      </c>
      <c r="Z954" s="197" t="str">
        <f t="shared" si="291"/>
        <v/>
      </c>
      <c r="AA954" s="197" t="str">
        <f t="shared" si="292"/>
        <v/>
      </c>
      <c r="AB954" s="218"/>
      <c r="AC954" s="205"/>
    </row>
    <row r="955" spans="1:29">
      <c r="A955" s="219" t="str">
        <f t="shared" si="293"/>
        <v/>
      </c>
      <c r="B955" s="219"/>
      <c r="C955" s="184"/>
      <c r="D955" s="185"/>
      <c r="E955" s="185" t="str">
        <f>IF(OR(C955="",C955=Data!$B$3),"",IF(C955=Data!$B$2,"L","S"))</f>
        <v/>
      </c>
      <c r="F955" s="185" t="str">
        <f t="shared" si="294"/>
        <v/>
      </c>
      <c r="G955" s="186" t="str">
        <f t="shared" si="285"/>
        <v/>
      </c>
      <c r="H955" s="187"/>
      <c r="I955" s="188" t="str">
        <f t="shared" si="295"/>
        <v/>
      </c>
      <c r="J955" s="188" t="str">
        <f t="shared" si="296"/>
        <v/>
      </c>
      <c r="K955" s="189" t="str">
        <f t="shared" si="297"/>
        <v/>
      </c>
      <c r="L955" s="189" t="str">
        <f t="shared" si="298"/>
        <v/>
      </c>
      <c r="M955" s="190"/>
      <c r="N955" s="190"/>
      <c r="O955" s="188" t="str">
        <f t="shared" si="299"/>
        <v/>
      </c>
      <c r="P955" s="191" t="str">
        <f t="shared" si="286"/>
        <v/>
      </c>
      <c r="Q955" s="192" t="str">
        <f t="shared" si="300"/>
        <v/>
      </c>
      <c r="R955" s="191" t="str">
        <f t="shared" si="287"/>
        <v/>
      </c>
      <c r="S955" s="193" t="str">
        <f t="shared" si="301"/>
        <v/>
      </c>
      <c r="T955" s="194" t="str">
        <f t="shared" si="288"/>
        <v/>
      </c>
      <c r="U955" s="192" t="str">
        <f t="shared" si="302"/>
        <v/>
      </c>
      <c r="V955" s="195" t="str">
        <f t="shared" si="289"/>
        <v/>
      </c>
      <c r="W955" s="195" t="str">
        <f t="shared" si="290"/>
        <v/>
      </c>
      <c r="X955" s="196" t="str">
        <f t="shared" si="303"/>
        <v/>
      </c>
      <c r="Y955" s="191" t="str">
        <f t="shared" si="304"/>
        <v/>
      </c>
      <c r="Z955" s="197" t="str">
        <f t="shared" si="291"/>
        <v/>
      </c>
      <c r="AA955" s="197" t="str">
        <f t="shared" si="292"/>
        <v/>
      </c>
      <c r="AB955" s="218"/>
      <c r="AC955" s="205"/>
    </row>
    <row r="956" spans="1:29">
      <c r="A956" s="219" t="str">
        <f t="shared" si="293"/>
        <v/>
      </c>
      <c r="B956" s="219"/>
      <c r="C956" s="184"/>
      <c r="D956" s="185"/>
      <c r="E956" s="185" t="str">
        <f>IF(OR(C956="",C956=Data!$B$3),"",IF(C956=Data!$B$2,"L","S"))</f>
        <v/>
      </c>
      <c r="F956" s="185" t="str">
        <f t="shared" si="294"/>
        <v/>
      </c>
      <c r="G956" s="186" t="str">
        <f t="shared" si="285"/>
        <v/>
      </c>
      <c r="H956" s="187"/>
      <c r="I956" s="188" t="str">
        <f t="shared" si="295"/>
        <v/>
      </c>
      <c r="J956" s="188" t="str">
        <f t="shared" si="296"/>
        <v/>
      </c>
      <c r="K956" s="189" t="str">
        <f t="shared" si="297"/>
        <v/>
      </c>
      <c r="L956" s="189" t="str">
        <f t="shared" si="298"/>
        <v/>
      </c>
      <c r="M956" s="190"/>
      <c r="N956" s="190"/>
      <c r="O956" s="188" t="str">
        <f t="shared" si="299"/>
        <v/>
      </c>
      <c r="P956" s="191" t="str">
        <f t="shared" si="286"/>
        <v/>
      </c>
      <c r="Q956" s="192" t="str">
        <f t="shared" si="300"/>
        <v/>
      </c>
      <c r="R956" s="191" t="str">
        <f t="shared" si="287"/>
        <v/>
      </c>
      <c r="S956" s="193" t="str">
        <f t="shared" si="301"/>
        <v/>
      </c>
      <c r="T956" s="194" t="str">
        <f t="shared" si="288"/>
        <v/>
      </c>
      <c r="U956" s="192" t="str">
        <f t="shared" si="302"/>
        <v/>
      </c>
      <c r="V956" s="195" t="str">
        <f t="shared" si="289"/>
        <v/>
      </c>
      <c r="W956" s="195" t="str">
        <f t="shared" si="290"/>
        <v/>
      </c>
      <c r="X956" s="196" t="str">
        <f t="shared" si="303"/>
        <v/>
      </c>
      <c r="Y956" s="191" t="str">
        <f t="shared" si="304"/>
        <v/>
      </c>
      <c r="Z956" s="197" t="str">
        <f t="shared" si="291"/>
        <v/>
      </c>
      <c r="AA956" s="197" t="str">
        <f t="shared" si="292"/>
        <v/>
      </c>
      <c r="AB956" s="218"/>
      <c r="AC956" s="205"/>
    </row>
    <row r="957" spans="1:29">
      <c r="A957" s="219" t="str">
        <f t="shared" si="293"/>
        <v/>
      </c>
      <c r="B957" s="219"/>
      <c r="C957" s="184"/>
      <c r="D957" s="185"/>
      <c r="E957" s="185" t="str">
        <f>IF(OR(C957="",C957=Data!$B$3),"",IF(C957=Data!$B$2,"L","S"))</f>
        <v/>
      </c>
      <c r="F957" s="185" t="str">
        <f t="shared" si="294"/>
        <v/>
      </c>
      <c r="G957" s="186" t="str">
        <f t="shared" si="285"/>
        <v/>
      </c>
      <c r="H957" s="187"/>
      <c r="I957" s="188" t="str">
        <f t="shared" si="295"/>
        <v/>
      </c>
      <c r="J957" s="188" t="str">
        <f t="shared" si="296"/>
        <v/>
      </c>
      <c r="K957" s="189" t="str">
        <f t="shared" si="297"/>
        <v/>
      </c>
      <c r="L957" s="189" t="str">
        <f t="shared" si="298"/>
        <v/>
      </c>
      <c r="M957" s="190"/>
      <c r="N957" s="190"/>
      <c r="O957" s="188" t="str">
        <f t="shared" si="299"/>
        <v/>
      </c>
      <c r="P957" s="191" t="str">
        <f t="shared" si="286"/>
        <v/>
      </c>
      <c r="Q957" s="192" t="str">
        <f t="shared" si="300"/>
        <v/>
      </c>
      <c r="R957" s="191" t="str">
        <f t="shared" si="287"/>
        <v/>
      </c>
      <c r="S957" s="193" t="str">
        <f t="shared" si="301"/>
        <v/>
      </c>
      <c r="T957" s="194" t="str">
        <f t="shared" si="288"/>
        <v/>
      </c>
      <c r="U957" s="192" t="str">
        <f t="shared" si="302"/>
        <v/>
      </c>
      <c r="V957" s="195" t="str">
        <f t="shared" si="289"/>
        <v/>
      </c>
      <c r="W957" s="195" t="str">
        <f t="shared" si="290"/>
        <v/>
      </c>
      <c r="X957" s="196" t="str">
        <f t="shared" si="303"/>
        <v/>
      </c>
      <c r="Y957" s="191" t="str">
        <f t="shared" si="304"/>
        <v/>
      </c>
      <c r="Z957" s="197" t="str">
        <f t="shared" si="291"/>
        <v/>
      </c>
      <c r="AA957" s="197" t="str">
        <f t="shared" si="292"/>
        <v/>
      </c>
      <c r="AB957" s="218"/>
      <c r="AC957" s="205"/>
    </row>
    <row r="958" spans="1:29">
      <c r="A958" s="219" t="str">
        <f t="shared" si="293"/>
        <v/>
      </c>
      <c r="B958" s="219"/>
      <c r="C958" s="184"/>
      <c r="D958" s="185"/>
      <c r="E958" s="185" t="str">
        <f>IF(OR(C958="",C958=Data!$B$3),"",IF(C958=Data!$B$2,"L","S"))</f>
        <v/>
      </c>
      <c r="F958" s="185" t="str">
        <f t="shared" si="294"/>
        <v/>
      </c>
      <c r="G958" s="186" t="str">
        <f t="shared" si="285"/>
        <v/>
      </c>
      <c r="H958" s="187"/>
      <c r="I958" s="188" t="str">
        <f t="shared" si="295"/>
        <v/>
      </c>
      <c r="J958" s="188" t="str">
        <f t="shared" si="296"/>
        <v/>
      </c>
      <c r="K958" s="189" t="str">
        <f t="shared" si="297"/>
        <v/>
      </c>
      <c r="L958" s="189" t="str">
        <f t="shared" si="298"/>
        <v/>
      </c>
      <c r="M958" s="190"/>
      <c r="N958" s="190"/>
      <c r="O958" s="188" t="str">
        <f t="shared" si="299"/>
        <v/>
      </c>
      <c r="P958" s="191" t="str">
        <f t="shared" si="286"/>
        <v/>
      </c>
      <c r="Q958" s="192" t="str">
        <f t="shared" si="300"/>
        <v/>
      </c>
      <c r="R958" s="191" t="str">
        <f t="shared" si="287"/>
        <v/>
      </c>
      <c r="S958" s="193" t="str">
        <f t="shared" si="301"/>
        <v/>
      </c>
      <c r="T958" s="194" t="str">
        <f t="shared" si="288"/>
        <v/>
      </c>
      <c r="U958" s="192" t="str">
        <f t="shared" si="302"/>
        <v/>
      </c>
      <c r="V958" s="195" t="str">
        <f t="shared" si="289"/>
        <v/>
      </c>
      <c r="W958" s="195" t="str">
        <f t="shared" si="290"/>
        <v/>
      </c>
      <c r="X958" s="196" t="str">
        <f t="shared" si="303"/>
        <v/>
      </c>
      <c r="Y958" s="191" t="str">
        <f t="shared" si="304"/>
        <v/>
      </c>
      <c r="Z958" s="197" t="str">
        <f t="shared" si="291"/>
        <v/>
      </c>
      <c r="AA958" s="197" t="str">
        <f t="shared" si="292"/>
        <v/>
      </c>
      <c r="AB958" s="218"/>
      <c r="AC958" s="205"/>
    </row>
    <row r="959" spans="1:29">
      <c r="A959" s="219" t="str">
        <f t="shared" si="293"/>
        <v/>
      </c>
      <c r="B959" s="219"/>
      <c r="C959" s="184"/>
      <c r="D959" s="185"/>
      <c r="E959" s="185" t="str">
        <f>IF(OR(C959="",C959=Data!$B$3),"",IF(C959=Data!$B$2,"L","S"))</f>
        <v/>
      </c>
      <c r="F959" s="185" t="str">
        <f t="shared" si="294"/>
        <v/>
      </c>
      <c r="G959" s="186" t="str">
        <f t="shared" si="285"/>
        <v/>
      </c>
      <c r="H959" s="187"/>
      <c r="I959" s="188" t="str">
        <f t="shared" si="295"/>
        <v/>
      </c>
      <c r="J959" s="188" t="str">
        <f t="shared" si="296"/>
        <v/>
      </c>
      <c r="K959" s="189" t="str">
        <f t="shared" si="297"/>
        <v/>
      </c>
      <c r="L959" s="189" t="str">
        <f t="shared" si="298"/>
        <v/>
      </c>
      <c r="M959" s="190"/>
      <c r="N959" s="190"/>
      <c r="O959" s="188" t="str">
        <f t="shared" si="299"/>
        <v/>
      </c>
      <c r="P959" s="191" t="str">
        <f t="shared" si="286"/>
        <v/>
      </c>
      <c r="Q959" s="192" t="str">
        <f t="shared" si="300"/>
        <v/>
      </c>
      <c r="R959" s="191" t="str">
        <f t="shared" si="287"/>
        <v/>
      </c>
      <c r="S959" s="193" t="str">
        <f t="shared" si="301"/>
        <v/>
      </c>
      <c r="T959" s="194" t="str">
        <f t="shared" si="288"/>
        <v/>
      </c>
      <c r="U959" s="192" t="str">
        <f t="shared" si="302"/>
        <v/>
      </c>
      <c r="V959" s="195" t="str">
        <f t="shared" si="289"/>
        <v/>
      </c>
      <c r="W959" s="195" t="str">
        <f t="shared" si="290"/>
        <v/>
      </c>
      <c r="X959" s="196" t="str">
        <f t="shared" si="303"/>
        <v/>
      </c>
      <c r="Y959" s="191" t="str">
        <f t="shared" si="304"/>
        <v/>
      </c>
      <c r="Z959" s="197" t="str">
        <f t="shared" si="291"/>
        <v/>
      </c>
      <c r="AA959" s="197" t="str">
        <f t="shared" si="292"/>
        <v/>
      </c>
      <c r="AB959" s="218"/>
      <c r="AC959" s="205"/>
    </row>
    <row r="960" spans="1:29">
      <c r="A960" s="219" t="str">
        <f t="shared" si="293"/>
        <v/>
      </c>
      <c r="B960" s="219"/>
      <c r="C960" s="184"/>
      <c r="D960" s="185"/>
      <c r="E960" s="185" t="str">
        <f>IF(OR(C960="",C960=Data!$B$3),"",IF(C960=Data!$B$2,"L","S"))</f>
        <v/>
      </c>
      <c r="F960" s="185" t="str">
        <f t="shared" si="294"/>
        <v/>
      </c>
      <c r="G960" s="186" t="str">
        <f t="shared" si="285"/>
        <v/>
      </c>
      <c r="H960" s="187"/>
      <c r="I960" s="188" t="str">
        <f t="shared" si="295"/>
        <v/>
      </c>
      <c r="J960" s="188" t="str">
        <f t="shared" si="296"/>
        <v/>
      </c>
      <c r="K960" s="189" t="str">
        <f t="shared" si="297"/>
        <v/>
      </c>
      <c r="L960" s="189" t="str">
        <f t="shared" si="298"/>
        <v/>
      </c>
      <c r="M960" s="190"/>
      <c r="N960" s="190"/>
      <c r="O960" s="188" t="str">
        <f t="shared" si="299"/>
        <v/>
      </c>
      <c r="P960" s="191" t="str">
        <f t="shared" si="286"/>
        <v/>
      </c>
      <c r="Q960" s="192" t="str">
        <f t="shared" si="300"/>
        <v/>
      </c>
      <c r="R960" s="191" t="str">
        <f t="shared" si="287"/>
        <v/>
      </c>
      <c r="S960" s="193" t="str">
        <f t="shared" si="301"/>
        <v/>
      </c>
      <c r="T960" s="194" t="str">
        <f t="shared" si="288"/>
        <v/>
      </c>
      <c r="U960" s="192" t="str">
        <f t="shared" si="302"/>
        <v/>
      </c>
      <c r="V960" s="195" t="str">
        <f t="shared" si="289"/>
        <v/>
      </c>
      <c r="W960" s="195" t="str">
        <f t="shared" si="290"/>
        <v/>
      </c>
      <c r="X960" s="196" t="str">
        <f t="shared" si="303"/>
        <v/>
      </c>
      <c r="Y960" s="191" t="str">
        <f t="shared" si="304"/>
        <v/>
      </c>
      <c r="Z960" s="197" t="str">
        <f t="shared" si="291"/>
        <v/>
      </c>
      <c r="AA960" s="197" t="str">
        <f t="shared" si="292"/>
        <v/>
      </c>
      <c r="AB960" s="218"/>
      <c r="AC960" s="205"/>
    </row>
    <row r="961" spans="1:29">
      <c r="A961" s="219" t="str">
        <f t="shared" si="293"/>
        <v/>
      </c>
      <c r="B961" s="219"/>
      <c r="C961" s="184"/>
      <c r="D961" s="185"/>
      <c r="E961" s="185" t="str">
        <f>IF(OR(C961="",C961=Data!$B$3),"",IF(C961=Data!$B$2,"L","S"))</f>
        <v/>
      </c>
      <c r="F961" s="185" t="str">
        <f t="shared" si="294"/>
        <v/>
      </c>
      <c r="G961" s="186" t="str">
        <f t="shared" si="285"/>
        <v/>
      </c>
      <c r="H961" s="187"/>
      <c r="I961" s="188" t="str">
        <f t="shared" si="295"/>
        <v/>
      </c>
      <c r="J961" s="188" t="str">
        <f t="shared" si="296"/>
        <v/>
      </c>
      <c r="K961" s="189" t="str">
        <f t="shared" si="297"/>
        <v/>
      </c>
      <c r="L961" s="189" t="str">
        <f t="shared" si="298"/>
        <v/>
      </c>
      <c r="M961" s="190"/>
      <c r="N961" s="190"/>
      <c r="O961" s="188" t="str">
        <f t="shared" si="299"/>
        <v/>
      </c>
      <c r="P961" s="191" t="str">
        <f t="shared" si="286"/>
        <v/>
      </c>
      <c r="Q961" s="192" t="str">
        <f t="shared" si="300"/>
        <v/>
      </c>
      <c r="R961" s="191" t="str">
        <f t="shared" si="287"/>
        <v/>
      </c>
      <c r="S961" s="193" t="str">
        <f t="shared" si="301"/>
        <v/>
      </c>
      <c r="T961" s="194" t="str">
        <f t="shared" si="288"/>
        <v/>
      </c>
      <c r="U961" s="192" t="str">
        <f t="shared" si="302"/>
        <v/>
      </c>
      <c r="V961" s="195" t="str">
        <f t="shared" si="289"/>
        <v/>
      </c>
      <c r="W961" s="195" t="str">
        <f t="shared" si="290"/>
        <v/>
      </c>
      <c r="X961" s="196" t="str">
        <f t="shared" si="303"/>
        <v/>
      </c>
      <c r="Y961" s="191" t="str">
        <f t="shared" si="304"/>
        <v/>
      </c>
      <c r="Z961" s="197" t="str">
        <f t="shared" si="291"/>
        <v/>
      </c>
      <c r="AA961" s="197" t="str">
        <f t="shared" si="292"/>
        <v/>
      </c>
      <c r="AB961" s="218"/>
      <c r="AC961" s="205"/>
    </row>
    <row r="962" spans="1:29">
      <c r="A962" s="219" t="str">
        <f t="shared" si="293"/>
        <v/>
      </c>
      <c r="B962" s="219"/>
      <c r="C962" s="184"/>
      <c r="D962" s="185"/>
      <c r="E962" s="185" t="str">
        <f>IF(OR(C962="",C962=Data!$B$3),"",IF(C962=Data!$B$2,"L","S"))</f>
        <v/>
      </c>
      <c r="F962" s="185" t="str">
        <f t="shared" si="294"/>
        <v/>
      </c>
      <c r="G962" s="186" t="str">
        <f t="shared" si="285"/>
        <v/>
      </c>
      <c r="H962" s="187"/>
      <c r="I962" s="188" t="str">
        <f t="shared" si="295"/>
        <v/>
      </c>
      <c r="J962" s="188" t="str">
        <f t="shared" si="296"/>
        <v/>
      </c>
      <c r="K962" s="189" t="str">
        <f t="shared" si="297"/>
        <v/>
      </c>
      <c r="L962" s="189" t="str">
        <f t="shared" si="298"/>
        <v/>
      </c>
      <c r="M962" s="190"/>
      <c r="N962" s="190"/>
      <c r="O962" s="188" t="str">
        <f t="shared" si="299"/>
        <v/>
      </c>
      <c r="P962" s="191" t="str">
        <f t="shared" si="286"/>
        <v/>
      </c>
      <c r="Q962" s="192" t="str">
        <f t="shared" si="300"/>
        <v/>
      </c>
      <c r="R962" s="191" t="str">
        <f t="shared" si="287"/>
        <v/>
      </c>
      <c r="S962" s="193" t="str">
        <f t="shared" si="301"/>
        <v/>
      </c>
      <c r="T962" s="194" t="str">
        <f t="shared" si="288"/>
        <v/>
      </c>
      <c r="U962" s="192" t="str">
        <f t="shared" si="302"/>
        <v/>
      </c>
      <c r="V962" s="195" t="str">
        <f t="shared" si="289"/>
        <v/>
      </c>
      <c r="W962" s="195" t="str">
        <f t="shared" si="290"/>
        <v/>
      </c>
      <c r="X962" s="196" t="str">
        <f t="shared" si="303"/>
        <v/>
      </c>
      <c r="Y962" s="191" t="str">
        <f t="shared" si="304"/>
        <v/>
      </c>
      <c r="Z962" s="197" t="str">
        <f t="shared" si="291"/>
        <v/>
      </c>
      <c r="AA962" s="197" t="str">
        <f t="shared" si="292"/>
        <v/>
      </c>
      <c r="AB962" s="218"/>
      <c r="AC962" s="205"/>
    </row>
    <row r="963" spans="1:29">
      <c r="A963" s="219" t="str">
        <f t="shared" si="293"/>
        <v/>
      </c>
      <c r="B963" s="219"/>
      <c r="C963" s="184"/>
      <c r="D963" s="185"/>
      <c r="E963" s="185" t="str">
        <f>IF(OR(C963="",C963=Data!$B$3),"",IF(C963=Data!$B$2,"L","S"))</f>
        <v/>
      </c>
      <c r="F963" s="185" t="str">
        <f t="shared" si="294"/>
        <v/>
      </c>
      <c r="G963" s="186" t="str">
        <f t="shared" si="285"/>
        <v/>
      </c>
      <c r="H963" s="187"/>
      <c r="I963" s="188" t="str">
        <f t="shared" si="295"/>
        <v/>
      </c>
      <c r="J963" s="188" t="str">
        <f t="shared" si="296"/>
        <v/>
      </c>
      <c r="K963" s="189" t="str">
        <f t="shared" si="297"/>
        <v/>
      </c>
      <c r="L963" s="189" t="str">
        <f t="shared" si="298"/>
        <v/>
      </c>
      <c r="M963" s="190"/>
      <c r="N963" s="190"/>
      <c r="O963" s="188" t="str">
        <f t="shared" si="299"/>
        <v/>
      </c>
      <c r="P963" s="191" t="str">
        <f t="shared" si="286"/>
        <v/>
      </c>
      <c r="Q963" s="192" t="str">
        <f t="shared" si="300"/>
        <v/>
      </c>
      <c r="R963" s="191" t="str">
        <f t="shared" si="287"/>
        <v/>
      </c>
      <c r="S963" s="193" t="str">
        <f t="shared" si="301"/>
        <v/>
      </c>
      <c r="T963" s="194" t="str">
        <f t="shared" si="288"/>
        <v/>
      </c>
      <c r="U963" s="192" t="str">
        <f t="shared" si="302"/>
        <v/>
      </c>
      <c r="V963" s="195" t="str">
        <f t="shared" si="289"/>
        <v/>
      </c>
      <c r="W963" s="195" t="str">
        <f t="shared" si="290"/>
        <v/>
      </c>
      <c r="X963" s="196" t="str">
        <f t="shared" si="303"/>
        <v/>
      </c>
      <c r="Y963" s="191" t="str">
        <f t="shared" si="304"/>
        <v/>
      </c>
      <c r="Z963" s="197" t="str">
        <f t="shared" si="291"/>
        <v/>
      </c>
      <c r="AA963" s="197" t="str">
        <f t="shared" si="292"/>
        <v/>
      </c>
      <c r="AB963" s="218"/>
      <c r="AC963" s="205"/>
    </row>
    <row r="964" spans="1:29">
      <c r="A964" s="219" t="str">
        <f t="shared" si="293"/>
        <v/>
      </c>
      <c r="B964" s="219"/>
      <c r="C964" s="184"/>
      <c r="D964" s="185"/>
      <c r="E964" s="185" t="str">
        <f>IF(OR(C964="",C964=Data!$B$3),"",IF(C964=Data!$B$2,"L","S"))</f>
        <v/>
      </c>
      <c r="F964" s="185" t="str">
        <f t="shared" si="294"/>
        <v/>
      </c>
      <c r="G964" s="186" t="str">
        <f t="shared" si="285"/>
        <v/>
      </c>
      <c r="H964" s="187"/>
      <c r="I964" s="188" t="str">
        <f t="shared" si="295"/>
        <v/>
      </c>
      <c r="J964" s="188" t="str">
        <f t="shared" si="296"/>
        <v/>
      </c>
      <c r="K964" s="189" t="str">
        <f t="shared" si="297"/>
        <v/>
      </c>
      <c r="L964" s="189" t="str">
        <f t="shared" si="298"/>
        <v/>
      </c>
      <c r="M964" s="190"/>
      <c r="N964" s="190"/>
      <c r="O964" s="188" t="str">
        <f t="shared" si="299"/>
        <v/>
      </c>
      <c r="P964" s="191" t="str">
        <f t="shared" si="286"/>
        <v/>
      </c>
      <c r="Q964" s="192" t="str">
        <f t="shared" si="300"/>
        <v/>
      </c>
      <c r="R964" s="191" t="str">
        <f t="shared" si="287"/>
        <v/>
      </c>
      <c r="S964" s="193" t="str">
        <f t="shared" si="301"/>
        <v/>
      </c>
      <c r="T964" s="194" t="str">
        <f t="shared" si="288"/>
        <v/>
      </c>
      <c r="U964" s="192" t="str">
        <f t="shared" si="302"/>
        <v/>
      </c>
      <c r="V964" s="195" t="str">
        <f t="shared" si="289"/>
        <v/>
      </c>
      <c r="W964" s="195" t="str">
        <f t="shared" si="290"/>
        <v/>
      </c>
      <c r="X964" s="196" t="str">
        <f t="shared" si="303"/>
        <v/>
      </c>
      <c r="Y964" s="191" t="str">
        <f t="shared" si="304"/>
        <v/>
      </c>
      <c r="Z964" s="197" t="str">
        <f t="shared" si="291"/>
        <v/>
      </c>
      <c r="AA964" s="197" t="str">
        <f t="shared" si="292"/>
        <v/>
      </c>
      <c r="AB964" s="218"/>
      <c r="AC964" s="205"/>
    </row>
    <row r="965" spans="1:29">
      <c r="A965" s="219" t="str">
        <f t="shared" si="293"/>
        <v/>
      </c>
      <c r="B965" s="219"/>
      <c r="C965" s="184"/>
      <c r="D965" s="185"/>
      <c r="E965" s="185" t="str">
        <f>IF(OR(C965="",C965=Data!$B$3),"",IF(C965=Data!$B$2,"L","S"))</f>
        <v/>
      </c>
      <c r="F965" s="185" t="str">
        <f t="shared" si="294"/>
        <v/>
      </c>
      <c r="G965" s="186" t="str">
        <f t="shared" si="285"/>
        <v/>
      </c>
      <c r="H965" s="187"/>
      <c r="I965" s="188" t="str">
        <f t="shared" si="295"/>
        <v/>
      </c>
      <c r="J965" s="188" t="str">
        <f t="shared" si="296"/>
        <v/>
      </c>
      <c r="K965" s="189" t="str">
        <f t="shared" si="297"/>
        <v/>
      </c>
      <c r="L965" s="189" t="str">
        <f t="shared" si="298"/>
        <v/>
      </c>
      <c r="M965" s="190"/>
      <c r="N965" s="190"/>
      <c r="O965" s="188" t="str">
        <f t="shared" si="299"/>
        <v/>
      </c>
      <c r="P965" s="191" t="str">
        <f t="shared" si="286"/>
        <v/>
      </c>
      <c r="Q965" s="192" t="str">
        <f t="shared" si="300"/>
        <v/>
      </c>
      <c r="R965" s="191" t="str">
        <f t="shared" si="287"/>
        <v/>
      </c>
      <c r="S965" s="193" t="str">
        <f t="shared" si="301"/>
        <v/>
      </c>
      <c r="T965" s="194" t="str">
        <f t="shared" si="288"/>
        <v/>
      </c>
      <c r="U965" s="192" t="str">
        <f t="shared" si="302"/>
        <v/>
      </c>
      <c r="V965" s="195" t="str">
        <f t="shared" si="289"/>
        <v/>
      </c>
      <c r="W965" s="195" t="str">
        <f t="shared" si="290"/>
        <v/>
      </c>
      <c r="X965" s="196" t="str">
        <f t="shared" si="303"/>
        <v/>
      </c>
      <c r="Y965" s="191" t="str">
        <f t="shared" si="304"/>
        <v/>
      </c>
      <c r="Z965" s="197" t="str">
        <f t="shared" si="291"/>
        <v/>
      </c>
      <c r="AA965" s="197" t="str">
        <f t="shared" si="292"/>
        <v/>
      </c>
      <c r="AB965" s="218"/>
      <c r="AC965" s="205"/>
    </row>
    <row r="966" spans="1:29">
      <c r="A966" s="219" t="str">
        <f t="shared" si="293"/>
        <v/>
      </c>
      <c r="B966" s="219"/>
      <c r="C966" s="184"/>
      <c r="D966" s="185"/>
      <c r="E966" s="185" t="str">
        <f>IF(OR(C966="",C966=Data!$B$3),"",IF(C966=Data!$B$2,"L","S"))</f>
        <v/>
      </c>
      <c r="F966" s="185" t="str">
        <f t="shared" si="294"/>
        <v/>
      </c>
      <c r="G966" s="186" t="str">
        <f t="shared" si="285"/>
        <v/>
      </c>
      <c r="H966" s="187"/>
      <c r="I966" s="188" t="str">
        <f t="shared" si="295"/>
        <v/>
      </c>
      <c r="J966" s="188" t="str">
        <f t="shared" si="296"/>
        <v/>
      </c>
      <c r="K966" s="189" t="str">
        <f t="shared" si="297"/>
        <v/>
      </c>
      <c r="L966" s="189" t="str">
        <f t="shared" si="298"/>
        <v/>
      </c>
      <c r="M966" s="190"/>
      <c r="N966" s="190"/>
      <c r="O966" s="188" t="str">
        <f t="shared" si="299"/>
        <v/>
      </c>
      <c r="P966" s="191" t="str">
        <f t="shared" si="286"/>
        <v/>
      </c>
      <c r="Q966" s="192" t="str">
        <f t="shared" si="300"/>
        <v/>
      </c>
      <c r="R966" s="191" t="str">
        <f t="shared" si="287"/>
        <v/>
      </c>
      <c r="S966" s="193" t="str">
        <f t="shared" si="301"/>
        <v/>
      </c>
      <c r="T966" s="194" t="str">
        <f t="shared" si="288"/>
        <v/>
      </c>
      <c r="U966" s="192" t="str">
        <f t="shared" si="302"/>
        <v/>
      </c>
      <c r="V966" s="195" t="str">
        <f t="shared" si="289"/>
        <v/>
      </c>
      <c r="W966" s="195" t="str">
        <f t="shared" si="290"/>
        <v/>
      </c>
      <c r="X966" s="196" t="str">
        <f t="shared" si="303"/>
        <v/>
      </c>
      <c r="Y966" s="191" t="str">
        <f t="shared" si="304"/>
        <v/>
      </c>
      <c r="Z966" s="197" t="str">
        <f t="shared" si="291"/>
        <v/>
      </c>
      <c r="AA966" s="197" t="str">
        <f t="shared" si="292"/>
        <v/>
      </c>
      <c r="AB966" s="218"/>
      <c r="AC966" s="205"/>
    </row>
    <row r="967" spans="1:29">
      <c r="A967" s="219" t="str">
        <f t="shared" si="293"/>
        <v/>
      </c>
      <c r="B967" s="219"/>
      <c r="C967" s="184"/>
      <c r="D967" s="185"/>
      <c r="E967" s="185" t="str">
        <f>IF(OR(C967="",C967=Data!$B$3),"",IF(C967=Data!$B$2,"L","S"))</f>
        <v/>
      </c>
      <c r="F967" s="185" t="str">
        <f t="shared" si="294"/>
        <v/>
      </c>
      <c r="G967" s="186" t="str">
        <f t="shared" si="285"/>
        <v/>
      </c>
      <c r="H967" s="187"/>
      <c r="I967" s="188" t="str">
        <f t="shared" si="295"/>
        <v/>
      </c>
      <c r="J967" s="188" t="str">
        <f t="shared" si="296"/>
        <v/>
      </c>
      <c r="K967" s="189" t="str">
        <f t="shared" si="297"/>
        <v/>
      </c>
      <c r="L967" s="189" t="str">
        <f t="shared" si="298"/>
        <v/>
      </c>
      <c r="M967" s="190"/>
      <c r="N967" s="190"/>
      <c r="O967" s="188" t="str">
        <f t="shared" si="299"/>
        <v/>
      </c>
      <c r="P967" s="191" t="str">
        <f t="shared" si="286"/>
        <v/>
      </c>
      <c r="Q967" s="192" t="str">
        <f t="shared" si="300"/>
        <v/>
      </c>
      <c r="R967" s="191" t="str">
        <f t="shared" si="287"/>
        <v/>
      </c>
      <c r="S967" s="193" t="str">
        <f t="shared" si="301"/>
        <v/>
      </c>
      <c r="T967" s="194" t="str">
        <f t="shared" si="288"/>
        <v/>
      </c>
      <c r="U967" s="192" t="str">
        <f t="shared" si="302"/>
        <v/>
      </c>
      <c r="V967" s="195" t="str">
        <f t="shared" si="289"/>
        <v/>
      </c>
      <c r="W967" s="195" t="str">
        <f t="shared" si="290"/>
        <v/>
      </c>
      <c r="X967" s="196" t="str">
        <f t="shared" si="303"/>
        <v/>
      </c>
      <c r="Y967" s="191" t="str">
        <f t="shared" si="304"/>
        <v/>
      </c>
      <c r="Z967" s="197" t="str">
        <f t="shared" si="291"/>
        <v/>
      </c>
      <c r="AA967" s="197" t="str">
        <f t="shared" si="292"/>
        <v/>
      </c>
      <c r="AB967" s="218"/>
      <c r="AC967" s="205"/>
    </row>
    <row r="968" spans="1:29">
      <c r="A968" s="219" t="str">
        <f t="shared" si="293"/>
        <v/>
      </c>
      <c r="B968" s="219"/>
      <c r="C968" s="184"/>
      <c r="D968" s="185"/>
      <c r="E968" s="185" t="str">
        <f>IF(OR(C968="",C968=Data!$B$3),"",IF(C968=Data!$B$2,"L","S"))</f>
        <v/>
      </c>
      <c r="F968" s="185" t="str">
        <f t="shared" si="294"/>
        <v/>
      </c>
      <c r="G968" s="186" t="str">
        <f t="shared" si="285"/>
        <v/>
      </c>
      <c r="H968" s="187"/>
      <c r="I968" s="188" t="str">
        <f t="shared" si="295"/>
        <v/>
      </c>
      <c r="J968" s="188" t="str">
        <f t="shared" si="296"/>
        <v/>
      </c>
      <c r="K968" s="189" t="str">
        <f t="shared" si="297"/>
        <v/>
      </c>
      <c r="L968" s="189" t="str">
        <f t="shared" si="298"/>
        <v/>
      </c>
      <c r="M968" s="190"/>
      <c r="N968" s="190"/>
      <c r="O968" s="188" t="str">
        <f t="shared" si="299"/>
        <v/>
      </c>
      <c r="P968" s="191" t="str">
        <f t="shared" si="286"/>
        <v/>
      </c>
      <c r="Q968" s="192" t="str">
        <f t="shared" si="300"/>
        <v/>
      </c>
      <c r="R968" s="191" t="str">
        <f t="shared" si="287"/>
        <v/>
      </c>
      <c r="S968" s="193" t="str">
        <f t="shared" si="301"/>
        <v/>
      </c>
      <c r="T968" s="194" t="str">
        <f t="shared" si="288"/>
        <v/>
      </c>
      <c r="U968" s="192" t="str">
        <f t="shared" si="302"/>
        <v/>
      </c>
      <c r="V968" s="195" t="str">
        <f t="shared" si="289"/>
        <v/>
      </c>
      <c r="W968" s="195" t="str">
        <f t="shared" si="290"/>
        <v/>
      </c>
      <c r="X968" s="196" t="str">
        <f t="shared" si="303"/>
        <v/>
      </c>
      <c r="Y968" s="191" t="str">
        <f t="shared" si="304"/>
        <v/>
      </c>
      <c r="Z968" s="197" t="str">
        <f t="shared" si="291"/>
        <v/>
      </c>
      <c r="AA968" s="197" t="str">
        <f t="shared" si="292"/>
        <v/>
      </c>
      <c r="AB968" s="218"/>
      <c r="AC968" s="205"/>
    </row>
    <row r="969" spans="1:29">
      <c r="A969" s="219" t="str">
        <f t="shared" si="293"/>
        <v/>
      </c>
      <c r="B969" s="219"/>
      <c r="C969" s="184"/>
      <c r="D969" s="185"/>
      <c r="E969" s="185" t="str">
        <f>IF(OR(C969="",C969=Data!$B$3),"",IF(C969=Data!$B$2,"L","S"))</f>
        <v/>
      </c>
      <c r="F969" s="185" t="str">
        <f t="shared" si="294"/>
        <v/>
      </c>
      <c r="G969" s="186" t="str">
        <f t="shared" si="285"/>
        <v/>
      </c>
      <c r="H969" s="187"/>
      <c r="I969" s="188" t="str">
        <f t="shared" si="295"/>
        <v/>
      </c>
      <c r="J969" s="188" t="str">
        <f t="shared" si="296"/>
        <v/>
      </c>
      <c r="K969" s="189" t="str">
        <f t="shared" si="297"/>
        <v/>
      </c>
      <c r="L969" s="189" t="str">
        <f t="shared" si="298"/>
        <v/>
      </c>
      <c r="M969" s="190"/>
      <c r="N969" s="190"/>
      <c r="O969" s="188" t="str">
        <f t="shared" si="299"/>
        <v/>
      </c>
      <c r="P969" s="191" t="str">
        <f t="shared" si="286"/>
        <v/>
      </c>
      <c r="Q969" s="192" t="str">
        <f t="shared" si="300"/>
        <v/>
      </c>
      <c r="R969" s="191" t="str">
        <f t="shared" si="287"/>
        <v/>
      </c>
      <c r="S969" s="193" t="str">
        <f t="shared" si="301"/>
        <v/>
      </c>
      <c r="T969" s="194" t="str">
        <f t="shared" si="288"/>
        <v/>
      </c>
      <c r="U969" s="192" t="str">
        <f t="shared" si="302"/>
        <v/>
      </c>
      <c r="V969" s="195" t="str">
        <f t="shared" si="289"/>
        <v/>
      </c>
      <c r="W969" s="195" t="str">
        <f t="shared" si="290"/>
        <v/>
      </c>
      <c r="X969" s="196" t="str">
        <f t="shared" si="303"/>
        <v/>
      </c>
      <c r="Y969" s="191" t="str">
        <f t="shared" si="304"/>
        <v/>
      </c>
      <c r="Z969" s="197" t="str">
        <f t="shared" si="291"/>
        <v/>
      </c>
      <c r="AA969" s="197" t="str">
        <f t="shared" si="292"/>
        <v/>
      </c>
      <c r="AB969" s="218"/>
      <c r="AC969" s="205"/>
    </row>
    <row r="970" spans="1:29">
      <c r="A970" s="219" t="str">
        <f t="shared" si="293"/>
        <v/>
      </c>
      <c r="B970" s="219"/>
      <c r="C970" s="184"/>
      <c r="D970" s="185"/>
      <c r="E970" s="185" t="str">
        <f>IF(OR(C970="",C970=Data!$B$3),"",IF(C970=Data!$B$2,"L","S"))</f>
        <v/>
      </c>
      <c r="F970" s="185" t="str">
        <f t="shared" si="294"/>
        <v/>
      </c>
      <c r="G970" s="186" t="str">
        <f t="shared" si="285"/>
        <v/>
      </c>
      <c r="H970" s="187"/>
      <c r="I970" s="188" t="str">
        <f t="shared" si="295"/>
        <v/>
      </c>
      <c r="J970" s="188" t="str">
        <f t="shared" si="296"/>
        <v/>
      </c>
      <c r="K970" s="189" t="str">
        <f t="shared" si="297"/>
        <v/>
      </c>
      <c r="L970" s="189" t="str">
        <f t="shared" si="298"/>
        <v/>
      </c>
      <c r="M970" s="190"/>
      <c r="N970" s="190"/>
      <c r="O970" s="188" t="str">
        <f t="shared" si="299"/>
        <v/>
      </c>
      <c r="P970" s="191" t="str">
        <f t="shared" si="286"/>
        <v/>
      </c>
      <c r="Q970" s="192" t="str">
        <f t="shared" si="300"/>
        <v/>
      </c>
      <c r="R970" s="191" t="str">
        <f t="shared" si="287"/>
        <v/>
      </c>
      <c r="S970" s="193" t="str">
        <f t="shared" si="301"/>
        <v/>
      </c>
      <c r="T970" s="194" t="str">
        <f t="shared" si="288"/>
        <v/>
      </c>
      <c r="U970" s="192" t="str">
        <f t="shared" si="302"/>
        <v/>
      </c>
      <c r="V970" s="195" t="str">
        <f t="shared" si="289"/>
        <v/>
      </c>
      <c r="W970" s="195" t="str">
        <f t="shared" si="290"/>
        <v/>
      </c>
      <c r="X970" s="196" t="str">
        <f t="shared" si="303"/>
        <v/>
      </c>
      <c r="Y970" s="191" t="str">
        <f t="shared" si="304"/>
        <v/>
      </c>
      <c r="Z970" s="197" t="str">
        <f t="shared" si="291"/>
        <v/>
      </c>
      <c r="AA970" s="197" t="str">
        <f t="shared" si="292"/>
        <v/>
      </c>
      <c r="AB970" s="218"/>
      <c r="AC970" s="205"/>
    </row>
    <row r="971" spans="1:29">
      <c r="A971" s="219" t="str">
        <f t="shared" si="293"/>
        <v/>
      </c>
      <c r="B971" s="219"/>
      <c r="C971" s="184"/>
      <c r="D971" s="185"/>
      <c r="E971" s="185" t="str">
        <f>IF(OR(C971="",C971=Data!$B$3),"",IF(C971=Data!$B$2,"L","S"))</f>
        <v/>
      </c>
      <c r="F971" s="185" t="str">
        <f t="shared" si="294"/>
        <v/>
      </c>
      <c r="G971" s="186" t="str">
        <f t="shared" si="285"/>
        <v/>
      </c>
      <c r="H971" s="187"/>
      <c r="I971" s="188" t="str">
        <f t="shared" si="295"/>
        <v/>
      </c>
      <c r="J971" s="188" t="str">
        <f t="shared" si="296"/>
        <v/>
      </c>
      <c r="K971" s="189" t="str">
        <f t="shared" si="297"/>
        <v/>
      </c>
      <c r="L971" s="189" t="str">
        <f t="shared" si="298"/>
        <v/>
      </c>
      <c r="M971" s="190"/>
      <c r="N971" s="190"/>
      <c r="O971" s="188" t="str">
        <f t="shared" si="299"/>
        <v/>
      </c>
      <c r="P971" s="191" t="str">
        <f t="shared" si="286"/>
        <v/>
      </c>
      <c r="Q971" s="192" t="str">
        <f t="shared" si="300"/>
        <v/>
      </c>
      <c r="R971" s="191" t="str">
        <f t="shared" si="287"/>
        <v/>
      </c>
      <c r="S971" s="193" t="str">
        <f t="shared" si="301"/>
        <v/>
      </c>
      <c r="T971" s="194" t="str">
        <f t="shared" si="288"/>
        <v/>
      </c>
      <c r="U971" s="192" t="str">
        <f t="shared" si="302"/>
        <v/>
      </c>
      <c r="V971" s="195" t="str">
        <f t="shared" si="289"/>
        <v/>
      </c>
      <c r="W971" s="195" t="str">
        <f t="shared" si="290"/>
        <v/>
      </c>
      <c r="X971" s="196" t="str">
        <f t="shared" si="303"/>
        <v/>
      </c>
      <c r="Y971" s="191" t="str">
        <f t="shared" si="304"/>
        <v/>
      </c>
      <c r="Z971" s="197" t="str">
        <f t="shared" si="291"/>
        <v/>
      </c>
      <c r="AA971" s="197" t="str">
        <f t="shared" si="292"/>
        <v/>
      </c>
      <c r="AB971" s="218"/>
      <c r="AC971" s="205"/>
    </row>
    <row r="972" spans="1:29">
      <c r="A972" s="219" t="str">
        <f t="shared" si="293"/>
        <v/>
      </c>
      <c r="B972" s="219"/>
      <c r="C972" s="184"/>
      <c r="D972" s="185"/>
      <c r="E972" s="185" t="str">
        <f>IF(OR(C972="",C972=Data!$B$3),"",IF(C972=Data!$B$2,"L","S"))</f>
        <v/>
      </c>
      <c r="F972" s="185" t="str">
        <f t="shared" si="294"/>
        <v/>
      </c>
      <c r="G972" s="186" t="str">
        <f t="shared" ref="G972:G994" si="305">IF(A972="","",$D$3)</f>
        <v/>
      </c>
      <c r="H972" s="187"/>
      <c r="I972" s="188" t="str">
        <f t="shared" si="295"/>
        <v/>
      </c>
      <c r="J972" s="188" t="str">
        <f t="shared" si="296"/>
        <v/>
      </c>
      <c r="K972" s="189" t="str">
        <f t="shared" si="297"/>
        <v/>
      </c>
      <c r="L972" s="189" t="str">
        <f t="shared" si="298"/>
        <v/>
      </c>
      <c r="M972" s="190"/>
      <c r="N972" s="190"/>
      <c r="O972" s="188" t="str">
        <f t="shared" si="299"/>
        <v/>
      </c>
      <c r="P972" s="191" t="str">
        <f t="shared" ref="P972:P994" si="306">IF(O972="","",IF(L972*F972*G972=0,0,L972*F972*G972))</f>
        <v/>
      </c>
      <c r="Q972" s="192" t="str">
        <f t="shared" si="300"/>
        <v/>
      </c>
      <c r="R972" s="191" t="str">
        <f t="shared" ref="R972:R994" si="307">IF(O972&lt;&gt;"",IF(K972*F972*G972=0,"",K972*F972*G972),"")</f>
        <v/>
      </c>
      <c r="S972" s="193" t="str">
        <f t="shared" si="301"/>
        <v/>
      </c>
      <c r="T972" s="194" t="str">
        <f t="shared" ref="T972:T994" si="308">IF(X972="","",X972*F972*G972)</f>
        <v/>
      </c>
      <c r="U972" s="192" t="str">
        <f t="shared" si="302"/>
        <v/>
      </c>
      <c r="V972" s="195" t="str">
        <f t="shared" ref="V972:V994" si="309">IF(O972="","",IF(AND(O972&gt;I972,E972="L"),1, IF(AND(I972&gt;O972,E972="S"),1,0)))</f>
        <v/>
      </c>
      <c r="W972" s="195" t="str">
        <f t="shared" ref="W972:W994" si="310">IF(O972="","",IF(AND(O972&lt;I972,E972="L"),1, IF(AND(I972&lt;O972,E972="S"),1,0)))</f>
        <v/>
      </c>
      <c r="X972" s="196" t="str">
        <f t="shared" si="303"/>
        <v/>
      </c>
      <c r="Y972" s="191" t="str">
        <f t="shared" si="304"/>
        <v/>
      </c>
      <c r="Z972" s="197" t="str">
        <f t="shared" ref="Z972:Z994" si="311">IF(M972="","",MONTH(M972))</f>
        <v/>
      </c>
      <c r="AA972" s="197" t="str">
        <f t="shared" ref="AA972:AA994" si="312">IF(M972="","",YEAR(M972))</f>
        <v/>
      </c>
      <c r="AB972" s="218"/>
      <c r="AC972" s="205"/>
    </row>
    <row r="973" spans="1:29">
      <c r="A973" s="219" t="str">
        <f t="shared" ref="A973:A994" si="313">IF(C973="","",1)</f>
        <v/>
      </c>
      <c r="B973" s="219"/>
      <c r="C973" s="184"/>
      <c r="D973" s="185"/>
      <c r="E973" s="185" t="str">
        <f>IF(OR(C973="",C973=Data!$B$3),"",IF(C973=Data!$B$2,"L","S"))</f>
        <v/>
      </c>
      <c r="F973" s="185" t="str">
        <f t="shared" ref="F973:F994" si="314">IF(A973&lt;&gt;"",$D$2,"")</f>
        <v/>
      </c>
      <c r="G973" s="186" t="str">
        <f t="shared" si="305"/>
        <v/>
      </c>
      <c r="H973" s="187"/>
      <c r="I973" s="188" t="str">
        <f t="shared" ref="I973:I994" si="315">IF(H973="","",IF(E973="L",H973+$D$4*0.0001,H973-$D$4*0.0001))</f>
        <v/>
      </c>
      <c r="J973" s="188" t="str">
        <f t="shared" ref="J973:J994" si="316">IF(AND(H973&lt;&gt;"",I973&lt;&gt;""),IF(E973="L",I973+(I973-H973)*3,I973-(H973-I973)*3),"")</f>
        <v/>
      </c>
      <c r="K973" s="189" t="str">
        <f t="shared" ref="K973:K994" si="317">IF(AND(E973&lt;&gt;"",AND(I973&lt;&gt;"",J973&lt;&gt;"")),IF(E973="L",(J973-I973)*IF(I973&gt;10,IF(SEARCH("JPY",D973),10,100),10000),(I973-J973)*IF(I973&gt;10,IF(SEARCH("JPY",D973),10,100),10000)),"")</f>
        <v/>
      </c>
      <c r="L973" s="189" t="str">
        <f t="shared" ref="L973:L994" si="318">IF(AND(E973&lt;&gt;"",AND(H973&lt;&gt;"",I973&lt;&gt;"")),IF(E973="L",(I973-H973)*IF(I973&gt;10,IF(SEARCH("JPY",D973),10,100),10000),(H973-I973)*IF(I973&gt;10,IF(SEARCH("JPY",D973),10,100),10000)),"")</f>
        <v/>
      </c>
      <c r="M973" s="190"/>
      <c r="N973" s="190"/>
      <c r="O973" s="188" t="str">
        <f t="shared" ref="O973:O994" si="319">J973</f>
        <v/>
      </c>
      <c r="P973" s="191" t="str">
        <f t="shared" si="306"/>
        <v/>
      </c>
      <c r="Q973" s="192" t="str">
        <f t="shared" ref="Q973:Q994" si="320">IF(P973="","",IF(P973=0,0,P973/$I$4))</f>
        <v/>
      </c>
      <c r="R973" s="191" t="str">
        <f t="shared" si="307"/>
        <v/>
      </c>
      <c r="S973" s="193" t="str">
        <f t="shared" ref="S973:S994" si="321">IF(P973="","",IF(P973=0,0,R973/P973))</f>
        <v/>
      </c>
      <c r="T973" s="194" t="str">
        <f t="shared" si="308"/>
        <v/>
      </c>
      <c r="U973" s="192" t="str">
        <f t="shared" ref="U973:U994" si="322">IF(T973="","",IF($I$4="","",T973/$I$4))</f>
        <v/>
      </c>
      <c r="V973" s="195" t="str">
        <f t="shared" si="309"/>
        <v/>
      </c>
      <c r="W973" s="195" t="str">
        <f t="shared" si="310"/>
        <v/>
      </c>
      <c r="X973" s="196" t="str">
        <f t="shared" ref="X973:X994" si="323">IF((O973=""),"",IF(E973="L",1,-1)*(O973-I973)*IF(O973&gt;10,IF(SEARCH("JPY",D973),10,100),10000))</f>
        <v/>
      </c>
      <c r="Y973" s="191" t="str">
        <f t="shared" si="304"/>
        <v/>
      </c>
      <c r="Z973" s="197" t="str">
        <f t="shared" si="311"/>
        <v/>
      </c>
      <c r="AA973" s="197" t="str">
        <f t="shared" si="312"/>
        <v/>
      </c>
      <c r="AB973" s="218"/>
      <c r="AC973" s="205"/>
    </row>
    <row r="974" spans="1:29">
      <c r="A974" s="219" t="str">
        <f t="shared" si="313"/>
        <v/>
      </c>
      <c r="B974" s="219"/>
      <c r="C974" s="184"/>
      <c r="D974" s="185"/>
      <c r="E974" s="185" t="str">
        <f>IF(OR(C974="",C974=Data!$B$3),"",IF(C974=Data!$B$2,"L","S"))</f>
        <v/>
      </c>
      <c r="F974" s="185" t="str">
        <f t="shared" si="314"/>
        <v/>
      </c>
      <c r="G974" s="186" t="str">
        <f t="shared" si="305"/>
        <v/>
      </c>
      <c r="H974" s="187"/>
      <c r="I974" s="188" t="str">
        <f t="shared" si="315"/>
        <v/>
      </c>
      <c r="J974" s="188" t="str">
        <f t="shared" si="316"/>
        <v/>
      </c>
      <c r="K974" s="189" t="str">
        <f t="shared" si="317"/>
        <v/>
      </c>
      <c r="L974" s="189" t="str">
        <f t="shared" si="318"/>
        <v/>
      </c>
      <c r="M974" s="190"/>
      <c r="N974" s="190"/>
      <c r="O974" s="188" t="str">
        <f t="shared" si="319"/>
        <v/>
      </c>
      <c r="P974" s="191" t="str">
        <f t="shared" si="306"/>
        <v/>
      </c>
      <c r="Q974" s="192" t="str">
        <f t="shared" si="320"/>
        <v/>
      </c>
      <c r="R974" s="191" t="str">
        <f t="shared" si="307"/>
        <v/>
      </c>
      <c r="S974" s="193" t="str">
        <f t="shared" si="321"/>
        <v/>
      </c>
      <c r="T974" s="194" t="str">
        <f t="shared" si="308"/>
        <v/>
      </c>
      <c r="U974" s="192" t="str">
        <f t="shared" si="322"/>
        <v/>
      </c>
      <c r="V974" s="195" t="str">
        <f t="shared" si="309"/>
        <v/>
      </c>
      <c r="W974" s="195" t="str">
        <f t="shared" si="310"/>
        <v/>
      </c>
      <c r="X974" s="196" t="str">
        <f t="shared" si="323"/>
        <v/>
      </c>
      <c r="Y974" s="191" t="str">
        <f t="shared" si="304"/>
        <v/>
      </c>
      <c r="Z974" s="197" t="str">
        <f t="shared" si="311"/>
        <v/>
      </c>
      <c r="AA974" s="197" t="str">
        <f t="shared" si="312"/>
        <v/>
      </c>
      <c r="AB974" s="218"/>
      <c r="AC974" s="205"/>
    </row>
    <row r="975" spans="1:29">
      <c r="A975" s="219" t="str">
        <f t="shared" si="313"/>
        <v/>
      </c>
      <c r="B975" s="219"/>
      <c r="C975" s="184"/>
      <c r="D975" s="185"/>
      <c r="E975" s="185" t="str">
        <f>IF(OR(C975="",C975=Data!$B$3),"",IF(C975=Data!$B$2,"L","S"))</f>
        <v/>
      </c>
      <c r="F975" s="185" t="str">
        <f t="shared" si="314"/>
        <v/>
      </c>
      <c r="G975" s="186" t="str">
        <f t="shared" si="305"/>
        <v/>
      </c>
      <c r="H975" s="187"/>
      <c r="I975" s="188" t="str">
        <f t="shared" si="315"/>
        <v/>
      </c>
      <c r="J975" s="188" t="str">
        <f t="shared" si="316"/>
        <v/>
      </c>
      <c r="K975" s="189" t="str">
        <f t="shared" si="317"/>
        <v/>
      </c>
      <c r="L975" s="189" t="str">
        <f t="shared" si="318"/>
        <v/>
      </c>
      <c r="M975" s="190"/>
      <c r="N975" s="190"/>
      <c r="O975" s="188" t="str">
        <f t="shared" si="319"/>
        <v/>
      </c>
      <c r="P975" s="191" t="str">
        <f t="shared" si="306"/>
        <v/>
      </c>
      <c r="Q975" s="192" t="str">
        <f t="shared" si="320"/>
        <v/>
      </c>
      <c r="R975" s="191" t="str">
        <f t="shared" si="307"/>
        <v/>
      </c>
      <c r="S975" s="193" t="str">
        <f t="shared" si="321"/>
        <v/>
      </c>
      <c r="T975" s="194" t="str">
        <f t="shared" si="308"/>
        <v/>
      </c>
      <c r="U975" s="192" t="str">
        <f t="shared" si="322"/>
        <v/>
      </c>
      <c r="V975" s="195" t="str">
        <f t="shared" si="309"/>
        <v/>
      </c>
      <c r="W975" s="195" t="str">
        <f t="shared" si="310"/>
        <v/>
      </c>
      <c r="X975" s="196" t="str">
        <f t="shared" si="323"/>
        <v/>
      </c>
      <c r="Y975" s="191" t="str">
        <f t="shared" si="304"/>
        <v/>
      </c>
      <c r="Z975" s="197" t="str">
        <f t="shared" si="311"/>
        <v/>
      </c>
      <c r="AA975" s="197" t="str">
        <f t="shared" si="312"/>
        <v/>
      </c>
      <c r="AB975" s="218"/>
      <c r="AC975" s="205"/>
    </row>
    <row r="976" spans="1:29">
      <c r="A976" s="219" t="str">
        <f t="shared" si="313"/>
        <v/>
      </c>
      <c r="B976" s="219"/>
      <c r="C976" s="184"/>
      <c r="D976" s="185"/>
      <c r="E976" s="185" t="str">
        <f>IF(OR(C976="",C976=Data!$B$3),"",IF(C976=Data!$B$2,"L","S"))</f>
        <v/>
      </c>
      <c r="F976" s="185" t="str">
        <f t="shared" si="314"/>
        <v/>
      </c>
      <c r="G976" s="186" t="str">
        <f t="shared" si="305"/>
        <v/>
      </c>
      <c r="H976" s="187"/>
      <c r="I976" s="188" t="str">
        <f t="shared" si="315"/>
        <v/>
      </c>
      <c r="J976" s="188" t="str">
        <f t="shared" si="316"/>
        <v/>
      </c>
      <c r="K976" s="189" t="str">
        <f t="shared" si="317"/>
        <v/>
      </c>
      <c r="L976" s="189" t="str">
        <f t="shared" si="318"/>
        <v/>
      </c>
      <c r="M976" s="190"/>
      <c r="N976" s="190"/>
      <c r="O976" s="188" t="str">
        <f t="shared" si="319"/>
        <v/>
      </c>
      <c r="P976" s="191" t="str">
        <f t="shared" si="306"/>
        <v/>
      </c>
      <c r="Q976" s="192" t="str">
        <f t="shared" si="320"/>
        <v/>
      </c>
      <c r="R976" s="191" t="str">
        <f t="shared" si="307"/>
        <v/>
      </c>
      <c r="S976" s="193" t="str">
        <f t="shared" si="321"/>
        <v/>
      </c>
      <c r="T976" s="194" t="str">
        <f t="shared" si="308"/>
        <v/>
      </c>
      <c r="U976" s="192" t="str">
        <f t="shared" si="322"/>
        <v/>
      </c>
      <c r="V976" s="195" t="str">
        <f t="shared" si="309"/>
        <v/>
      </c>
      <c r="W976" s="195" t="str">
        <f t="shared" si="310"/>
        <v/>
      </c>
      <c r="X976" s="196" t="str">
        <f t="shared" si="323"/>
        <v/>
      </c>
      <c r="Y976" s="191" t="str">
        <f t="shared" si="304"/>
        <v/>
      </c>
      <c r="Z976" s="197" t="str">
        <f t="shared" si="311"/>
        <v/>
      </c>
      <c r="AA976" s="197" t="str">
        <f t="shared" si="312"/>
        <v/>
      </c>
      <c r="AB976" s="218"/>
      <c r="AC976" s="205"/>
    </row>
    <row r="977" spans="1:29">
      <c r="A977" s="219" t="str">
        <f t="shared" si="313"/>
        <v/>
      </c>
      <c r="B977" s="219"/>
      <c r="C977" s="184"/>
      <c r="D977" s="185"/>
      <c r="E977" s="185" t="str">
        <f>IF(OR(C977="",C977=Data!$B$3),"",IF(C977=Data!$B$2,"L","S"))</f>
        <v/>
      </c>
      <c r="F977" s="185" t="str">
        <f t="shared" si="314"/>
        <v/>
      </c>
      <c r="G977" s="186" t="str">
        <f t="shared" si="305"/>
        <v/>
      </c>
      <c r="H977" s="187"/>
      <c r="I977" s="188" t="str">
        <f t="shared" si="315"/>
        <v/>
      </c>
      <c r="J977" s="188" t="str">
        <f t="shared" si="316"/>
        <v/>
      </c>
      <c r="K977" s="189" t="str">
        <f t="shared" si="317"/>
        <v/>
      </c>
      <c r="L977" s="189" t="str">
        <f t="shared" si="318"/>
        <v/>
      </c>
      <c r="M977" s="190"/>
      <c r="N977" s="190"/>
      <c r="O977" s="188" t="str">
        <f t="shared" si="319"/>
        <v/>
      </c>
      <c r="P977" s="191" t="str">
        <f t="shared" si="306"/>
        <v/>
      </c>
      <c r="Q977" s="192" t="str">
        <f t="shared" si="320"/>
        <v/>
      </c>
      <c r="R977" s="191" t="str">
        <f t="shared" si="307"/>
        <v/>
      </c>
      <c r="S977" s="193" t="str">
        <f t="shared" si="321"/>
        <v/>
      </c>
      <c r="T977" s="194" t="str">
        <f t="shared" si="308"/>
        <v/>
      </c>
      <c r="U977" s="192" t="str">
        <f t="shared" si="322"/>
        <v/>
      </c>
      <c r="V977" s="195" t="str">
        <f t="shared" si="309"/>
        <v/>
      </c>
      <c r="W977" s="195" t="str">
        <f t="shared" si="310"/>
        <v/>
      </c>
      <c r="X977" s="196" t="str">
        <f t="shared" si="323"/>
        <v/>
      </c>
      <c r="Y977" s="191" t="str">
        <f t="shared" si="304"/>
        <v/>
      </c>
      <c r="Z977" s="197" t="str">
        <f t="shared" si="311"/>
        <v/>
      </c>
      <c r="AA977" s="197" t="str">
        <f t="shared" si="312"/>
        <v/>
      </c>
      <c r="AB977" s="218"/>
      <c r="AC977" s="205"/>
    </row>
    <row r="978" spans="1:29">
      <c r="A978" s="219" t="str">
        <f t="shared" si="313"/>
        <v/>
      </c>
      <c r="B978" s="219"/>
      <c r="C978" s="184"/>
      <c r="D978" s="185"/>
      <c r="E978" s="185" t="str">
        <f>IF(OR(C978="",C978=Data!$B$3),"",IF(C978=Data!$B$2,"L","S"))</f>
        <v/>
      </c>
      <c r="F978" s="185" t="str">
        <f t="shared" si="314"/>
        <v/>
      </c>
      <c r="G978" s="186" t="str">
        <f t="shared" si="305"/>
        <v/>
      </c>
      <c r="H978" s="187"/>
      <c r="I978" s="188" t="str">
        <f t="shared" si="315"/>
        <v/>
      </c>
      <c r="J978" s="188" t="str">
        <f t="shared" si="316"/>
        <v/>
      </c>
      <c r="K978" s="189" t="str">
        <f t="shared" si="317"/>
        <v/>
      </c>
      <c r="L978" s="189" t="str">
        <f t="shared" si="318"/>
        <v/>
      </c>
      <c r="M978" s="190"/>
      <c r="N978" s="190"/>
      <c r="O978" s="188" t="str">
        <f t="shared" si="319"/>
        <v/>
      </c>
      <c r="P978" s="191" t="str">
        <f t="shared" si="306"/>
        <v/>
      </c>
      <c r="Q978" s="192" t="str">
        <f t="shared" si="320"/>
        <v/>
      </c>
      <c r="R978" s="191" t="str">
        <f t="shared" si="307"/>
        <v/>
      </c>
      <c r="S978" s="193" t="str">
        <f t="shared" si="321"/>
        <v/>
      </c>
      <c r="T978" s="194" t="str">
        <f t="shared" si="308"/>
        <v/>
      </c>
      <c r="U978" s="192" t="str">
        <f t="shared" si="322"/>
        <v/>
      </c>
      <c r="V978" s="195" t="str">
        <f t="shared" si="309"/>
        <v/>
      </c>
      <c r="W978" s="195" t="str">
        <f t="shared" si="310"/>
        <v/>
      </c>
      <c r="X978" s="196" t="str">
        <f t="shared" si="323"/>
        <v/>
      </c>
      <c r="Y978" s="191" t="str">
        <f t="shared" si="304"/>
        <v/>
      </c>
      <c r="Z978" s="197" t="str">
        <f t="shared" si="311"/>
        <v/>
      </c>
      <c r="AA978" s="197" t="str">
        <f t="shared" si="312"/>
        <v/>
      </c>
      <c r="AB978" s="218"/>
      <c r="AC978" s="205"/>
    </row>
    <row r="979" spans="1:29">
      <c r="A979" s="219" t="str">
        <f t="shared" si="313"/>
        <v/>
      </c>
      <c r="B979" s="219"/>
      <c r="C979" s="184"/>
      <c r="D979" s="185"/>
      <c r="E979" s="185" t="str">
        <f>IF(OR(C979="",C979=Data!$B$3),"",IF(C979=Data!$B$2,"L","S"))</f>
        <v/>
      </c>
      <c r="F979" s="185" t="str">
        <f t="shared" si="314"/>
        <v/>
      </c>
      <c r="G979" s="186" t="str">
        <f t="shared" si="305"/>
        <v/>
      </c>
      <c r="H979" s="187"/>
      <c r="I979" s="188" t="str">
        <f t="shared" si="315"/>
        <v/>
      </c>
      <c r="J979" s="188" t="str">
        <f t="shared" si="316"/>
        <v/>
      </c>
      <c r="K979" s="189" t="str">
        <f t="shared" si="317"/>
        <v/>
      </c>
      <c r="L979" s="189" t="str">
        <f t="shared" si="318"/>
        <v/>
      </c>
      <c r="M979" s="190"/>
      <c r="N979" s="190"/>
      <c r="O979" s="188" t="str">
        <f t="shared" si="319"/>
        <v/>
      </c>
      <c r="P979" s="191" t="str">
        <f t="shared" si="306"/>
        <v/>
      </c>
      <c r="Q979" s="192" t="str">
        <f t="shared" si="320"/>
        <v/>
      </c>
      <c r="R979" s="191" t="str">
        <f t="shared" si="307"/>
        <v/>
      </c>
      <c r="S979" s="193" t="str">
        <f t="shared" si="321"/>
        <v/>
      </c>
      <c r="T979" s="194" t="str">
        <f t="shared" si="308"/>
        <v/>
      </c>
      <c r="U979" s="192" t="str">
        <f t="shared" si="322"/>
        <v/>
      </c>
      <c r="V979" s="195" t="str">
        <f t="shared" si="309"/>
        <v/>
      </c>
      <c r="W979" s="195" t="str">
        <f t="shared" si="310"/>
        <v/>
      </c>
      <c r="X979" s="196" t="str">
        <f t="shared" si="323"/>
        <v/>
      </c>
      <c r="Y979" s="191" t="str">
        <f t="shared" si="304"/>
        <v/>
      </c>
      <c r="Z979" s="197" t="str">
        <f t="shared" si="311"/>
        <v/>
      </c>
      <c r="AA979" s="197" t="str">
        <f t="shared" si="312"/>
        <v/>
      </c>
      <c r="AB979" s="218"/>
      <c r="AC979" s="205"/>
    </row>
    <row r="980" spans="1:29">
      <c r="A980" s="219" t="str">
        <f t="shared" si="313"/>
        <v/>
      </c>
      <c r="B980" s="219"/>
      <c r="C980" s="184"/>
      <c r="D980" s="185"/>
      <c r="E980" s="185" t="str">
        <f>IF(OR(C980="",C980=Data!$B$3),"",IF(C980=Data!$B$2,"L","S"))</f>
        <v/>
      </c>
      <c r="F980" s="185" t="str">
        <f t="shared" si="314"/>
        <v/>
      </c>
      <c r="G980" s="186" t="str">
        <f t="shared" si="305"/>
        <v/>
      </c>
      <c r="H980" s="187"/>
      <c r="I980" s="188" t="str">
        <f t="shared" si="315"/>
        <v/>
      </c>
      <c r="J980" s="188" t="str">
        <f t="shared" si="316"/>
        <v/>
      </c>
      <c r="K980" s="189" t="str">
        <f t="shared" si="317"/>
        <v/>
      </c>
      <c r="L980" s="189" t="str">
        <f t="shared" si="318"/>
        <v/>
      </c>
      <c r="M980" s="190"/>
      <c r="N980" s="190"/>
      <c r="O980" s="188" t="str">
        <f t="shared" si="319"/>
        <v/>
      </c>
      <c r="P980" s="191" t="str">
        <f t="shared" si="306"/>
        <v/>
      </c>
      <c r="Q980" s="192" t="str">
        <f t="shared" si="320"/>
        <v/>
      </c>
      <c r="R980" s="191" t="str">
        <f t="shared" si="307"/>
        <v/>
      </c>
      <c r="S980" s="193" t="str">
        <f t="shared" si="321"/>
        <v/>
      </c>
      <c r="T980" s="194" t="str">
        <f t="shared" si="308"/>
        <v/>
      </c>
      <c r="U980" s="192" t="str">
        <f t="shared" si="322"/>
        <v/>
      </c>
      <c r="V980" s="195" t="str">
        <f t="shared" si="309"/>
        <v/>
      </c>
      <c r="W980" s="195" t="str">
        <f t="shared" si="310"/>
        <v/>
      </c>
      <c r="X980" s="196" t="str">
        <f t="shared" si="323"/>
        <v/>
      </c>
      <c r="Y980" s="191" t="str">
        <f t="shared" ref="Y980:Y994" si="324">IF(Y979="","",IF(T980="","",Y979+T980))</f>
        <v/>
      </c>
      <c r="Z980" s="197" t="str">
        <f t="shared" si="311"/>
        <v/>
      </c>
      <c r="AA980" s="197" t="str">
        <f t="shared" si="312"/>
        <v/>
      </c>
      <c r="AB980" s="218"/>
      <c r="AC980" s="205"/>
    </row>
    <row r="981" spans="1:29">
      <c r="A981" s="219" t="str">
        <f t="shared" si="313"/>
        <v/>
      </c>
      <c r="B981" s="219"/>
      <c r="C981" s="184"/>
      <c r="D981" s="185"/>
      <c r="E981" s="185" t="str">
        <f>IF(OR(C981="",C981=Data!$B$3),"",IF(C981=Data!$B$2,"L","S"))</f>
        <v/>
      </c>
      <c r="F981" s="185" t="str">
        <f t="shared" si="314"/>
        <v/>
      </c>
      <c r="G981" s="186" t="str">
        <f t="shared" si="305"/>
        <v/>
      </c>
      <c r="H981" s="187"/>
      <c r="I981" s="188" t="str">
        <f t="shared" si="315"/>
        <v/>
      </c>
      <c r="J981" s="188" t="str">
        <f t="shared" si="316"/>
        <v/>
      </c>
      <c r="K981" s="189" t="str">
        <f t="shared" si="317"/>
        <v/>
      </c>
      <c r="L981" s="189" t="str">
        <f t="shared" si="318"/>
        <v/>
      </c>
      <c r="M981" s="190"/>
      <c r="N981" s="190"/>
      <c r="O981" s="188" t="str">
        <f t="shared" si="319"/>
        <v/>
      </c>
      <c r="P981" s="191" t="str">
        <f t="shared" si="306"/>
        <v/>
      </c>
      <c r="Q981" s="192" t="str">
        <f t="shared" si="320"/>
        <v/>
      </c>
      <c r="R981" s="191" t="str">
        <f t="shared" si="307"/>
        <v/>
      </c>
      <c r="S981" s="193" t="str">
        <f t="shared" si="321"/>
        <v/>
      </c>
      <c r="T981" s="194" t="str">
        <f t="shared" si="308"/>
        <v/>
      </c>
      <c r="U981" s="192" t="str">
        <f t="shared" si="322"/>
        <v/>
      </c>
      <c r="V981" s="195" t="str">
        <f t="shared" si="309"/>
        <v/>
      </c>
      <c r="W981" s="195" t="str">
        <f t="shared" si="310"/>
        <v/>
      </c>
      <c r="X981" s="196" t="str">
        <f t="shared" si="323"/>
        <v/>
      </c>
      <c r="Y981" s="191" t="str">
        <f t="shared" si="324"/>
        <v/>
      </c>
      <c r="Z981" s="197" t="str">
        <f t="shared" si="311"/>
        <v/>
      </c>
      <c r="AA981" s="197" t="str">
        <f t="shared" si="312"/>
        <v/>
      </c>
      <c r="AB981" s="218"/>
      <c r="AC981" s="205"/>
    </row>
    <row r="982" spans="1:29">
      <c r="A982" s="219" t="str">
        <f t="shared" si="313"/>
        <v/>
      </c>
      <c r="B982" s="219"/>
      <c r="C982" s="184"/>
      <c r="D982" s="185"/>
      <c r="E982" s="185" t="str">
        <f>IF(OR(C982="",C982=Data!$B$3),"",IF(C982=Data!$B$2,"L","S"))</f>
        <v/>
      </c>
      <c r="F982" s="185" t="str">
        <f t="shared" si="314"/>
        <v/>
      </c>
      <c r="G982" s="186" t="str">
        <f t="shared" si="305"/>
        <v/>
      </c>
      <c r="H982" s="187"/>
      <c r="I982" s="188" t="str">
        <f t="shared" si="315"/>
        <v/>
      </c>
      <c r="J982" s="188" t="str">
        <f t="shared" si="316"/>
        <v/>
      </c>
      <c r="K982" s="189" t="str">
        <f t="shared" si="317"/>
        <v/>
      </c>
      <c r="L982" s="189" t="str">
        <f t="shared" si="318"/>
        <v/>
      </c>
      <c r="M982" s="190"/>
      <c r="N982" s="190"/>
      <c r="O982" s="188" t="str">
        <f t="shared" si="319"/>
        <v/>
      </c>
      <c r="P982" s="191" t="str">
        <f t="shared" si="306"/>
        <v/>
      </c>
      <c r="Q982" s="192" t="str">
        <f t="shared" si="320"/>
        <v/>
      </c>
      <c r="R982" s="191" t="str">
        <f t="shared" si="307"/>
        <v/>
      </c>
      <c r="S982" s="193" t="str">
        <f t="shared" si="321"/>
        <v/>
      </c>
      <c r="T982" s="194" t="str">
        <f t="shared" si="308"/>
        <v/>
      </c>
      <c r="U982" s="192" t="str">
        <f t="shared" si="322"/>
        <v/>
      </c>
      <c r="V982" s="195" t="str">
        <f t="shared" si="309"/>
        <v/>
      </c>
      <c r="W982" s="195" t="str">
        <f t="shared" si="310"/>
        <v/>
      </c>
      <c r="X982" s="196" t="str">
        <f t="shared" si="323"/>
        <v/>
      </c>
      <c r="Y982" s="191" t="str">
        <f t="shared" si="324"/>
        <v/>
      </c>
      <c r="Z982" s="197" t="str">
        <f t="shared" si="311"/>
        <v/>
      </c>
      <c r="AA982" s="197" t="str">
        <f t="shared" si="312"/>
        <v/>
      </c>
      <c r="AB982" s="218"/>
      <c r="AC982" s="205"/>
    </row>
    <row r="983" spans="1:29">
      <c r="A983" s="219" t="str">
        <f t="shared" si="313"/>
        <v/>
      </c>
      <c r="B983" s="219"/>
      <c r="C983" s="184"/>
      <c r="D983" s="185"/>
      <c r="E983" s="185" t="str">
        <f>IF(OR(C983="",C983=Data!$B$3),"",IF(C983=Data!$B$2,"L","S"))</f>
        <v/>
      </c>
      <c r="F983" s="185" t="str">
        <f t="shared" si="314"/>
        <v/>
      </c>
      <c r="G983" s="186" t="str">
        <f t="shared" si="305"/>
        <v/>
      </c>
      <c r="H983" s="187"/>
      <c r="I983" s="188" t="str">
        <f t="shared" si="315"/>
        <v/>
      </c>
      <c r="J983" s="188" t="str">
        <f t="shared" si="316"/>
        <v/>
      </c>
      <c r="K983" s="189" t="str">
        <f t="shared" si="317"/>
        <v/>
      </c>
      <c r="L983" s="189" t="str">
        <f t="shared" si="318"/>
        <v/>
      </c>
      <c r="M983" s="190"/>
      <c r="N983" s="190"/>
      <c r="O983" s="188" t="str">
        <f t="shared" si="319"/>
        <v/>
      </c>
      <c r="P983" s="191" t="str">
        <f t="shared" si="306"/>
        <v/>
      </c>
      <c r="Q983" s="192" t="str">
        <f t="shared" si="320"/>
        <v/>
      </c>
      <c r="R983" s="191" t="str">
        <f t="shared" si="307"/>
        <v/>
      </c>
      <c r="S983" s="193" t="str">
        <f t="shared" si="321"/>
        <v/>
      </c>
      <c r="T983" s="194" t="str">
        <f t="shared" si="308"/>
        <v/>
      </c>
      <c r="U983" s="192" t="str">
        <f t="shared" si="322"/>
        <v/>
      </c>
      <c r="V983" s="195" t="str">
        <f t="shared" si="309"/>
        <v/>
      </c>
      <c r="W983" s="195" t="str">
        <f t="shared" si="310"/>
        <v/>
      </c>
      <c r="X983" s="196" t="str">
        <f t="shared" si="323"/>
        <v/>
      </c>
      <c r="Y983" s="191" t="str">
        <f t="shared" si="324"/>
        <v/>
      </c>
      <c r="Z983" s="197" t="str">
        <f t="shared" si="311"/>
        <v/>
      </c>
      <c r="AA983" s="197" t="str">
        <f t="shared" si="312"/>
        <v/>
      </c>
      <c r="AB983" s="218"/>
      <c r="AC983" s="205"/>
    </row>
    <row r="984" spans="1:29">
      <c r="A984" s="219" t="str">
        <f t="shared" si="313"/>
        <v/>
      </c>
      <c r="B984" s="219"/>
      <c r="C984" s="184"/>
      <c r="D984" s="185"/>
      <c r="E984" s="185" t="str">
        <f>IF(OR(C984="",C984=Data!$B$3),"",IF(C984=Data!$B$2,"L","S"))</f>
        <v/>
      </c>
      <c r="F984" s="185" t="str">
        <f t="shared" si="314"/>
        <v/>
      </c>
      <c r="G984" s="186" t="str">
        <f t="shared" si="305"/>
        <v/>
      </c>
      <c r="H984" s="187"/>
      <c r="I984" s="188" t="str">
        <f t="shared" si="315"/>
        <v/>
      </c>
      <c r="J984" s="188" t="str">
        <f t="shared" si="316"/>
        <v/>
      </c>
      <c r="K984" s="189" t="str">
        <f t="shared" si="317"/>
        <v/>
      </c>
      <c r="L984" s="189" t="str">
        <f t="shared" si="318"/>
        <v/>
      </c>
      <c r="M984" s="190"/>
      <c r="N984" s="190"/>
      <c r="O984" s="188" t="str">
        <f t="shared" si="319"/>
        <v/>
      </c>
      <c r="P984" s="191" t="str">
        <f t="shared" si="306"/>
        <v/>
      </c>
      <c r="Q984" s="192" t="str">
        <f t="shared" si="320"/>
        <v/>
      </c>
      <c r="R984" s="191" t="str">
        <f t="shared" si="307"/>
        <v/>
      </c>
      <c r="S984" s="193" t="str">
        <f t="shared" si="321"/>
        <v/>
      </c>
      <c r="T984" s="194" t="str">
        <f t="shared" si="308"/>
        <v/>
      </c>
      <c r="U984" s="192" t="str">
        <f t="shared" si="322"/>
        <v/>
      </c>
      <c r="V984" s="195" t="str">
        <f t="shared" si="309"/>
        <v/>
      </c>
      <c r="W984" s="195" t="str">
        <f t="shared" si="310"/>
        <v/>
      </c>
      <c r="X984" s="196" t="str">
        <f t="shared" si="323"/>
        <v/>
      </c>
      <c r="Y984" s="191" t="str">
        <f t="shared" si="324"/>
        <v/>
      </c>
      <c r="Z984" s="197" t="str">
        <f t="shared" si="311"/>
        <v/>
      </c>
      <c r="AA984" s="197" t="str">
        <f t="shared" si="312"/>
        <v/>
      </c>
      <c r="AB984" s="218"/>
      <c r="AC984" s="205"/>
    </row>
    <row r="985" spans="1:29">
      <c r="A985" s="219" t="str">
        <f t="shared" si="313"/>
        <v/>
      </c>
      <c r="B985" s="219"/>
      <c r="C985" s="184"/>
      <c r="D985" s="185"/>
      <c r="E985" s="185" t="str">
        <f>IF(OR(C985="",C985=Data!$B$3),"",IF(C985=Data!$B$2,"L","S"))</f>
        <v/>
      </c>
      <c r="F985" s="185" t="str">
        <f t="shared" si="314"/>
        <v/>
      </c>
      <c r="G985" s="186" t="str">
        <f t="shared" si="305"/>
        <v/>
      </c>
      <c r="H985" s="187"/>
      <c r="I985" s="188" t="str">
        <f t="shared" si="315"/>
        <v/>
      </c>
      <c r="J985" s="188" t="str">
        <f t="shared" si="316"/>
        <v/>
      </c>
      <c r="K985" s="189" t="str">
        <f t="shared" si="317"/>
        <v/>
      </c>
      <c r="L985" s="189" t="str">
        <f t="shared" si="318"/>
        <v/>
      </c>
      <c r="M985" s="190"/>
      <c r="N985" s="190"/>
      <c r="O985" s="188" t="str">
        <f t="shared" si="319"/>
        <v/>
      </c>
      <c r="P985" s="191" t="str">
        <f t="shared" si="306"/>
        <v/>
      </c>
      <c r="Q985" s="192" t="str">
        <f t="shared" si="320"/>
        <v/>
      </c>
      <c r="R985" s="191" t="str">
        <f t="shared" si="307"/>
        <v/>
      </c>
      <c r="S985" s="193" t="str">
        <f t="shared" si="321"/>
        <v/>
      </c>
      <c r="T985" s="194" t="str">
        <f t="shared" si="308"/>
        <v/>
      </c>
      <c r="U985" s="192" t="str">
        <f t="shared" si="322"/>
        <v/>
      </c>
      <c r="V985" s="195" t="str">
        <f t="shared" si="309"/>
        <v/>
      </c>
      <c r="W985" s="195" t="str">
        <f t="shared" si="310"/>
        <v/>
      </c>
      <c r="X985" s="196" t="str">
        <f t="shared" si="323"/>
        <v/>
      </c>
      <c r="Y985" s="191" t="str">
        <f t="shared" si="324"/>
        <v/>
      </c>
      <c r="Z985" s="197" t="str">
        <f t="shared" si="311"/>
        <v/>
      </c>
      <c r="AA985" s="197" t="str">
        <f t="shared" si="312"/>
        <v/>
      </c>
      <c r="AB985" s="218"/>
      <c r="AC985" s="205"/>
    </row>
    <row r="986" spans="1:29">
      <c r="A986" s="219" t="str">
        <f t="shared" si="313"/>
        <v/>
      </c>
      <c r="B986" s="219"/>
      <c r="C986" s="184"/>
      <c r="D986" s="185"/>
      <c r="E986" s="185" t="str">
        <f>IF(OR(C986="",C986=Data!$B$3),"",IF(C986=Data!$B$2,"L","S"))</f>
        <v/>
      </c>
      <c r="F986" s="185" t="str">
        <f t="shared" si="314"/>
        <v/>
      </c>
      <c r="G986" s="186" t="str">
        <f t="shared" si="305"/>
        <v/>
      </c>
      <c r="H986" s="187"/>
      <c r="I986" s="188" t="str">
        <f t="shared" si="315"/>
        <v/>
      </c>
      <c r="J986" s="188" t="str">
        <f t="shared" si="316"/>
        <v/>
      </c>
      <c r="K986" s="189" t="str">
        <f t="shared" si="317"/>
        <v/>
      </c>
      <c r="L986" s="189" t="str">
        <f t="shared" si="318"/>
        <v/>
      </c>
      <c r="M986" s="190"/>
      <c r="N986" s="190"/>
      <c r="O986" s="188" t="str">
        <f t="shared" si="319"/>
        <v/>
      </c>
      <c r="P986" s="191" t="str">
        <f t="shared" si="306"/>
        <v/>
      </c>
      <c r="Q986" s="192" t="str">
        <f t="shared" si="320"/>
        <v/>
      </c>
      <c r="R986" s="191" t="str">
        <f t="shared" si="307"/>
        <v/>
      </c>
      <c r="S986" s="193" t="str">
        <f t="shared" si="321"/>
        <v/>
      </c>
      <c r="T986" s="194" t="str">
        <f t="shared" si="308"/>
        <v/>
      </c>
      <c r="U986" s="192" t="str">
        <f t="shared" si="322"/>
        <v/>
      </c>
      <c r="V986" s="195" t="str">
        <f t="shared" si="309"/>
        <v/>
      </c>
      <c r="W986" s="195" t="str">
        <f t="shared" si="310"/>
        <v/>
      </c>
      <c r="X986" s="196" t="str">
        <f t="shared" si="323"/>
        <v/>
      </c>
      <c r="Y986" s="191" t="str">
        <f t="shared" si="324"/>
        <v/>
      </c>
      <c r="Z986" s="197" t="str">
        <f t="shared" si="311"/>
        <v/>
      </c>
      <c r="AA986" s="197" t="str">
        <f t="shared" si="312"/>
        <v/>
      </c>
      <c r="AB986" s="218"/>
      <c r="AC986" s="205"/>
    </row>
    <row r="987" spans="1:29">
      <c r="A987" s="219" t="str">
        <f t="shared" si="313"/>
        <v/>
      </c>
      <c r="B987" s="219"/>
      <c r="C987" s="184"/>
      <c r="D987" s="185"/>
      <c r="E987" s="185" t="str">
        <f>IF(OR(C987="",C987=Data!$B$3),"",IF(C987=Data!$B$2,"L","S"))</f>
        <v/>
      </c>
      <c r="F987" s="185" t="str">
        <f t="shared" si="314"/>
        <v/>
      </c>
      <c r="G987" s="186" t="str">
        <f t="shared" si="305"/>
        <v/>
      </c>
      <c r="H987" s="187"/>
      <c r="I987" s="188" t="str">
        <f t="shared" si="315"/>
        <v/>
      </c>
      <c r="J987" s="188" t="str">
        <f t="shared" si="316"/>
        <v/>
      </c>
      <c r="K987" s="189" t="str">
        <f t="shared" si="317"/>
        <v/>
      </c>
      <c r="L987" s="189" t="str">
        <f t="shared" si="318"/>
        <v/>
      </c>
      <c r="M987" s="190"/>
      <c r="N987" s="190"/>
      <c r="O987" s="188" t="str">
        <f t="shared" si="319"/>
        <v/>
      </c>
      <c r="P987" s="191" t="str">
        <f t="shared" si="306"/>
        <v/>
      </c>
      <c r="Q987" s="192" t="str">
        <f t="shared" si="320"/>
        <v/>
      </c>
      <c r="R987" s="191" t="str">
        <f t="shared" si="307"/>
        <v/>
      </c>
      <c r="S987" s="193" t="str">
        <f t="shared" si="321"/>
        <v/>
      </c>
      <c r="T987" s="194" t="str">
        <f t="shared" si="308"/>
        <v/>
      </c>
      <c r="U987" s="192" t="str">
        <f t="shared" si="322"/>
        <v/>
      </c>
      <c r="V987" s="195" t="str">
        <f t="shared" si="309"/>
        <v/>
      </c>
      <c r="W987" s="195" t="str">
        <f t="shared" si="310"/>
        <v/>
      </c>
      <c r="X987" s="196" t="str">
        <f t="shared" si="323"/>
        <v/>
      </c>
      <c r="Y987" s="191" t="str">
        <f t="shared" si="324"/>
        <v/>
      </c>
      <c r="Z987" s="197" t="str">
        <f t="shared" si="311"/>
        <v/>
      </c>
      <c r="AA987" s="197" t="str">
        <f t="shared" si="312"/>
        <v/>
      </c>
      <c r="AB987" s="218"/>
      <c r="AC987" s="205"/>
    </row>
    <row r="988" spans="1:29">
      <c r="A988" s="219" t="str">
        <f t="shared" si="313"/>
        <v/>
      </c>
      <c r="B988" s="219"/>
      <c r="C988" s="184"/>
      <c r="D988" s="185"/>
      <c r="E988" s="185" t="str">
        <f>IF(OR(C988="",C988=Data!$B$3),"",IF(C988=Data!$B$2,"L","S"))</f>
        <v/>
      </c>
      <c r="F988" s="185" t="str">
        <f t="shared" si="314"/>
        <v/>
      </c>
      <c r="G988" s="186" t="str">
        <f t="shared" si="305"/>
        <v/>
      </c>
      <c r="H988" s="187"/>
      <c r="I988" s="188" t="str">
        <f t="shared" si="315"/>
        <v/>
      </c>
      <c r="J988" s="188" t="str">
        <f t="shared" si="316"/>
        <v/>
      </c>
      <c r="K988" s="189" t="str">
        <f t="shared" si="317"/>
        <v/>
      </c>
      <c r="L988" s="189" t="str">
        <f t="shared" si="318"/>
        <v/>
      </c>
      <c r="M988" s="190"/>
      <c r="N988" s="190"/>
      <c r="O988" s="188" t="str">
        <f t="shared" si="319"/>
        <v/>
      </c>
      <c r="P988" s="191" t="str">
        <f t="shared" si="306"/>
        <v/>
      </c>
      <c r="Q988" s="192" t="str">
        <f t="shared" si="320"/>
        <v/>
      </c>
      <c r="R988" s="191" t="str">
        <f t="shared" si="307"/>
        <v/>
      </c>
      <c r="S988" s="193" t="str">
        <f t="shared" si="321"/>
        <v/>
      </c>
      <c r="T988" s="194" t="str">
        <f t="shared" si="308"/>
        <v/>
      </c>
      <c r="U988" s="192" t="str">
        <f t="shared" si="322"/>
        <v/>
      </c>
      <c r="V988" s="195" t="str">
        <f t="shared" si="309"/>
        <v/>
      </c>
      <c r="W988" s="195" t="str">
        <f t="shared" si="310"/>
        <v/>
      </c>
      <c r="X988" s="196" t="str">
        <f t="shared" si="323"/>
        <v/>
      </c>
      <c r="Y988" s="191" t="str">
        <f t="shared" si="324"/>
        <v/>
      </c>
      <c r="Z988" s="197" t="str">
        <f t="shared" si="311"/>
        <v/>
      </c>
      <c r="AA988" s="197" t="str">
        <f t="shared" si="312"/>
        <v/>
      </c>
      <c r="AB988" s="218"/>
      <c r="AC988" s="205"/>
    </row>
    <row r="989" spans="1:29">
      <c r="A989" s="219" t="str">
        <f t="shared" si="313"/>
        <v/>
      </c>
      <c r="B989" s="219"/>
      <c r="C989" s="184"/>
      <c r="D989" s="185"/>
      <c r="E989" s="185" t="str">
        <f>IF(OR(C989="",C989=Data!$B$3),"",IF(C989=Data!$B$2,"L","S"))</f>
        <v/>
      </c>
      <c r="F989" s="185" t="str">
        <f t="shared" si="314"/>
        <v/>
      </c>
      <c r="G989" s="186" t="str">
        <f t="shared" si="305"/>
        <v/>
      </c>
      <c r="H989" s="187"/>
      <c r="I989" s="188" t="str">
        <f t="shared" si="315"/>
        <v/>
      </c>
      <c r="J989" s="188" t="str">
        <f t="shared" si="316"/>
        <v/>
      </c>
      <c r="K989" s="189" t="str">
        <f t="shared" si="317"/>
        <v/>
      </c>
      <c r="L989" s="189" t="str">
        <f t="shared" si="318"/>
        <v/>
      </c>
      <c r="M989" s="190"/>
      <c r="N989" s="190"/>
      <c r="O989" s="188" t="str">
        <f t="shared" si="319"/>
        <v/>
      </c>
      <c r="P989" s="191" t="str">
        <f t="shared" si="306"/>
        <v/>
      </c>
      <c r="Q989" s="192" t="str">
        <f t="shared" si="320"/>
        <v/>
      </c>
      <c r="R989" s="191" t="str">
        <f t="shared" si="307"/>
        <v/>
      </c>
      <c r="S989" s="193" t="str">
        <f t="shared" si="321"/>
        <v/>
      </c>
      <c r="T989" s="194" t="str">
        <f t="shared" si="308"/>
        <v/>
      </c>
      <c r="U989" s="192" t="str">
        <f t="shared" si="322"/>
        <v/>
      </c>
      <c r="V989" s="195" t="str">
        <f t="shared" si="309"/>
        <v/>
      </c>
      <c r="W989" s="195" t="str">
        <f t="shared" si="310"/>
        <v/>
      </c>
      <c r="X989" s="196" t="str">
        <f t="shared" si="323"/>
        <v/>
      </c>
      <c r="Y989" s="191" t="str">
        <f t="shared" si="324"/>
        <v/>
      </c>
      <c r="Z989" s="197" t="str">
        <f t="shared" si="311"/>
        <v/>
      </c>
      <c r="AA989" s="197" t="str">
        <f t="shared" si="312"/>
        <v/>
      </c>
      <c r="AB989" s="218"/>
      <c r="AC989" s="205"/>
    </row>
    <row r="990" spans="1:29">
      <c r="A990" s="219" t="str">
        <f t="shared" si="313"/>
        <v/>
      </c>
      <c r="B990" s="219"/>
      <c r="C990" s="184"/>
      <c r="D990" s="185"/>
      <c r="E990" s="185" t="str">
        <f>IF(OR(C990="",C990=Data!$B$3),"",IF(C990=Data!$B$2,"L","S"))</f>
        <v/>
      </c>
      <c r="F990" s="185" t="str">
        <f t="shared" si="314"/>
        <v/>
      </c>
      <c r="G990" s="186" t="str">
        <f t="shared" si="305"/>
        <v/>
      </c>
      <c r="H990" s="187"/>
      <c r="I990" s="188" t="str">
        <f t="shared" si="315"/>
        <v/>
      </c>
      <c r="J990" s="188" t="str">
        <f t="shared" si="316"/>
        <v/>
      </c>
      <c r="K990" s="189" t="str">
        <f t="shared" si="317"/>
        <v/>
      </c>
      <c r="L990" s="189" t="str">
        <f t="shared" si="318"/>
        <v/>
      </c>
      <c r="M990" s="190"/>
      <c r="N990" s="190"/>
      <c r="O990" s="188" t="str">
        <f t="shared" si="319"/>
        <v/>
      </c>
      <c r="P990" s="191" t="str">
        <f t="shared" si="306"/>
        <v/>
      </c>
      <c r="Q990" s="192" t="str">
        <f t="shared" si="320"/>
        <v/>
      </c>
      <c r="R990" s="191" t="str">
        <f t="shared" si="307"/>
        <v/>
      </c>
      <c r="S990" s="193" t="str">
        <f t="shared" si="321"/>
        <v/>
      </c>
      <c r="T990" s="194" t="str">
        <f t="shared" si="308"/>
        <v/>
      </c>
      <c r="U990" s="192" t="str">
        <f t="shared" si="322"/>
        <v/>
      </c>
      <c r="V990" s="195" t="str">
        <f t="shared" si="309"/>
        <v/>
      </c>
      <c r="W990" s="195" t="str">
        <f t="shared" si="310"/>
        <v/>
      </c>
      <c r="X990" s="196" t="str">
        <f t="shared" si="323"/>
        <v/>
      </c>
      <c r="Y990" s="191" t="str">
        <f t="shared" si="324"/>
        <v/>
      </c>
      <c r="Z990" s="197" t="str">
        <f t="shared" si="311"/>
        <v/>
      </c>
      <c r="AA990" s="197" t="str">
        <f t="shared" si="312"/>
        <v/>
      </c>
      <c r="AB990" s="218"/>
      <c r="AC990" s="205"/>
    </row>
    <row r="991" spans="1:29">
      <c r="A991" s="219" t="str">
        <f t="shared" si="313"/>
        <v/>
      </c>
      <c r="B991" s="219"/>
      <c r="C991" s="184"/>
      <c r="D991" s="185"/>
      <c r="E991" s="185" t="str">
        <f>IF(OR(C991="",C991=Data!$B$3),"",IF(C991=Data!$B$2,"L","S"))</f>
        <v/>
      </c>
      <c r="F991" s="185" t="str">
        <f t="shared" si="314"/>
        <v/>
      </c>
      <c r="G991" s="186" t="str">
        <f t="shared" si="305"/>
        <v/>
      </c>
      <c r="H991" s="187"/>
      <c r="I991" s="188" t="str">
        <f t="shared" si="315"/>
        <v/>
      </c>
      <c r="J991" s="188" t="str">
        <f t="shared" si="316"/>
        <v/>
      </c>
      <c r="K991" s="189" t="str">
        <f t="shared" si="317"/>
        <v/>
      </c>
      <c r="L991" s="189" t="str">
        <f t="shared" si="318"/>
        <v/>
      </c>
      <c r="M991" s="190"/>
      <c r="N991" s="190"/>
      <c r="O991" s="188" t="str">
        <f t="shared" si="319"/>
        <v/>
      </c>
      <c r="P991" s="191" t="str">
        <f t="shared" si="306"/>
        <v/>
      </c>
      <c r="Q991" s="192" t="str">
        <f t="shared" si="320"/>
        <v/>
      </c>
      <c r="R991" s="191" t="str">
        <f t="shared" si="307"/>
        <v/>
      </c>
      <c r="S991" s="193" t="str">
        <f t="shared" si="321"/>
        <v/>
      </c>
      <c r="T991" s="194" t="str">
        <f t="shared" si="308"/>
        <v/>
      </c>
      <c r="U991" s="192" t="str">
        <f t="shared" si="322"/>
        <v/>
      </c>
      <c r="V991" s="195" t="str">
        <f t="shared" si="309"/>
        <v/>
      </c>
      <c r="W991" s="195" t="str">
        <f t="shared" si="310"/>
        <v/>
      </c>
      <c r="X991" s="196" t="str">
        <f t="shared" si="323"/>
        <v/>
      </c>
      <c r="Y991" s="191" t="str">
        <f t="shared" si="324"/>
        <v/>
      </c>
      <c r="Z991" s="197" t="str">
        <f t="shared" si="311"/>
        <v/>
      </c>
      <c r="AA991" s="197" t="str">
        <f t="shared" si="312"/>
        <v/>
      </c>
      <c r="AB991" s="218"/>
      <c r="AC991" s="205"/>
    </row>
    <row r="992" spans="1:29">
      <c r="A992" s="219" t="str">
        <f t="shared" si="313"/>
        <v/>
      </c>
      <c r="B992" s="219"/>
      <c r="C992" s="184"/>
      <c r="D992" s="185"/>
      <c r="E992" s="185" t="str">
        <f>IF(OR(C992="",C992=Data!$B$3),"",IF(C992=Data!$B$2,"L","S"))</f>
        <v/>
      </c>
      <c r="F992" s="185" t="str">
        <f t="shared" si="314"/>
        <v/>
      </c>
      <c r="G992" s="186" t="str">
        <f t="shared" si="305"/>
        <v/>
      </c>
      <c r="H992" s="187"/>
      <c r="I992" s="188" t="str">
        <f t="shared" si="315"/>
        <v/>
      </c>
      <c r="J992" s="188" t="str">
        <f t="shared" si="316"/>
        <v/>
      </c>
      <c r="K992" s="189" t="str">
        <f t="shared" si="317"/>
        <v/>
      </c>
      <c r="L992" s="189" t="str">
        <f t="shared" si="318"/>
        <v/>
      </c>
      <c r="M992" s="190"/>
      <c r="N992" s="190"/>
      <c r="O992" s="188" t="str">
        <f t="shared" si="319"/>
        <v/>
      </c>
      <c r="P992" s="191" t="str">
        <f t="shared" si="306"/>
        <v/>
      </c>
      <c r="Q992" s="192" t="str">
        <f t="shared" si="320"/>
        <v/>
      </c>
      <c r="R992" s="191" t="str">
        <f t="shared" si="307"/>
        <v/>
      </c>
      <c r="S992" s="193" t="str">
        <f t="shared" si="321"/>
        <v/>
      </c>
      <c r="T992" s="194" t="str">
        <f t="shared" si="308"/>
        <v/>
      </c>
      <c r="U992" s="192" t="str">
        <f t="shared" si="322"/>
        <v/>
      </c>
      <c r="V992" s="195" t="str">
        <f t="shared" si="309"/>
        <v/>
      </c>
      <c r="W992" s="195" t="str">
        <f t="shared" si="310"/>
        <v/>
      </c>
      <c r="X992" s="196" t="str">
        <f t="shared" si="323"/>
        <v/>
      </c>
      <c r="Y992" s="191" t="str">
        <f t="shared" si="324"/>
        <v/>
      </c>
      <c r="Z992" s="197" t="str">
        <f t="shared" si="311"/>
        <v/>
      </c>
      <c r="AA992" s="197" t="str">
        <f t="shared" si="312"/>
        <v/>
      </c>
      <c r="AB992" s="218"/>
      <c r="AC992" s="205"/>
    </row>
    <row r="993" spans="1:29">
      <c r="A993" s="219" t="str">
        <f t="shared" si="313"/>
        <v/>
      </c>
      <c r="B993" s="219"/>
      <c r="C993" s="184"/>
      <c r="D993" s="185"/>
      <c r="E993" s="185" t="str">
        <f>IF(OR(C993="",C993=Data!$B$3),"",IF(C993=Data!$B$2,"L","S"))</f>
        <v/>
      </c>
      <c r="F993" s="185" t="str">
        <f t="shared" si="314"/>
        <v/>
      </c>
      <c r="G993" s="186" t="str">
        <f t="shared" si="305"/>
        <v/>
      </c>
      <c r="H993" s="187"/>
      <c r="I993" s="188" t="str">
        <f t="shared" si="315"/>
        <v/>
      </c>
      <c r="J993" s="188" t="str">
        <f t="shared" si="316"/>
        <v/>
      </c>
      <c r="K993" s="189" t="str">
        <f t="shared" si="317"/>
        <v/>
      </c>
      <c r="L993" s="189" t="str">
        <f t="shared" si="318"/>
        <v/>
      </c>
      <c r="M993" s="190"/>
      <c r="N993" s="190"/>
      <c r="O993" s="188" t="str">
        <f t="shared" si="319"/>
        <v/>
      </c>
      <c r="P993" s="191" t="str">
        <f t="shared" si="306"/>
        <v/>
      </c>
      <c r="Q993" s="192" t="str">
        <f t="shared" si="320"/>
        <v/>
      </c>
      <c r="R993" s="191" t="str">
        <f t="shared" si="307"/>
        <v/>
      </c>
      <c r="S993" s="193" t="str">
        <f t="shared" si="321"/>
        <v/>
      </c>
      <c r="T993" s="194" t="str">
        <f t="shared" si="308"/>
        <v/>
      </c>
      <c r="U993" s="192" t="str">
        <f t="shared" si="322"/>
        <v/>
      </c>
      <c r="V993" s="195" t="str">
        <f t="shared" si="309"/>
        <v/>
      </c>
      <c r="W993" s="195" t="str">
        <f t="shared" si="310"/>
        <v/>
      </c>
      <c r="X993" s="196" t="str">
        <f t="shared" si="323"/>
        <v/>
      </c>
      <c r="Y993" s="191" t="str">
        <f t="shared" si="324"/>
        <v/>
      </c>
      <c r="Z993" s="197" t="str">
        <f t="shared" si="311"/>
        <v/>
      </c>
      <c r="AA993" s="197" t="str">
        <f t="shared" si="312"/>
        <v/>
      </c>
      <c r="AB993" s="218"/>
      <c r="AC993" s="205"/>
    </row>
    <row r="994" spans="1:29">
      <c r="A994" s="219" t="str">
        <f t="shared" si="313"/>
        <v/>
      </c>
      <c r="B994" s="219"/>
      <c r="C994" s="184"/>
      <c r="D994" s="185"/>
      <c r="E994" s="185" t="str">
        <f>IF(OR(C994="",C994=Data!$B$3),"",IF(C994=Data!$B$2,"L","S"))</f>
        <v/>
      </c>
      <c r="F994" s="185" t="str">
        <f t="shared" si="314"/>
        <v/>
      </c>
      <c r="G994" s="186" t="str">
        <f t="shared" si="305"/>
        <v/>
      </c>
      <c r="H994" s="187"/>
      <c r="I994" s="188" t="str">
        <f t="shared" si="315"/>
        <v/>
      </c>
      <c r="J994" s="188" t="str">
        <f t="shared" si="316"/>
        <v/>
      </c>
      <c r="K994" s="189" t="str">
        <f t="shared" si="317"/>
        <v/>
      </c>
      <c r="L994" s="189" t="str">
        <f t="shared" si="318"/>
        <v/>
      </c>
      <c r="M994" s="190"/>
      <c r="N994" s="190"/>
      <c r="O994" s="188" t="str">
        <f t="shared" si="319"/>
        <v/>
      </c>
      <c r="P994" s="191" t="str">
        <f t="shared" si="306"/>
        <v/>
      </c>
      <c r="Q994" s="192" t="str">
        <f t="shared" si="320"/>
        <v/>
      </c>
      <c r="R994" s="191" t="str">
        <f t="shared" si="307"/>
        <v/>
      </c>
      <c r="S994" s="193" t="str">
        <f t="shared" si="321"/>
        <v/>
      </c>
      <c r="T994" s="194" t="str">
        <f t="shared" si="308"/>
        <v/>
      </c>
      <c r="U994" s="192" t="str">
        <f t="shared" si="322"/>
        <v/>
      </c>
      <c r="V994" s="195" t="str">
        <f t="shared" si="309"/>
        <v/>
      </c>
      <c r="W994" s="195" t="str">
        <f t="shared" si="310"/>
        <v/>
      </c>
      <c r="X994" s="196" t="str">
        <f t="shared" si="323"/>
        <v/>
      </c>
      <c r="Y994" s="191" t="str">
        <f t="shared" si="324"/>
        <v/>
      </c>
      <c r="Z994" s="197" t="str">
        <f t="shared" si="311"/>
        <v/>
      </c>
      <c r="AA994" s="197" t="str">
        <f t="shared" si="312"/>
        <v/>
      </c>
      <c r="AB994" s="218"/>
      <c r="AC994" s="205"/>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0</v>
      </c>
      <c r="U995" s="158"/>
      <c r="V995" s="161">
        <f>SUM(V12:V994)</f>
        <v>0</v>
      </c>
      <c r="W995" s="161">
        <f>SUM(W12:W994)</f>
        <v>0</v>
      </c>
      <c r="X995" s="162">
        <f>SUM(X12:X994)</f>
        <v>0</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0</v>
      </c>
      <c r="U996" s="158"/>
      <c r="V996" s="161"/>
      <c r="W996" s="161"/>
      <c r="X996" s="162">
        <f>SUMIF(X12:X994,"&gt;=0")</f>
        <v>0</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0</v>
      </c>
      <c r="U997" s="158"/>
      <c r="V997" s="161"/>
      <c r="W997" s="161"/>
      <c r="X997" s="162">
        <f>SUMIF(X12:X994,"&lt;=0")</f>
        <v>0</v>
      </c>
      <c r="Y997" s="157"/>
      <c r="Z997" s="163"/>
      <c r="AA997" s="163"/>
    </row>
  </sheetData>
  <mergeCells count="14">
    <mergeCell ref="AB10:AC10"/>
    <mergeCell ref="I6:K6"/>
    <mergeCell ref="E3:Q3"/>
    <mergeCell ref="S4:T4"/>
    <mergeCell ref="U4:X4"/>
    <mergeCell ref="A1:D1"/>
    <mergeCell ref="A9:D9"/>
    <mergeCell ref="I8:K8"/>
    <mergeCell ref="E2:Q2"/>
    <mergeCell ref="A7:D7"/>
    <mergeCell ref="A8:D8"/>
    <mergeCell ref="I4:K4"/>
    <mergeCell ref="I5:K5"/>
    <mergeCell ref="I7:K7"/>
  </mergeCells>
  <phoneticPr fontId="1" type="noConversion"/>
  <dataValidations count="5">
    <dataValidation type="custom" allowBlank="1" showInputMessage="1" showErrorMessage="1" sqref="D4">
      <formula1>D4&lt;=D5*D6/0.1</formula1>
    </dataValidation>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 type="list" allowBlank="1" showInputMessage="1" showErrorMessage="1" sqref="D12:D994">
      <formula1>Pair</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5.xml><?xml version="1.0" encoding="utf-8"?>
<worksheet xmlns="http://schemas.openxmlformats.org/spreadsheetml/2006/main" xmlns:r="http://schemas.openxmlformats.org/officeDocument/2006/relationships">
  <sheetPr enableFormatConditionsCalculation="0">
    <tabColor indexed="62"/>
  </sheetPr>
  <dimension ref="A1:B101"/>
  <sheetViews>
    <sheetView workbookViewId="0">
      <selection activeCell="A2" sqref="A2"/>
    </sheetView>
  </sheetViews>
  <sheetFormatPr defaultColWidth="9" defaultRowHeight="12.75"/>
  <cols>
    <col min="1" max="1" width="24.625" style="199" bestFit="1" customWidth="1"/>
    <col min="2" max="2" width="11.375" style="200" bestFit="1" customWidth="1"/>
    <col min="3" max="3" width="9" style="199"/>
    <col min="4" max="4" width="7.875" style="199" bestFit="1" customWidth="1"/>
    <col min="5" max="16384" width="9" style="199"/>
  </cols>
  <sheetData>
    <row r="1" spans="1:2">
      <c r="A1" s="168" t="s">
        <v>135</v>
      </c>
      <c r="B1" s="168" t="s">
        <v>136</v>
      </c>
    </row>
    <row r="101" spans="1:1">
      <c r="A101" s="168" t="s">
        <v>137</v>
      </c>
    </row>
  </sheetData>
  <phoneticPr fontId="44"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A7" sqref="A7"/>
    </sheetView>
  </sheetViews>
  <sheetFormatPr defaultColWidth="9" defaultRowHeight="12"/>
  <cols>
    <col min="1" max="1" width="4.125" style="1" customWidth="1"/>
    <col min="2" max="2" width="7" style="4" customWidth="1"/>
    <col min="3" max="3" width="5.5" style="4" customWidth="1"/>
    <col min="4" max="4" width="11.75" style="39" customWidth="1"/>
    <col min="5" max="5" width="13" style="39" customWidth="1"/>
    <col min="6" max="6" width="13.25" style="43" customWidth="1"/>
    <col min="7" max="7" width="10.625" style="43" customWidth="1"/>
    <col min="8" max="8" width="10.875" style="44" customWidth="1"/>
    <col min="9" max="9" width="10.875" style="43" customWidth="1"/>
    <col min="10" max="10" width="11.875" style="44" customWidth="1"/>
    <col min="11" max="11" width="9.875" style="45" customWidth="1"/>
    <col min="12" max="12" width="10.5" style="45" customWidth="1"/>
    <col min="13" max="16384" width="9" style="40"/>
  </cols>
  <sheetData>
    <row r="1" spans="1:15" s="49" customFormat="1" ht="18" customHeight="1">
      <c r="A1" s="266" t="s">
        <v>87</v>
      </c>
      <c r="B1" s="267"/>
      <c r="C1" s="267"/>
      <c r="D1" s="267"/>
      <c r="E1" s="267"/>
      <c r="F1" s="46"/>
      <c r="G1" s="46"/>
      <c r="H1" s="47"/>
      <c r="I1" s="46"/>
      <c r="J1" s="47"/>
      <c r="K1" s="48"/>
      <c r="L1" s="48"/>
    </row>
    <row r="2" spans="1:15" s="49" customFormat="1" ht="17.25" customHeight="1">
      <c r="A2" s="268"/>
      <c r="B2" s="268"/>
      <c r="C2" s="268"/>
      <c r="D2" s="268"/>
      <c r="E2" s="268"/>
      <c r="F2" s="46"/>
      <c r="G2" s="46"/>
      <c r="H2" s="47"/>
      <c r="I2" s="46"/>
      <c r="J2" s="47"/>
      <c r="K2" s="48"/>
      <c r="L2" s="48"/>
    </row>
    <row r="3" spans="1:15" s="49" customFormat="1" ht="15" customHeight="1">
      <c r="A3" s="268"/>
      <c r="B3" s="268"/>
      <c r="C3" s="268"/>
      <c r="D3" s="268"/>
      <c r="E3" s="268"/>
      <c r="F3" s="46"/>
      <c r="G3" s="46"/>
      <c r="H3" s="47"/>
      <c r="I3" s="46"/>
      <c r="J3" s="47"/>
      <c r="K3" s="48"/>
      <c r="L3" s="48"/>
    </row>
    <row r="4" spans="1:15" s="49" customFormat="1" ht="14.25" customHeight="1">
      <c r="A4" s="268"/>
      <c r="B4" s="268"/>
      <c r="C4" s="268"/>
      <c r="D4" s="268"/>
      <c r="E4" s="268"/>
      <c r="F4" s="46"/>
      <c r="G4" s="46"/>
      <c r="H4" s="47"/>
      <c r="I4" s="46"/>
      <c r="J4" s="47"/>
      <c r="K4" s="48"/>
      <c r="L4" s="48"/>
    </row>
    <row r="5" spans="1:15" s="41" customFormat="1" ht="36" customHeight="1">
      <c r="A5" s="237" t="s">
        <v>0</v>
      </c>
      <c r="B5" s="259"/>
      <c r="C5" s="259"/>
      <c r="D5" s="259"/>
      <c r="E5" s="259"/>
      <c r="F5" s="265" t="s">
        <v>44</v>
      </c>
      <c r="G5" s="259"/>
      <c r="H5" s="259"/>
      <c r="I5" s="259"/>
      <c r="J5" s="259"/>
      <c r="K5" s="259"/>
      <c r="L5" s="259"/>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t="str">
        <f>IF(C7="","",1)</f>
        <v/>
      </c>
      <c r="F7" s="43" t="str">
        <f t="shared" ref="F7:F70" si="0">IF(G7="","",E7+G7)</f>
        <v/>
      </c>
      <c r="G7" s="43" t="str">
        <f>IF(C7="","",H7/10)</f>
        <v/>
      </c>
      <c r="H7" s="44" t="str">
        <f>IF(C7="","",GETPIVOTDATA("WinPips",ProfitRpt!$A$7,"Trade Month",C7,"Trade Year",B7))</f>
        <v/>
      </c>
      <c r="I7" s="43" t="str">
        <f t="shared" ref="I7:I70" si="1">IF(B7="","",IF(B7=B6,I6+G7,G7))</f>
        <v/>
      </c>
      <c r="J7" s="44" t="str">
        <f t="shared" ref="J7:J70" si="2">IF(B7="","",IF(B6=B7,J6+H7,H7))</f>
        <v/>
      </c>
      <c r="K7" s="45" t="str">
        <f t="shared" ref="K7:K70" si="3">IF(F7="","",IF(E7="","",(F7-E7)/E7))</f>
        <v/>
      </c>
      <c r="L7" s="45" t="str">
        <f t="shared" ref="L7:L70" si="4">IF(I7="","",IF(D7="","",I7/D7) )</f>
        <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sheetPr codeName="Sheet5">
    <tabColor indexed="62"/>
  </sheetPr>
  <dimension ref="A1:AE35"/>
  <sheetViews>
    <sheetView showGridLines="0" topLeftCell="B1" workbookViewId="0">
      <pane ySplit="5" topLeftCell="A6" activePane="bottomLeft" state="frozen"/>
      <selection pane="bottomLeft" activeCell="A10" sqref="A10:C10"/>
      <pivotSelection pane="bottomRight" showHeader="1" activeRow="6" activeCol="4" click="1" r:id="rId1">
        <pivotArea dataOnly="0" labelOnly="1" fieldPosition="0">
          <references count="1">
            <reference field="24" count="0"/>
          </references>
        </pivotArea>
      </pivotSelection>
      <pivotSelection pane="topRight" showHeader="1" extendable="1" axis="axisRow" start="2" max="4" activeRow="9" previousRow="9" click="1" r:id="rId2">
        <pivotArea dataOnly="0" fieldPosition="0">
          <references count="1">
            <reference field="26" count="0"/>
          </references>
        </pivotArea>
      </pivotSelection>
    </sheetView>
  </sheetViews>
  <sheetFormatPr defaultColWidth="9" defaultRowHeight="12.75"/>
  <cols>
    <col min="1" max="1" width="11.625" style="33" customWidth="1"/>
    <col min="2" max="2" width="13.625" style="33" customWidth="1"/>
    <col min="3" max="3" width="22.875" style="33" customWidth="1"/>
    <col min="4" max="4" width="21.375" style="33" customWidth="1"/>
    <col min="5" max="5" width="11.5" style="33" customWidth="1"/>
    <col min="6" max="6" width="13.625" style="33" customWidth="1"/>
    <col min="7" max="7" width="22.25" style="33" customWidth="1"/>
    <col min="8" max="9" width="20.625" style="33" customWidth="1"/>
    <col min="10" max="10" width="20.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4.25">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269" t="s">
        <v>89</v>
      </c>
      <c r="B4" s="270"/>
      <c r="C4" s="270"/>
      <c r="D4" s="270"/>
      <c r="E4" s="270"/>
      <c r="F4" s="270"/>
      <c r="G4" s="270"/>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270"/>
      <c r="B5" s="270"/>
      <c r="C5" s="270"/>
      <c r="D5" s="270"/>
      <c r="E5" s="270"/>
      <c r="F5" s="270"/>
      <c r="G5" s="270"/>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
      <c r="A7" s="207" t="s">
        <v>29</v>
      </c>
      <c r="B7" s="221" t="s">
        <v>28</v>
      </c>
      <c r="C7" s="222" t="s">
        <v>35</v>
      </c>
      <c r="D7"/>
      <c r="E7" s="207" t="s">
        <v>29</v>
      </c>
      <c r="F7" s="221" t="s">
        <v>28</v>
      </c>
      <c r="G7" s="222" t="s">
        <v>154</v>
      </c>
      <c r="H7"/>
      <c r="I7"/>
      <c r="J7"/>
    </row>
    <row r="8" spans="1:31" ht="15">
      <c r="A8" s="227" t="s">
        <v>96</v>
      </c>
      <c r="B8" s="227"/>
      <c r="C8" s="230"/>
      <c r="D8"/>
      <c r="E8" s="223" t="s">
        <v>147</v>
      </c>
      <c r="F8" s="224"/>
      <c r="G8" s="225"/>
      <c r="H8"/>
      <c r="I8"/>
      <c r="J8"/>
    </row>
    <row r="9" spans="1:31" ht="15">
      <c r="A9"/>
      <c r="B9"/>
      <c r="C9"/>
      <c r="D9"/>
      <c r="E9" s="226"/>
      <c r="F9" s="226"/>
      <c r="G9" s="225">
        <v>0</v>
      </c>
      <c r="H9"/>
      <c r="I9"/>
      <c r="J9"/>
    </row>
    <row r="10" spans="1:31" ht="15">
      <c r="A10"/>
      <c r="B10"/>
      <c r="C10"/>
      <c r="D10"/>
      <c r="E10" s="226"/>
      <c r="F10" s="226"/>
      <c r="G10" s="225"/>
      <c r="H10"/>
      <c r="I10"/>
      <c r="J10"/>
    </row>
    <row r="11" spans="1:31" ht="15">
      <c r="A11"/>
      <c r="B11"/>
      <c r="C11"/>
      <c r="D11"/>
      <c r="E11" s="227" t="s">
        <v>96</v>
      </c>
      <c r="F11" s="227"/>
      <c r="G11" s="228">
        <v>0</v>
      </c>
      <c r="H11"/>
      <c r="I11"/>
      <c r="J11"/>
    </row>
    <row r="12" spans="1:31" ht="15">
      <c r="A12"/>
      <c r="B12"/>
      <c r="C12"/>
      <c r="D12"/>
      <c r="E12"/>
      <c r="F12"/>
      <c r="G12"/>
      <c r="H12"/>
      <c r="I12"/>
      <c r="J12"/>
    </row>
    <row r="13" spans="1:31" ht="15">
      <c r="A13"/>
      <c r="B13"/>
      <c r="C13"/>
      <c r="D13"/>
      <c r="E13"/>
      <c r="F13"/>
      <c r="G13"/>
      <c r="H13"/>
      <c r="I13"/>
      <c r="J13"/>
    </row>
    <row r="14" spans="1:31" ht="15">
      <c r="A14"/>
      <c r="B14"/>
      <c r="C14"/>
      <c r="D14"/>
      <c r="E14"/>
      <c r="F14"/>
      <c r="G14"/>
      <c r="H14"/>
      <c r="I14"/>
      <c r="J14"/>
    </row>
    <row r="15" spans="1:31" ht="15">
      <c r="A15"/>
      <c r="B15"/>
      <c r="C15"/>
      <c r="D15"/>
      <c r="E15"/>
      <c r="F15"/>
      <c r="G15"/>
      <c r="H15"/>
      <c r="I15"/>
      <c r="J15"/>
    </row>
    <row r="16" spans="1:31" ht="15">
      <c r="A16"/>
      <c r="B16"/>
      <c r="C16"/>
      <c r="D16"/>
      <c r="E16"/>
      <c r="F16"/>
      <c r="G16"/>
      <c r="H16"/>
      <c r="I16"/>
      <c r="J16"/>
    </row>
    <row r="17" spans="1:10" ht="15">
      <c r="A17"/>
      <c r="B17"/>
      <c r="C17"/>
      <c r="D17"/>
      <c r="E17"/>
      <c r="F17"/>
      <c r="G17"/>
      <c r="H17"/>
      <c r="I17"/>
      <c r="J17"/>
    </row>
    <row r="18" spans="1:10" ht="15">
      <c r="A18"/>
      <c r="B18"/>
      <c r="C18"/>
      <c r="D18"/>
      <c r="E18"/>
      <c r="F18"/>
      <c r="G18"/>
      <c r="H18"/>
      <c r="I18"/>
      <c r="J18"/>
    </row>
    <row r="19" spans="1:10" ht="15">
      <c r="A19"/>
      <c r="B19"/>
      <c r="C19"/>
      <c r="D19"/>
      <c r="E19"/>
      <c r="F19"/>
      <c r="G19"/>
      <c r="H19"/>
      <c r="I19"/>
      <c r="J19"/>
    </row>
    <row r="20" spans="1:10" ht="15">
      <c r="A20"/>
      <c r="B20"/>
      <c r="C20"/>
      <c r="D20"/>
      <c r="E20"/>
      <c r="F20"/>
      <c r="G20"/>
      <c r="H20"/>
      <c r="I20"/>
      <c r="J20"/>
    </row>
    <row r="21" spans="1:10" ht="15">
      <c r="A21"/>
      <c r="B21"/>
      <c r="C21"/>
      <c r="D21"/>
      <c r="E21"/>
      <c r="F21"/>
      <c r="G21"/>
      <c r="H21"/>
    </row>
    <row r="22" spans="1:10" ht="15">
      <c r="A22"/>
      <c r="B22"/>
      <c r="C22"/>
      <c r="D22"/>
      <c r="E22"/>
      <c r="F22"/>
      <c r="G22"/>
      <c r="H22"/>
    </row>
    <row r="23" spans="1:10" ht="15">
      <c r="A23" s="29"/>
      <c r="B23" s="29"/>
      <c r="C23" s="29"/>
      <c r="D23" s="32"/>
      <c r="E23" s="29"/>
      <c r="F23" s="29"/>
      <c r="G23" s="29"/>
    </row>
    <row r="24" spans="1:10" ht="15">
      <c r="A24" s="29"/>
      <c r="B24" s="29"/>
      <c r="C24" s="29"/>
      <c r="D24" s="32"/>
      <c r="E24" s="29"/>
      <c r="F24" s="29"/>
      <c r="G24" s="29"/>
    </row>
    <row r="25" spans="1:10" ht="15">
      <c r="A25" s="29"/>
      <c r="B25" s="29"/>
      <c r="C25" s="29"/>
      <c r="D25" s="32"/>
      <c r="E25" s="29"/>
      <c r="F25" s="29"/>
      <c r="G25" s="29"/>
    </row>
    <row r="26" spans="1:10" ht="15">
      <c r="A26" s="29"/>
      <c r="B26" s="29"/>
      <c r="C26" s="29"/>
      <c r="D26" s="32"/>
      <c r="E26" s="29"/>
      <c r="F26" s="29"/>
      <c r="G26" s="29"/>
    </row>
    <row r="27" spans="1:10" ht="15">
      <c r="A27" s="29"/>
      <c r="B27" s="29"/>
      <c r="C27" s="29"/>
      <c r="D27" s="32"/>
      <c r="E27" s="29"/>
      <c r="F27" s="29"/>
      <c r="G27" s="29"/>
    </row>
    <row r="28" spans="1:10" ht="15">
      <c r="A28" s="29"/>
      <c r="B28" s="29"/>
      <c r="C28" s="29"/>
      <c r="D28" s="32"/>
      <c r="E28" s="29"/>
      <c r="F28" s="29"/>
      <c r="G28" s="29"/>
    </row>
    <row r="29" spans="1:10" s="34" customFormat="1" ht="15">
      <c r="A29" s="29"/>
      <c r="B29" s="29"/>
      <c r="C29" s="29"/>
      <c r="D29" s="35"/>
      <c r="E29" s="29"/>
      <c r="F29" s="29"/>
      <c r="G29" s="29"/>
    </row>
    <row r="30" spans="1:10" ht="15">
      <c r="A30" s="29"/>
      <c r="B30" s="29"/>
      <c r="C30" s="29"/>
      <c r="D30" s="32"/>
      <c r="E30" s="29"/>
      <c r="F30" s="29"/>
      <c r="G30" s="29"/>
    </row>
    <row r="31" spans="1:10" ht="15">
      <c r="A31" s="29"/>
      <c r="B31" s="29"/>
      <c r="C31" s="29"/>
      <c r="E31" s="29"/>
      <c r="F31" s="29"/>
      <c r="G31" s="29"/>
    </row>
    <row r="32" spans="1:10" ht="15">
      <c r="A32" s="29"/>
      <c r="B32" s="29"/>
      <c r="C32" s="29"/>
      <c r="E32" s="29"/>
      <c r="F32" s="29"/>
      <c r="G32" s="29"/>
    </row>
    <row r="33" spans="1:7" ht="15">
      <c r="A33" s="29"/>
      <c r="B33" s="29"/>
      <c r="C33" s="29"/>
      <c r="E33" s="29"/>
      <c r="F33" s="29"/>
      <c r="G33" s="29"/>
    </row>
    <row r="34" spans="1:7" ht="15">
      <c r="A34" s="29"/>
      <c r="B34" s="29"/>
      <c r="C34" s="29"/>
      <c r="E34" s="29"/>
      <c r="F34" s="29"/>
      <c r="G34" s="29"/>
    </row>
    <row r="35" spans="1:7" ht="15">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sheetPr codeName="Sheet7">
    <tabColor indexed="62"/>
  </sheetPr>
  <dimension ref="A1:AH69"/>
  <sheetViews>
    <sheetView showGridLines="0" workbookViewId="0">
      <pane ySplit="4" topLeftCell="A5" activePane="bottomLeft" state="frozen"/>
      <selection pane="bottomLeft" activeCell="F10" sqref="F10"/>
    </sheetView>
  </sheetViews>
  <sheetFormatPr defaultColWidth="9" defaultRowHeight="12.75"/>
  <cols>
    <col min="1" max="1" width="12" style="33" customWidth="1"/>
    <col min="2" max="2" width="13.625" style="33" customWidth="1"/>
    <col min="3" max="3" width="22.875" style="33" customWidth="1"/>
    <col min="4" max="4" width="21.375" style="33" customWidth="1"/>
    <col min="5" max="6" width="12.625" style="33" customWidth="1"/>
    <col min="7" max="7" width="13.625" style="33" customWidth="1"/>
    <col min="8" max="8" width="22.25" style="33" customWidth="1"/>
    <col min="9" max="9" width="20.625" style="33" customWidth="1"/>
    <col min="10" max="10" width="22.8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273" t="s">
        <v>91</v>
      </c>
      <c r="B3" s="274"/>
      <c r="C3" s="274"/>
      <c r="D3" s="274"/>
      <c r="E3" s="274"/>
      <c r="F3" s="274"/>
      <c r="G3" s="274"/>
      <c r="H3" s="274"/>
      <c r="I3" s="274"/>
    </row>
    <row r="4" spans="1:34" s="8" customFormat="1" ht="15.75" customHeight="1">
      <c r="A4" s="36"/>
      <c r="B4" s="36"/>
      <c r="C4" s="36"/>
      <c r="D4" s="271" t="s">
        <v>90</v>
      </c>
      <c r="E4" s="271"/>
      <c r="F4" s="271"/>
      <c r="G4" s="271"/>
      <c r="H4" s="272"/>
      <c r="I4" s="271"/>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
      <c r="A8" s="207" t="s">
        <v>29</v>
      </c>
      <c r="B8" s="221" t="s">
        <v>28</v>
      </c>
      <c r="C8" s="222" t="s">
        <v>35</v>
      </c>
      <c r="D8"/>
      <c r="F8" s="207" t="s">
        <v>29</v>
      </c>
      <c r="G8" s="221" t="s">
        <v>28</v>
      </c>
      <c r="H8" s="222" t="s">
        <v>154</v>
      </c>
      <c r="I8"/>
    </row>
    <row r="9" spans="1:34" ht="15">
      <c r="A9" s="227" t="s">
        <v>96</v>
      </c>
      <c r="B9" s="227"/>
      <c r="C9" s="230"/>
      <c r="D9"/>
      <c r="F9" s="223" t="s">
        <v>147</v>
      </c>
      <c r="G9" s="224"/>
      <c r="H9" s="225"/>
      <c r="I9"/>
    </row>
    <row r="10" spans="1:34" ht="15">
      <c r="A10"/>
      <c r="B10"/>
      <c r="C10"/>
      <c r="D10"/>
      <c r="F10" s="226"/>
      <c r="G10" s="226"/>
      <c r="H10" s="225">
        <v>0</v>
      </c>
      <c r="I10"/>
    </row>
    <row r="11" spans="1:34" ht="15">
      <c r="A11"/>
      <c r="B11"/>
      <c r="C11"/>
      <c r="D11"/>
      <c r="F11" s="226"/>
      <c r="G11" s="226"/>
      <c r="H11" s="225"/>
      <c r="I11"/>
    </row>
    <row r="12" spans="1:34" ht="15">
      <c r="A12"/>
      <c r="B12"/>
      <c r="C12"/>
      <c r="D12"/>
      <c r="F12" s="227" t="s">
        <v>96</v>
      </c>
      <c r="G12" s="227"/>
      <c r="H12" s="228">
        <v>0</v>
      </c>
      <c r="I12"/>
    </row>
    <row r="13" spans="1:34" ht="15">
      <c r="A13"/>
      <c r="B13"/>
      <c r="C13"/>
      <c r="D13"/>
      <c r="F13"/>
      <c r="G13"/>
      <c r="H13"/>
      <c r="I13"/>
    </row>
    <row r="14" spans="1:34" ht="15">
      <c r="A14"/>
      <c r="B14"/>
      <c r="C14"/>
      <c r="D14"/>
      <c r="F14"/>
      <c r="G14"/>
      <c r="H14"/>
      <c r="I14"/>
    </row>
    <row r="15" spans="1:34" ht="15">
      <c r="A15"/>
      <c r="B15"/>
      <c r="C15"/>
      <c r="D15"/>
      <c r="F15"/>
      <c r="G15"/>
      <c r="H15"/>
      <c r="I15"/>
    </row>
    <row r="16" spans="1:34" ht="15">
      <c r="A16"/>
      <c r="B16"/>
      <c r="C16"/>
      <c r="D16"/>
      <c r="F16"/>
      <c r="G16"/>
      <c r="H16"/>
      <c r="I16"/>
    </row>
    <row r="17" spans="1:9" ht="15">
      <c r="A17"/>
      <c r="B17"/>
      <c r="C17"/>
      <c r="D17"/>
      <c r="F17"/>
      <c r="G17"/>
      <c r="H17"/>
      <c r="I17"/>
    </row>
    <row r="18" spans="1:9" ht="15">
      <c r="A18"/>
      <c r="B18"/>
      <c r="C18"/>
      <c r="D18"/>
      <c r="F18"/>
      <c r="G18"/>
      <c r="H18"/>
      <c r="I18"/>
    </row>
    <row r="19" spans="1:9" ht="15">
      <c r="A19"/>
      <c r="B19"/>
      <c r="C19"/>
      <c r="D19"/>
      <c r="F19"/>
      <c r="G19"/>
      <c r="H19"/>
      <c r="I19"/>
    </row>
    <row r="20" spans="1:9" ht="15">
      <c r="A20"/>
      <c r="B20"/>
      <c r="C20"/>
      <c r="D20"/>
      <c r="F20"/>
      <c r="G20"/>
      <c r="H20"/>
      <c r="I20"/>
    </row>
    <row r="21" spans="1:9" ht="15">
      <c r="A21"/>
      <c r="B21"/>
      <c r="C21"/>
      <c r="D21"/>
      <c r="F21"/>
      <c r="G21"/>
      <c r="H21"/>
      <c r="I21"/>
    </row>
    <row r="22" spans="1:9" ht="15">
      <c r="A22"/>
      <c r="B22"/>
      <c r="C22"/>
      <c r="D22"/>
      <c r="F22"/>
      <c r="G22"/>
      <c r="H22"/>
      <c r="I22"/>
    </row>
    <row r="23" spans="1:9" ht="15">
      <c r="A23"/>
      <c r="B23"/>
      <c r="C23"/>
      <c r="D23"/>
      <c r="F23"/>
      <c r="G23"/>
      <c r="H23"/>
      <c r="I23"/>
    </row>
    <row r="24" spans="1:9" ht="15">
      <c r="A24"/>
      <c r="B24"/>
      <c r="C24"/>
      <c r="D24"/>
      <c r="F24"/>
      <c r="G24"/>
      <c r="H24"/>
      <c r="I24"/>
    </row>
    <row r="25" spans="1:9" ht="15">
      <c r="A25"/>
      <c r="B25"/>
      <c r="C25"/>
      <c r="D25"/>
      <c r="F25"/>
      <c r="G25"/>
      <c r="H25"/>
      <c r="I25"/>
    </row>
    <row r="26" spans="1:9" ht="15">
      <c r="A26"/>
      <c r="B26"/>
      <c r="C26"/>
      <c r="D26"/>
      <c r="F26"/>
      <c r="G26"/>
      <c r="H26"/>
      <c r="I26"/>
    </row>
    <row r="27" spans="1:9" ht="15">
      <c r="A27"/>
      <c r="B27"/>
      <c r="C27"/>
      <c r="D27"/>
      <c r="F27"/>
      <c r="G27"/>
      <c r="H27"/>
      <c r="I27"/>
    </row>
    <row r="28" spans="1:9" ht="15">
      <c r="A28"/>
      <c r="B28"/>
      <c r="C28"/>
      <c r="D28"/>
      <c r="F28"/>
      <c r="G28"/>
      <c r="H28"/>
      <c r="I28"/>
    </row>
    <row r="29" spans="1:9" ht="15">
      <c r="A29" s="29"/>
      <c r="B29" s="29"/>
      <c r="C29" s="29"/>
      <c r="D29" s="29"/>
      <c r="F29" s="29"/>
      <c r="G29" s="29"/>
      <c r="H29" s="29"/>
      <c r="I29" s="29"/>
    </row>
    <row r="30" spans="1:9" ht="15">
      <c r="A30" s="29"/>
      <c r="B30" s="29"/>
      <c r="C30" s="29"/>
      <c r="D30" s="29"/>
      <c r="F30" s="29"/>
      <c r="G30" s="29"/>
      <c r="H30" s="29"/>
      <c r="I30" s="29"/>
    </row>
    <row r="31" spans="1:9" ht="15">
      <c r="A31" s="29"/>
      <c r="B31" s="29"/>
      <c r="C31" s="29"/>
      <c r="D31" s="29"/>
      <c r="F31" s="29"/>
      <c r="G31" s="29"/>
      <c r="H31" s="29"/>
      <c r="I31" s="29"/>
    </row>
    <row r="32" spans="1:9" ht="15">
      <c r="A32" s="29"/>
      <c r="B32" s="29"/>
      <c r="C32" s="29"/>
      <c r="D32" s="29"/>
      <c r="F32" s="29"/>
      <c r="G32" s="29"/>
      <c r="H32" s="29"/>
      <c r="I32" s="29"/>
    </row>
    <row r="33" spans="1:9" ht="15">
      <c r="A33" s="29"/>
      <c r="B33" s="29"/>
      <c r="C33" s="29"/>
      <c r="D33" s="29"/>
      <c r="F33" s="29"/>
      <c r="G33" s="29"/>
      <c r="H33" s="29"/>
      <c r="I33" s="29"/>
    </row>
    <row r="34" spans="1:9" ht="15">
      <c r="A34" s="29"/>
      <c r="B34" s="29"/>
      <c r="C34" s="29"/>
      <c r="D34" s="29"/>
      <c r="F34" s="29"/>
      <c r="G34" s="29"/>
      <c r="H34" s="29"/>
      <c r="I34" s="29"/>
    </row>
    <row r="35" spans="1:9" ht="15">
      <c r="A35" s="29"/>
      <c r="B35" s="29"/>
      <c r="C35" s="29"/>
      <c r="D35" s="29"/>
      <c r="F35" s="29"/>
      <c r="G35" s="29"/>
      <c r="H35" s="29"/>
      <c r="I35" s="29"/>
    </row>
    <row r="36" spans="1:9" ht="15">
      <c r="A36" s="29"/>
      <c r="B36" s="29"/>
      <c r="C36" s="29"/>
      <c r="D36" s="29"/>
      <c r="F36" s="29"/>
      <c r="G36" s="29"/>
      <c r="H36" s="29"/>
      <c r="I36" s="29"/>
    </row>
    <row r="37" spans="1:9" ht="15">
      <c r="A37" s="29"/>
      <c r="B37" s="29"/>
      <c r="C37" s="29"/>
      <c r="D37" s="29"/>
      <c r="F37" s="29"/>
      <c r="G37" s="29"/>
      <c r="H37" s="29"/>
      <c r="I37" s="29"/>
    </row>
    <row r="38" spans="1:9" ht="15">
      <c r="A38" s="29"/>
      <c r="B38" s="29"/>
      <c r="C38" s="29"/>
      <c r="D38" s="29"/>
      <c r="F38" s="29"/>
      <c r="G38" s="29"/>
      <c r="H38" s="29"/>
      <c r="I38" s="29"/>
    </row>
    <row r="39" spans="1:9" ht="15">
      <c r="A39" s="29"/>
      <c r="B39" s="29"/>
      <c r="C39" s="29"/>
      <c r="D39" s="29"/>
      <c r="F39" s="29"/>
      <c r="G39" s="29"/>
      <c r="H39" s="29"/>
      <c r="I39" s="29"/>
    </row>
    <row r="40" spans="1:9" ht="15">
      <c r="A40" s="29"/>
      <c r="B40" s="29"/>
      <c r="C40" s="29"/>
      <c r="D40" s="29"/>
      <c r="F40" s="29"/>
      <c r="G40" s="29"/>
      <c r="H40" s="29"/>
      <c r="I40" s="29"/>
    </row>
    <row r="41" spans="1:9" ht="15">
      <c r="A41" s="29"/>
      <c r="B41" s="29"/>
      <c r="C41" s="29"/>
      <c r="D41" s="29"/>
      <c r="F41" s="29"/>
      <c r="G41" s="29"/>
      <c r="H41" s="29"/>
      <c r="I41" s="29"/>
    </row>
    <row r="42" spans="1:9" ht="15">
      <c r="A42" s="29"/>
      <c r="B42" s="29"/>
      <c r="C42" s="29"/>
      <c r="D42" s="29"/>
      <c r="F42" s="29"/>
      <c r="G42" s="29"/>
      <c r="H42" s="29"/>
      <c r="I42" s="29"/>
    </row>
    <row r="43" spans="1:9" ht="15">
      <c r="A43" s="29"/>
      <c r="B43" s="29"/>
      <c r="C43" s="29"/>
      <c r="D43" s="29"/>
      <c r="F43" s="29"/>
      <c r="G43" s="29"/>
      <c r="H43" s="29"/>
      <c r="I43" s="29"/>
    </row>
    <row r="44" spans="1:9" ht="15">
      <c r="A44" s="29"/>
      <c r="B44" s="29"/>
      <c r="C44" s="29"/>
      <c r="D44" s="29"/>
      <c r="F44" s="29"/>
      <c r="G44" s="29"/>
      <c r="H44" s="29"/>
      <c r="I44" s="29"/>
    </row>
    <row r="45" spans="1:9" ht="15">
      <c r="A45" s="29"/>
      <c r="B45" s="29"/>
      <c r="C45" s="29"/>
      <c r="D45" s="29"/>
      <c r="F45" s="29"/>
      <c r="G45" s="29"/>
      <c r="H45" s="29"/>
      <c r="I45" s="29"/>
    </row>
    <row r="46" spans="1:9" ht="15">
      <c r="A46" s="29"/>
      <c r="B46" s="29"/>
      <c r="C46" s="29"/>
      <c r="D46" s="29"/>
      <c r="F46" s="29"/>
      <c r="G46" s="29"/>
      <c r="H46" s="29"/>
      <c r="I46" s="29"/>
    </row>
    <row r="47" spans="1:9" ht="15">
      <c r="A47" s="29"/>
      <c r="B47" s="29"/>
      <c r="C47" s="29"/>
      <c r="D47" s="29"/>
      <c r="F47" s="29"/>
      <c r="G47" s="29"/>
      <c r="H47" s="29"/>
      <c r="I47" s="29"/>
    </row>
    <row r="48" spans="1:9" ht="15">
      <c r="A48" s="29"/>
      <c r="B48" s="29"/>
      <c r="C48" s="29"/>
      <c r="D48" s="29"/>
      <c r="F48" s="29"/>
      <c r="G48" s="29"/>
      <c r="H48" s="29"/>
      <c r="I48" s="29"/>
    </row>
    <row r="49" spans="1:9" ht="15">
      <c r="A49" s="29"/>
      <c r="B49" s="29"/>
      <c r="C49" s="29"/>
      <c r="D49" s="29"/>
      <c r="F49" s="29"/>
      <c r="G49" s="29"/>
      <c r="H49" s="29"/>
      <c r="I49" s="29"/>
    </row>
    <row r="50" spans="1:9" ht="15">
      <c r="A50" s="29"/>
      <c r="B50" s="29"/>
      <c r="C50" s="29"/>
      <c r="D50" s="29"/>
      <c r="F50" s="29"/>
      <c r="G50" s="29"/>
      <c r="H50" s="29"/>
      <c r="I50" s="29"/>
    </row>
    <row r="51" spans="1:9" ht="15">
      <c r="A51" s="29"/>
      <c r="B51" s="29"/>
      <c r="C51" s="29"/>
      <c r="D51" s="29"/>
      <c r="F51" s="29"/>
      <c r="G51" s="29"/>
      <c r="H51" s="29"/>
      <c r="I51" s="29"/>
    </row>
    <row r="52" spans="1:9" ht="15">
      <c r="A52" s="29"/>
      <c r="B52" s="29"/>
      <c r="C52" s="29"/>
      <c r="D52" s="29"/>
      <c r="F52" s="29"/>
      <c r="G52" s="29"/>
      <c r="H52" s="29"/>
      <c r="I52" s="29"/>
    </row>
    <row r="53" spans="1:9" ht="15">
      <c r="A53" s="29"/>
      <c r="B53" s="29"/>
      <c r="C53" s="29"/>
      <c r="D53" s="29"/>
      <c r="F53" s="29"/>
      <c r="G53" s="29"/>
      <c r="H53" s="29"/>
      <c r="I53" s="29"/>
    </row>
    <row r="54" spans="1:9" ht="15">
      <c r="A54" s="29"/>
      <c r="B54" s="29"/>
      <c r="C54" s="29"/>
      <c r="D54" s="29"/>
      <c r="F54" s="29"/>
      <c r="G54" s="29"/>
      <c r="H54" s="29"/>
      <c r="I54" s="29"/>
    </row>
    <row r="55" spans="1:9" ht="15">
      <c r="A55" s="29"/>
      <c r="B55" s="29"/>
      <c r="C55" s="29"/>
      <c r="D55" s="29"/>
      <c r="F55" s="29"/>
      <c r="G55" s="29"/>
      <c r="H55" s="29"/>
      <c r="I55" s="29"/>
    </row>
    <row r="56" spans="1:9" ht="15">
      <c r="A56" s="29"/>
      <c r="B56" s="29"/>
      <c r="C56" s="29"/>
      <c r="D56" s="29"/>
      <c r="F56" s="29"/>
      <c r="G56" s="29"/>
      <c r="H56" s="29"/>
      <c r="I56" s="29"/>
    </row>
    <row r="57" spans="1:9" ht="15">
      <c r="A57" s="29"/>
      <c r="B57" s="29"/>
      <c r="C57" s="29"/>
      <c r="D57" s="29"/>
      <c r="F57" s="29"/>
      <c r="G57" s="29"/>
      <c r="H57" s="29"/>
      <c r="I57" s="29"/>
    </row>
    <row r="58" spans="1:9" ht="15">
      <c r="A58" s="29"/>
      <c r="B58" s="29"/>
      <c r="C58" s="29"/>
      <c r="D58" s="29"/>
      <c r="F58" s="29"/>
      <c r="G58" s="29"/>
      <c r="H58" s="29"/>
      <c r="I58" s="29"/>
    </row>
    <row r="59" spans="1:9" ht="15">
      <c r="A59" s="29"/>
      <c r="B59" s="29"/>
      <c r="C59" s="29"/>
      <c r="D59" s="29"/>
      <c r="F59" s="29"/>
      <c r="G59" s="29"/>
      <c r="H59" s="29"/>
      <c r="I59" s="29"/>
    </row>
    <row r="60" spans="1:9" ht="15">
      <c r="A60" s="29"/>
      <c r="B60" s="29"/>
      <c r="C60" s="29"/>
      <c r="D60" s="29"/>
      <c r="F60" s="29"/>
      <c r="G60" s="29"/>
      <c r="H60" s="29"/>
      <c r="I60" s="29"/>
    </row>
    <row r="61" spans="1:9" ht="15">
      <c r="A61" s="29"/>
      <c r="B61" s="29"/>
      <c r="C61" s="29"/>
      <c r="D61" s="29"/>
      <c r="F61" s="29"/>
      <c r="G61" s="29"/>
      <c r="H61" s="29"/>
      <c r="I61" s="29"/>
    </row>
    <row r="62" spans="1:9" ht="15">
      <c r="A62" s="29"/>
      <c r="B62" s="29"/>
      <c r="C62" s="29"/>
      <c r="D62" s="29"/>
      <c r="F62" s="29"/>
      <c r="G62" s="29"/>
      <c r="H62" s="29"/>
      <c r="I62" s="29"/>
    </row>
    <row r="63" spans="1:9" ht="15">
      <c r="A63" s="29"/>
      <c r="B63" s="29"/>
      <c r="C63" s="29"/>
      <c r="D63" s="29"/>
      <c r="F63" s="29"/>
      <c r="G63" s="29"/>
      <c r="H63" s="29"/>
      <c r="I63" s="29"/>
    </row>
    <row r="64" spans="1:9" ht="15">
      <c r="A64" s="29"/>
      <c r="B64" s="29"/>
      <c r="C64" s="29"/>
      <c r="D64" s="29"/>
      <c r="F64" s="29"/>
      <c r="G64" s="29"/>
      <c r="H64" s="29"/>
      <c r="I64" s="29"/>
    </row>
    <row r="65" spans="1:9" ht="15">
      <c r="A65" s="29"/>
      <c r="B65" s="29"/>
      <c r="C65" s="29"/>
      <c r="D65" s="29"/>
      <c r="F65" s="29"/>
      <c r="G65" s="29"/>
      <c r="H65" s="29"/>
      <c r="I65" s="29"/>
    </row>
    <row r="66" spans="1:9" ht="15">
      <c r="A66" s="29"/>
      <c r="B66" s="29"/>
      <c r="C66" s="29"/>
      <c r="D66" s="29"/>
      <c r="F66" s="29"/>
      <c r="G66" s="29"/>
      <c r="H66" s="29"/>
      <c r="I66" s="29"/>
    </row>
    <row r="67" spans="1:9" ht="15">
      <c r="A67" s="29"/>
      <c r="B67" s="29"/>
      <c r="C67" s="29"/>
      <c r="D67" s="29"/>
      <c r="F67" s="29"/>
      <c r="G67" s="29"/>
      <c r="H67" s="29"/>
      <c r="I67" s="29"/>
    </row>
    <row r="68" spans="1:9" ht="15">
      <c r="A68" s="29"/>
      <c r="B68" s="29"/>
      <c r="C68" s="29"/>
      <c r="D68" s="29"/>
      <c r="F68" s="29"/>
      <c r="G68" s="29"/>
      <c r="H68" s="29"/>
      <c r="I68" s="29"/>
    </row>
    <row r="69" spans="1:9" ht="15">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sheetPr codeName="Sheet6">
    <tabColor indexed="62"/>
  </sheetPr>
  <dimension ref="A1:AE36"/>
  <sheetViews>
    <sheetView showGridLines="0" workbookViewId="0">
      <pane ySplit="4" topLeftCell="A5" activePane="bottomLeft" state="frozen"/>
      <selection pane="bottomLeft" activeCell="E9" sqref="E9"/>
    </sheetView>
  </sheetViews>
  <sheetFormatPr defaultColWidth="9" defaultRowHeight="12.75"/>
  <cols>
    <col min="1" max="1" width="12.25" style="33" customWidth="1"/>
    <col min="2" max="2" width="22.875" style="33" customWidth="1"/>
    <col min="3" max="3" width="21.375" style="33" customWidth="1"/>
    <col min="4" max="4" width="12.625" style="33" customWidth="1"/>
    <col min="5" max="5" width="12.25" style="33" customWidth="1"/>
    <col min="6" max="6" width="22.25" style="33" customWidth="1"/>
    <col min="7" max="7" width="20.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273" t="s">
        <v>38</v>
      </c>
      <c r="B3" s="275"/>
      <c r="C3" s="275"/>
      <c r="D3" s="275"/>
      <c r="E3" s="275"/>
      <c r="F3" s="275"/>
      <c r="G3" s="276"/>
    </row>
    <row r="4" spans="1:31" s="8" customFormat="1" ht="15.75">
      <c r="A4" s="36"/>
      <c r="B4" s="36"/>
      <c r="C4" s="36"/>
      <c r="D4" s="271" t="s">
        <v>36</v>
      </c>
      <c r="E4" s="272"/>
      <c r="F4" s="271"/>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
      <c r="A6"/>
      <c r="B6"/>
      <c r="E6"/>
      <c r="F6"/>
    </row>
    <row r="8" spans="1:31" ht="15">
      <c r="A8" s="207" t="s">
        <v>29</v>
      </c>
      <c r="B8" s="222" t="s">
        <v>35</v>
      </c>
      <c r="C8"/>
      <c r="E8" s="207" t="s">
        <v>29</v>
      </c>
      <c r="F8" s="222" t="s">
        <v>154</v>
      </c>
      <c r="G8"/>
    </row>
    <row r="9" spans="1:31" ht="15">
      <c r="A9" s="224"/>
      <c r="B9" s="229">
        <v>0</v>
      </c>
      <c r="C9"/>
      <c r="E9" s="226"/>
      <c r="F9" s="225">
        <v>0</v>
      </c>
      <c r="G9"/>
    </row>
    <row r="10" spans="1:31" ht="15">
      <c r="A10" s="227" t="s">
        <v>96</v>
      </c>
      <c r="B10" s="230">
        <v>0</v>
      </c>
      <c r="C10"/>
      <c r="E10" s="227" t="s">
        <v>96</v>
      </c>
      <c r="F10" s="228">
        <v>0</v>
      </c>
      <c r="G10"/>
    </row>
    <row r="11" spans="1:31" ht="15">
      <c r="A11"/>
      <c r="B11"/>
      <c r="C11"/>
      <c r="E11"/>
      <c r="F11"/>
      <c r="G11"/>
    </row>
    <row r="12" spans="1:31" ht="15">
      <c r="A12"/>
      <c r="B12"/>
      <c r="C12"/>
      <c r="E12"/>
      <c r="F12"/>
      <c r="G12"/>
    </row>
    <row r="13" spans="1:31" ht="15">
      <c r="A13"/>
      <c r="B13"/>
      <c r="C13"/>
      <c r="E13"/>
      <c r="F13"/>
      <c r="G13"/>
    </row>
    <row r="14" spans="1:31" ht="15">
      <c r="A14"/>
      <c r="B14"/>
      <c r="C14"/>
      <c r="E14"/>
      <c r="F14"/>
      <c r="G14"/>
    </row>
    <row r="15" spans="1:31" ht="15">
      <c r="A15"/>
      <c r="B15"/>
      <c r="C15"/>
      <c r="E15"/>
      <c r="F15"/>
      <c r="G15"/>
    </row>
    <row r="16" spans="1:31" ht="15">
      <c r="A16"/>
      <c r="B16"/>
      <c r="C16"/>
      <c r="E16"/>
      <c r="F16"/>
      <c r="G16"/>
    </row>
    <row r="17" spans="1:7" ht="15">
      <c r="A17"/>
      <c r="B17"/>
      <c r="C17"/>
      <c r="E17"/>
      <c r="F17"/>
      <c r="G17"/>
    </row>
    <row r="18" spans="1:7" ht="15">
      <c r="A18"/>
      <c r="B18"/>
      <c r="C18"/>
      <c r="E18"/>
      <c r="F18"/>
      <c r="G18"/>
    </row>
    <row r="19" spans="1:7" ht="15">
      <c r="A19"/>
      <c r="B19"/>
      <c r="C19"/>
      <c r="E19"/>
      <c r="F19"/>
      <c r="G19"/>
    </row>
    <row r="20" spans="1:7" ht="15">
      <c r="A20"/>
      <c r="B20"/>
      <c r="C20"/>
      <c r="E20" s="29"/>
      <c r="F20" s="29"/>
      <c r="G20" s="29"/>
    </row>
    <row r="21" spans="1:7" ht="15">
      <c r="A21"/>
      <c r="B21"/>
      <c r="C21"/>
      <c r="E21" s="29"/>
      <c r="F21" s="29"/>
      <c r="G21" s="29"/>
    </row>
    <row r="22" spans="1:7" ht="15">
      <c r="A22" s="29"/>
      <c r="B22" s="29"/>
      <c r="C22" s="29"/>
      <c r="E22" s="29"/>
      <c r="F22" s="29"/>
      <c r="G22" s="29"/>
    </row>
    <row r="23" spans="1:7" ht="15">
      <c r="A23" s="29"/>
      <c r="B23" s="29"/>
      <c r="C23" s="29"/>
      <c r="E23" s="29"/>
      <c r="F23" s="29"/>
      <c r="G23" s="29"/>
    </row>
    <row r="24" spans="1:7" ht="15">
      <c r="A24" s="29"/>
      <c r="B24" s="29"/>
      <c r="C24" s="29"/>
      <c r="E24" s="29"/>
      <c r="F24" s="29"/>
      <c r="G24" s="29"/>
    </row>
    <row r="25" spans="1:7" ht="15">
      <c r="A25" s="29"/>
      <c r="B25" s="29"/>
      <c r="C25" s="29"/>
      <c r="E25" s="29"/>
      <c r="F25" s="29"/>
      <c r="G25" s="29"/>
    </row>
    <row r="26" spans="1:7" ht="15">
      <c r="A26" s="29"/>
      <c r="B26" s="29"/>
      <c r="C26" s="29"/>
      <c r="E26" s="29"/>
      <c r="F26" s="29"/>
      <c r="G26" s="29"/>
    </row>
    <row r="27" spans="1:7" ht="15">
      <c r="A27" s="29"/>
      <c r="B27" s="29"/>
      <c r="C27" s="29"/>
      <c r="E27" s="29"/>
      <c r="F27" s="29"/>
      <c r="G27" s="29"/>
    </row>
    <row r="28" spans="1:7" ht="15">
      <c r="A28" s="29"/>
      <c r="B28" s="29"/>
      <c r="C28" s="29"/>
      <c r="E28" s="29"/>
      <c r="F28" s="29"/>
      <c r="G28" s="29"/>
    </row>
    <row r="29" spans="1:7" ht="15">
      <c r="A29" s="29"/>
      <c r="B29" s="29"/>
      <c r="C29" s="29"/>
      <c r="E29" s="29"/>
      <c r="F29" s="29"/>
      <c r="G29" s="29"/>
    </row>
    <row r="30" spans="1:7" ht="15">
      <c r="A30" s="29"/>
      <c r="B30" s="29"/>
      <c r="C30" s="29"/>
      <c r="E30" s="29"/>
      <c r="F30" s="29"/>
      <c r="G30" s="29"/>
    </row>
    <row r="31" spans="1:7" ht="15">
      <c r="A31" s="29"/>
      <c r="B31" s="29"/>
      <c r="C31" s="29"/>
      <c r="E31" s="29"/>
      <c r="F31" s="29"/>
      <c r="G31" s="29"/>
    </row>
    <row r="32" spans="1:7" ht="15">
      <c r="A32" s="29"/>
      <c r="B32" s="29"/>
      <c r="C32" s="29"/>
      <c r="E32" s="29"/>
      <c r="F32" s="29"/>
      <c r="G32" s="29"/>
    </row>
    <row r="33" spans="1:7" ht="15">
      <c r="A33" s="29"/>
      <c r="B33" s="29"/>
      <c r="C33" s="29"/>
      <c r="E33" s="29"/>
      <c r="F33" s="29"/>
      <c r="G33" s="29"/>
    </row>
    <row r="34" spans="1:7" ht="15">
      <c r="A34" s="29"/>
      <c r="B34" s="29"/>
      <c r="C34" s="29"/>
    </row>
    <row r="35" spans="1:7" ht="15">
      <c r="A35" s="29"/>
      <c r="B35" s="29"/>
      <c r="C35" s="29"/>
    </row>
    <row r="36" spans="1:7" ht="15">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sheetPr codeName="Sheet9" enableFormatConditionsCalculation="0">
    <tabColor indexed="62"/>
  </sheetPr>
  <dimension ref="A1:D21"/>
  <sheetViews>
    <sheetView topLeftCell="A2" workbookViewId="0">
      <selection activeCell="A2" sqref="A2"/>
    </sheetView>
  </sheetViews>
  <sheetFormatPr defaultRowHeight="14.25"/>
  <cols>
    <col min="1" max="1" width="7.75" bestFit="1" customWidth="1"/>
    <col min="2" max="2" width="7.375" style="167" bestFit="1" customWidth="1"/>
    <col min="3" max="3" width="3.5" bestFit="1" customWidth="1"/>
    <col min="4" max="4" width="5" bestFit="1" customWidth="1"/>
  </cols>
  <sheetData>
    <row r="1" spans="1:4" ht="15">
      <c r="A1" s="166" t="s">
        <v>124</v>
      </c>
      <c r="B1" s="166" t="s">
        <v>143</v>
      </c>
      <c r="C1" s="166" t="s">
        <v>127</v>
      </c>
      <c r="D1" s="166" t="s">
        <v>151</v>
      </c>
    </row>
    <row r="2" spans="1:4" ht="15">
      <c r="A2" s="203" t="s">
        <v>126</v>
      </c>
      <c r="B2" s="200" t="s">
        <v>144</v>
      </c>
      <c r="C2" s="200" t="s">
        <v>111</v>
      </c>
      <c r="D2" s="200">
        <v>0.01</v>
      </c>
    </row>
    <row r="3" spans="1:4" ht="15">
      <c r="A3" s="203" t="s">
        <v>157</v>
      </c>
      <c r="B3" s="200" t="s">
        <v>145</v>
      </c>
      <c r="C3" s="200" t="s">
        <v>110</v>
      </c>
      <c r="D3" s="200">
        <f>D2+0.01</f>
        <v>0.02</v>
      </c>
    </row>
    <row r="4" spans="1:4" ht="15">
      <c r="A4" s="200" t="s">
        <v>158</v>
      </c>
      <c r="B4" s="200" t="s">
        <v>141</v>
      </c>
      <c r="C4" s="199"/>
      <c r="D4" s="200">
        <f t="shared" ref="D4:D21" si="0">D3+0.01</f>
        <v>0.03</v>
      </c>
    </row>
    <row r="5" spans="1:4" ht="15">
      <c r="A5" s="203"/>
      <c r="C5" s="199"/>
      <c r="D5" s="200">
        <f t="shared" si="0"/>
        <v>0.04</v>
      </c>
    </row>
    <row r="6" spans="1:4" ht="15">
      <c r="A6" s="200"/>
      <c r="B6" s="200"/>
      <c r="C6" s="199"/>
      <c r="D6" s="200">
        <f t="shared" si="0"/>
        <v>0.05</v>
      </c>
    </row>
    <row r="7" spans="1:4" ht="15">
      <c r="A7" s="200"/>
      <c r="B7" s="200"/>
      <c r="C7" s="199"/>
      <c r="D7" s="200">
        <f t="shared" si="0"/>
        <v>6.0000000000000005E-2</v>
      </c>
    </row>
    <row r="8" spans="1:4" ht="15">
      <c r="A8" s="200"/>
      <c r="B8" s="200"/>
      <c r="C8" s="199"/>
      <c r="D8" s="200">
        <f t="shared" si="0"/>
        <v>7.0000000000000007E-2</v>
      </c>
    </row>
    <row r="9" spans="1:4" ht="15">
      <c r="A9" s="200"/>
      <c r="B9" s="200"/>
      <c r="C9" s="199"/>
      <c r="D9" s="200">
        <f t="shared" si="0"/>
        <v>0.08</v>
      </c>
    </row>
    <row r="10" spans="1:4" ht="15">
      <c r="A10" s="204"/>
      <c r="B10" s="200"/>
      <c r="C10" s="199"/>
      <c r="D10" s="200">
        <f t="shared" si="0"/>
        <v>0.09</v>
      </c>
    </row>
    <row r="11" spans="1:4" ht="15">
      <c r="A11" s="200"/>
      <c r="B11" s="200"/>
      <c r="C11" s="199"/>
      <c r="D11" s="200">
        <f t="shared" si="0"/>
        <v>9.9999999999999992E-2</v>
      </c>
    </row>
    <row r="12" spans="1:4" ht="15">
      <c r="A12" s="200"/>
      <c r="B12" s="200"/>
      <c r="C12" s="199"/>
      <c r="D12" s="200">
        <f t="shared" si="0"/>
        <v>0.10999999999999999</v>
      </c>
    </row>
    <row r="13" spans="1:4" ht="15">
      <c r="A13" s="200"/>
      <c r="B13" s="200"/>
      <c r="C13" s="199"/>
      <c r="D13" s="200">
        <f t="shared" si="0"/>
        <v>0.11999999999999998</v>
      </c>
    </row>
    <row r="14" spans="1:4" ht="15">
      <c r="A14" s="200"/>
      <c r="B14" s="200"/>
      <c r="C14" s="199"/>
      <c r="D14" s="200">
        <f t="shared" si="0"/>
        <v>0.12999999999999998</v>
      </c>
    </row>
    <row r="15" spans="1:4" ht="15">
      <c r="A15" s="200"/>
      <c r="B15" s="200"/>
      <c r="C15" s="199"/>
      <c r="D15" s="200">
        <f t="shared" si="0"/>
        <v>0.13999999999999999</v>
      </c>
    </row>
    <row r="16" spans="1:4" ht="15">
      <c r="A16" s="204"/>
      <c r="B16" s="200"/>
      <c r="C16" s="199"/>
      <c r="D16" s="200">
        <f t="shared" si="0"/>
        <v>0.15</v>
      </c>
    </row>
    <row r="17" spans="1:4" ht="15">
      <c r="A17" s="199"/>
      <c r="B17" s="200"/>
      <c r="C17" s="199"/>
      <c r="D17" s="200">
        <f t="shared" si="0"/>
        <v>0.16</v>
      </c>
    </row>
    <row r="18" spans="1:4" ht="15">
      <c r="A18" s="199"/>
      <c r="B18" s="200"/>
      <c r="C18" s="199"/>
      <c r="D18" s="200">
        <f t="shared" si="0"/>
        <v>0.17</v>
      </c>
    </row>
    <row r="19" spans="1:4" ht="15">
      <c r="A19" s="199"/>
      <c r="B19" s="200"/>
      <c r="C19" s="199"/>
      <c r="D19" s="200">
        <f t="shared" si="0"/>
        <v>0.18000000000000002</v>
      </c>
    </row>
    <row r="20" spans="1:4" ht="15">
      <c r="A20" s="199"/>
      <c r="B20" s="200"/>
      <c r="C20" s="199"/>
      <c r="D20" s="200">
        <f t="shared" si="0"/>
        <v>0.19000000000000003</v>
      </c>
    </row>
    <row r="21" spans="1:4" ht="15">
      <c r="A21" s="199"/>
      <c r="B21" s="200"/>
      <c r="C21" s="199"/>
      <c r="D21" s="200">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Trade Log</vt:lpstr>
      <vt:lpstr>Recap</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Maverick</cp:lastModifiedBy>
  <dcterms:created xsi:type="dcterms:W3CDTF">1996-12-17T01:32:42Z</dcterms:created>
  <dcterms:modified xsi:type="dcterms:W3CDTF">2013-12-01T22:09:15Z</dcterms:modified>
</cp:coreProperties>
</file>